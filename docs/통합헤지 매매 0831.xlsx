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diopadmin\Desktop\"/>
    </mc:Choice>
  </mc:AlternateContent>
  <xr:revisionPtr revIDLastSave="0" documentId="13_ncr:1_{9DF7160D-AAD3-4121-9A13-7495FCBC3A91}" xr6:coauthVersionLast="47" xr6:coauthVersionMax="47" xr10:uidLastSave="{00000000-0000-0000-0000-000000000000}"/>
  <bookViews>
    <workbookView xWindow="-120" yWindow="-120" windowWidth="29040" windowHeight="15720" activeTab="1" xr2:uid="{46FA5D40-7426-4BDD-8F72-8DDBE17E12E8}"/>
  </bookViews>
  <sheets>
    <sheet name="Sheet1" sheetId="1" r:id="rId1"/>
    <sheet name="Sheet1 (2)" sheetId="2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" i="1" l="1"/>
  <c r="AK52" i="1"/>
  <c r="AJ52" i="1"/>
  <c r="AG52" i="1"/>
  <c r="W52" i="1"/>
  <c r="V52" i="1"/>
  <c r="U52" i="1"/>
  <c r="Q52" i="1"/>
  <c r="P52" i="1"/>
  <c r="K52" i="1"/>
  <c r="J52" i="1"/>
  <c r="H52" i="1"/>
  <c r="G52" i="1"/>
  <c r="E52" i="1"/>
  <c r="D52" i="1"/>
  <c r="AK51" i="1"/>
  <c r="AJ51" i="1"/>
  <c r="AG51" i="1"/>
  <c r="W51" i="1"/>
  <c r="V51" i="1"/>
  <c r="U51" i="1"/>
  <c r="Q51" i="1"/>
  <c r="P51" i="1"/>
  <c r="K51" i="1"/>
  <c r="J51" i="1"/>
  <c r="H51" i="1"/>
  <c r="G51" i="1"/>
  <c r="E51" i="1"/>
  <c r="D51" i="1"/>
  <c r="AK50" i="1"/>
  <c r="AJ50" i="1"/>
  <c r="AG50" i="1"/>
  <c r="W50" i="1"/>
  <c r="V50" i="1"/>
  <c r="U50" i="1"/>
  <c r="Q50" i="1"/>
  <c r="P50" i="1"/>
  <c r="K50" i="1"/>
  <c r="J50" i="1"/>
  <c r="H50" i="1"/>
  <c r="G50" i="1"/>
  <c r="E50" i="1"/>
  <c r="D50" i="1"/>
  <c r="AK49" i="1"/>
  <c r="AJ49" i="1"/>
  <c r="AG49" i="1"/>
  <c r="W49" i="1"/>
  <c r="V49" i="1"/>
  <c r="U49" i="1"/>
  <c r="Q49" i="1"/>
  <c r="P49" i="1"/>
  <c r="K49" i="1"/>
  <c r="J49" i="1"/>
  <c r="H49" i="1"/>
  <c r="G49" i="1"/>
  <c r="E49" i="1"/>
  <c r="D49" i="1"/>
  <c r="AK48" i="1"/>
  <c r="AJ48" i="1"/>
  <c r="AG48" i="1"/>
  <c r="W48" i="1"/>
  <c r="V48" i="1"/>
  <c r="U48" i="1"/>
  <c r="Q48" i="1"/>
  <c r="P48" i="1"/>
  <c r="K48" i="1"/>
  <c r="J48" i="1"/>
  <c r="H48" i="1"/>
  <c r="G48" i="1"/>
  <c r="E48" i="1"/>
  <c r="D48" i="1"/>
  <c r="AK47" i="1"/>
  <c r="AJ47" i="1"/>
  <c r="AG47" i="1"/>
  <c r="W47" i="1"/>
  <c r="V47" i="1"/>
  <c r="U47" i="1"/>
  <c r="Q47" i="1"/>
  <c r="P47" i="1"/>
  <c r="K47" i="1"/>
  <c r="J47" i="1"/>
  <c r="H47" i="1"/>
  <c r="G47" i="1"/>
  <c r="E47" i="1"/>
  <c r="D47" i="1"/>
  <c r="AK46" i="1"/>
  <c r="AJ46" i="1"/>
  <c r="AG46" i="1"/>
  <c r="W46" i="1"/>
  <c r="V46" i="1"/>
  <c r="U46" i="1"/>
  <c r="Q46" i="1"/>
  <c r="P46" i="1"/>
  <c r="K46" i="1"/>
  <c r="J46" i="1"/>
  <c r="H46" i="1"/>
  <c r="G46" i="1"/>
  <c r="E46" i="1"/>
  <c r="D46" i="1"/>
  <c r="AK45" i="1"/>
  <c r="AJ45" i="1"/>
  <c r="AG45" i="1"/>
  <c r="W45" i="1"/>
  <c r="V45" i="1"/>
  <c r="U45" i="1"/>
  <c r="Q45" i="1"/>
  <c r="P45" i="1"/>
  <c r="K45" i="1"/>
  <c r="J45" i="1"/>
  <c r="H45" i="1"/>
  <c r="G45" i="1"/>
  <c r="E45" i="1"/>
  <c r="D45" i="1"/>
  <c r="AK44" i="1"/>
  <c r="AJ44" i="1"/>
  <c r="AG44" i="1"/>
  <c r="W44" i="1"/>
  <c r="V44" i="1"/>
  <c r="U44" i="1"/>
  <c r="Q44" i="1"/>
  <c r="P44" i="1"/>
  <c r="K44" i="1"/>
  <c r="J44" i="1"/>
  <c r="H44" i="1"/>
  <c r="G44" i="1"/>
  <c r="E44" i="1"/>
  <c r="D44" i="1"/>
  <c r="AK43" i="1"/>
  <c r="AJ43" i="1"/>
  <c r="AG43" i="1"/>
  <c r="W43" i="1"/>
  <c r="V43" i="1"/>
  <c r="U43" i="1"/>
  <c r="Q43" i="1"/>
  <c r="P43" i="1"/>
  <c r="K43" i="1"/>
  <c r="J43" i="1"/>
  <c r="H43" i="1"/>
  <c r="G43" i="1"/>
  <c r="E43" i="1"/>
  <c r="D43" i="1"/>
  <c r="AK42" i="1"/>
  <c r="AJ42" i="1"/>
  <c r="AG42" i="1"/>
  <c r="W42" i="1"/>
  <c r="V42" i="1"/>
  <c r="U42" i="1"/>
  <c r="Q42" i="1"/>
  <c r="P42" i="1"/>
  <c r="K42" i="1"/>
  <c r="J42" i="1"/>
  <c r="H42" i="1"/>
  <c r="G42" i="1"/>
  <c r="E42" i="1"/>
  <c r="D42" i="1"/>
  <c r="AK41" i="1"/>
  <c r="AJ41" i="1"/>
  <c r="AG41" i="1"/>
  <c r="W41" i="1"/>
  <c r="V41" i="1"/>
  <c r="U41" i="1"/>
  <c r="Q41" i="1"/>
  <c r="P41" i="1"/>
  <c r="K41" i="1"/>
  <c r="J41" i="1"/>
  <c r="H41" i="1"/>
  <c r="G41" i="1"/>
  <c r="E41" i="1"/>
  <c r="D41" i="1"/>
  <c r="AK40" i="1"/>
  <c r="AJ40" i="1"/>
  <c r="AG40" i="1"/>
  <c r="W40" i="1"/>
  <c r="V40" i="1"/>
  <c r="U40" i="1"/>
  <c r="Q40" i="1"/>
  <c r="P40" i="1"/>
  <c r="K40" i="1"/>
  <c r="J40" i="1"/>
  <c r="H40" i="1"/>
  <c r="G40" i="1"/>
  <c r="E40" i="1"/>
  <c r="D40" i="1"/>
  <c r="AK39" i="1"/>
  <c r="AJ39" i="1"/>
  <c r="AG39" i="1"/>
  <c r="W39" i="1"/>
  <c r="V39" i="1"/>
  <c r="U39" i="1"/>
  <c r="Q39" i="1"/>
  <c r="P39" i="1"/>
  <c r="K39" i="1"/>
  <c r="J39" i="1"/>
  <c r="H39" i="1"/>
  <c r="G39" i="1"/>
  <c r="E39" i="1"/>
  <c r="D39" i="1"/>
  <c r="AK38" i="1"/>
  <c r="AJ38" i="1"/>
  <c r="AG38" i="1"/>
  <c r="W38" i="1"/>
  <c r="V38" i="1"/>
  <c r="U38" i="1"/>
  <c r="Q38" i="1"/>
  <c r="P38" i="1"/>
  <c r="K38" i="1"/>
  <c r="J38" i="1"/>
  <c r="H38" i="1"/>
  <c r="G38" i="1"/>
  <c r="E38" i="1"/>
  <c r="D38" i="1"/>
  <c r="AK37" i="1"/>
  <c r="AJ37" i="1"/>
  <c r="AG37" i="1"/>
  <c r="W37" i="1"/>
  <c r="V37" i="1"/>
  <c r="U37" i="1"/>
  <c r="Q37" i="1"/>
  <c r="P37" i="1"/>
  <c r="K37" i="1"/>
  <c r="J37" i="1"/>
  <c r="H37" i="1"/>
  <c r="G37" i="1"/>
  <c r="E37" i="1"/>
  <c r="D37" i="1"/>
  <c r="AK36" i="1"/>
  <c r="AJ36" i="1"/>
  <c r="AG36" i="1"/>
  <c r="W36" i="1"/>
  <c r="V36" i="1"/>
  <c r="U36" i="1"/>
  <c r="Q36" i="1"/>
  <c r="P36" i="1"/>
  <c r="K36" i="1"/>
  <c r="J36" i="1"/>
  <c r="H36" i="1"/>
  <c r="G36" i="1"/>
  <c r="E36" i="1"/>
  <c r="D36" i="1"/>
  <c r="AK35" i="1"/>
  <c r="AJ35" i="1"/>
  <c r="AG35" i="1"/>
  <c r="W35" i="1"/>
  <c r="V35" i="1"/>
  <c r="U35" i="1"/>
  <c r="Q35" i="1"/>
  <c r="P35" i="1"/>
  <c r="K35" i="1"/>
  <c r="J35" i="1"/>
  <c r="H35" i="1"/>
  <c r="G35" i="1"/>
  <c r="E35" i="1"/>
  <c r="D35" i="1"/>
  <c r="AK34" i="1"/>
  <c r="AJ34" i="1"/>
  <c r="AG34" i="1"/>
  <c r="W34" i="1"/>
  <c r="V34" i="1"/>
  <c r="U34" i="1"/>
  <c r="Q34" i="1"/>
  <c r="P34" i="1"/>
  <c r="K34" i="1"/>
  <c r="J34" i="1"/>
  <c r="H34" i="1"/>
  <c r="G34" i="1"/>
  <c r="E34" i="1"/>
  <c r="D34" i="1"/>
  <c r="AK33" i="1"/>
  <c r="AJ33" i="1"/>
  <c r="AG33" i="1"/>
  <c r="W33" i="1"/>
  <c r="V33" i="1"/>
  <c r="U33" i="1"/>
  <c r="Q33" i="1"/>
  <c r="P33" i="1"/>
  <c r="K33" i="1"/>
  <c r="J33" i="1"/>
  <c r="H33" i="1"/>
  <c r="G33" i="1"/>
  <c r="E33" i="1"/>
  <c r="D33" i="1"/>
  <c r="AK32" i="1"/>
  <c r="AJ32" i="1"/>
  <c r="AG32" i="1"/>
  <c r="W32" i="1"/>
  <c r="V32" i="1"/>
  <c r="U32" i="1"/>
  <c r="Q32" i="1"/>
  <c r="P32" i="1"/>
  <c r="K32" i="1"/>
  <c r="J32" i="1"/>
  <c r="H32" i="1"/>
  <c r="G32" i="1"/>
  <c r="E32" i="1"/>
  <c r="D32" i="1"/>
  <c r="AK31" i="1"/>
  <c r="AJ31" i="1"/>
  <c r="AG31" i="1"/>
  <c r="W31" i="1"/>
  <c r="V31" i="1"/>
  <c r="U31" i="1"/>
  <c r="Q31" i="1"/>
  <c r="P31" i="1"/>
  <c r="K31" i="1"/>
  <c r="J31" i="1"/>
  <c r="H31" i="1"/>
  <c r="G31" i="1"/>
  <c r="E31" i="1"/>
  <c r="D31" i="1"/>
  <c r="AK30" i="1"/>
  <c r="AJ30" i="1"/>
  <c r="AG30" i="1"/>
  <c r="W30" i="1"/>
  <c r="V30" i="1"/>
  <c r="U30" i="1"/>
  <c r="Q30" i="1"/>
  <c r="P30" i="1"/>
  <c r="K30" i="1"/>
  <c r="J30" i="1"/>
  <c r="H30" i="1"/>
  <c r="G30" i="1"/>
  <c r="E30" i="1"/>
  <c r="D30" i="1"/>
  <c r="AK29" i="1"/>
  <c r="AJ29" i="1"/>
  <c r="AG29" i="1"/>
  <c r="W29" i="1"/>
  <c r="V29" i="1"/>
  <c r="U29" i="1"/>
  <c r="Q29" i="1"/>
  <c r="P29" i="1"/>
  <c r="K29" i="1"/>
  <c r="J29" i="1"/>
  <c r="H29" i="1"/>
  <c r="G29" i="1"/>
  <c r="E29" i="1"/>
  <c r="D29" i="1"/>
  <c r="AK28" i="1"/>
  <c r="AJ28" i="1"/>
  <c r="AG28" i="1"/>
  <c r="W28" i="1"/>
  <c r="V28" i="1"/>
  <c r="U28" i="1"/>
  <c r="Q28" i="1"/>
  <c r="P28" i="1"/>
  <c r="K28" i="1"/>
  <c r="J28" i="1"/>
  <c r="H28" i="1"/>
  <c r="G28" i="1"/>
  <c r="E28" i="1"/>
  <c r="D28" i="1"/>
  <c r="AK27" i="1"/>
  <c r="AJ27" i="1"/>
  <c r="AG27" i="1"/>
  <c r="W27" i="1"/>
  <c r="V27" i="1"/>
  <c r="U27" i="1"/>
  <c r="Q27" i="1"/>
  <c r="P27" i="1"/>
  <c r="K27" i="1"/>
  <c r="J27" i="1"/>
  <c r="H27" i="1"/>
  <c r="G27" i="1"/>
  <c r="E27" i="1"/>
  <c r="D27" i="1"/>
  <c r="AK26" i="1"/>
  <c r="AJ26" i="1"/>
  <c r="AG26" i="1"/>
  <c r="W26" i="1"/>
  <c r="V26" i="1"/>
  <c r="U26" i="1"/>
  <c r="Q26" i="1"/>
  <c r="P26" i="1"/>
  <c r="K26" i="1"/>
  <c r="J26" i="1"/>
  <c r="H26" i="1"/>
  <c r="G26" i="1"/>
  <c r="E26" i="1"/>
  <c r="D26" i="1"/>
  <c r="AK25" i="1"/>
  <c r="AJ25" i="1"/>
  <c r="AG25" i="1"/>
  <c r="W25" i="1"/>
  <c r="V25" i="1"/>
  <c r="U25" i="1"/>
  <c r="Q25" i="1"/>
  <c r="P25" i="1"/>
  <c r="K25" i="1"/>
  <c r="J25" i="1"/>
  <c r="H25" i="1"/>
  <c r="G25" i="1"/>
  <c r="E25" i="1"/>
  <c r="D25" i="1"/>
  <c r="AK24" i="1"/>
  <c r="AJ24" i="1"/>
  <c r="AG24" i="1"/>
  <c r="W24" i="1"/>
  <c r="V24" i="1"/>
  <c r="U24" i="1"/>
  <c r="Q24" i="1"/>
  <c r="P24" i="1"/>
  <c r="K24" i="1"/>
  <c r="J24" i="1"/>
  <c r="H24" i="1"/>
  <c r="G24" i="1"/>
  <c r="E24" i="1"/>
  <c r="D24" i="1"/>
  <c r="AK23" i="1"/>
  <c r="AJ23" i="1"/>
  <c r="AG23" i="1"/>
  <c r="W23" i="1"/>
  <c r="V23" i="1"/>
  <c r="U23" i="1"/>
  <c r="Q23" i="1"/>
  <c r="P23" i="1"/>
  <c r="K23" i="1"/>
  <c r="J23" i="1"/>
  <c r="H23" i="1"/>
  <c r="G23" i="1"/>
  <c r="E23" i="1"/>
  <c r="D23" i="1"/>
  <c r="AK22" i="1"/>
  <c r="AJ22" i="1"/>
  <c r="AG22" i="1"/>
  <c r="W22" i="1"/>
  <c r="V22" i="1"/>
  <c r="U22" i="1"/>
  <c r="Q22" i="1"/>
  <c r="P22" i="1"/>
  <c r="K22" i="1"/>
  <c r="J22" i="1"/>
  <c r="H22" i="1"/>
  <c r="G22" i="1"/>
  <c r="E22" i="1"/>
  <c r="D22" i="1"/>
  <c r="AK21" i="1"/>
  <c r="AJ21" i="1"/>
  <c r="AG21" i="1"/>
  <c r="W21" i="1"/>
  <c r="V21" i="1"/>
  <c r="U21" i="1"/>
  <c r="Q21" i="1"/>
  <c r="P21" i="1"/>
  <c r="K21" i="1"/>
  <c r="J21" i="1"/>
  <c r="H21" i="1"/>
  <c r="G21" i="1"/>
  <c r="E21" i="1"/>
  <c r="D21" i="1"/>
  <c r="AK20" i="1"/>
  <c r="AJ20" i="1"/>
  <c r="AG20" i="1"/>
  <c r="W20" i="1"/>
  <c r="V20" i="1"/>
  <c r="U20" i="1"/>
  <c r="Q20" i="1"/>
  <c r="P20" i="1"/>
  <c r="K20" i="1"/>
  <c r="J20" i="1"/>
  <c r="H20" i="1"/>
  <c r="G20" i="1"/>
  <c r="E20" i="1"/>
  <c r="D20" i="1"/>
  <c r="AK19" i="1"/>
  <c r="AJ19" i="1"/>
  <c r="AG19" i="1"/>
  <c r="W19" i="1"/>
  <c r="V19" i="1"/>
  <c r="U19" i="1"/>
  <c r="Q19" i="1"/>
  <c r="P19" i="1"/>
  <c r="K19" i="1"/>
  <c r="J19" i="1"/>
  <c r="H19" i="1"/>
  <c r="G19" i="1"/>
  <c r="E19" i="1"/>
  <c r="D19" i="1"/>
  <c r="AK18" i="1"/>
  <c r="AJ18" i="1"/>
  <c r="AG18" i="1"/>
  <c r="W18" i="1"/>
  <c r="V18" i="1"/>
  <c r="U18" i="1"/>
  <c r="Q18" i="1"/>
  <c r="P18" i="1"/>
  <c r="K18" i="1"/>
  <c r="J18" i="1"/>
  <c r="H18" i="1"/>
  <c r="G18" i="1"/>
  <c r="E18" i="1"/>
  <c r="D18" i="1"/>
  <c r="AK17" i="1"/>
  <c r="AJ17" i="1"/>
  <c r="AG17" i="1"/>
  <c r="W17" i="1"/>
  <c r="V17" i="1"/>
  <c r="V14" i="1" s="1"/>
  <c r="U17" i="1"/>
  <c r="Q17" i="1"/>
  <c r="K17" i="1"/>
  <c r="J17" i="1"/>
  <c r="H17" i="1"/>
  <c r="G17" i="1"/>
  <c r="E17" i="1"/>
  <c r="D17" i="1"/>
  <c r="AK16" i="1"/>
  <c r="AJ16" i="1"/>
  <c r="AG16" i="1"/>
  <c r="W16" i="1"/>
  <c r="V16" i="1"/>
  <c r="U16" i="1"/>
  <c r="Q16" i="1"/>
  <c r="P16" i="1"/>
  <c r="K16" i="1"/>
  <c r="J16" i="1"/>
  <c r="H16" i="1"/>
  <c r="G16" i="1"/>
  <c r="E16" i="1"/>
  <c r="D16" i="1"/>
  <c r="AK15" i="1"/>
  <c r="AJ15" i="1"/>
  <c r="AG15" i="1"/>
  <c r="W15" i="1"/>
  <c r="V15" i="1"/>
  <c r="U15" i="1"/>
  <c r="Q15" i="1"/>
  <c r="P15" i="1"/>
  <c r="K15" i="1"/>
  <c r="J15" i="1"/>
  <c r="H15" i="1"/>
  <c r="G15" i="1"/>
  <c r="E15" i="1"/>
  <c r="D15" i="1"/>
  <c r="U11" i="1"/>
  <c r="P11" i="1"/>
  <c r="T11" i="1" s="1"/>
  <c r="K11" i="1"/>
  <c r="J11" i="1"/>
  <c r="H11" i="1"/>
  <c r="G11" i="1"/>
  <c r="U10" i="1"/>
  <c r="P10" i="1"/>
  <c r="T10" i="1" s="1"/>
  <c r="K10" i="1"/>
  <c r="J10" i="1"/>
  <c r="H10" i="1"/>
  <c r="G10" i="1"/>
  <c r="U14" i="1" l="1"/>
  <c r="W14" i="1"/>
  <c r="M31" i="1"/>
  <c r="AH31" i="1" s="1"/>
  <c r="I18" i="1"/>
  <c r="R18" i="1" s="1"/>
  <c r="I17" i="1"/>
  <c r="R17" i="1" s="1"/>
  <c r="H9" i="1"/>
  <c r="I37" i="1"/>
  <c r="R37" i="1" s="1"/>
  <c r="I33" i="1"/>
  <c r="R33" i="1" s="1"/>
  <c r="L46" i="1"/>
  <c r="S46" i="1" s="1"/>
  <c r="L50" i="1"/>
  <c r="S50" i="1" s="1"/>
  <c r="M40" i="1"/>
  <c r="AA40" i="1" s="1"/>
  <c r="AC40" i="1" s="1"/>
  <c r="I43" i="1"/>
  <c r="R43" i="1" s="1"/>
  <c r="I47" i="1"/>
  <c r="R47" i="1" s="1"/>
  <c r="M49" i="1"/>
  <c r="N49" i="1" s="1"/>
  <c r="I16" i="1"/>
  <c r="R16" i="1" s="1"/>
  <c r="I52" i="1"/>
  <c r="R52" i="1" s="1"/>
  <c r="M52" i="1"/>
  <c r="AB52" i="1" s="1"/>
  <c r="AD52" i="1" s="1"/>
  <c r="L30" i="1"/>
  <c r="S30" i="1" s="1"/>
  <c r="K9" i="1"/>
  <c r="M42" i="1"/>
  <c r="AH42" i="1" s="1"/>
  <c r="I31" i="1"/>
  <c r="R31" i="1" s="1"/>
  <c r="L31" i="1"/>
  <c r="S31" i="1" s="1"/>
  <c r="L10" i="1"/>
  <c r="R10" i="1" s="1"/>
  <c r="L26" i="1"/>
  <c r="S26" i="1" s="1"/>
  <c r="L34" i="1"/>
  <c r="S34" i="1" s="1"/>
  <c r="I36" i="1"/>
  <c r="R36" i="1" s="1"/>
  <c r="I32" i="1"/>
  <c r="R32" i="1" s="1"/>
  <c r="I40" i="1"/>
  <c r="R40" i="1" s="1"/>
  <c r="L36" i="1"/>
  <c r="S36" i="1" s="1"/>
  <c r="M39" i="1"/>
  <c r="N39" i="1" s="1"/>
  <c r="AE39" i="1" s="1"/>
  <c r="I51" i="1"/>
  <c r="R51" i="1" s="1"/>
  <c r="M32" i="1"/>
  <c r="AA32" i="1" s="1"/>
  <c r="AC32" i="1" s="1"/>
  <c r="L32" i="1"/>
  <c r="S32" i="1" s="1"/>
  <c r="K14" i="1"/>
  <c r="L28" i="1"/>
  <c r="S28" i="1" s="1"/>
  <c r="M37" i="1"/>
  <c r="AA37" i="1" s="1"/>
  <c r="AC37" i="1" s="1"/>
  <c r="L42" i="1"/>
  <c r="S42" i="1" s="1"/>
  <c r="I45" i="1"/>
  <c r="R45" i="1" s="1"/>
  <c r="M33" i="1"/>
  <c r="N33" i="1" s="1"/>
  <c r="AE33" i="1" s="1"/>
  <c r="M35" i="1"/>
  <c r="Y35" i="1" s="1"/>
  <c r="M41" i="1"/>
  <c r="N41" i="1" s="1"/>
  <c r="AE41" i="1" s="1"/>
  <c r="L18" i="1"/>
  <c r="S18" i="1" s="1"/>
  <c r="L23" i="1"/>
  <c r="S23" i="1" s="1"/>
  <c r="I25" i="1"/>
  <c r="R25" i="1" s="1"/>
  <c r="L35" i="1"/>
  <c r="S35" i="1" s="1"/>
  <c r="M38" i="1"/>
  <c r="AH38" i="1" s="1"/>
  <c r="M43" i="1"/>
  <c r="Y43" i="1" s="1"/>
  <c r="M47" i="1"/>
  <c r="AA47" i="1" s="1"/>
  <c r="AC47" i="1" s="1"/>
  <c r="T9" i="1"/>
  <c r="M17" i="1"/>
  <c r="N17" i="1" s="1"/>
  <c r="AE17" i="1" s="1"/>
  <c r="I11" i="1"/>
  <c r="Q11" i="1" s="1"/>
  <c r="H14" i="1"/>
  <c r="L17" i="1"/>
  <c r="S17" i="1" s="1"/>
  <c r="I24" i="1"/>
  <c r="R24" i="1" s="1"/>
  <c r="M25" i="1"/>
  <c r="AH25" i="1" s="1"/>
  <c r="M45" i="1"/>
  <c r="Y45" i="1" s="1"/>
  <c r="I49" i="1"/>
  <c r="R49" i="1" s="1"/>
  <c r="G14" i="1"/>
  <c r="M21" i="1"/>
  <c r="AB21" i="1" s="1"/>
  <c r="AD21" i="1" s="1"/>
  <c r="M10" i="1"/>
  <c r="N10" i="1" s="1"/>
  <c r="M11" i="1"/>
  <c r="N11" i="1" s="1"/>
  <c r="Q5" i="1" s="1"/>
  <c r="M20" i="1"/>
  <c r="Y20" i="1" s="1"/>
  <c r="M24" i="1"/>
  <c r="AA24" i="1" s="1"/>
  <c r="AC24" i="1" s="1"/>
  <c r="M18" i="1"/>
  <c r="AB18" i="1" s="1"/>
  <c r="AD18" i="1" s="1"/>
  <c r="L20" i="1"/>
  <c r="S20" i="1" s="1"/>
  <c r="I39" i="1"/>
  <c r="R39" i="1" s="1"/>
  <c r="L44" i="1"/>
  <c r="S44" i="1" s="1"/>
  <c r="L49" i="1"/>
  <c r="S49" i="1" s="1"/>
  <c r="I22" i="1"/>
  <c r="R22" i="1" s="1"/>
  <c r="I27" i="1"/>
  <c r="R27" i="1" s="1"/>
  <c r="I38" i="1"/>
  <c r="R38" i="1" s="1"/>
  <c r="L39" i="1"/>
  <c r="S39" i="1" s="1"/>
  <c r="I26" i="1"/>
  <c r="R26" i="1" s="1"/>
  <c r="M27" i="1"/>
  <c r="AA27" i="1" s="1"/>
  <c r="AC27" i="1" s="1"/>
  <c r="U9" i="1"/>
  <c r="L22" i="1"/>
  <c r="S22" i="1" s="1"/>
  <c r="L27" i="1"/>
  <c r="S27" i="1" s="1"/>
  <c r="M36" i="1"/>
  <c r="O36" i="1" s="1"/>
  <c r="M51" i="1"/>
  <c r="O51" i="1" s="1"/>
  <c r="L21" i="1"/>
  <c r="S21" i="1" s="1"/>
  <c r="L45" i="1"/>
  <c r="S45" i="1" s="1"/>
  <c r="L47" i="1"/>
  <c r="S47" i="1" s="1"/>
  <c r="L48" i="1"/>
  <c r="S48" i="1" s="1"/>
  <c r="M15" i="1"/>
  <c r="X15" i="1" s="1"/>
  <c r="L19" i="1"/>
  <c r="S19" i="1" s="1"/>
  <c r="L16" i="1"/>
  <c r="S16" i="1" s="1"/>
  <c r="I28" i="1"/>
  <c r="R28" i="1" s="1"/>
  <c r="I30" i="1"/>
  <c r="R30" i="1" s="1"/>
  <c r="J14" i="1"/>
  <c r="L15" i="1"/>
  <c r="S15" i="1" s="1"/>
  <c r="I23" i="1"/>
  <c r="R23" i="1" s="1"/>
  <c r="M28" i="1"/>
  <c r="O28" i="1" s="1"/>
  <c r="M29" i="1"/>
  <c r="X29" i="1" s="1"/>
  <c r="M30" i="1"/>
  <c r="O30" i="1" s="1"/>
  <c r="M19" i="1"/>
  <c r="AH19" i="1" s="1"/>
  <c r="M46" i="1"/>
  <c r="AB46" i="1" s="1"/>
  <c r="AD46" i="1" s="1"/>
  <c r="M50" i="1"/>
  <c r="AH50" i="1" s="1"/>
  <c r="J9" i="1"/>
  <c r="I19" i="1"/>
  <c r="R19" i="1" s="1"/>
  <c r="I20" i="1"/>
  <c r="R20" i="1" s="1"/>
  <c r="I21" i="1"/>
  <c r="R21" i="1" s="1"/>
  <c r="M22" i="1"/>
  <c r="AA22" i="1" s="1"/>
  <c r="AC22" i="1" s="1"/>
  <c r="L25" i="1"/>
  <c r="S25" i="1" s="1"/>
  <c r="L33" i="1"/>
  <c r="S33" i="1" s="1"/>
  <c r="L37" i="1"/>
  <c r="S37" i="1" s="1"/>
  <c r="L40" i="1"/>
  <c r="S40" i="1" s="1"/>
  <c r="I46" i="1"/>
  <c r="R46" i="1" s="1"/>
  <c r="L52" i="1"/>
  <c r="S52" i="1" s="1"/>
  <c r="I35" i="1"/>
  <c r="R35" i="1" s="1"/>
  <c r="I34" i="1"/>
  <c r="R34" i="1" s="1"/>
  <c r="L41" i="1"/>
  <c r="S41" i="1" s="1"/>
  <c r="L51" i="1"/>
  <c r="S51" i="1" s="1"/>
  <c r="I29" i="1"/>
  <c r="R29" i="1" s="1"/>
  <c r="I10" i="1"/>
  <c r="Q10" i="1" s="1"/>
  <c r="I15" i="1"/>
  <c r="R15" i="1" s="1"/>
  <c r="M23" i="1"/>
  <c r="M34" i="1"/>
  <c r="I48" i="1"/>
  <c r="R48" i="1" s="1"/>
  <c r="M48" i="1"/>
  <c r="L11" i="1"/>
  <c r="R11" i="1" s="1"/>
  <c r="M16" i="1"/>
  <c r="L24" i="1"/>
  <c r="S24" i="1" s="1"/>
  <c r="L29" i="1"/>
  <c r="S29" i="1" s="1"/>
  <c r="L43" i="1"/>
  <c r="S43" i="1" s="1"/>
  <c r="I44" i="1"/>
  <c r="R44" i="1" s="1"/>
  <c r="M44" i="1"/>
  <c r="I50" i="1"/>
  <c r="R50" i="1" s="1"/>
  <c r="L38" i="1"/>
  <c r="S38" i="1" s="1"/>
  <c r="I42" i="1"/>
  <c r="R42" i="1" s="1"/>
  <c r="G9" i="1"/>
  <c r="M26" i="1"/>
  <c r="I41" i="1"/>
  <c r="R41" i="1" s="1"/>
  <c r="X31" i="1" l="1"/>
  <c r="Y31" i="1"/>
  <c r="AB31" i="1"/>
  <c r="AD31" i="1" s="1"/>
  <c r="O31" i="1"/>
  <c r="N31" i="1"/>
  <c r="AE31" i="1" s="1"/>
  <c r="AA31" i="1"/>
  <c r="AC31" i="1" s="1"/>
  <c r="O40" i="1"/>
  <c r="Y40" i="1"/>
  <c r="AA49" i="1"/>
  <c r="AC49" i="1" s="1"/>
  <c r="AB49" i="1"/>
  <c r="AD49" i="1" s="1"/>
  <c r="AH39" i="1"/>
  <c r="X43" i="1"/>
  <c r="Z43" i="1" s="1"/>
  <c r="AH43" i="1"/>
  <c r="Y49" i="1"/>
  <c r="X36" i="1"/>
  <c r="AA25" i="1"/>
  <c r="AC25" i="1" s="1"/>
  <c r="X40" i="1"/>
  <c r="AB40" i="1"/>
  <c r="AD40" i="1" s="1"/>
  <c r="AB47" i="1"/>
  <c r="AD47" i="1" s="1"/>
  <c r="AB29" i="1"/>
  <c r="AD29" i="1" s="1"/>
  <c r="N52" i="1"/>
  <c r="O38" i="1"/>
  <c r="AA38" i="1"/>
  <c r="AC38" i="1" s="1"/>
  <c r="AH49" i="1"/>
  <c r="Y39" i="1"/>
  <c r="AA39" i="1"/>
  <c r="AC39" i="1" s="1"/>
  <c r="AB38" i="1"/>
  <c r="AD38" i="1" s="1"/>
  <c r="AH35" i="1"/>
  <c r="AA50" i="1"/>
  <c r="AC50" i="1" s="1"/>
  <c r="Y46" i="1"/>
  <c r="O50" i="1"/>
  <c r="N46" i="1"/>
  <c r="AH45" i="1"/>
  <c r="AB35" i="1"/>
  <c r="AD35" i="1" s="1"/>
  <c r="N38" i="1"/>
  <c r="AA43" i="1"/>
  <c r="AC43" i="1" s="1"/>
  <c r="AH40" i="1"/>
  <c r="O33" i="1"/>
  <c r="N43" i="1"/>
  <c r="O49" i="1"/>
  <c r="X39" i="1"/>
  <c r="Y36" i="1"/>
  <c r="X38" i="1"/>
  <c r="Y38" i="1"/>
  <c r="O15" i="1"/>
  <c r="AB33" i="1"/>
  <c r="AD33" i="1" s="1"/>
  <c r="O43" i="1"/>
  <c r="X49" i="1"/>
  <c r="O39" i="1"/>
  <c r="N40" i="1"/>
  <c r="AE40" i="1" s="1"/>
  <c r="AA33" i="1"/>
  <c r="AC33" i="1" s="1"/>
  <c r="Y33" i="1"/>
  <c r="AH41" i="1"/>
  <c r="O21" i="1"/>
  <c r="Y22" i="1"/>
  <c r="AH33" i="1"/>
  <c r="X27" i="1"/>
  <c r="O19" i="1"/>
  <c r="X33" i="1"/>
  <c r="AA45" i="1"/>
  <c r="AC45" i="1" s="1"/>
  <c r="X19" i="1"/>
  <c r="AA29" i="1"/>
  <c r="AC29" i="1" s="1"/>
  <c r="X46" i="1"/>
  <c r="O32" i="1"/>
  <c r="X32" i="1"/>
  <c r="T43" i="1"/>
  <c r="O47" i="1"/>
  <c r="O17" i="1"/>
  <c r="N47" i="1"/>
  <c r="X47" i="1"/>
  <c r="X17" i="1"/>
  <c r="O52" i="1"/>
  <c r="AH52" i="1"/>
  <c r="AA52" i="1"/>
  <c r="AC52" i="1" s="1"/>
  <c r="AB50" i="1"/>
  <c r="AD50" i="1" s="1"/>
  <c r="Y52" i="1"/>
  <c r="X52" i="1"/>
  <c r="Y50" i="1"/>
  <c r="X50" i="1"/>
  <c r="S11" i="1"/>
  <c r="AA36" i="1"/>
  <c r="AC36" i="1" s="1"/>
  <c r="O42" i="1"/>
  <c r="AB22" i="1"/>
  <c r="AD22" i="1" s="1"/>
  <c r="AB36" i="1"/>
  <c r="AD36" i="1" s="1"/>
  <c r="Y32" i="1"/>
  <c r="AB39" i="1"/>
  <c r="AD39" i="1" s="1"/>
  <c r="T47" i="1"/>
  <c r="T31" i="1"/>
  <c r="Y42" i="1"/>
  <c r="X22" i="1"/>
  <c r="N42" i="1"/>
  <c r="Y18" i="1"/>
  <c r="AH47" i="1"/>
  <c r="AH36" i="1"/>
  <c r="AB43" i="1"/>
  <c r="AD43" i="1" s="1"/>
  <c r="N32" i="1"/>
  <c r="AE32" i="1" s="1"/>
  <c r="X42" i="1"/>
  <c r="AA42" i="1"/>
  <c r="AC42" i="1" s="1"/>
  <c r="AA41" i="1"/>
  <c r="AC41" i="1" s="1"/>
  <c r="N35" i="1"/>
  <c r="AE35" i="1" s="1"/>
  <c r="T19" i="1"/>
  <c r="X35" i="1"/>
  <c r="Z35" i="1" s="1"/>
  <c r="O35" i="1"/>
  <c r="X41" i="1"/>
  <c r="AA35" i="1"/>
  <c r="AC35" i="1" s="1"/>
  <c r="AB41" i="1"/>
  <c r="AD41" i="1" s="1"/>
  <c r="O41" i="1"/>
  <c r="Y41" i="1"/>
  <c r="Y47" i="1"/>
  <c r="AB42" i="1"/>
  <c r="AD42" i="1" s="1"/>
  <c r="AA18" i="1"/>
  <c r="AC18" i="1" s="1"/>
  <c r="AA21" i="1"/>
  <c r="AC21" i="1" s="1"/>
  <c r="Y21" i="1"/>
  <c r="T20" i="1"/>
  <c r="T32" i="1"/>
  <c r="T17" i="1"/>
  <c r="N45" i="1"/>
  <c r="O45" i="1"/>
  <c r="AB37" i="1"/>
  <c r="AD37" i="1" s="1"/>
  <c r="AB45" i="1"/>
  <c r="AD45" i="1" s="1"/>
  <c r="O37" i="1"/>
  <c r="X45" i="1"/>
  <c r="Z45" i="1" s="1"/>
  <c r="N37" i="1"/>
  <c r="AE37" i="1" s="1"/>
  <c r="Y15" i="1"/>
  <c r="Z15" i="1" s="1"/>
  <c r="N21" i="1"/>
  <c r="AE21" i="1" s="1"/>
  <c r="N15" i="1"/>
  <c r="AE15" i="1" s="1"/>
  <c r="T35" i="1"/>
  <c r="AB17" i="1"/>
  <c r="AD17" i="1" s="1"/>
  <c r="X21" i="1"/>
  <c r="T45" i="1"/>
  <c r="AH15" i="1"/>
  <c r="AA15" i="1"/>
  <c r="AC15" i="1" s="1"/>
  <c r="T39" i="1"/>
  <c r="AA51" i="1"/>
  <c r="AC51" i="1" s="1"/>
  <c r="AH32" i="1"/>
  <c r="AH21" i="1"/>
  <c r="AB15" i="1"/>
  <c r="AD15" i="1" s="1"/>
  <c r="AB32" i="1"/>
  <c r="AD32" i="1" s="1"/>
  <c r="T51" i="1"/>
  <c r="AB24" i="1"/>
  <c r="AD24" i="1" s="1"/>
  <c r="AA20" i="1"/>
  <c r="AC20" i="1" s="1"/>
  <c r="X25" i="1"/>
  <c r="Y30" i="1"/>
  <c r="N24" i="1"/>
  <c r="AE24" i="1" s="1"/>
  <c r="T42" i="1"/>
  <c r="O20" i="1"/>
  <c r="Y27" i="1"/>
  <c r="AB25" i="1"/>
  <c r="AD25" i="1" s="1"/>
  <c r="AH30" i="1"/>
  <c r="O24" i="1"/>
  <c r="X20" i="1"/>
  <c r="Z20" i="1" s="1"/>
  <c r="AB30" i="1"/>
  <c r="AD30" i="1" s="1"/>
  <c r="N20" i="1"/>
  <c r="AE20" i="1" s="1"/>
  <c r="AH27" i="1"/>
  <c r="O27" i="1"/>
  <c r="Y24" i="1"/>
  <c r="N30" i="1"/>
  <c r="AE30" i="1" s="1"/>
  <c r="N25" i="1"/>
  <c r="AE25" i="1" s="1"/>
  <c r="X37" i="1"/>
  <c r="AH37" i="1"/>
  <c r="AB27" i="1"/>
  <c r="AD27" i="1" s="1"/>
  <c r="AB20" i="1"/>
  <c r="AD20" i="1" s="1"/>
  <c r="Y37" i="1"/>
  <c r="AH24" i="1"/>
  <c r="Y28" i="1"/>
  <c r="T25" i="1"/>
  <c r="AH20" i="1"/>
  <c r="T49" i="1"/>
  <c r="AA30" i="1"/>
  <c r="AC30" i="1" s="1"/>
  <c r="Y25" i="1"/>
  <c r="X24" i="1"/>
  <c r="O25" i="1"/>
  <c r="T44" i="1"/>
  <c r="N27" i="1"/>
  <c r="AE27" i="1" s="1"/>
  <c r="X30" i="1"/>
  <c r="T37" i="1"/>
  <c r="T40" i="1"/>
  <c r="T16" i="1"/>
  <c r="T21" i="1"/>
  <c r="T48" i="1"/>
  <c r="T34" i="1"/>
  <c r="X51" i="1"/>
  <c r="T52" i="1"/>
  <c r="Y17" i="1"/>
  <c r="T50" i="1"/>
  <c r="T36" i="1"/>
  <c r="T26" i="1"/>
  <c r="N36" i="1"/>
  <c r="AE36" i="1" s="1"/>
  <c r="AH17" i="1"/>
  <c r="M9" i="1"/>
  <c r="Y29" i="1"/>
  <c r="Z29" i="1" s="1"/>
  <c r="T23" i="1"/>
  <c r="T24" i="1"/>
  <c r="AA19" i="1"/>
  <c r="AC19" i="1" s="1"/>
  <c r="N22" i="1"/>
  <c r="AE22" i="1" s="1"/>
  <c r="AH51" i="1"/>
  <c r="AH29" i="1"/>
  <c r="N18" i="1"/>
  <c r="AE18" i="1" s="1"/>
  <c r="Y51" i="1"/>
  <c r="X18" i="1"/>
  <c r="AA17" i="1"/>
  <c r="AC17" i="1" s="1"/>
  <c r="O29" i="1"/>
  <c r="T33" i="1"/>
  <c r="AB51" i="1"/>
  <c r="AD51" i="1" s="1"/>
  <c r="AH18" i="1"/>
  <c r="AH22" i="1"/>
  <c r="T18" i="1"/>
  <c r="N51" i="1"/>
  <c r="AB19" i="1"/>
  <c r="AD19" i="1" s="1"/>
  <c r="N29" i="1"/>
  <c r="AE29" i="1" s="1"/>
  <c r="O18" i="1"/>
  <c r="Y19" i="1"/>
  <c r="AA28" i="1"/>
  <c r="AC28" i="1" s="1"/>
  <c r="N50" i="1"/>
  <c r="N19" i="1"/>
  <c r="AE19" i="1" s="1"/>
  <c r="N28" i="1"/>
  <c r="AE28" i="1" s="1"/>
  <c r="O22" i="1"/>
  <c r="M14" i="1"/>
  <c r="AH28" i="1"/>
  <c r="AB28" i="1"/>
  <c r="AD28" i="1" s="1"/>
  <c r="X28" i="1"/>
  <c r="T30" i="1"/>
  <c r="AH46" i="1"/>
  <c r="AA46" i="1"/>
  <c r="AC46" i="1" s="1"/>
  <c r="O46" i="1"/>
  <c r="T29" i="1"/>
  <c r="S14" i="1"/>
  <c r="AA26" i="1"/>
  <c r="AC26" i="1" s="1"/>
  <c r="AH26" i="1"/>
  <c r="Y26" i="1"/>
  <c r="X26" i="1"/>
  <c r="AB26" i="1"/>
  <c r="AD26" i="1" s="1"/>
  <c r="N26" i="1"/>
  <c r="AE26" i="1" s="1"/>
  <c r="O26" i="1"/>
  <c r="T15" i="1"/>
  <c r="R14" i="1"/>
  <c r="AA34" i="1"/>
  <c r="AC34" i="1" s="1"/>
  <c r="AH34" i="1"/>
  <c r="Y34" i="1"/>
  <c r="X34" i="1"/>
  <c r="O34" i="1"/>
  <c r="N34" i="1"/>
  <c r="AE34" i="1" s="1"/>
  <c r="AB34" i="1"/>
  <c r="AD34" i="1" s="1"/>
  <c r="R9" i="1"/>
  <c r="N9" i="1"/>
  <c r="Q4" i="1"/>
  <c r="Q2" i="1" s="1"/>
  <c r="S10" i="1"/>
  <c r="Q9" i="1"/>
  <c r="X23" i="1"/>
  <c r="N23" i="1"/>
  <c r="AE23" i="1" s="1"/>
  <c r="AA23" i="1"/>
  <c r="AC23" i="1" s="1"/>
  <c r="Y23" i="1"/>
  <c r="O23" i="1"/>
  <c r="AB23" i="1"/>
  <c r="AD23" i="1" s="1"/>
  <c r="AH23" i="1"/>
  <c r="T28" i="1"/>
  <c r="T22" i="1"/>
  <c r="T41" i="1"/>
  <c r="O16" i="1"/>
  <c r="Y16" i="1"/>
  <c r="AH16" i="1"/>
  <c r="X16" i="1"/>
  <c r="AA16" i="1"/>
  <c r="AC16" i="1" s="1"/>
  <c r="N16" i="1"/>
  <c r="AE16" i="1" s="1"/>
  <c r="AB16" i="1"/>
  <c r="AD16" i="1" s="1"/>
  <c r="T27" i="1"/>
  <c r="T46" i="1"/>
  <c r="Y44" i="1"/>
  <c r="AH44" i="1"/>
  <c r="X44" i="1"/>
  <c r="N44" i="1"/>
  <c r="AB44" i="1"/>
  <c r="AD44" i="1" s="1"/>
  <c r="AA44" i="1"/>
  <c r="AC44" i="1" s="1"/>
  <c r="O44" i="1"/>
  <c r="Y48" i="1"/>
  <c r="AH48" i="1"/>
  <c r="X48" i="1"/>
  <c r="N48" i="1"/>
  <c r="AA48" i="1"/>
  <c r="AC48" i="1" s="1"/>
  <c r="O48" i="1"/>
  <c r="AB48" i="1"/>
  <c r="AD48" i="1" s="1"/>
  <c r="T38" i="1"/>
  <c r="Z31" i="1" l="1"/>
  <c r="Z39" i="1"/>
  <c r="Z40" i="1"/>
  <c r="Z52" i="1"/>
  <c r="Z42" i="1"/>
  <c r="Z36" i="1"/>
  <c r="Z49" i="1"/>
  <c r="Z22" i="1"/>
  <c r="Z18" i="1"/>
  <c r="Z46" i="1"/>
  <c r="Z38" i="1"/>
  <c r="S9" i="1"/>
  <c r="Z47" i="1"/>
  <c r="Z19" i="1"/>
  <c r="Z33" i="1"/>
  <c r="Z17" i="1"/>
  <c r="Z27" i="1"/>
  <c r="Z50" i="1"/>
  <c r="Z41" i="1"/>
  <c r="Z32" i="1"/>
  <c r="Z21" i="1"/>
  <c r="Z24" i="1"/>
  <c r="Z25" i="1"/>
  <c r="Z51" i="1"/>
  <c r="Z44" i="1"/>
  <c r="Z26" i="1"/>
  <c r="Z28" i="1"/>
  <c r="Z30" i="1"/>
  <c r="Z37" i="1"/>
  <c r="Z23" i="1"/>
  <c r="Z48" i="1"/>
  <c r="X14" i="1"/>
  <c r="P4" i="1" s="1"/>
  <c r="R4" i="1" s="1"/>
  <c r="Z34" i="1"/>
  <c r="Y14" i="1"/>
  <c r="P5" i="1" s="1"/>
  <c r="R5" i="1" s="1"/>
  <c r="S5" i="1" s="1"/>
  <c r="T5" i="1" s="1"/>
  <c r="AE14" i="1"/>
  <c r="N12" i="1" s="1"/>
  <c r="T14" i="1"/>
  <c r="Z16" i="1"/>
  <c r="AB14" i="1"/>
  <c r="K4" i="1"/>
  <c r="AD14" i="1"/>
  <c r="K5" i="1"/>
  <c r="AA14" i="1"/>
  <c r="N14" i="1"/>
  <c r="AC14" i="1"/>
  <c r="U4" i="1" l="1"/>
  <c r="N5" i="1" s="1"/>
  <c r="P2" i="1"/>
  <c r="Z14" i="1"/>
  <c r="K3" i="1"/>
  <c r="R2" i="1"/>
  <c r="S4" i="1"/>
  <c r="T4" i="1" s="1"/>
  <c r="N4" i="1" l="1"/>
</calcChain>
</file>

<file path=xl/sharedStrings.xml><?xml version="1.0" encoding="utf-8"?>
<sst xmlns="http://schemas.openxmlformats.org/spreadsheetml/2006/main" count="468" uniqueCount="141">
  <si>
    <t>ABS 포지션</t>
    <phoneticPr fontId="1" type="noConversion"/>
  </si>
  <si>
    <t>상품</t>
    <phoneticPr fontId="1" type="noConversion"/>
  </si>
  <si>
    <t>ETF 델타</t>
    <phoneticPr fontId="1" type="noConversion"/>
  </si>
  <si>
    <t>선물 델타</t>
    <phoneticPr fontId="1" type="noConversion"/>
  </si>
  <si>
    <t>NET 델타</t>
    <phoneticPr fontId="1" type="noConversion"/>
  </si>
  <si>
    <t>계약수 환산</t>
    <phoneticPr fontId="1" type="noConversion"/>
  </si>
  <si>
    <t>필요 계약수</t>
    <phoneticPr fontId="1" type="noConversion"/>
  </si>
  <si>
    <t>당일 손익</t>
    <phoneticPr fontId="1" type="noConversion"/>
  </si>
  <si>
    <t>NET</t>
    <phoneticPr fontId="1" type="noConversion"/>
  </si>
  <si>
    <t>매도 포지션</t>
    <phoneticPr fontId="1" type="noConversion"/>
  </si>
  <si>
    <t>KOSPI 200</t>
    <phoneticPr fontId="1" type="noConversion"/>
  </si>
  <si>
    <t>바스켓</t>
    <phoneticPr fontId="1" type="noConversion"/>
  </si>
  <si>
    <t>매수 포재션</t>
    <phoneticPr fontId="1" type="noConversion"/>
  </si>
  <si>
    <t>KOSDAQ 150</t>
    <phoneticPr fontId="1" type="noConversion"/>
  </si>
  <si>
    <t>현금</t>
    <phoneticPr fontId="1" type="noConversion"/>
  </si>
  <si>
    <t>종목코드</t>
    <phoneticPr fontId="1" type="noConversion"/>
  </si>
  <si>
    <t>종목명</t>
    <phoneticPr fontId="1" type="noConversion"/>
  </si>
  <si>
    <t>1CU</t>
    <phoneticPr fontId="1" type="noConversion"/>
  </si>
  <si>
    <t>시장 거래량</t>
    <phoneticPr fontId="1" type="noConversion"/>
  </si>
  <si>
    <t>펀드코드</t>
    <phoneticPr fontId="1" type="noConversion"/>
  </si>
  <si>
    <t>당일매도수량</t>
  </si>
  <si>
    <t>당일매도금액</t>
  </si>
  <si>
    <t>매도단가</t>
    <phoneticPr fontId="1" type="noConversion"/>
  </si>
  <si>
    <t>당일매수수량</t>
  </si>
  <si>
    <t>당일매수금액</t>
  </si>
  <si>
    <t>매수단가</t>
    <phoneticPr fontId="1" type="noConversion"/>
  </si>
  <si>
    <t>NET
포지션 수량</t>
    <phoneticPr fontId="1" type="noConversion"/>
  </si>
  <si>
    <t>NET 
포지션 금액</t>
    <phoneticPr fontId="1" type="noConversion"/>
  </si>
  <si>
    <t>CU 비중</t>
    <phoneticPr fontId="1" type="noConversion"/>
  </si>
  <si>
    <t>현재가</t>
    <phoneticPr fontId="1" type="noConversion"/>
  </si>
  <si>
    <t>매도 손익</t>
    <phoneticPr fontId="1" type="noConversion"/>
  </si>
  <si>
    <t>매수 손익</t>
    <phoneticPr fontId="1" type="noConversion"/>
  </si>
  <si>
    <t>1계약 델타</t>
    <phoneticPr fontId="1" type="noConversion"/>
  </si>
  <si>
    <t>전체 잔고 수량</t>
    <phoneticPr fontId="1" type="noConversion"/>
  </si>
  <si>
    <t>-</t>
    <phoneticPr fontId="1" type="noConversion"/>
  </si>
  <si>
    <t>A0569</t>
  </si>
  <si>
    <t>미니 코스피 200 선물</t>
    <phoneticPr fontId="1" type="noConversion"/>
  </si>
  <si>
    <t>028875</t>
    <phoneticPr fontId="1" type="noConversion"/>
  </si>
  <si>
    <t>A0669</t>
  </si>
  <si>
    <t>코스닥 150 선물</t>
    <phoneticPr fontId="1" type="noConversion"/>
  </si>
  <si>
    <t>=@IF(@KBMonitor|DATA!'019875^091220:SELL_TDY_QTY'="NO", 0, KBMonitor|DATA!'019875^091220:SELL_TDY_QTY')</t>
    <phoneticPr fontId="1" type="noConversion"/>
  </si>
  <si>
    <t>* 200과 150은 전일종가(금액)으로 계산</t>
    <phoneticPr fontId="1" type="noConversion"/>
  </si>
  <si>
    <t>유리 여부</t>
    <phoneticPr fontId="1" type="noConversion"/>
  </si>
  <si>
    <t>당일매도수량</t>
    <phoneticPr fontId="1" type="noConversion"/>
  </si>
  <si>
    <t>당일매도금액</t>
    <phoneticPr fontId="1" type="noConversion"/>
  </si>
  <si>
    <t>당일매수수량</t>
    <phoneticPr fontId="1" type="noConversion"/>
  </si>
  <si>
    <t>당일매수금액</t>
    <phoneticPr fontId="1" type="noConversion"/>
  </si>
  <si>
    <t>NET
포지션 금액</t>
    <phoneticPr fontId="1" type="noConversion"/>
  </si>
  <si>
    <t>NAV</t>
    <phoneticPr fontId="1" type="noConversion"/>
  </si>
  <si>
    <t>KS 베타</t>
    <phoneticPr fontId="1" type="noConversion"/>
  </si>
  <si>
    <t>KQ 베타</t>
    <phoneticPr fontId="1" type="noConversion"/>
  </si>
  <si>
    <t>R-Squared</t>
    <phoneticPr fontId="1" type="noConversion"/>
  </si>
  <si>
    <t>W.KOSPI200</t>
    <phoneticPr fontId="1" type="noConversion"/>
  </si>
  <si>
    <t>W.KOSDAQ150</t>
    <phoneticPr fontId="1" type="noConversion"/>
  </si>
  <si>
    <t>W.200&amp;150 외</t>
    <phoneticPr fontId="1" type="noConversion"/>
  </si>
  <si>
    <t>매도 손익
(nav 대비)</t>
    <phoneticPr fontId="1" type="noConversion"/>
  </si>
  <si>
    <t>매수 손익
(nav 대비)</t>
    <phoneticPr fontId="1" type="noConversion"/>
  </si>
  <si>
    <t>포지션
abs</t>
    <phoneticPr fontId="1" type="noConversion"/>
  </si>
  <si>
    <t>종목코드</t>
    <phoneticPr fontId="1" type="noConversion"/>
  </si>
  <si>
    <t>정리매매</t>
    <phoneticPr fontId="1" type="noConversion"/>
  </si>
  <si>
    <t>매도 bp</t>
    <phoneticPr fontId="1" type="noConversion"/>
  </si>
  <si>
    <t>매수 bp</t>
    <phoneticPr fontId="1" type="noConversion"/>
  </si>
  <si>
    <t>396500</t>
  </si>
  <si>
    <t>TIGER 반도체TOP10</t>
  </si>
  <si>
    <t>019875</t>
  </si>
  <si>
    <t>228790</t>
  </si>
  <si>
    <t>TIGER 화장품</t>
  </si>
  <si>
    <t>462010</t>
  </si>
  <si>
    <t>TIGER 2차전지소재Fn</t>
  </si>
  <si>
    <t>364980</t>
  </si>
  <si>
    <t>TIGER 2차전지TOP10</t>
  </si>
  <si>
    <t>0117V0</t>
  </si>
  <si>
    <t>TIGER 코리아AI전력기기TOP3플러스</t>
  </si>
  <si>
    <t>305540</t>
  </si>
  <si>
    <t>TIGER 2차전지테마</t>
  </si>
  <si>
    <t>494670</t>
  </si>
  <si>
    <t>TIGER 조선TOP10</t>
  </si>
  <si>
    <t>364970</t>
  </si>
  <si>
    <t>TIGER 바이오TOP10</t>
  </si>
  <si>
    <t>0091P0</t>
  </si>
  <si>
    <t>TIGER 코리아원자력</t>
  </si>
  <si>
    <t>292150</t>
  </si>
  <si>
    <t>TIGER 코리아TOP10</t>
  </si>
  <si>
    <t>139230</t>
  </si>
  <si>
    <t>TIGER 200 중공업</t>
  </si>
  <si>
    <t>364990</t>
  </si>
  <si>
    <t>TIGER 게임TOP10</t>
  </si>
  <si>
    <t>157500</t>
  </si>
  <si>
    <t>TIGER 증권</t>
  </si>
  <si>
    <t>228810</t>
  </si>
  <si>
    <t>TIGER 미디어컨텐츠</t>
  </si>
  <si>
    <t>472150</t>
  </si>
  <si>
    <t>TIGER 배당커버드콜액티브</t>
  </si>
  <si>
    <t>019870</t>
  </si>
  <si>
    <t>307520</t>
  </si>
  <si>
    <t>TIGER 지주회사</t>
  </si>
  <si>
    <t>157490</t>
  </si>
  <si>
    <t>TIGER 소프트웨어</t>
  </si>
  <si>
    <t>471760</t>
  </si>
  <si>
    <t>TIGER AI반도체핵심공정</t>
  </si>
  <si>
    <t>0052D0</t>
  </si>
  <si>
    <t>TIGER 코리아배당다우존스</t>
  </si>
  <si>
    <t>466940</t>
  </si>
  <si>
    <t>TIGER 은행고배당플러스TOP10</t>
  </si>
  <si>
    <t>139220</t>
  </si>
  <si>
    <t>TIGER 200 건설</t>
  </si>
  <si>
    <t>365000</t>
  </si>
  <si>
    <t>TIGER 인터넷TOP10</t>
  </si>
  <si>
    <t>228800</t>
  </si>
  <si>
    <t>TIGER 여행레저</t>
  </si>
  <si>
    <t>138540</t>
  </si>
  <si>
    <t>TIGER 현대차그룹플러스</t>
    <phoneticPr fontId="1" type="noConversion"/>
  </si>
  <si>
    <t>377990</t>
  </si>
  <si>
    <t>TIGER Fn신재생에너지</t>
  </si>
  <si>
    <t>395270</t>
  </si>
  <si>
    <t>HANARO Fn K-반도체</t>
  </si>
  <si>
    <t>091220</t>
  </si>
  <si>
    <t>TIGER 은행</t>
    <phoneticPr fontId="1" type="noConversion"/>
  </si>
  <si>
    <t>261070</t>
  </si>
  <si>
    <t>TIGER 코스닥150바이오테크</t>
  </si>
  <si>
    <t>261060</t>
  </si>
  <si>
    <t>TIGER 코스닥150IT</t>
  </si>
  <si>
    <t>138520</t>
  </si>
  <si>
    <t>TIGER 삼성그룹</t>
  </si>
  <si>
    <t>139250</t>
  </si>
  <si>
    <t>TIGER 200 에너지화학</t>
  </si>
  <si>
    <t>138530</t>
  </si>
  <si>
    <t>TIGER LG그룹플러스</t>
  </si>
  <si>
    <t>364960</t>
  </si>
  <si>
    <t>TIGER BBIG</t>
  </si>
  <si>
    <t>400970</t>
  </si>
  <si>
    <t>TIGER Fn메타버스</t>
  </si>
  <si>
    <t>227540</t>
  </si>
  <si>
    <t>TIGER 200 헬스케어</t>
  </si>
  <si>
    <t>150460</t>
  </si>
  <si>
    <t>TIGER 중국소비테마</t>
  </si>
  <si>
    <t>417630</t>
  </si>
  <si>
    <t>TIGER KEDI혁신기업ESG30</t>
  </si>
  <si>
    <t>0148J0</t>
    <phoneticPr fontId="1" type="noConversion"/>
  </si>
  <si>
    <t>TIGER 코리아휴머노이드로봇산업</t>
    <phoneticPr fontId="1" type="noConversion"/>
  </si>
  <si>
    <t>0148J0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</si>
</sst>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00"/>
    <numFmt numFmtId="177" formatCode="#,##0&quot; 원&quot;"/>
    <numFmt numFmtId="178" formatCode="#,##0&quot; bp&quot;"/>
  </numFmts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0"/>
      <color theme="10"/>
      <name val="맑은 고딕"/>
      <family val="2"/>
      <charset val="129"/>
      <scheme val="minor"/>
    </font>
    <font>
      <sz val="10"/>
      <color theme="0"/>
      <name val="맑은 고딕"/>
      <family val="2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0"/>
      <color rgb="FFCC66FF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rgb="FF3399FF"/>
      <name val="맑은 고딕"/>
      <family val="2"/>
      <charset val="129"/>
      <scheme val="minor"/>
    </font>
    <font>
      <sz val="10"/>
      <color rgb="FFFF66CC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i/>
      <sz val="8"/>
      <color theme="1"/>
      <name val="맑은 고딕"/>
      <family val="3"/>
      <charset val="129"/>
      <scheme val="minor"/>
    </font>
    <font>
      <i/>
      <sz val="8"/>
      <color rgb="FFCC66FF"/>
      <name val="맑은 고딕"/>
      <family val="3"/>
      <charset val="129"/>
      <scheme val="minor"/>
    </font>
    <font>
      <sz val="10"/>
      <color rgb="FFFFC000"/>
      <name val="맑은 고딕"/>
      <family val="2"/>
      <charset val="129"/>
      <scheme val="minor"/>
    </font>
    <font>
      <sz val="10"/>
      <color rgb="FFFFC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66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>
      <alignment vertical="center"/>
    </xf>
  </cellStyleXfs>
  <cellXfs count="150">
    <xf numFmtId="0" fontId="0" fillId="0" borderId="0" xfId="0">
      <alignment vertical="center"/>
    </xf>
    <xf numFmtId="3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3" fontId="0" fillId="0" borderId="0" xfId="0" quotePrefix="1" applyNumberFormat="1" applyAlignment="1">
      <alignment horizontal="center" vertical="center"/>
    </xf>
    <xf numFmtId="49" fontId="2" fillId="0" borderId="0" xfId="1" applyNumberFormat="1" applyBorder="1" applyAlignment="1">
      <alignment vertical="center"/>
    </xf>
    <xf numFmtId="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3" fontId="3" fillId="2" borderId="1" xfId="0" applyNumberFormat="1" applyFont="1" applyFill="1" applyBorder="1" applyAlignment="1">
      <alignment horizontal="center" vertical="center"/>
    </xf>
    <xf numFmtId="3" fontId="4" fillId="2" borderId="2" xfId="0" applyNumberFormat="1" applyFont="1" applyFill="1" applyBorder="1" applyAlignment="1">
      <alignment horizontal="center" vertical="center"/>
    </xf>
    <xf numFmtId="3" fontId="4" fillId="2" borderId="3" xfId="0" applyNumberFormat="1" applyFont="1" applyFill="1" applyBorder="1" applyAlignment="1">
      <alignment horizontal="center" vertical="center"/>
    </xf>
    <xf numFmtId="3" fontId="4" fillId="2" borderId="4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4" fontId="5" fillId="0" borderId="7" xfId="0" applyNumberFormat="1" applyFont="1" applyBorder="1" applyAlignment="1">
      <alignment horizontal="center" vertical="center"/>
    </xf>
    <xf numFmtId="3" fontId="6" fillId="3" borderId="7" xfId="0" applyNumberFormat="1" applyFont="1" applyFill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4" fontId="0" fillId="0" borderId="9" xfId="0" applyNumberFormat="1" applyBorder="1" applyAlignment="1">
      <alignment horizontal="center" vertical="center"/>
    </xf>
    <xf numFmtId="4" fontId="5" fillId="0" borderId="11" xfId="0" applyNumberFormat="1" applyFont="1" applyBorder="1" applyAlignment="1">
      <alignment horizontal="center" vertical="center"/>
    </xf>
    <xf numFmtId="3" fontId="6" fillId="3" borderId="11" xfId="0" applyNumberFormat="1" applyFont="1" applyFill="1" applyBorder="1" applyAlignment="1">
      <alignment horizontal="center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4" fillId="2" borderId="13" xfId="0" applyNumberFormat="1" applyFont="1" applyFill="1" applyBorder="1" applyAlignment="1">
      <alignment horizontal="center" vertical="center"/>
    </xf>
    <xf numFmtId="3" fontId="4" fillId="2" borderId="12" xfId="0" applyNumberFormat="1" applyFont="1" applyFill="1" applyBorder="1" applyAlignment="1">
      <alignment horizontal="center" vertical="center"/>
    </xf>
    <xf numFmtId="3" fontId="4" fillId="2" borderId="14" xfId="0" applyNumberFormat="1" applyFont="1" applyFill="1" applyBorder="1" applyAlignment="1">
      <alignment horizontal="center" vertical="center"/>
    </xf>
    <xf numFmtId="49" fontId="4" fillId="2" borderId="14" xfId="0" quotePrefix="1" applyNumberFormat="1" applyFont="1" applyFill="1" applyBorder="1" applyAlignment="1">
      <alignment horizontal="center" vertical="center"/>
    </xf>
    <xf numFmtId="3" fontId="4" fillId="2" borderId="12" xfId="2" applyNumberFormat="1" applyFont="1" applyFill="1" applyBorder="1" applyAlignment="1">
      <alignment horizontal="center" vertical="center"/>
    </xf>
    <xf numFmtId="3" fontId="4" fillId="2" borderId="14" xfId="2" applyNumberFormat="1" applyFont="1" applyFill="1" applyBorder="1" applyAlignment="1">
      <alignment horizontal="center" vertical="center"/>
    </xf>
    <xf numFmtId="3" fontId="4" fillId="2" borderId="13" xfId="2" applyNumberFormat="1" applyFont="1" applyFill="1" applyBorder="1" applyAlignment="1">
      <alignment horizontal="center" vertical="center"/>
    </xf>
    <xf numFmtId="3" fontId="4" fillId="2" borderId="12" xfId="2" applyNumberFormat="1" applyFont="1" applyFill="1" applyBorder="1" applyAlignment="1">
      <alignment horizontal="center" vertical="center" wrapText="1"/>
    </xf>
    <xf numFmtId="3" fontId="4" fillId="2" borderId="14" xfId="2" applyNumberFormat="1" applyFont="1" applyFill="1" applyBorder="1" applyAlignment="1">
      <alignment horizontal="center" vertical="center" wrapText="1"/>
    </xf>
    <xf numFmtId="3" fontId="4" fillId="2" borderId="15" xfId="0" applyNumberFormat="1" applyFont="1" applyFill="1" applyBorder="1" applyAlignment="1">
      <alignment horizontal="center" vertical="center"/>
    </xf>
    <xf numFmtId="3" fontId="4" fillId="2" borderId="13" xfId="0" applyNumberFormat="1" applyFont="1" applyFill="1" applyBorder="1" applyAlignment="1">
      <alignment horizontal="center" vertical="center"/>
    </xf>
    <xf numFmtId="49" fontId="4" fillId="2" borderId="9" xfId="0" applyNumberFormat="1" applyFont="1" applyFill="1" applyBorder="1" applyAlignment="1">
      <alignment horizontal="center" vertical="center"/>
    </xf>
    <xf numFmtId="49" fontId="4" fillId="2" borderId="11" xfId="0" applyNumberFormat="1" applyFont="1" applyFill="1" applyBorder="1" applyAlignment="1">
      <alignment horizontal="center" vertical="center"/>
    </xf>
    <xf numFmtId="3" fontId="4" fillId="2" borderId="9" xfId="0" applyNumberFormat="1" applyFont="1" applyFill="1" applyBorder="1" applyAlignment="1">
      <alignment horizontal="center" vertical="center"/>
    </xf>
    <xf numFmtId="3" fontId="4" fillId="2" borderId="10" xfId="0" applyNumberFormat="1" applyFont="1" applyFill="1" applyBorder="1" applyAlignment="1">
      <alignment horizontal="center" vertical="center"/>
    </xf>
    <xf numFmtId="49" fontId="4" fillId="2" borderId="10" xfId="0" quotePrefix="1" applyNumberFormat="1" applyFont="1" applyFill="1" applyBorder="1" applyAlignment="1">
      <alignment horizontal="center" vertical="center"/>
    </xf>
    <xf numFmtId="3" fontId="4" fillId="2" borderId="9" xfId="2" applyNumberFormat="1" applyFont="1" applyFill="1" applyBorder="1" applyAlignment="1">
      <alignment horizontal="center" vertical="center"/>
    </xf>
    <xf numFmtId="3" fontId="4" fillId="2" borderId="10" xfId="2" applyNumberFormat="1" applyFont="1" applyFill="1" applyBorder="1" applyAlignment="1">
      <alignment horizontal="center" vertical="center"/>
    </xf>
    <xf numFmtId="3" fontId="4" fillId="2" borderId="11" xfId="2" applyNumberFormat="1" applyFont="1" applyFill="1" applyBorder="1" applyAlignment="1">
      <alignment horizontal="center" vertical="center"/>
    </xf>
    <xf numFmtId="3" fontId="4" fillId="2" borderId="8" xfId="0" applyNumberFormat="1" applyFont="1" applyFill="1" applyBorder="1" applyAlignment="1">
      <alignment horizontal="center" vertical="center"/>
    </xf>
    <xf numFmtId="3" fontId="4" fillId="2" borderId="11" xfId="0" applyNumberFormat="1" applyFont="1" applyFill="1" applyBorder="1" applyAlignment="1">
      <alignment horizontal="center" vertical="center"/>
    </xf>
    <xf numFmtId="49" fontId="0" fillId="4" borderId="6" xfId="0" applyNumberFormat="1" applyFill="1" applyBorder="1" applyAlignment="1">
      <alignment horizontal="center" vertical="center"/>
    </xf>
    <xf numFmtId="49" fontId="0" fillId="4" borderId="7" xfId="0" applyNumberFormat="1" applyFill="1" applyBorder="1" applyAlignment="1">
      <alignment horizontal="left" vertical="center"/>
    </xf>
    <xf numFmtId="3" fontId="0" fillId="4" borderId="6" xfId="0" applyNumberFormat="1" applyFill="1" applyBorder="1" applyAlignment="1">
      <alignment horizontal="center" vertical="center"/>
    </xf>
    <xf numFmtId="3" fontId="0" fillId="4" borderId="0" xfId="0" applyNumberFormat="1" applyFill="1" applyAlignment="1">
      <alignment horizontal="center" vertical="center"/>
    </xf>
    <xf numFmtId="49" fontId="0" fillId="4" borderId="0" xfId="0" quotePrefix="1" applyNumberFormat="1" applyFill="1" applyAlignment="1">
      <alignment horizontal="center" vertical="center"/>
    </xf>
    <xf numFmtId="3" fontId="8" fillId="4" borderId="6" xfId="0" applyNumberFormat="1" applyFont="1" applyFill="1" applyBorder="1" applyAlignment="1">
      <alignment horizontal="center" vertical="top"/>
    </xf>
    <xf numFmtId="3" fontId="8" fillId="4" borderId="0" xfId="0" applyNumberFormat="1" applyFont="1" applyFill="1" applyAlignment="1">
      <alignment horizontal="center" vertical="top"/>
    </xf>
    <xf numFmtId="3" fontId="8" fillId="4" borderId="7" xfId="0" applyNumberFormat="1" applyFont="1" applyFill="1" applyBorder="1" applyAlignment="1">
      <alignment horizontal="center" vertical="top"/>
    </xf>
    <xf numFmtId="3" fontId="8" fillId="4" borderId="7" xfId="2" applyNumberFormat="1" applyFont="1" applyFill="1" applyBorder="1" applyAlignment="1">
      <alignment horizontal="center" vertical="center"/>
    </xf>
    <xf numFmtId="3" fontId="0" fillId="4" borderId="5" xfId="0" applyNumberFormat="1" applyFill="1" applyBorder="1" applyAlignment="1">
      <alignment horizontal="center" vertical="center"/>
    </xf>
    <xf numFmtId="3" fontId="9" fillId="5" borderId="7" xfId="0" applyNumberFormat="1" applyFon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49" fontId="0" fillId="0" borderId="12" xfId="0" quotePrefix="1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left" vertical="center"/>
    </xf>
    <xf numFmtId="3" fontId="0" fillId="0" borderId="12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49" fontId="0" fillId="0" borderId="14" xfId="0" quotePrefix="1" applyNumberFormat="1" applyBorder="1" applyAlignment="1">
      <alignment horizontal="center" vertical="center"/>
    </xf>
    <xf numFmtId="3" fontId="10" fillId="0" borderId="12" xfId="0" applyNumberFormat="1" applyFont="1" applyBorder="1" applyAlignment="1">
      <alignment horizontal="center"/>
    </xf>
    <xf numFmtId="3" fontId="10" fillId="0" borderId="14" xfId="0" applyNumberFormat="1" applyFont="1" applyBorder="1" applyAlignment="1">
      <alignment horizontal="center"/>
    </xf>
    <xf numFmtId="4" fontId="10" fillId="0" borderId="13" xfId="0" applyNumberFormat="1" applyFont="1" applyBorder="1" applyAlignment="1">
      <alignment horizontal="center"/>
    </xf>
    <xf numFmtId="3" fontId="11" fillId="0" borderId="12" xfId="0" applyNumberFormat="1" applyFont="1" applyBorder="1" applyAlignment="1">
      <alignment horizontal="center"/>
    </xf>
    <xf numFmtId="3" fontId="11" fillId="0" borderId="14" xfId="0" applyNumberFormat="1" applyFont="1" applyBorder="1" applyAlignment="1">
      <alignment horizontal="center"/>
    </xf>
    <xf numFmtId="4" fontId="11" fillId="0" borderId="13" xfId="0" applyNumberFormat="1" applyFont="1" applyBorder="1" applyAlignment="1">
      <alignment horizontal="center"/>
    </xf>
    <xf numFmtId="3" fontId="6" fillId="0" borderId="12" xfId="0" applyNumberFormat="1" applyFont="1" applyBorder="1" applyAlignment="1">
      <alignment horizontal="center"/>
    </xf>
    <xf numFmtId="3" fontId="12" fillId="0" borderId="14" xfId="0" applyNumberFormat="1" applyFont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4" fontId="0" fillId="0" borderId="15" xfId="0" applyNumberFormat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49" fontId="0" fillId="0" borderId="9" xfId="0" quotePrefix="1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left" vertical="center"/>
    </xf>
    <xf numFmtId="49" fontId="0" fillId="0" borderId="10" xfId="0" quotePrefix="1" applyNumberFormat="1" applyBorder="1" applyAlignment="1">
      <alignment horizontal="center" vertical="center"/>
    </xf>
    <xf numFmtId="3" fontId="10" fillId="0" borderId="9" xfId="0" applyNumberFormat="1" applyFont="1" applyBorder="1" applyAlignment="1">
      <alignment horizontal="center"/>
    </xf>
    <xf numFmtId="3" fontId="10" fillId="0" borderId="10" xfId="0" applyNumberFormat="1" applyFont="1" applyBorder="1" applyAlignment="1">
      <alignment horizontal="center"/>
    </xf>
    <xf numFmtId="4" fontId="10" fillId="0" borderId="11" xfId="0" applyNumberFormat="1" applyFont="1" applyBorder="1" applyAlignment="1">
      <alignment horizontal="center"/>
    </xf>
    <xf numFmtId="3" fontId="11" fillId="0" borderId="9" xfId="0" applyNumberFormat="1" applyFont="1" applyBorder="1" applyAlignment="1">
      <alignment horizontal="center"/>
    </xf>
    <xf numFmtId="3" fontId="11" fillId="0" borderId="10" xfId="0" applyNumberFormat="1" applyFont="1" applyBorder="1" applyAlignment="1">
      <alignment horizontal="center"/>
    </xf>
    <xf numFmtId="4" fontId="11" fillId="0" borderId="11" xfId="0" applyNumberFormat="1" applyFont="1" applyBorder="1" applyAlignment="1">
      <alignment horizontal="center"/>
    </xf>
    <xf numFmtId="3" fontId="6" fillId="0" borderId="9" xfId="0" applyNumberFormat="1" applyFont="1" applyBorder="1" applyAlignment="1">
      <alignment horizontal="center"/>
    </xf>
    <xf numFmtId="3" fontId="12" fillId="0" borderId="10" xfId="0" applyNumberFormat="1" applyFon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4" fontId="0" fillId="0" borderId="8" xfId="0" applyNumberFormat="1" applyBorder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  <xf numFmtId="3" fontId="12" fillId="0" borderId="0" xfId="0" quotePrefix="1" applyNumberFormat="1" applyFont="1" applyAlignment="1">
      <alignment horizontal="center"/>
    </xf>
    <xf numFmtId="3" fontId="12" fillId="0" borderId="0" xfId="0" applyNumberFormat="1" applyFont="1" applyAlignment="1">
      <alignment horizontal="center"/>
    </xf>
    <xf numFmtId="4" fontId="12" fillId="0" borderId="0" xfId="0" applyNumberFormat="1" applyFont="1" applyAlignment="1">
      <alignment horizontal="center"/>
    </xf>
    <xf numFmtId="3" fontId="13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 vertical="center"/>
    </xf>
    <xf numFmtId="3" fontId="14" fillId="0" borderId="3" xfId="0" applyNumberFormat="1" applyFont="1" applyBorder="1" applyAlignment="1">
      <alignment horizontal="right"/>
    </xf>
    <xf numFmtId="3" fontId="14" fillId="0" borderId="0" xfId="0" applyNumberFormat="1" applyFont="1" applyAlignment="1">
      <alignment horizontal="right"/>
    </xf>
    <xf numFmtId="49" fontId="3" fillId="2" borderId="2" xfId="0" quotePrefix="1" applyNumberFormat="1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left" vertical="center"/>
    </xf>
    <xf numFmtId="49" fontId="4" fillId="2" borderId="4" xfId="0" quotePrefix="1" applyNumberFormat="1" applyFont="1" applyFill="1" applyBorder="1" applyAlignment="1">
      <alignment horizontal="center" vertical="center"/>
    </xf>
    <xf numFmtId="4" fontId="4" fillId="2" borderId="3" xfId="0" applyNumberFormat="1" applyFont="1" applyFill="1" applyBorder="1" applyAlignment="1">
      <alignment horizontal="center" vertical="center"/>
    </xf>
    <xf numFmtId="4" fontId="4" fillId="2" borderId="4" xfId="0" applyNumberFormat="1" applyFont="1" applyFill="1" applyBorder="1" applyAlignment="1">
      <alignment horizontal="center" vertical="center"/>
    </xf>
    <xf numFmtId="3" fontId="4" fillId="2" borderId="2" xfId="0" applyNumberFormat="1" applyFont="1" applyFill="1" applyBorder="1" applyAlignment="1">
      <alignment horizontal="center" vertical="center" wrapText="1"/>
    </xf>
    <xf numFmtId="3" fontId="4" fillId="2" borderId="4" xfId="0" applyNumberFormat="1" applyFont="1" applyFill="1" applyBorder="1" applyAlignment="1">
      <alignment horizontal="center" vertical="center" wrapText="1"/>
    </xf>
    <xf numFmtId="3" fontId="4" fillId="6" borderId="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49" fontId="0" fillId="4" borderId="2" xfId="0" applyNumberFormat="1" applyFill="1" applyBorder="1" applyAlignment="1">
      <alignment horizontal="center" vertical="center"/>
    </xf>
    <xf numFmtId="49" fontId="0" fillId="4" borderId="4" xfId="0" applyNumberFormat="1" applyFill="1" applyBorder="1" applyAlignment="1">
      <alignment horizontal="left" vertical="center"/>
    </xf>
    <xf numFmtId="3" fontId="0" fillId="4" borderId="2" xfId="0" applyNumberFormat="1" applyFill="1" applyBorder="1" applyAlignment="1">
      <alignment horizontal="center" vertical="center"/>
    </xf>
    <xf numFmtId="3" fontId="0" fillId="4" borderId="3" xfId="0" applyNumberFormat="1" applyFill="1" applyBorder="1" applyAlignment="1">
      <alignment horizontal="center" vertical="center"/>
    </xf>
    <xf numFmtId="49" fontId="0" fillId="4" borderId="4" xfId="0" quotePrefix="1" applyNumberFormat="1" applyFill="1" applyBorder="1" applyAlignment="1">
      <alignment horizontal="center" vertical="center"/>
    </xf>
    <xf numFmtId="3" fontId="8" fillId="4" borderId="4" xfId="2" applyNumberFormat="1" applyFont="1" applyFill="1" applyBorder="1" applyAlignment="1">
      <alignment horizontal="center" vertical="center"/>
    </xf>
    <xf numFmtId="3" fontId="0" fillId="4" borderId="4" xfId="0" applyNumberFormat="1" applyFill="1" applyBorder="1" applyAlignment="1">
      <alignment horizontal="center" vertical="center"/>
    </xf>
    <xf numFmtId="3" fontId="9" fillId="5" borderId="4" xfId="0" applyNumberFormat="1" applyFont="1" applyFill="1" applyBorder="1" applyAlignment="1">
      <alignment horizontal="center" vertical="center"/>
    </xf>
    <xf numFmtId="176" fontId="0" fillId="4" borderId="3" xfId="0" applyNumberFormat="1" applyFill="1" applyBorder="1" applyAlignment="1">
      <alignment horizontal="center" vertical="center"/>
    </xf>
    <xf numFmtId="176" fontId="0" fillId="4" borderId="4" xfId="0" applyNumberFormat="1" applyFill="1" applyBorder="1" applyAlignment="1">
      <alignment horizontal="center" vertical="center"/>
    </xf>
    <xf numFmtId="177" fontId="0" fillId="4" borderId="4" xfId="0" applyNumberFormat="1" applyFill="1" applyBorder="1" applyAlignment="1">
      <alignment horizontal="center" vertical="center"/>
    </xf>
    <xf numFmtId="178" fontId="0" fillId="4" borderId="4" xfId="0" applyNumberFormat="1" applyFill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left" vertical="center"/>
    </xf>
    <xf numFmtId="49" fontId="12" fillId="0" borderId="7" xfId="0" quotePrefix="1" applyNumberFormat="1" applyFont="1" applyBorder="1" applyAlignment="1">
      <alignment horizontal="center" vertical="center"/>
    </xf>
    <xf numFmtId="3" fontId="10" fillId="0" borderId="0" xfId="0" applyNumberFormat="1" applyFont="1" applyAlignment="1">
      <alignment horizontal="center"/>
    </xf>
    <xf numFmtId="3" fontId="10" fillId="0" borderId="6" xfId="0" applyNumberFormat="1" applyFont="1" applyBorder="1" applyAlignment="1">
      <alignment horizontal="center"/>
    </xf>
    <xf numFmtId="3" fontId="11" fillId="0" borderId="7" xfId="0" applyNumberFormat="1" applyFont="1" applyBorder="1" applyAlignment="1">
      <alignment horizontal="center"/>
    </xf>
    <xf numFmtId="3" fontId="12" fillId="0" borderId="6" xfId="0" applyNumberFormat="1" applyFont="1" applyBorder="1" applyAlignment="1">
      <alignment horizontal="center"/>
    </xf>
    <xf numFmtId="3" fontId="12" fillId="0" borderId="7" xfId="0" applyNumberFormat="1" applyFont="1" applyBorder="1" applyAlignment="1">
      <alignment horizontal="center"/>
    </xf>
    <xf numFmtId="9" fontId="12" fillId="0" borderId="7" xfId="0" applyNumberFormat="1" applyFont="1" applyBorder="1" applyAlignment="1">
      <alignment horizont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0" fillId="0" borderId="7" xfId="0" applyNumberFormat="1" applyBorder="1" applyAlignment="1">
      <alignment horizontal="center" vertical="center"/>
    </xf>
    <xf numFmtId="49" fontId="0" fillId="0" borderId="6" xfId="0" quotePrefix="1" applyNumberFormat="1" applyBorder="1" applyAlignment="1">
      <alignment horizontal="center" vertical="center"/>
    </xf>
    <xf numFmtId="3" fontId="0" fillId="0" borderId="0" xfId="0" applyNumberFormat="1">
      <alignment vertical="center"/>
    </xf>
    <xf numFmtId="49" fontId="0" fillId="7" borderId="6" xfId="0" applyNumberFormat="1" applyFill="1" applyBorder="1" applyAlignment="1">
      <alignment horizontal="center" vertical="center"/>
    </xf>
    <xf numFmtId="49" fontId="0" fillId="7" borderId="7" xfId="0" applyNumberFormat="1" applyFill="1" applyBorder="1" applyAlignment="1">
      <alignment horizontal="left" vertical="center"/>
    </xf>
    <xf numFmtId="3" fontId="0" fillId="7" borderId="6" xfId="0" applyNumberFormat="1" applyFill="1" applyBorder="1" applyAlignment="1">
      <alignment horizontal="center" vertical="center"/>
    </xf>
    <xf numFmtId="3" fontId="0" fillId="7" borderId="0" xfId="0" applyNumberFormat="1" applyFill="1" applyAlignment="1">
      <alignment horizontal="center" vertical="center"/>
    </xf>
    <xf numFmtId="49" fontId="12" fillId="7" borderId="7" xfId="0" quotePrefix="1" applyNumberFormat="1" applyFont="1" applyFill="1" applyBorder="1" applyAlignment="1">
      <alignment horizontal="center" vertical="center"/>
    </xf>
    <xf numFmtId="49" fontId="15" fillId="8" borderId="6" xfId="0" applyNumberFormat="1" applyFont="1" applyFill="1" applyBorder="1" applyAlignment="1">
      <alignment horizontal="center" vertical="center"/>
    </xf>
    <xf numFmtId="49" fontId="16" fillId="8" borderId="7" xfId="0" applyNumberFormat="1" applyFont="1" applyFill="1" applyBorder="1" applyAlignment="1">
      <alignment horizontal="left" vertical="center"/>
    </xf>
    <xf numFmtId="3" fontId="8" fillId="8" borderId="0" xfId="0" applyNumberFormat="1" applyFont="1" applyFill="1" applyAlignment="1">
      <alignment horizontal="center" vertical="center"/>
    </xf>
    <xf numFmtId="49" fontId="16" fillId="8" borderId="7" xfId="0" quotePrefix="1" applyNumberFormat="1" applyFont="1" applyFill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12" fillId="0" borderId="11" xfId="0" quotePrefix="1" applyNumberFormat="1" applyFont="1" applyBorder="1" applyAlignment="1">
      <alignment horizontal="center" vertical="center"/>
    </xf>
    <xf numFmtId="3" fontId="11" fillId="0" borderId="11" xfId="0" applyNumberFormat="1" applyFont="1" applyBorder="1" applyAlignment="1">
      <alignment horizontal="center"/>
    </xf>
    <xf numFmtId="3" fontId="12" fillId="0" borderId="9" xfId="0" applyNumberFormat="1" applyFont="1" applyBorder="1" applyAlignment="1">
      <alignment horizontal="center"/>
    </xf>
    <xf numFmtId="3" fontId="12" fillId="0" borderId="11" xfId="0" applyNumberFormat="1" applyFont="1" applyBorder="1" applyAlignment="1">
      <alignment horizontal="center"/>
    </xf>
    <xf numFmtId="9" fontId="12" fillId="0" borderId="11" xfId="0" applyNumberFormat="1" applyFont="1" applyBorder="1" applyAlignment="1">
      <alignment horizontal="center"/>
    </xf>
    <xf numFmtId="4" fontId="0" fillId="0" borderId="10" xfId="0" applyNumberFormat="1" applyBorder="1" applyAlignment="1">
      <alignment horizontal="center" vertical="center"/>
    </xf>
  </cellXfs>
  <cellStyles count="3">
    <cellStyle name="표준" xfId="0" builtinId="0"/>
    <cellStyle name="표준 2" xfId="2" xr:uid="{87EF0645-C39E-4514-91B0-65F23E4ED826}"/>
    <cellStyle name="하이퍼링크" xfId="1" builtinId="8"/>
  </cellStyles>
  <dxfs count="1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0066FF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0066FF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vdiopadmin\Desktop\&#53685;&#54633;&#54756;&#51648;_Beta.xlsb" TargetMode="External"/><Relationship Id="rId1" Type="http://schemas.openxmlformats.org/officeDocument/2006/relationships/externalLinkPath" Target="&#53685;&#54633;&#54756;&#51648;_Beta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KBMonitor" ddeTopic="DATA">
    <ddeItems>
      <ddeItem name="0052D0:LAST" advise="1">
        <values>
          <value>
            <val>15570</val>
          </value>
        </values>
      </ddeItem>
      <ddeItem name="0052D0:NAV" advise="1">
        <values>
          <value>
            <val>15576.53</val>
          </value>
        </values>
      </ddeItem>
      <ddeItem name="0052D0:VOL" advise="1">
        <values>
          <value>
            <val>95697</val>
          </value>
        </values>
      </ddeItem>
      <ddeItem name="0091P0:LAST" advise="1">
        <values>
          <value>
            <val>17115</val>
          </value>
        </values>
      </ddeItem>
      <ddeItem name="0091P0:NAV" advise="1">
        <values>
          <value>
            <val>17104.830000000002</val>
          </value>
        </values>
      </ddeItem>
      <ddeItem name="0091P0:VOL" advise="1">
        <values>
          <value>
            <val>1727508</val>
          </value>
        </values>
      </ddeItem>
      <ddeItem name="0117V0:LAST" advise="1">
        <values>
          <value>
            <val>19090</val>
          </value>
        </values>
      </ddeItem>
      <ddeItem name="0117V0:NAV" advise="1">
        <values>
          <value>
            <val>19087.400000000001</val>
          </value>
        </values>
      </ddeItem>
      <ddeItem name="0117V0:VOL" advise="1">
        <values>
          <value>
            <val>1598245</val>
          </value>
        </values>
      </ddeItem>
      <ddeItem name="0148J0:LAST" advise="1">
        <values>
          <value>
            <val>9120</val>
          </value>
        </values>
      </ddeItem>
      <ddeItem name="0148J0:NAV" advise="1">
        <values>
          <value>
            <val>9125.2999999999993</val>
          </value>
        </values>
      </ddeItem>
      <ddeItem name="0148J0:VOL" advise="1">
        <values>
          <value>
            <val>2208606</val>
          </value>
        </values>
      </ddeItem>
      <ddeItem name="019870^472150:BUY_TDY_AMT" advise="1">
        <values>
          <value>
            <val>865102915</val>
          </value>
        </values>
      </ddeItem>
      <ddeItem name="019870^472150:BUY_TDY_QTY" advise="1">
        <values>
          <value>
            <val>43891</val>
          </value>
        </values>
      </ddeItem>
      <ddeItem name="019870^472150:SELL_TDY_AMT" advise="1">
        <values>
          <value>
            <val>871224050</val>
          </value>
        </values>
      </ddeItem>
      <ddeItem name="019870^472150:SELL_TDY_QTY" advise="1">
        <values>
          <value>
            <val>43891</val>
          </value>
        </values>
      </ddeItem>
      <ddeItem name="019875^0052D0:BUY_TDY_AMT" advise="1">
        <values>
          <value>
            <val>55278160</val>
          </value>
        </values>
      </ddeItem>
      <ddeItem name="019875^0052D0:BUY_TDY_QTY" advise="1">
        <values>
          <value>
            <val>3555</val>
          </value>
        </values>
      </ddeItem>
      <ddeItem name="019875^0052D0:SELL_TDY_AMT" advise="1">
        <values>
          <value>
            <val>55376290</val>
          </value>
        </values>
      </ddeItem>
      <ddeItem name="019875^0052D0:SELL_TDY_QTY" advise="1">
        <values>
          <value>
            <val>3555</val>
          </value>
        </values>
      </ddeItem>
      <ddeItem name="019875^0091P0:BUY_TDY_AMT" advise="1">
        <values>
          <value>
            <val>17113765</val>
          </value>
        </values>
      </ddeItem>
      <ddeItem name="019875^0091P0:BUY_TDY_QTY" advise="1">
        <values>
          <value>
            <val>1000</val>
          </value>
        </values>
      </ddeItem>
      <ddeItem name="019875^0091P0:SELL_TDY_AMT" advise="1">
        <values>
          <value>
            <val>16974840</val>
          </value>
        </values>
      </ddeItem>
      <ddeItem name="019875^0091P0:SELL_TDY_QTY" advise="1">
        <values>
          <value>
            <val>1000</val>
          </value>
        </values>
      </ddeItem>
      <ddeItem name="019875^0117V0:BUY_TDY_AMT" advise="1">
        <values>
          <value>
            <val>221542945</val>
          </value>
        </values>
      </ddeItem>
      <ddeItem name="019875^0117V0:BUY_TDY_QTY" advise="1">
        <values>
          <value>
            <val>11595</val>
          </value>
        </values>
      </ddeItem>
      <ddeItem name="019875^0117V0:SELL_TDY_AMT" advise="1">
        <values>
          <value>
            <val>219903775</val>
          </value>
        </values>
      </ddeItem>
      <ddeItem name="019875^0117V0:SELL_TDY_QTY" advise="1">
        <values>
          <value>
            <val>11595</val>
          </value>
        </values>
      </ddeItem>
      <ddeItem name="019875^0148J0:BUY_TDY_AMT" advise="1">
        <values>
          <value>
            <val>17848995</val>
          </value>
        </values>
      </ddeItem>
      <ddeItem name="019875^0148J0:BUY_TDY_QTY" advise="1">
        <values>
          <value>
            <val>2000</val>
          </value>
        </values>
      </ddeItem>
      <ddeItem name="019875^0148J0:SELL_TDY_AMT" advise="1">
        <values>
          <value>
            <val>17690000</val>
          </value>
        </values>
      </ddeItem>
      <ddeItem name="019875^0148J0:SELL_TDY_QTY" advise="1">
        <values>
          <value>
            <val>2000</val>
          </value>
        </values>
      </ddeItem>
      <ddeItem name="019875^091220:BUY_TDY_AMT" advise="1">
        <values>
          <value>
            <val>0</val>
          </value>
        </values>
      </ddeItem>
      <ddeItem name="019875^091220:BUY_TDY_QTY" advise="1">
        <values>
          <value>
            <val>0</val>
          </value>
        </values>
      </ddeItem>
      <ddeItem name="019875^091220:SELL_TDY_AMT" advise="1">
        <values>
          <value>
            <val>0</val>
          </value>
        </values>
      </ddeItem>
      <ddeItem name="019875^091220:SELL_TDY_QTY" advise="1">
        <values>
          <value>
            <val>0</val>
          </value>
        </values>
      </ddeItem>
      <ddeItem name="019875^138520:BUY_TDY_AMT" advise="1">
        <values>
          <value>
            <val>0</val>
          </value>
        </values>
      </ddeItem>
      <ddeItem name="019875^138520:BUY_TDY_QTY" advise="1">
        <values>
          <value>
            <val>0</val>
          </value>
        </values>
      </ddeItem>
      <ddeItem name="019875^138520:SELL_TDY_AMT" advise="1">
        <values>
          <value>
            <val>0</val>
          </value>
        </values>
      </ddeItem>
      <ddeItem name="019875^138520:SELL_TDY_QTY" advise="1">
        <values>
          <value>
            <val>0</val>
          </value>
        </values>
      </ddeItem>
      <ddeItem name="019875^138530:BUY_TDY_AMT" advise="1">
        <values>
          <value>
            <val>0</val>
          </value>
        </values>
      </ddeItem>
      <ddeItem name="019875^138530:BUY_TDY_QTY" advise="1">
        <values>
          <value>
            <val>0</val>
          </value>
        </values>
      </ddeItem>
      <ddeItem name="019875^138530:SELL_TDY_AMT" advise="1">
        <values>
          <value>
            <val>0</val>
          </value>
        </values>
      </ddeItem>
      <ddeItem name="019875^138530:SELL_TDY_QTY" advise="1">
        <values>
          <value>
            <val>0</val>
          </value>
        </values>
      </ddeItem>
      <ddeItem name="019875^138540:BUY_TDY_AMT" advise="1">
        <values>
          <value>
            <val>15566070</val>
          </value>
        </values>
      </ddeItem>
      <ddeItem name="019875^138540:BUY_TDY_QTY" advise="1">
        <values>
          <value>
            <val>304</val>
          </value>
        </values>
      </ddeItem>
      <ddeItem name="019875^138540:SELL_TDY_AMT" advise="1">
        <values>
          <value>
            <val>15663435</val>
          </value>
        </values>
      </ddeItem>
      <ddeItem name="019875^138540:SELL_TDY_QTY" advise="1">
        <values>
          <value>
            <val>304</val>
          </value>
        </values>
      </ddeItem>
      <ddeItem name="019875^139220:BUY_TDY_AMT" advise="1">
        <values>
          <value>
            <val>0</val>
          </value>
        </values>
      </ddeItem>
      <ddeItem name="019875^139220:BUY_TDY_QTY" advise="1">
        <values>
          <value>
            <val>0</val>
          </value>
        </values>
      </ddeItem>
      <ddeItem name="019875^139220:SELL_TDY_AMT" advise="1">
        <values>
          <value>
            <val>0</val>
          </value>
        </values>
      </ddeItem>
      <ddeItem name="019875^139220:SELL_TDY_QTY" advise="1">
        <values>
          <value>
            <val>0</val>
          </value>
        </values>
      </ddeItem>
      <ddeItem name="019875^139230:BUY_TDY_AMT" advise="1">
        <values>
          <value>
            <val>0</val>
          </value>
        </values>
      </ddeItem>
      <ddeItem name="019875^139230:BUY_TDY_QTY" advise="1">
        <values>
          <value>
            <val>0</val>
          </value>
        </values>
      </ddeItem>
      <ddeItem name="019875^139230:SELL_TDY_AMT" advise="1">
        <values>
          <value>
            <val>0</val>
          </value>
        </values>
      </ddeItem>
      <ddeItem name="019875^139230:SELL_TDY_QTY" advise="1">
        <values>
          <value>
            <val>0</val>
          </value>
        </values>
      </ddeItem>
      <ddeItem name="019875^139250:BUY_TDY_AMT" advise="1">
        <values>
          <value>
            <val>0</val>
          </value>
        </values>
      </ddeItem>
      <ddeItem name="019875^139250:BUY_TDY_QTY" advise="1">
        <values>
          <value>
            <val>0</val>
          </value>
        </values>
      </ddeItem>
      <ddeItem name="019875^139250:SELL_TDY_AMT" advise="1">
        <values>
          <value>
            <val>0</val>
          </value>
        </values>
      </ddeItem>
      <ddeItem name="019875^139250:SELL_TDY_QTY" advise="1">
        <values>
          <value>
            <val>0</val>
          </value>
        </values>
      </ddeItem>
      <ddeItem name="019875^150460:BUY_TDY_AMT" advise="1">
        <values>
          <value>
            <val>0</val>
          </value>
        </values>
      </ddeItem>
      <ddeItem name="019875^150460:BUY_TDY_QTY" advise="1">
        <values>
          <value>
            <val>0</val>
          </value>
        </values>
      </ddeItem>
      <ddeItem name="019875^150460:SELL_TDY_AMT" advise="1">
        <values>
          <value>
            <val>0</val>
          </value>
        </values>
      </ddeItem>
      <ddeItem name="019875^150460:SELL_TDY_QTY" advise="1">
        <values>
          <value>
            <val>0</val>
          </value>
        </values>
      </ddeItem>
      <ddeItem name="019875^157490:BUY_TDY_AMT" advise="1">
        <values>
          <value>
            <val>0</val>
          </value>
        </values>
      </ddeItem>
      <ddeItem name="019875^157490:BUY_TDY_QTY" advise="1">
        <values>
          <value>
            <val>0</val>
          </value>
        </values>
      </ddeItem>
      <ddeItem name="019875^157490:SELL_TDY_AMT" advise="1">
        <values>
          <value>
            <val>0</val>
          </value>
        </values>
      </ddeItem>
      <ddeItem name="019875^157490:SELL_TDY_QTY" advise="1">
        <values>
          <value>
            <val>0</val>
          </value>
        </values>
      </ddeItem>
      <ddeItem name="019875^157500:BUY_TDY_AMT" advise="1">
        <values>
          <value>
            <val>0</val>
          </value>
        </values>
      </ddeItem>
      <ddeItem name="019875^157500:BUY_TDY_QTY" advise="1">
        <values>
          <value>
            <val>0</val>
          </value>
        </values>
      </ddeItem>
      <ddeItem name="019875^157500:SELL_TDY_AMT" advise="1">
        <values>
          <value>
            <val>0</val>
          </value>
        </values>
      </ddeItem>
      <ddeItem name="019875^157500:SELL_TDY_QTY" advise="1">
        <values>
          <value>
            <val>0</val>
          </value>
        </values>
      </ddeItem>
      <ddeItem name="019875^227540:BUY_TDY_AMT" advise="1">
        <values>
          <value>
            <val>0</val>
          </value>
        </values>
      </ddeItem>
      <ddeItem name="019875^227540:BUY_TDY_QTY" advise="1">
        <values>
          <value>
            <val>0</val>
          </value>
        </values>
      </ddeItem>
      <ddeItem name="019875^227540:SELL_TDY_AMT" advise="1">
        <values>
          <value>
            <val>0</val>
          </value>
        </values>
      </ddeItem>
      <ddeItem name="019875^227540:SELL_TDY_QTY" advise="1">
        <values>
          <value>
            <val>0</val>
          </value>
        </values>
      </ddeItem>
      <ddeItem name="019875^228790:BUY_TDY_AMT" advise="1">
        <values>
          <value>
            <val>4940000</val>
          </value>
        </values>
      </ddeItem>
      <ddeItem name="019875^228790:BUY_TDY_QTY" advise="1">
        <values>
          <value>
            <val>1000</val>
          </value>
        </values>
      </ddeItem>
      <ddeItem name="019875^228790:SELL_TDY_AMT" advise="1">
        <values>
          <value>
            <val>5008700</val>
          </value>
        </values>
      </ddeItem>
      <ddeItem name="019875^228790:SELL_TDY_QTY" advise="1">
        <values>
          <value>
            <val>1000</val>
          </value>
        </values>
      </ddeItem>
      <ddeItem name="019875^228800:BUY_TDY_AMT" advise="1">
        <values>
          <value>
            <val>75740</val>
          </value>
        </values>
      </ddeItem>
      <ddeItem name="019875^228800:BUY_TDY_QTY" advise="1">
        <values>
          <value>
            <val>28</val>
          </value>
        </values>
      </ddeItem>
      <ddeItem name="019875^228800:SELL_TDY_AMT" advise="1">
        <values>
          <value>
            <val>75600</val>
          </value>
        </values>
      </ddeItem>
      <ddeItem name="019875^228800:SELL_TDY_QTY" advise="1">
        <values>
          <value>
            <val>28</val>
          </value>
        </values>
      </ddeItem>
      <ddeItem name="019875^228810:BUY_TDY_AMT" advise="1">
        <values>
          <value>
            <val>3120</val>
          </value>
        </values>
      </ddeItem>
      <ddeItem name="019875^228810:BUY_TDY_QTY" advise="1">
        <values>
          <value>
            <val>1</val>
          </value>
        </values>
      </ddeItem>
      <ddeItem name="019875^228810:SELL_TDY_AMT" advise="1">
        <values>
          <value>
            <val>3055</val>
          </value>
        </values>
      </ddeItem>
      <ddeItem name="019875^228810:SELL_TDY_QTY" advise="1">
        <values>
          <value>
            <val>1</val>
          </value>
        </values>
      </ddeItem>
      <ddeItem name="019875^261060:BUY_TDY_AMT" advise="1">
        <values>
          <value>
            <val>0</val>
          </value>
        </values>
      </ddeItem>
      <ddeItem name="019875^261060:BUY_TDY_QTY" advise="1">
        <values>
          <value>
            <val>0</val>
          </value>
        </values>
      </ddeItem>
      <ddeItem name="019875^261060:SELL_TDY_AMT" advise="1">
        <values>
          <value>
            <val>0</val>
          </value>
        </values>
      </ddeItem>
      <ddeItem name="019875^261060:SELL_TDY_QTY" advise="1">
        <values>
          <value>
            <val>0</val>
          </value>
        </values>
      </ddeItem>
      <ddeItem name="019875^261070:BUY_TDY_AMT" advise="1">
        <values>
          <value>
            <val>0</val>
          </value>
        </values>
      </ddeItem>
      <ddeItem name="019875^261070:BUY_TDY_QTY" advise="1">
        <values>
          <value>
            <val>0</val>
          </value>
        </values>
      </ddeItem>
      <ddeItem name="019875^261070:SELL_TDY_AMT" advise="1">
        <values>
          <value>
            <val>0</val>
          </value>
        </values>
      </ddeItem>
      <ddeItem name="019875^261070:SELL_TDY_QTY" advise="1">
        <values>
          <value>
            <val>0</val>
          </value>
        </values>
      </ddeItem>
      <ddeItem name="019875^292150:BUY_TDY_AMT" advise="1">
        <values>
          <value>
            <val>75483060</val>
          </value>
        </values>
      </ddeItem>
      <ddeItem name="019875^292150:BUY_TDY_QTY" advise="1">
        <values>
          <value>
            <val>2015</val>
          </value>
        </values>
      </ddeItem>
      <ddeItem name="019875^292150:SELL_TDY_AMT" advise="1">
        <values>
          <value>
            <val>75210935</val>
          </value>
        </values>
      </ddeItem>
      <ddeItem name="019875^292150:SELL_TDY_QTY" advise="1">
        <values>
          <value>
            <val>2015</val>
          </value>
        </values>
      </ddeItem>
      <ddeItem name="019875^305540:BUY_TDY_AMT" advise="1">
        <values>
          <value>
            <val>0</val>
          </value>
        </values>
      </ddeItem>
      <ddeItem name="019875^305540:BUY_TDY_QTY" advise="1">
        <values>
          <value>
            <val>0</val>
          </value>
        </values>
      </ddeItem>
      <ddeItem name="019875^305540:SELL_TDY_AMT" advise="1">
        <values>
          <value>
            <val>0</val>
          </value>
        </values>
      </ddeItem>
      <ddeItem name="019875^305540:SELL_TDY_QTY" advise="1">
        <values>
          <value>
            <val>0</val>
          </value>
        </values>
      </ddeItem>
      <ddeItem name="019875^307520:BUY_TDY_AMT" advise="1">
        <values>
          <value>
            <val>0</val>
          </value>
        </values>
      </ddeItem>
      <ddeItem name="019875^307520:BUY_TDY_QTY" advise="1">
        <values>
          <value>
            <val>0</val>
          </value>
        </values>
      </ddeItem>
      <ddeItem name="019875^307520:SELL_TDY_AMT" advise="1">
        <values>
          <value>
            <val>0</val>
          </value>
        </values>
      </ddeItem>
      <ddeItem name="019875^307520:SELL_TDY_QTY" advise="1">
        <values>
          <value>
            <val>0</val>
          </value>
        </values>
      </ddeItem>
      <ddeItem name="019875^364960:BUY_TDY_AMT" advise="1">
        <values>
          <value>
            <val>0</val>
          </value>
        </values>
      </ddeItem>
      <ddeItem name="019875^364960:BUY_TDY_QTY" advise="1">
        <values>
          <value>
            <val>0</val>
          </value>
        </values>
      </ddeItem>
      <ddeItem name="019875^364960:SELL_TDY_AMT" advise="1">
        <values>
          <value>
            <val>0</val>
          </value>
        </values>
      </ddeItem>
      <ddeItem name="019875^364960:SELL_TDY_QTY" advise="1">
        <values>
          <value>
            <val>0</val>
          </value>
        </values>
      </ddeItem>
      <ddeItem name="019875^364970:BUY_TDY_AMT" advise="1">
        <values>
          <value>
            <val>3345715</val>
          </value>
        </values>
      </ddeItem>
      <ddeItem name="019875^364970:BUY_TDY_QTY" advise="1">
        <values>
          <value>
            <val>447</val>
          </value>
        </values>
      </ddeItem>
      <ddeItem name="019875^364970:SELL_TDY_AMT" advise="1">
        <values>
          <value>
            <val>3336600</val>
          </value>
        </values>
      </ddeItem>
      <ddeItem name="019875^364970:SELL_TDY_QTY" advise="1">
        <values>
          <value>
            <val>447</val>
          </value>
        </values>
      </ddeItem>
      <ddeItem name="019875^364980:BUY_TDY_AMT" advise="1">
        <values>
          <value>
            <val>103224280</val>
          </value>
        </values>
      </ddeItem>
      <ddeItem name="019875^364980:BUY_TDY_QTY" advise="1">
        <values>
          <value>
            <val>9501</val>
          </value>
        </values>
      </ddeItem>
      <ddeItem name="019875^364980:SELL_TDY_AMT" advise="1">
        <values>
          <value>
            <val>102021060</val>
          </value>
        </values>
      </ddeItem>
      <ddeItem name="019875^364980:SELL_TDY_QTY" advise="1">
        <values>
          <value>
            <val>9501</val>
          </value>
        </values>
      </ddeItem>
      <ddeItem name="019875^364990:BUY_TDY_AMT" advise="1">
        <values>
          <value>
            <val>758430</val>
          </value>
        </values>
      </ddeItem>
      <ddeItem name="019875^364990:BUY_TDY_QTY" advise="1">
        <values>
          <value>
            <val>159</val>
          </value>
        </values>
      </ddeItem>
      <ddeItem name="019875^364990:SELL_TDY_AMT" advise="1">
        <values>
          <value>
            <val>762425</val>
          </value>
        </values>
      </ddeItem>
      <ddeItem name="019875^364990:SELL_TDY_QTY" advise="1">
        <values>
          <value>
            <val>159</val>
          </value>
        </values>
      </ddeItem>
      <ddeItem name="019875^365000:BUY_TDY_AMT" advise="1">
        <values>
          <value>
            <val>0</val>
          </value>
        </values>
      </ddeItem>
      <ddeItem name="019875^365000:BUY_TDY_QTY" advise="1">
        <values>
          <value>
            <val>0</val>
          </value>
        </values>
      </ddeItem>
      <ddeItem name="019875^365000:SELL_TDY_AMT" advise="1">
        <values>
          <value>
            <val>0</val>
          </value>
        </values>
      </ddeItem>
      <ddeItem name="019875^365000:SELL_TDY_QTY" advise="1">
        <values>
          <value>
            <val>0</val>
          </value>
        </values>
      </ddeItem>
      <ddeItem name="019875^377990:BUY_TDY_AMT" advise="1">
        <values>
          <value>
            <val>0</val>
          </value>
        </values>
      </ddeItem>
      <ddeItem name="019875^377990:BUY_TDY_QTY" advise="1">
        <values>
          <value>
            <val>0</val>
          </value>
        </values>
      </ddeItem>
      <ddeItem name="019875^377990:SELL_TDY_AMT" advise="1">
        <values>
          <value>
            <val>0</val>
          </value>
        </values>
      </ddeItem>
      <ddeItem name="019875^377990:SELL_TDY_QTY" advise="1">
        <values>
          <value>
            <val>0</val>
          </value>
        </values>
      </ddeItem>
      <ddeItem name="019875^395270:BUY_TDY_AMT" advise="1">
        <values>
          <value>
            <val>152600005</val>
          </value>
        </values>
      </ddeItem>
      <ddeItem name="019875^395270:BUY_TDY_QTY" advise="1">
        <values>
          <value>
            <val>2780</val>
          </value>
        </values>
      </ddeItem>
      <ddeItem name="019875^395270:SELL_TDY_AMT" advise="1">
        <values>
          <value>
            <val>152577510</val>
          </value>
        </values>
      </ddeItem>
      <ddeItem name="019875^395270:SELL_TDY_QTY" advise="1">
        <values>
          <value>
            <val>2780</val>
          </value>
        </values>
      </ddeItem>
      <ddeItem name="019875^396500:BUY_TDY_AMT" advise="1">
        <values>
          <value>
            <val>460292640</val>
          </value>
        </values>
      </ddeItem>
      <ddeItem name="019875^396500:BUY_TDY_QTY" advise="1">
        <values>
          <value>
            <val>13333</val>
          </value>
        </values>
      </ddeItem>
      <ddeItem name="019875^396500:SELL_TDY_AMT" advise="1">
        <values>
          <value>
            <val>463002795</val>
          </value>
        </values>
      </ddeItem>
      <ddeItem name="019875^396500:SELL_TDY_QTY" advise="1">
        <values>
          <value>
            <val>13333</val>
          </value>
        </values>
      </ddeItem>
      <ddeItem name="019875^400970:BUY_TDY_AMT" advise="1">
        <values>
          <value>
            <val>0</val>
          </value>
        </values>
      </ddeItem>
      <ddeItem name="019875^400970:BUY_TDY_QTY" advise="1">
        <values>
          <value>
            <val>0</val>
          </value>
        </values>
      </ddeItem>
      <ddeItem name="019875^400970:SELL_TDY_AMT" advise="1">
        <values>
          <value>
            <val>0</val>
          </value>
        </values>
      </ddeItem>
      <ddeItem name="019875^400970:SELL_TDY_QTY" advise="1">
        <values>
          <value>
            <val>0</val>
          </value>
        </values>
      </ddeItem>
      <ddeItem name="019875^417630:BUY_TDY_AMT" advise="1">
        <values>
          <value>
            <val>0</val>
          </value>
        </values>
      </ddeItem>
      <ddeItem name="019875^417630:BUY_TDY_QTY" advise="1">
        <values>
          <value>
            <val>0</val>
          </value>
        </values>
      </ddeItem>
      <ddeItem name="019875^417630:SELL_TDY_AMT" advise="1">
        <values>
          <value>
            <val>0</val>
          </value>
        </values>
      </ddeItem>
      <ddeItem name="019875^417630:SELL_TDY_QTY" advise="1">
        <values>
          <value>
            <val>0</val>
          </value>
        </values>
      </ddeItem>
      <ddeItem name="019875^462010:BUY_TDY_AMT" advise="1">
        <values>
          <value>
            <val>5174005</val>
          </value>
        </values>
      </ddeItem>
      <ddeItem name="019875^462010:BUY_TDY_QTY" advise="1">
        <values>
          <value>
            <val>1021</val>
          </value>
        </values>
      </ddeItem>
      <ddeItem name="019875^462010:SELL_TDY_AMT" advise="1">
        <values>
          <value>
            <val>5312310</val>
          </value>
        </values>
      </ddeItem>
      <ddeItem name="019875^462010:SELL_TDY_QTY" advise="1">
        <values>
          <value>
            <val>1021</val>
          </value>
        </values>
      </ddeItem>
      <ddeItem name="019875^466940:BUY_TDY_AMT" advise="1">
        <values>
          <value>
            <val>119827440</val>
          </value>
        </values>
      </ddeItem>
      <ddeItem name="019875^466940:BUY_TDY_QTY" advise="1">
        <values>
          <value>
            <val>4504</val>
          </value>
        </values>
      </ddeItem>
      <ddeItem name="019875^466940:SELL_TDY_AMT" advise="1">
        <values>
          <value>
            <val>120665510</val>
          </value>
        </values>
      </ddeItem>
      <ddeItem name="019875^466940:SELL_TDY_QTY" advise="1">
        <values>
          <value>
            <val>4504</val>
          </value>
        </values>
      </ddeItem>
      <ddeItem name="019875^471760:BUY_TDY_AMT" advise="1">
        <values>
          <value>
            <val>0</val>
          </value>
        </values>
      </ddeItem>
      <ddeItem name="019875^471760:BUY_TDY_QTY" advise="1">
        <values>
          <value>
            <val>0</val>
          </value>
        </values>
      </ddeItem>
      <ddeItem name="019875^471760:SELL_TDY_AMT" advise="1">
        <values>
          <value>
            <val>0</val>
          </value>
        </values>
      </ddeItem>
      <ddeItem name="019875^471760:SELL_TDY_QTY" advise="1">
        <values>
          <value>
            <val>0</val>
          </value>
        </values>
      </ddeItem>
      <ddeItem name="019875^494670:BUY_TDY_AMT" advise="1">
        <values>
          <value>
            <val>53044365</val>
          </value>
        </values>
      </ddeItem>
      <ddeItem name="019875^494670:BUY_TDY_QTY" advise="1">
        <values>
          <value>
            <val>2450</val>
          </value>
        </values>
      </ddeItem>
      <ddeItem name="019875^494670:SELL_TDY_AMT" advise="1">
        <values>
          <value>
            <val>53531840</val>
          </value>
        </values>
      </ddeItem>
      <ddeItem name="019875^494670:SELL_TDY_QTY" advise="1">
        <values>
          <value>
            <val>2450</val>
          </value>
        </values>
      </ddeItem>
      <ddeItem name="028875^A0569:BUY_TDY_AMT" advise="1">
        <values>
          <value>
            <val>1221384000</val>
          </value>
        </values>
      </ddeItem>
      <ddeItem name="028875^A0569:BUY_TDY_QTY" advise="1">
        <values>
          <value>
            <val>23</val>
          </value>
        </values>
      </ddeItem>
      <ddeItem name="028875^A0569:QTY" advise="1">
        <values>
          <value>
            <val>0</val>
          </value>
        </values>
      </ddeItem>
      <ddeItem name="028875^A0569:SELL_TDY_AMT" advise="1">
        <values>
          <value>
            <val>1212927000</val>
          </value>
        </values>
      </ddeItem>
      <ddeItem name="028875^A0569:SELL_TDY_QTY" advise="1">
        <values>
          <value>
            <val>23</val>
          </value>
        </values>
      </ddeItem>
      <ddeItem name="028875^A0669:BUY_TDY_AMT" advise="1">
        <values>
          <value>
            <val>127401000</val>
          </value>
        </values>
      </ddeItem>
      <ddeItem name="028875^A0669:BUY_TDY_QTY" advise="1">
        <values>
          <value>
            <val>9</val>
          </value>
        </values>
      </ddeItem>
      <ddeItem name="028875^A0669:QTY" advise="1">
        <values>
          <value>
            <val>0</val>
          </value>
        </values>
      </ddeItem>
      <ddeItem name="028875^A0669:SELL_TDY_AMT" advise="1">
        <values>
          <value>
            <val>127889000</val>
          </value>
        </values>
      </ddeItem>
      <ddeItem name="028875^A0669:SELL_TDY_QTY" advise="1">
        <values>
          <value>
            <val>9</val>
          </value>
        </values>
      </ddeItem>
      <ddeItem name="091220:LAST" advise="1">
        <values>
          <value>
            <val>17085</val>
          </value>
        </values>
      </ddeItem>
      <ddeItem name="091220:NAV" advise="1">
        <values>
          <value>
            <val>17088.93</val>
          </value>
        </values>
      </ddeItem>
      <ddeItem name="091220:VOL" advise="1">
        <values>
          <value>
            <val>42571</val>
          </value>
        </values>
      </ddeItem>
      <ddeItem name="138520:LAST" advise="1">
        <values>
          <value>
            <val>37000</val>
          </value>
        </values>
      </ddeItem>
      <ddeItem name="138520:NAV" advise="1">
        <values>
          <value>
            <val>37058.46</val>
          </value>
        </values>
      </ddeItem>
      <ddeItem name="138520:VOL" advise="1">
        <values>
          <value>
            <val>5233</val>
          </value>
        </values>
      </ddeItem>
      <ddeItem name="138530:LAST" advise="1">
        <values>
          <value>
            <val>12900</val>
          </value>
        </values>
      </ddeItem>
      <ddeItem name="138530:NAV" advise="1">
        <values>
          <value>
            <val>12905.36</val>
          </value>
        </values>
      </ddeItem>
      <ddeItem name="138530:VOL" advise="1">
        <values>
          <value>
            <val>92088</val>
          </value>
        </values>
      </ddeItem>
      <ddeItem name="138540:LAST" advise="1">
        <values>
          <value>
            <val>51555</val>
          </value>
        </values>
      </ddeItem>
      <ddeItem name="138540:NAV" advise="1">
        <values>
          <value>
            <val>51619.21</val>
          </value>
        </values>
      </ddeItem>
      <ddeItem name="138540:VOL" advise="1">
        <values>
          <value>
            <val>83950</val>
          </value>
        </values>
      </ddeItem>
      <ddeItem name="139220:LAST" advise="1">
        <values>
          <value>
            <val>7790</val>
          </value>
        </values>
      </ddeItem>
      <ddeItem name="139220:NAV" advise="1">
        <values>
          <value>
            <val>7788.83</val>
          </value>
        </values>
      </ddeItem>
      <ddeItem name="139220:VOL" advise="1">
        <values>
          <value>
            <val>398714</val>
          </value>
        </values>
      </ddeItem>
      <ddeItem name="139230:LAST" advise="1">
        <values>
          <value>
            <val>13230</val>
          </value>
        </values>
      </ddeItem>
      <ddeItem name="139230:NAV" advise="1">
        <values>
          <value>
            <val>13232.77</val>
          </value>
        </values>
      </ddeItem>
      <ddeItem name="139230:VOL" advise="1">
        <values>
          <value>
            <val>54771</val>
          </value>
        </values>
      </ddeItem>
      <ddeItem name="139250:LAST" advise="1">
        <values>
          <value>
            <val>18015</val>
          </value>
        </values>
      </ddeItem>
      <ddeItem name="139250:NAV" advise="1">
        <values>
          <value>
            <val>18026.52</val>
          </value>
        </values>
      </ddeItem>
      <ddeItem name="139250:VOL" advise="1">
        <values>
          <value>
            <val>23577</val>
          </value>
        </values>
      </ddeItem>
      <ddeItem name="150460:LAST" advise="1">
        <values>
          <value>
            <val>8145</val>
          </value>
        </values>
      </ddeItem>
      <ddeItem name="150460:NAV" advise="1">
        <values>
          <value>
            <val>8159.28</val>
          </value>
        </values>
      </ddeItem>
      <ddeItem name="150460:VOL" advise="1">
        <values>
          <value>
            <val>30688</val>
          </value>
        </values>
      </ddeItem>
      <ddeItem name="157490:LAST" advise="1">
        <values>
          <value>
            <val>8555</val>
          </value>
        </values>
      </ddeItem>
      <ddeItem name="157490:NAV" advise="1">
        <values>
          <value>
            <val>8576.7000000000007</val>
          </value>
        </values>
      </ddeItem>
      <ddeItem name="157490:VOL" advise="1">
        <values>
          <value>
            <val>113728</val>
          </value>
        </values>
      </ddeItem>
      <ddeItem name="157500:LAST" advise="1">
        <values>
          <value>
            <val>12515</val>
          </value>
        </values>
      </ddeItem>
      <ddeItem name="157500:NAV" advise="1">
        <values>
          <value>
            <val>12550.06</val>
          </value>
        </values>
      </ddeItem>
      <ddeItem name="157500:VOL" advise="1">
        <values>
          <value>
            <val>238165</val>
          </value>
        </values>
      </ddeItem>
      <ddeItem name="227540:LAST" advise="1">
        <values>
          <value>
            <val>19765</val>
          </value>
        </values>
      </ddeItem>
      <ddeItem name="227540:NAV" advise="1">
        <values>
          <value>
            <val>19829.310000000001</val>
          </value>
        </values>
      </ddeItem>
      <ddeItem name="227540:VOL" advise="1">
        <values>
          <value>
            <val>10951</val>
          </value>
        </values>
      </ddeItem>
      <ddeItem name="228790:LAST" advise="1">
        <values>
          <value>
            <val>5010</val>
          </value>
        </values>
      </ddeItem>
      <ddeItem name="228790:NAV" advise="1">
        <values>
          <value>
            <val>5017</val>
          </value>
        </values>
      </ddeItem>
      <ddeItem name="228790:VOL" advise="1">
        <values>
          <value>
            <val>10896492</val>
          </value>
        </values>
      </ddeItem>
      <ddeItem name="228800:LAST" advise="1">
        <values>
          <value>
            <val>2705</val>
          </value>
        </values>
      </ddeItem>
      <ddeItem name="228800:NAV" advise="1">
        <values>
          <value>
            <val>2705.66</val>
          </value>
        </values>
      </ddeItem>
      <ddeItem name="228800:VOL" advise="1">
        <values>
          <value>
            <val>89523</val>
          </value>
        </values>
      </ddeItem>
      <ddeItem name="228810:LAST" advise="1">
        <values>
          <value>
            <val>3125</val>
          </value>
        </values>
      </ddeItem>
      <ddeItem name="228810:NAV" advise="1">
        <values>
          <value>
            <val>3137.64</val>
          </value>
        </values>
      </ddeItem>
      <ddeItem name="228810:VOL" advise="1">
        <values>
          <value>
            <val>57376</val>
          </value>
        </values>
      </ddeItem>
      <ddeItem name="261060:LAST" advise="1">
        <values>
          <value>
            <val>23305</val>
          </value>
        </values>
      </ddeItem>
      <ddeItem name="261060:NAV" advise="1">
        <values>
          <value>
            <val>23355.01</val>
          </value>
        </values>
      </ddeItem>
      <ddeItem name="261060:VOL" advise="1">
        <values>
          <value>
            <val>10524</val>
          </value>
        </values>
      </ddeItem>
      <ddeItem name="261070:LAST" advise="1">
        <values>
          <value>
            <val>12875</val>
          </value>
        </values>
      </ddeItem>
      <ddeItem name="261070:NAV" advise="1">
        <values>
          <value>
            <val>12918</val>
          </value>
        </values>
      </ddeItem>
      <ddeItem name="261070:VOL" advise="1">
        <values>
          <value>
            <val>93585</val>
          </value>
        </values>
      </ddeItem>
      <ddeItem name="292150:LAST" advise="1">
        <values>
          <value>
            <val>37335</val>
          </value>
        </values>
      </ddeItem>
      <ddeItem name="292150:NAV" advise="1">
        <values>
          <value>
            <val>37383.730000000003</val>
          </value>
        </values>
      </ddeItem>
      <ddeItem name="292150:VOL" advise="1">
        <values>
          <value>
            <val>222385</val>
          </value>
        </values>
      </ddeItem>
      <ddeItem name="305540:LAST" advise="1">
        <values>
          <value>
            <val>19575</val>
          </value>
        </values>
      </ddeItem>
      <ddeItem name="305540:NAV" advise="1">
        <values>
          <value>
            <val>19617.82</val>
          </value>
        </values>
      </ddeItem>
      <ddeItem name="305540:VOL" advise="1">
        <values>
          <value>
            <val>548107</val>
          </value>
        </values>
      </ddeItem>
      <ddeItem name="307520:LAST" advise="1">
        <values>
          <value>
            <val>22620</val>
          </value>
        </values>
      </ddeItem>
      <ddeItem name="307520:NAV" advise="1">
        <values>
          <value>
            <val>22667.37</val>
          </value>
        </values>
      </ddeItem>
      <ddeItem name="307520:VOL" advise="1">
        <values>
          <value>
            <val>323866</val>
          </value>
        </values>
      </ddeItem>
      <ddeItem name="364960:LAST" advise="1">
        <values>
          <value>
            <val>6745</val>
          </value>
        </values>
      </ddeItem>
      <ddeItem name="364960:NAV" advise="1">
        <values>
          <value>
            <val>6751.14</val>
          </value>
        </values>
      </ddeItem>
      <ddeItem name="364960:VOL" advise="1">
        <values>
          <value>
            <val>14908</val>
          </value>
        </values>
      </ddeItem>
      <ddeItem name="364970:LAST" advise="1">
        <values>
          <value>
            <val>7490</val>
          </value>
        </values>
      </ddeItem>
      <ddeItem name="364970:NAV" advise="1">
        <values>
          <value>
            <val>7505.58</val>
          </value>
        </values>
      </ddeItem>
      <ddeItem name="364970:VOL" advise="1">
        <values>
          <value>
            <val>665581</val>
          </value>
        </values>
      </ddeItem>
      <ddeItem name="364980:LAST" advise="1">
        <values>
          <value>
            <val>10860</val>
          </value>
        </values>
      </ddeItem>
      <ddeItem name="364980:NAV" advise="1">
        <values>
          <value>
            <val>10863.2</val>
          </value>
        </values>
      </ddeItem>
      <ddeItem name="364980:VOL" advise="1">
        <values>
          <value>
            <val>3724981</val>
          </value>
        </values>
      </ddeItem>
      <ddeItem name="364990:LAST" advise="1">
        <values>
          <value>
            <val>4795</val>
          </value>
        </values>
      </ddeItem>
      <ddeItem name="364990:NAV" advise="1">
        <values>
          <value>
            <val>4803.83</val>
          </value>
        </values>
      </ddeItem>
      <ddeItem name="364990:VOL" advise="1">
        <values>
          <value>
            <val>55297</val>
          </value>
        </values>
      </ddeItem>
      <ddeItem name="365000:LAST" advise="1">
        <values>
          <value>
            <val>3705</val>
          </value>
        </values>
      </ddeItem>
      <ddeItem name="365000:NAV" advise="1">
        <values>
          <value>
            <val>3701.45</val>
          </value>
        </values>
      </ddeItem>
      <ddeItem name="365000:VOL" advise="1">
        <values>
          <value>
            <val>163324</val>
          </value>
        </values>
      </ddeItem>
      <ddeItem name="377990:LAST" advise="1">
        <values>
          <value>
            <val>25335</val>
          </value>
        </values>
      </ddeItem>
      <ddeItem name="377990:NAV" advise="1">
        <values>
          <value>
            <val>25344.75</val>
          </value>
        </values>
      </ddeItem>
      <ddeItem name="377990:VOL" advise="1">
        <values>
          <value>
            <val>100449</val>
          </value>
        </values>
      </ddeItem>
      <ddeItem name="395270:LAST" advise="1">
        <values>
          <value>
            <val>55060</val>
          </value>
        </values>
      </ddeItem>
      <ddeItem name="395270:NAV" advise="1">
        <values>
          <value>
            <val>55075.3</val>
          </value>
        </values>
      </ddeItem>
      <ddeItem name="395270:VOL" advise="1">
        <values>
          <value>
            <val>853608</val>
          </value>
        </values>
      </ddeItem>
      <ddeItem name="396500:LAST" advise="1">
        <values>
          <value>
            <val>34775</val>
          </value>
        </values>
      </ddeItem>
      <ddeItem name="396500:NAV" advise="1">
        <values>
          <value>
            <val>34809.339999999997</val>
          </value>
        </values>
      </ddeItem>
      <ddeItem name="396500:VOL" advise="1">
        <values>
          <value>
            <val>8101958</val>
          </value>
        </values>
      </ddeItem>
      <ddeItem name="400970:LAST" advise="1">
        <values>
          <value>
            <val>7580</val>
          </value>
        </values>
      </ddeItem>
      <ddeItem name="400970:NAV" advise="1">
        <values>
          <value>
            <val>7592.75</val>
          </value>
        </values>
      </ddeItem>
      <ddeItem name="400970:VOL" advise="1">
        <values>
          <value>
            <val>22194</val>
          </value>
        </values>
      </ddeItem>
      <ddeItem name="417630:LAST" advise="1">
        <values>
          <value>
            <val>20235</val>
          </value>
        </values>
      </ddeItem>
      <ddeItem name="417630:NAV" advise="1">
        <values>
          <value>
            <val>20196.41</val>
          </value>
        </values>
      </ddeItem>
      <ddeItem name="417630:VOL" advise="1">
        <values>
          <value>
            <val>1654</val>
          </value>
        </values>
      </ddeItem>
      <ddeItem name="462010:LAST" advise="1">
        <values>
          <value>
            <val>5190</val>
          </value>
        </values>
      </ddeItem>
      <ddeItem name="462010:NAV" advise="1">
        <values>
          <value>
            <val>5201.66</val>
          </value>
        </values>
      </ddeItem>
      <ddeItem name="462010:VOL" advise="1">
        <values>
          <value>
            <val>4350134</val>
          </value>
        </values>
      </ddeItem>
      <ddeItem name="466940:LAST" advise="1">
        <values>
          <value>
            <val>26745</val>
          </value>
        </values>
      </ddeItem>
      <ddeItem name="466940:NAV" advise="1">
        <values>
          <value>
            <val>26736.58</val>
          </value>
        </values>
      </ddeItem>
      <ddeItem name="466940:VOL" advise="1">
        <values>
          <value>
            <val>689359</val>
          </value>
        </values>
      </ddeItem>
      <ddeItem name="471760:LAST" advise="1">
        <values>
          <value>
            <val>14640</val>
          </value>
        </values>
      </ddeItem>
      <ddeItem name="471760:NAV" advise="1">
        <values>
          <value>
            <val>14663.84</val>
          </value>
        </values>
      </ddeItem>
      <ddeItem name="471760:VOL" advise="1">
        <values>
          <value>
            <val>812967</val>
          </value>
        </values>
      </ddeItem>
      <ddeItem name="472150:LAST" advise="1">
        <values>
          <value>
            <val>19955</val>
          </value>
        </values>
      </ddeItem>
      <ddeItem name="472150:NAV" advise="1">
        <values>
          <value>
            <val>19970.650000000001</val>
          </value>
        </values>
      </ddeItem>
      <ddeItem name="472150:VOL" advise="1">
        <values>
          <value>
            <val>3051778</val>
          </value>
        </values>
      </ddeItem>
      <ddeItem name="494670:LAST" advise="1">
        <values>
          <value>
            <val>21855</val>
          </value>
        </values>
      </ddeItem>
      <ddeItem name="494670:NAV" advise="1">
        <values>
          <value>
            <val>21893.83</val>
          </value>
        </values>
      </ddeItem>
      <ddeItem name="494670:VOL" advise="1">
        <values>
          <value>
            <val>210015</val>
          </value>
        </values>
      </ddeItem>
      <ddeItem name="A0569:LAST" advise="1">
        <values>
          <value>
            <val>1064.32</val>
          </value>
        </values>
      </ddeItem>
      <ddeItem name="A0669:LAST" advise="1">
        <values>
          <value>
            <val>1438.9</val>
          </value>
        </values>
      </ddeItem>
      <ddeItem name="StdDocumentName" ole="1" advise="1"/>
    </ddeItems>
  </ddeLin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TF"/>
      <sheetName val="PDF"/>
      <sheetName val="200&amp;150"/>
      <sheetName val="ETF_선물 델타"/>
      <sheetName val="베타"/>
      <sheetName val="바스켓 손익"/>
    </sheetNames>
    <sheetDataSet>
      <sheetData sheetId="0">
        <row r="4">
          <cell r="A4" t="str">
            <v>A0000J0</v>
          </cell>
          <cell r="B4" t="str">
            <v>1</v>
          </cell>
          <cell r="C4" t="str">
            <v>0000J0</v>
          </cell>
          <cell r="D4" t="str">
            <v>PLUS 한화그룹주</v>
          </cell>
          <cell r="E4">
            <v>24659.16</v>
          </cell>
          <cell r="F4">
            <v>24585</v>
          </cell>
          <cell r="G4" t="str">
            <v>170 ( 0.70%)</v>
          </cell>
          <cell r="H4">
            <v>96663</v>
          </cell>
          <cell r="I4" t="str">
            <v>주식-전략</v>
          </cell>
          <cell r="J4">
            <v>11</v>
          </cell>
          <cell r="K4">
            <v>42788</v>
          </cell>
          <cell r="L4">
            <v>4228498</v>
          </cell>
          <cell r="M4">
            <v>50000</v>
          </cell>
        </row>
        <row r="5">
          <cell r="A5" t="str">
            <v>A0000Y0</v>
          </cell>
          <cell r="B5" t="str">
            <v>2</v>
          </cell>
          <cell r="C5" t="str">
            <v>0000Y0</v>
          </cell>
          <cell r="D5" t="str">
            <v>HK 26-12 회사채(AA-이상)액티브</v>
          </cell>
          <cell r="E5">
            <v>101492.26</v>
          </cell>
          <cell r="F5">
            <v>101460</v>
          </cell>
          <cell r="G5" t="str">
            <v>0 ( 0.00%)</v>
          </cell>
          <cell r="H5">
            <v>0</v>
          </cell>
          <cell r="I5" t="str">
            <v>채권-혼합</v>
          </cell>
          <cell r="J5">
            <v>10</v>
          </cell>
          <cell r="K5">
            <v>0</v>
          </cell>
          <cell r="L5">
            <v>4072517</v>
          </cell>
          <cell r="M5">
            <v>1000</v>
          </cell>
        </row>
        <row r="6">
          <cell r="A6" t="str">
            <v>A0000Z0</v>
          </cell>
          <cell r="B6" t="str">
            <v>3</v>
          </cell>
          <cell r="C6" t="str">
            <v>0000Z0</v>
          </cell>
          <cell r="D6" t="str">
            <v>RISE 바이오TOP10액티브</v>
          </cell>
          <cell r="E6">
            <v>8396.7099999999991</v>
          </cell>
          <cell r="F6">
            <v>8370</v>
          </cell>
          <cell r="G6" t="str">
            <v>125 ( 1.47%)</v>
          </cell>
          <cell r="H6">
            <v>154668</v>
          </cell>
          <cell r="I6" t="str">
            <v>주식-업종섹터</v>
          </cell>
          <cell r="J6">
            <v>23</v>
          </cell>
          <cell r="K6">
            <v>7414</v>
          </cell>
          <cell r="L6">
            <v>263005</v>
          </cell>
          <cell r="M6">
            <v>50000</v>
          </cell>
        </row>
        <row r="7">
          <cell r="A7" t="str">
            <v>A0001P0</v>
          </cell>
          <cell r="B7" t="str">
            <v>4</v>
          </cell>
          <cell r="C7" t="str">
            <v>0001P0</v>
          </cell>
          <cell r="D7" t="str">
            <v>마이티 바이오시밀러&amp;CDMO액티브</v>
          </cell>
          <cell r="E7">
            <v>8470.1299999999992</v>
          </cell>
          <cell r="F7">
            <v>8455</v>
          </cell>
          <cell r="G7" t="str">
            <v>45 ( 0.53%)</v>
          </cell>
          <cell r="H7">
            <v>1844</v>
          </cell>
          <cell r="I7" t="str">
            <v>주식-업종섹터</v>
          </cell>
          <cell r="J7">
            <v>18</v>
          </cell>
          <cell r="K7">
            <v>10796</v>
          </cell>
          <cell r="L7">
            <v>1889469</v>
          </cell>
          <cell r="M7">
            <v>40000</v>
          </cell>
        </row>
        <row r="8">
          <cell r="A8" t="str">
            <v>A0005D0</v>
          </cell>
          <cell r="B8" t="str">
            <v>5</v>
          </cell>
          <cell r="C8" t="str">
            <v>0005D0</v>
          </cell>
          <cell r="D8" t="str">
            <v>SOL 전고체배터리&amp;실리콘음극재</v>
          </cell>
          <cell r="E8">
            <v>12303.77</v>
          </cell>
          <cell r="F8">
            <v>12290</v>
          </cell>
          <cell r="G8" t="str">
            <v>160 ( 1.32%)</v>
          </cell>
          <cell r="H8">
            <v>364999</v>
          </cell>
          <cell r="I8" t="str">
            <v>주식-업종섹터</v>
          </cell>
          <cell r="J8">
            <v>10</v>
          </cell>
          <cell r="K8">
            <v>12027</v>
          </cell>
          <cell r="L8">
            <v>1553603</v>
          </cell>
          <cell r="M8">
            <v>50000</v>
          </cell>
        </row>
        <row r="9">
          <cell r="A9" t="str">
            <v>A0005G0</v>
          </cell>
          <cell r="B9" t="str">
            <v>6</v>
          </cell>
          <cell r="C9" t="str">
            <v>0005G0</v>
          </cell>
          <cell r="D9" t="str">
            <v>IBK K-AI반도체코어테크</v>
          </cell>
          <cell r="E9">
            <v>49427.74</v>
          </cell>
          <cell r="F9">
            <v>49445</v>
          </cell>
          <cell r="G9" t="str">
            <v>1,730 ( 3.63%)</v>
          </cell>
          <cell r="H9">
            <v>20238</v>
          </cell>
          <cell r="I9" t="str">
            <v>주식-업종섹터</v>
          </cell>
          <cell r="J9">
            <v>19</v>
          </cell>
          <cell r="K9">
            <v>15887</v>
          </cell>
          <cell r="L9">
            <v>20890907</v>
          </cell>
          <cell r="M9">
            <v>50000</v>
          </cell>
        </row>
        <row r="10">
          <cell r="A10" t="str">
            <v>A0007F0</v>
          </cell>
          <cell r="B10" t="str">
            <v>7</v>
          </cell>
          <cell r="C10" t="str">
            <v>0007F0</v>
          </cell>
          <cell r="D10" t="str">
            <v>KODEX 27-12 회사채(AA-이상)액티브</v>
          </cell>
          <cell r="E10">
            <v>10125.64</v>
          </cell>
          <cell r="F10">
            <v>10120</v>
          </cell>
          <cell r="G10" t="str">
            <v>5 ( 0.05%)</v>
          </cell>
          <cell r="H10">
            <v>16723</v>
          </cell>
          <cell r="I10" t="str">
            <v>채권-회사채</v>
          </cell>
          <cell r="J10">
            <v>67</v>
          </cell>
          <cell r="K10">
            <v>0</v>
          </cell>
          <cell r="L10">
            <v>-29554682</v>
          </cell>
          <cell r="M10">
            <v>10000</v>
          </cell>
        </row>
        <row r="11">
          <cell r="A11" t="str">
            <v>A0007N0</v>
          </cell>
          <cell r="B11" t="str">
            <v>8</v>
          </cell>
          <cell r="C11" t="str">
            <v>0007N0</v>
          </cell>
          <cell r="D11" t="str">
            <v>아이엠에셋 200</v>
          </cell>
          <cell r="E11">
            <v>109485.48</v>
          </cell>
          <cell r="F11">
            <v>110220</v>
          </cell>
          <cell r="G11" t="str">
            <v>5,220 ( 4.97%)</v>
          </cell>
          <cell r="H11">
            <v>146</v>
          </cell>
          <cell r="I11" t="str">
            <v>주식-시장대표</v>
          </cell>
          <cell r="J11">
            <v>199</v>
          </cell>
          <cell r="K11">
            <v>28750</v>
          </cell>
          <cell r="L11">
            <v>7353272</v>
          </cell>
          <cell r="M11">
            <v>50000</v>
          </cell>
        </row>
        <row r="12">
          <cell r="A12" t="str">
            <v>A0008T0</v>
          </cell>
          <cell r="B12" t="str">
            <v>9</v>
          </cell>
          <cell r="C12" t="str">
            <v>0008T0</v>
          </cell>
          <cell r="D12" t="str">
            <v>SOL 화장품TOP3플러스</v>
          </cell>
          <cell r="E12">
            <v>14561.88</v>
          </cell>
          <cell r="F12">
            <v>14525</v>
          </cell>
          <cell r="G12" t="str">
            <v>415 ( 2.94%)</v>
          </cell>
          <cell r="H12">
            <v>335190</v>
          </cell>
          <cell r="I12" t="str">
            <v>주식-업종섹터</v>
          </cell>
          <cell r="J12">
            <v>10</v>
          </cell>
          <cell r="K12">
            <v>8735</v>
          </cell>
          <cell r="L12">
            <v>1231298</v>
          </cell>
          <cell r="M12">
            <v>50000</v>
          </cell>
        </row>
        <row r="13">
          <cell r="A13" t="str">
            <v>A0016X0</v>
          </cell>
          <cell r="B13" t="str">
            <v>10</v>
          </cell>
          <cell r="C13" t="str">
            <v>0016X0</v>
          </cell>
          <cell r="D13" t="str">
            <v>SOL 중단기회사채(A-이상)액티브</v>
          </cell>
          <cell r="E13">
            <v>51192.72</v>
          </cell>
          <cell r="F13">
            <v>51185</v>
          </cell>
          <cell r="G13" t="str">
            <v>10 ( 0.02%)</v>
          </cell>
          <cell r="H13">
            <v>172</v>
          </cell>
          <cell r="I13" t="str">
            <v>채권-회사채</v>
          </cell>
          <cell r="J13">
            <v>53</v>
          </cell>
          <cell r="K13">
            <v>0</v>
          </cell>
          <cell r="L13">
            <v>1200228</v>
          </cell>
          <cell r="M13">
            <v>2000</v>
          </cell>
        </row>
        <row r="14">
          <cell r="A14" t="str">
            <v>A0017Y0</v>
          </cell>
          <cell r="B14" t="str">
            <v>11</v>
          </cell>
          <cell r="C14" t="str">
            <v>0017Y0</v>
          </cell>
          <cell r="D14" t="str">
            <v>1Q 종합채권(AA-이상)액티브</v>
          </cell>
          <cell r="E14">
            <v>93565.53</v>
          </cell>
          <cell r="F14">
            <v>93655</v>
          </cell>
          <cell r="G14" t="str">
            <v>45 ( 0.05%)</v>
          </cell>
          <cell r="H14">
            <v>204</v>
          </cell>
          <cell r="I14" t="str">
            <v>채권-혼합</v>
          </cell>
          <cell r="J14">
            <v>21</v>
          </cell>
          <cell r="K14">
            <v>0</v>
          </cell>
          <cell r="L14">
            <v>6162069</v>
          </cell>
          <cell r="M14">
            <v>1000</v>
          </cell>
        </row>
        <row r="15">
          <cell r="A15" t="str">
            <v>A0018C0</v>
          </cell>
          <cell r="B15" t="str">
            <v>12</v>
          </cell>
          <cell r="C15" t="str">
            <v>0018C0</v>
          </cell>
          <cell r="D15" t="str">
            <v>PLUS 고배당주위클리고정커버드콜</v>
          </cell>
          <cell r="E15">
            <v>10740.73</v>
          </cell>
          <cell r="F15">
            <v>10800</v>
          </cell>
          <cell r="G15" t="str">
            <v>65 ( 0.60%)</v>
          </cell>
          <cell r="H15">
            <v>58899</v>
          </cell>
          <cell r="I15" t="str">
            <v>주식-전략</v>
          </cell>
          <cell r="J15">
            <v>31</v>
          </cell>
          <cell r="K15">
            <v>13476</v>
          </cell>
          <cell r="L15">
            <v>27859135</v>
          </cell>
          <cell r="M15">
            <v>50000</v>
          </cell>
        </row>
        <row r="16">
          <cell r="A16" t="str">
            <v>A0043B0</v>
          </cell>
          <cell r="B16" t="str">
            <v>13</v>
          </cell>
          <cell r="C16" t="str">
            <v>0043B0</v>
          </cell>
          <cell r="D16" t="str">
            <v>TIGER 머니마켓액티브</v>
          </cell>
          <cell r="E16">
            <v>103073.89</v>
          </cell>
          <cell r="F16">
            <v>103075</v>
          </cell>
          <cell r="G16" t="str">
            <v>5 ( 0.00%)</v>
          </cell>
          <cell r="H16">
            <v>76675</v>
          </cell>
          <cell r="I16" t="str">
            <v>채권-혼합</v>
          </cell>
          <cell r="J16">
            <v>282</v>
          </cell>
          <cell r="K16">
            <v>0</v>
          </cell>
          <cell r="L16">
            <v>8368354</v>
          </cell>
          <cell r="M16">
            <v>1000</v>
          </cell>
        </row>
        <row r="17">
          <cell r="A17" t="str">
            <v>A0052D0</v>
          </cell>
          <cell r="B17" t="str">
            <v>14</v>
          </cell>
          <cell r="C17" t="str">
            <v>0052D0</v>
          </cell>
          <cell r="D17" t="str">
            <v>TIGER 코리아배당다우존스</v>
          </cell>
          <cell r="E17">
            <v>15422.05</v>
          </cell>
          <cell r="F17">
            <v>15400</v>
          </cell>
          <cell r="G17" t="str">
            <v>95 ( 0.62%)</v>
          </cell>
          <cell r="H17">
            <v>118339</v>
          </cell>
          <cell r="I17" t="str">
            <v>주식-전략</v>
          </cell>
          <cell r="J17">
            <v>30</v>
          </cell>
          <cell r="K17">
            <v>17843</v>
          </cell>
          <cell r="L17">
            <v>-1830416</v>
          </cell>
          <cell r="M17">
            <v>50000</v>
          </cell>
        </row>
        <row r="18">
          <cell r="A18" t="str">
            <v>A0052T0</v>
          </cell>
          <cell r="B18" t="str">
            <v>15</v>
          </cell>
          <cell r="C18" t="str">
            <v>0052T0</v>
          </cell>
          <cell r="D18" t="str">
            <v>1Q 중단기회사채(A-이상)액티브</v>
          </cell>
          <cell r="E18">
            <v>50470.37</v>
          </cell>
          <cell r="F18">
            <v>50480</v>
          </cell>
          <cell r="G18" t="str">
            <v>25 ( 0.05%)</v>
          </cell>
          <cell r="H18">
            <v>162</v>
          </cell>
          <cell r="I18" t="str">
            <v>채권-회사채</v>
          </cell>
          <cell r="J18">
            <v>12</v>
          </cell>
          <cell r="K18">
            <v>0</v>
          </cell>
          <cell r="L18">
            <v>8684648</v>
          </cell>
          <cell r="M18">
            <v>2000</v>
          </cell>
        </row>
        <row r="19">
          <cell r="A19" t="str">
            <v>A0053M0</v>
          </cell>
          <cell r="B19" t="str">
            <v>16</v>
          </cell>
          <cell r="C19" t="str">
            <v>0053M0</v>
          </cell>
          <cell r="D19" t="str">
            <v>더제이 중소형포커스액티브</v>
          </cell>
          <cell r="E19">
            <v>13070.44</v>
          </cell>
          <cell r="F19">
            <v>13100</v>
          </cell>
          <cell r="G19" t="str">
            <v>470 ( 3.72%)</v>
          </cell>
          <cell r="H19">
            <v>212</v>
          </cell>
          <cell r="I19" t="str">
            <v>주식-규모</v>
          </cell>
          <cell r="J19">
            <v>20</v>
          </cell>
          <cell r="K19">
            <v>5519</v>
          </cell>
          <cell r="L19">
            <v>9326279</v>
          </cell>
          <cell r="M19">
            <v>50000</v>
          </cell>
        </row>
        <row r="20">
          <cell r="A20" t="str">
            <v>A0061Z0</v>
          </cell>
          <cell r="B20" t="str">
            <v>17</v>
          </cell>
          <cell r="C20" t="str">
            <v>0061Z0</v>
          </cell>
          <cell r="D20" t="str">
            <v>RISE 단기특수은행채액티브</v>
          </cell>
          <cell r="E20">
            <v>50822.64</v>
          </cell>
          <cell r="F20">
            <v>50820</v>
          </cell>
          <cell r="G20" t="str">
            <v>5 ( 0.01%)</v>
          </cell>
          <cell r="H20">
            <v>6734</v>
          </cell>
          <cell r="I20" t="str">
            <v>채권-국공채</v>
          </cell>
          <cell r="J20">
            <v>39</v>
          </cell>
          <cell r="K20">
            <v>0</v>
          </cell>
          <cell r="L20">
            <v>17881203</v>
          </cell>
          <cell r="M20">
            <v>2000</v>
          </cell>
        </row>
        <row r="21">
          <cell r="A21" t="str">
            <v>A0072R0</v>
          </cell>
          <cell r="B21" t="str">
            <v>18</v>
          </cell>
          <cell r="C21" t="str">
            <v>0072R0</v>
          </cell>
          <cell r="D21" t="str">
            <v>TIGER KRX금현물</v>
          </cell>
          <cell r="E21">
            <v>12744.27</v>
          </cell>
          <cell r="F21">
            <v>12690</v>
          </cell>
          <cell r="G21" t="str">
            <v>115 ( 0.91%)</v>
          </cell>
          <cell r="H21">
            <v>275789</v>
          </cell>
          <cell r="I21" t="str">
            <v>원자재-금속</v>
          </cell>
          <cell r="J21">
            <v>1</v>
          </cell>
          <cell r="K21">
            <v>3335</v>
          </cell>
          <cell r="L21">
            <v>138036</v>
          </cell>
          <cell r="M21">
            <v>50000</v>
          </cell>
        </row>
        <row r="22">
          <cell r="A22" t="str">
            <v>A0074K0</v>
          </cell>
          <cell r="B22" t="str">
            <v>19</v>
          </cell>
          <cell r="C22" t="str">
            <v>0074K0</v>
          </cell>
          <cell r="D22" t="str">
            <v>KoAct K수출핵심기업TOP30액티브</v>
          </cell>
          <cell r="E22">
            <v>16182.04</v>
          </cell>
          <cell r="F22">
            <v>16160</v>
          </cell>
          <cell r="G22" t="str">
            <v>355 ( 2.25%)</v>
          </cell>
          <cell r="H22">
            <v>64655</v>
          </cell>
          <cell r="I22" t="str">
            <v>주식-업종섹터</v>
          </cell>
          <cell r="J22">
            <v>32</v>
          </cell>
          <cell r="K22">
            <v>5023</v>
          </cell>
          <cell r="L22">
            <v>7212507</v>
          </cell>
          <cell r="M22">
            <v>50000</v>
          </cell>
        </row>
        <row r="23">
          <cell r="A23" t="str">
            <v>A0080G0</v>
          </cell>
          <cell r="B23" t="str">
            <v>20</v>
          </cell>
          <cell r="C23" t="str">
            <v>0080G0</v>
          </cell>
          <cell r="D23" t="str">
            <v>KODEX 방산TOP10</v>
          </cell>
          <cell r="E23">
            <v>9995.24</v>
          </cell>
          <cell r="F23">
            <v>9975</v>
          </cell>
          <cell r="G23" t="str">
            <v>150 ( 1.53%)</v>
          </cell>
          <cell r="H23">
            <v>2252195</v>
          </cell>
          <cell r="I23" t="str">
            <v>주식-업종섹터</v>
          </cell>
          <cell r="J23">
            <v>10</v>
          </cell>
          <cell r="K23">
            <v>6544</v>
          </cell>
          <cell r="L23">
            <v>829962</v>
          </cell>
          <cell r="M23">
            <v>100000</v>
          </cell>
        </row>
        <row r="24">
          <cell r="A24" t="str">
            <v>A0080Y0</v>
          </cell>
          <cell r="B24" t="str">
            <v>21</v>
          </cell>
          <cell r="C24" t="str">
            <v>0080Y0</v>
          </cell>
          <cell r="D24" t="str">
            <v>SOL 조선TOP3플러스레버리지</v>
          </cell>
          <cell r="E24">
            <v>8694.44</v>
          </cell>
          <cell r="F24">
            <v>8705</v>
          </cell>
          <cell r="G24" t="str">
            <v>10 ( 0.11%)</v>
          </cell>
          <cell r="H24">
            <v>594581</v>
          </cell>
          <cell r="I24" t="str">
            <v>주식-업종섹터</v>
          </cell>
          <cell r="J24">
            <v>14</v>
          </cell>
          <cell r="K24">
            <v>16337</v>
          </cell>
          <cell r="L24">
            <v>7832534</v>
          </cell>
          <cell r="M24">
            <v>100000</v>
          </cell>
        </row>
        <row r="25">
          <cell r="A25" t="str">
            <v>A0086B0</v>
          </cell>
          <cell r="B25" t="str">
            <v>22</v>
          </cell>
          <cell r="C25" t="str">
            <v>0086B0</v>
          </cell>
          <cell r="D25" t="str">
            <v>TIGER 리츠부동산인프라TOP10액티브</v>
          </cell>
          <cell r="E25">
            <v>9365.5400000000009</v>
          </cell>
          <cell r="F25">
            <v>9360</v>
          </cell>
          <cell r="G25" t="str">
            <v>15 ( 0.16%)</v>
          </cell>
          <cell r="H25">
            <v>6839</v>
          </cell>
          <cell r="I25" t="str">
            <v>부동산-리츠</v>
          </cell>
          <cell r="J25">
            <v>9</v>
          </cell>
          <cell r="K25">
            <v>86042</v>
          </cell>
          <cell r="L25">
            <v>18910092</v>
          </cell>
          <cell r="M25">
            <v>50000</v>
          </cell>
        </row>
        <row r="26">
          <cell r="A26" t="str">
            <v>A0086C0</v>
          </cell>
          <cell r="B26" t="str">
            <v>23</v>
          </cell>
          <cell r="C26" t="str">
            <v>0086C0</v>
          </cell>
          <cell r="D26" t="str">
            <v>TIGER 리츠부동산인프라10채권혼합액티브</v>
          </cell>
          <cell r="E26">
            <v>9732.19</v>
          </cell>
          <cell r="F26">
            <v>9740</v>
          </cell>
          <cell r="G26" t="str">
            <v>5 ( 0.05%)</v>
          </cell>
          <cell r="H26">
            <v>3644</v>
          </cell>
          <cell r="I26" t="str">
            <v>기타</v>
          </cell>
          <cell r="J26">
            <v>10</v>
          </cell>
          <cell r="K26">
            <v>45757</v>
          </cell>
          <cell r="L26">
            <v>4856155</v>
          </cell>
          <cell r="M26">
            <v>50000</v>
          </cell>
        </row>
        <row r="27">
          <cell r="A27" t="str">
            <v>A0088N0</v>
          </cell>
          <cell r="B27" t="str">
            <v>24</v>
          </cell>
          <cell r="C27" t="str">
            <v>0088N0</v>
          </cell>
          <cell r="D27" t="str">
            <v>WON K-글로벌수급상위</v>
          </cell>
          <cell r="E27">
            <v>9983.25</v>
          </cell>
          <cell r="F27">
            <v>9995</v>
          </cell>
          <cell r="G27" t="str">
            <v>100 ( 1.01%)</v>
          </cell>
          <cell r="H27">
            <v>8807</v>
          </cell>
          <cell r="I27" t="str">
            <v>주식-전략</v>
          </cell>
          <cell r="J27">
            <v>23</v>
          </cell>
          <cell r="K27">
            <v>15717</v>
          </cell>
          <cell r="L27">
            <v>-136213</v>
          </cell>
          <cell r="M27">
            <v>50000</v>
          </cell>
        </row>
        <row r="28">
          <cell r="A28" t="str">
            <v>A0089D0</v>
          </cell>
          <cell r="B28" t="str">
            <v>25</v>
          </cell>
          <cell r="C28" t="str">
            <v>0089D0</v>
          </cell>
          <cell r="D28" t="str">
            <v>KODEX 금융고배당TOP10</v>
          </cell>
          <cell r="E28">
            <v>13393.36</v>
          </cell>
          <cell r="F28">
            <v>13365</v>
          </cell>
          <cell r="G28" t="str">
            <v>75 ( 0.56%)</v>
          </cell>
          <cell r="H28">
            <v>190380</v>
          </cell>
          <cell r="I28" t="str">
            <v>주식-업종섹터</v>
          </cell>
          <cell r="J28">
            <v>10</v>
          </cell>
          <cell r="K28">
            <v>20513</v>
          </cell>
          <cell r="L28">
            <v>1672116</v>
          </cell>
          <cell r="M28">
            <v>100000</v>
          </cell>
        </row>
        <row r="29">
          <cell r="A29" t="str">
            <v>A0090B0</v>
          </cell>
          <cell r="B29" t="str">
            <v>26</v>
          </cell>
          <cell r="C29" t="str">
            <v>0090B0</v>
          </cell>
          <cell r="D29" t="str">
            <v>PLUS K방산소부장</v>
          </cell>
          <cell r="E29">
            <v>6691.56</v>
          </cell>
          <cell r="F29">
            <v>6690</v>
          </cell>
          <cell r="G29" t="str">
            <v>5 ( 0.07%)</v>
          </cell>
          <cell r="H29">
            <v>42113</v>
          </cell>
          <cell r="I29" t="str">
            <v>주식-업종섹터</v>
          </cell>
          <cell r="J29">
            <v>10</v>
          </cell>
          <cell r="K29">
            <v>24838</v>
          </cell>
          <cell r="L29">
            <v>1579558</v>
          </cell>
          <cell r="M29">
            <v>50000</v>
          </cell>
        </row>
        <row r="30">
          <cell r="A30" t="str">
            <v>A0091M0</v>
          </cell>
          <cell r="B30" t="str">
            <v>27</v>
          </cell>
          <cell r="C30" t="str">
            <v>0091M0</v>
          </cell>
          <cell r="D30" t="str">
            <v>HANARO 27-06 회사채(AA-이상)액티브</v>
          </cell>
          <cell r="E30">
            <v>10118.08</v>
          </cell>
          <cell r="F30">
            <v>10120</v>
          </cell>
          <cell r="G30" t="str">
            <v>0 ( 0.00%)</v>
          </cell>
          <cell r="H30">
            <v>177</v>
          </cell>
          <cell r="I30" t="str">
            <v>채권-회사채</v>
          </cell>
          <cell r="J30">
            <v>11</v>
          </cell>
          <cell r="K30">
            <v>29</v>
          </cell>
          <cell r="L30">
            <v>4108788</v>
          </cell>
          <cell r="M30">
            <v>10000</v>
          </cell>
        </row>
        <row r="31">
          <cell r="A31" t="str">
            <v>A0091P0</v>
          </cell>
          <cell r="B31" t="str">
            <v>28</v>
          </cell>
          <cell r="C31" t="str">
            <v>0091P0</v>
          </cell>
          <cell r="D31" t="str">
            <v>TIGER 코리아원자력</v>
          </cell>
          <cell r="E31">
            <v>13718.88</v>
          </cell>
          <cell r="F31">
            <v>13680</v>
          </cell>
          <cell r="G31" t="str">
            <v>415 ( 3.13%)</v>
          </cell>
          <cell r="H31">
            <v>1101142</v>
          </cell>
          <cell r="I31" t="str">
            <v>주식-업종섹터</v>
          </cell>
          <cell r="J31">
            <v>16</v>
          </cell>
          <cell r="K31">
            <v>21105</v>
          </cell>
          <cell r="L31">
            <v>2919628</v>
          </cell>
          <cell r="M31">
            <v>50000</v>
          </cell>
        </row>
        <row r="32">
          <cell r="A32" t="str">
            <v>A0092B0</v>
          </cell>
          <cell r="B32" t="str">
            <v>29</v>
          </cell>
          <cell r="C32" t="str">
            <v>0092B0</v>
          </cell>
          <cell r="D32" t="str">
            <v>SOL 한국원자력SMR</v>
          </cell>
          <cell r="E32">
            <v>12872.17</v>
          </cell>
          <cell r="F32">
            <v>12850</v>
          </cell>
          <cell r="G32" t="str">
            <v>360 ( 2.88%)</v>
          </cell>
          <cell r="H32">
            <v>109714</v>
          </cell>
          <cell r="I32" t="str">
            <v>주식-업종섹터</v>
          </cell>
          <cell r="J32">
            <v>12</v>
          </cell>
          <cell r="K32">
            <v>16385</v>
          </cell>
          <cell r="L32">
            <v>485756</v>
          </cell>
          <cell r="M32">
            <v>50000</v>
          </cell>
        </row>
        <row r="33">
          <cell r="A33" t="str">
            <v>A0092C0</v>
          </cell>
          <cell r="B33" t="str">
            <v>30</v>
          </cell>
          <cell r="C33" t="str">
            <v>0092C0</v>
          </cell>
          <cell r="D33" t="str">
            <v>SOL 27-12 회사채(AA-이상)액티브</v>
          </cell>
          <cell r="E33">
            <v>50005.63</v>
          </cell>
          <cell r="F33">
            <v>50005</v>
          </cell>
          <cell r="G33" t="str">
            <v>5 ( 0.01%)</v>
          </cell>
          <cell r="H33">
            <v>137</v>
          </cell>
          <cell r="I33" t="str">
            <v>채권-회사채</v>
          </cell>
          <cell r="J33">
            <v>31</v>
          </cell>
          <cell r="K33">
            <v>0</v>
          </cell>
          <cell r="L33">
            <v>-17470093</v>
          </cell>
          <cell r="M33">
            <v>2000</v>
          </cell>
        </row>
        <row r="34">
          <cell r="A34" t="str">
            <v>A0093A0</v>
          </cell>
          <cell r="B34" t="str">
            <v>31</v>
          </cell>
          <cell r="C34" t="str">
            <v>0093A0</v>
          </cell>
          <cell r="D34" t="str">
            <v>RISE AI반도체TOP10</v>
          </cell>
          <cell r="E34">
            <v>32675.53</v>
          </cell>
          <cell r="F34">
            <v>32600</v>
          </cell>
          <cell r="G34" t="str">
            <v>1,085 ( 3.44%)</v>
          </cell>
          <cell r="H34">
            <v>224949</v>
          </cell>
          <cell r="I34" t="str">
            <v>주식-업종섹터</v>
          </cell>
          <cell r="J34">
            <v>10</v>
          </cell>
          <cell r="K34">
            <v>15300</v>
          </cell>
          <cell r="L34">
            <v>-3737117</v>
          </cell>
          <cell r="M34">
            <v>50000</v>
          </cell>
        </row>
        <row r="35">
          <cell r="A35" t="str">
            <v>A0094K0</v>
          </cell>
          <cell r="B35" t="str">
            <v>32</v>
          </cell>
          <cell r="C35" t="str">
            <v>0094K0</v>
          </cell>
          <cell r="D35" t="str">
            <v>TIGER 28-04 회사채(A+이상)액티브</v>
          </cell>
          <cell r="E35">
            <v>98958.16</v>
          </cell>
          <cell r="F35">
            <v>98950</v>
          </cell>
          <cell r="G35" t="str">
            <v>50 ( 0.05%)</v>
          </cell>
          <cell r="H35">
            <v>13565</v>
          </cell>
          <cell r="I35" t="str">
            <v>채권-회사채</v>
          </cell>
          <cell r="J35">
            <v>33</v>
          </cell>
          <cell r="K35">
            <v>0</v>
          </cell>
          <cell r="L35">
            <v>-18446214</v>
          </cell>
          <cell r="M35">
            <v>1000</v>
          </cell>
        </row>
        <row r="36">
          <cell r="A36" t="str">
            <v>A0094M0</v>
          </cell>
          <cell r="B36" t="str">
            <v>33</v>
          </cell>
          <cell r="C36" t="str">
            <v>0094M0</v>
          </cell>
          <cell r="D36" t="str">
            <v>RISE 코리아밸류업위클리고정커버드콜</v>
          </cell>
          <cell r="E36">
            <v>18364.580000000002</v>
          </cell>
          <cell r="F36">
            <v>18320</v>
          </cell>
          <cell r="G36" t="str">
            <v>435 ( 2.43%)</v>
          </cell>
          <cell r="H36">
            <v>156446</v>
          </cell>
          <cell r="I36" t="str">
            <v>주식-전략</v>
          </cell>
          <cell r="J36">
            <v>102</v>
          </cell>
          <cell r="K36">
            <v>5007</v>
          </cell>
          <cell r="L36">
            <v>49524932</v>
          </cell>
          <cell r="M36">
            <v>50000</v>
          </cell>
        </row>
        <row r="37">
          <cell r="A37" t="str">
            <v>A0098F0</v>
          </cell>
          <cell r="B37" t="str">
            <v>34</v>
          </cell>
          <cell r="C37" t="str">
            <v>0098F0</v>
          </cell>
          <cell r="D37" t="str">
            <v>KODEX 원자력SMR</v>
          </cell>
          <cell r="E37">
            <v>13206.64</v>
          </cell>
          <cell r="F37">
            <v>13205</v>
          </cell>
          <cell r="G37" t="str">
            <v>450 ( 3.53%)</v>
          </cell>
          <cell r="H37">
            <v>554284</v>
          </cell>
          <cell r="I37" t="str">
            <v>주식-업종섹터</v>
          </cell>
          <cell r="J37">
            <v>15</v>
          </cell>
          <cell r="K37">
            <v>18434</v>
          </cell>
          <cell r="L37">
            <v>-2827242</v>
          </cell>
          <cell r="M37">
            <v>50000</v>
          </cell>
        </row>
        <row r="38">
          <cell r="A38" t="str">
            <v>A0098N0</v>
          </cell>
          <cell r="B38" t="str">
            <v>35</v>
          </cell>
          <cell r="C38" t="str">
            <v>0098N0</v>
          </cell>
          <cell r="D38" t="str">
            <v>PLUS 자사주매입고배당주</v>
          </cell>
          <cell r="E38">
            <v>12736.41</v>
          </cell>
          <cell r="F38">
            <v>12710</v>
          </cell>
          <cell r="G38" t="str">
            <v>90 ( 0.71%)</v>
          </cell>
          <cell r="H38">
            <v>28017</v>
          </cell>
          <cell r="I38" t="str">
            <v>주식-전략</v>
          </cell>
          <cell r="J38">
            <v>30</v>
          </cell>
          <cell r="K38">
            <v>16159</v>
          </cell>
          <cell r="L38">
            <v>1817136</v>
          </cell>
          <cell r="M38">
            <v>50000</v>
          </cell>
        </row>
        <row r="39">
          <cell r="A39" t="str">
            <v>A0098Z0</v>
          </cell>
          <cell r="B39" t="str">
            <v>36</v>
          </cell>
          <cell r="C39" t="str">
            <v>0098Z0</v>
          </cell>
          <cell r="D39" t="str">
            <v>FOCUS 200</v>
          </cell>
          <cell r="E39">
            <v>93099.06</v>
          </cell>
          <cell r="F39">
            <v>92775</v>
          </cell>
          <cell r="G39" t="str">
            <v>3,520 ( 3.94%)</v>
          </cell>
          <cell r="H39">
            <v>549</v>
          </cell>
          <cell r="I39" t="str">
            <v>주식-시장대표</v>
          </cell>
          <cell r="J39">
            <v>199</v>
          </cell>
          <cell r="K39">
            <v>24364</v>
          </cell>
          <cell r="L39">
            <v>21405149</v>
          </cell>
          <cell r="M39">
            <v>50000</v>
          </cell>
        </row>
        <row r="40">
          <cell r="A40" t="str">
            <v>A0099L0</v>
          </cell>
          <cell r="B40" t="str">
            <v>37</v>
          </cell>
          <cell r="C40" t="str">
            <v>0099L0</v>
          </cell>
          <cell r="D40" t="str">
            <v>ACE 우량회사채(AA-이상)액티브</v>
          </cell>
          <cell r="E40">
            <v>98919.95</v>
          </cell>
          <cell r="F40">
            <v>98885</v>
          </cell>
          <cell r="G40" t="str">
            <v>45 ( 0.05%)</v>
          </cell>
          <cell r="H40">
            <v>19301</v>
          </cell>
          <cell r="I40" t="str">
            <v>채권-회사채</v>
          </cell>
          <cell r="J40">
            <v>23</v>
          </cell>
          <cell r="K40">
            <v>0</v>
          </cell>
          <cell r="L40">
            <v>-25081908</v>
          </cell>
          <cell r="M40">
            <v>1000</v>
          </cell>
        </row>
        <row r="41">
          <cell r="A41" t="str">
            <v>A0100K0</v>
          </cell>
          <cell r="B41" t="str">
            <v>38</v>
          </cell>
          <cell r="C41" t="str">
            <v>0100K0</v>
          </cell>
          <cell r="D41" t="str">
            <v>KODEX 방산TOP10레버리지</v>
          </cell>
          <cell r="E41">
            <v>6390.8</v>
          </cell>
          <cell r="F41">
            <v>6360</v>
          </cell>
          <cell r="G41" t="str">
            <v>140 ( 2.25%)</v>
          </cell>
          <cell r="H41">
            <v>392560</v>
          </cell>
          <cell r="I41" t="str">
            <v>주식-업종섹터</v>
          </cell>
          <cell r="J41">
            <v>17</v>
          </cell>
          <cell r="K41">
            <v>23214</v>
          </cell>
          <cell r="L41">
            <v>-314836910</v>
          </cell>
          <cell r="M41">
            <v>100000</v>
          </cell>
        </row>
        <row r="42">
          <cell r="A42" t="str">
            <v>A0101N0</v>
          </cell>
          <cell r="B42" t="str">
            <v>39</v>
          </cell>
          <cell r="C42" t="str">
            <v>0101N0</v>
          </cell>
          <cell r="D42" t="str">
            <v>RISE AI전력인프라</v>
          </cell>
          <cell r="E42">
            <v>17468.53</v>
          </cell>
          <cell r="F42">
            <v>17440</v>
          </cell>
          <cell r="G42" t="str">
            <v>460 ( 2.71%)</v>
          </cell>
          <cell r="H42">
            <v>483720</v>
          </cell>
          <cell r="I42" t="str">
            <v>주식-업종섹터</v>
          </cell>
          <cell r="J42">
            <v>15</v>
          </cell>
          <cell r="K42">
            <v>16578</v>
          </cell>
          <cell r="L42">
            <v>7129915</v>
          </cell>
          <cell r="M42">
            <v>50000</v>
          </cell>
        </row>
        <row r="43">
          <cell r="A43" t="str">
            <v>A0103T0</v>
          </cell>
          <cell r="B43" t="str">
            <v>40</v>
          </cell>
          <cell r="C43" t="str">
            <v>0103T0</v>
          </cell>
          <cell r="D43" t="str">
            <v>1Q K소버린AI</v>
          </cell>
          <cell r="E43">
            <v>7689.59</v>
          </cell>
          <cell r="F43">
            <v>7685</v>
          </cell>
          <cell r="G43" t="str">
            <v>220 ( 2.95%)</v>
          </cell>
          <cell r="H43">
            <v>22743</v>
          </cell>
          <cell r="I43" t="str">
            <v>주식-업종섹터</v>
          </cell>
          <cell r="J43">
            <v>15</v>
          </cell>
          <cell r="K43">
            <v>11632</v>
          </cell>
          <cell r="L43">
            <v>366216</v>
          </cell>
          <cell r="M43">
            <v>50000</v>
          </cell>
        </row>
        <row r="44">
          <cell r="A44" t="str">
            <v>A0104G0</v>
          </cell>
          <cell r="B44" t="str">
            <v>41</v>
          </cell>
          <cell r="C44" t="str">
            <v>0104G0</v>
          </cell>
          <cell r="D44" t="str">
            <v>PLUS K방산레버리지</v>
          </cell>
          <cell r="E44">
            <v>6192.04</v>
          </cell>
          <cell r="F44">
            <v>6175</v>
          </cell>
          <cell r="G44" t="str">
            <v>75 ( 1.23%)</v>
          </cell>
          <cell r="H44">
            <v>94258</v>
          </cell>
          <cell r="I44" t="str">
            <v>주식-업종섹터</v>
          </cell>
          <cell r="J44">
            <v>10</v>
          </cell>
          <cell r="K44">
            <v>4321</v>
          </cell>
          <cell r="L44">
            <v>-303338025</v>
          </cell>
          <cell r="M44">
            <v>50000</v>
          </cell>
        </row>
        <row r="45">
          <cell r="A45" t="str">
            <v>A0104N0</v>
          </cell>
          <cell r="B45" t="str">
            <v>42</v>
          </cell>
          <cell r="C45" t="str">
            <v>0104N0</v>
          </cell>
          <cell r="D45" t="str">
            <v>TIGER 200타겟위클리커버드콜</v>
          </cell>
          <cell r="E45">
            <v>21131.759999999998</v>
          </cell>
          <cell r="F45">
            <v>21075</v>
          </cell>
          <cell r="G45" t="str">
            <v>795 ( 3.92%)</v>
          </cell>
          <cell r="H45">
            <v>149525</v>
          </cell>
          <cell r="I45" t="str">
            <v>주식-전략</v>
          </cell>
          <cell r="J45">
            <v>200</v>
          </cell>
          <cell r="K45">
            <v>11228</v>
          </cell>
          <cell r="L45">
            <v>3457166</v>
          </cell>
          <cell r="M45">
            <v>100000</v>
          </cell>
        </row>
        <row r="46">
          <cell r="A46" t="str">
            <v>A0104P0</v>
          </cell>
          <cell r="B46" t="str">
            <v>43</v>
          </cell>
          <cell r="C46" t="str">
            <v>0104P0</v>
          </cell>
          <cell r="D46" t="str">
            <v>TIGER 코리아배당다우존스위클리커버드콜</v>
          </cell>
          <cell r="E46">
            <v>11144.88</v>
          </cell>
          <cell r="F46">
            <v>11135</v>
          </cell>
          <cell r="G46" t="str">
            <v>15 ( 0.13%)</v>
          </cell>
          <cell r="H46">
            <v>12432</v>
          </cell>
          <cell r="I46" t="str">
            <v>주식-전략</v>
          </cell>
          <cell r="J46">
            <v>33</v>
          </cell>
          <cell r="K46">
            <v>26617</v>
          </cell>
          <cell r="L46">
            <v>2481396</v>
          </cell>
          <cell r="M46">
            <v>100000</v>
          </cell>
        </row>
        <row r="47">
          <cell r="A47" t="str">
            <v>A0105D0</v>
          </cell>
          <cell r="B47" t="str">
            <v>44</v>
          </cell>
          <cell r="C47" t="str">
            <v>0105D0</v>
          </cell>
          <cell r="D47" t="str">
            <v>SOL 한국AI소프트웨어</v>
          </cell>
          <cell r="E47">
            <v>8709.14</v>
          </cell>
          <cell r="F47">
            <v>8685</v>
          </cell>
          <cell r="G47" t="str">
            <v>285 ( 3.39%)</v>
          </cell>
          <cell r="H47">
            <v>39829</v>
          </cell>
          <cell r="I47" t="str">
            <v>주식-업종섹터</v>
          </cell>
          <cell r="J47">
            <v>15</v>
          </cell>
          <cell r="K47">
            <v>7658</v>
          </cell>
          <cell r="L47">
            <v>1267405</v>
          </cell>
          <cell r="M47">
            <v>50000</v>
          </cell>
        </row>
        <row r="48">
          <cell r="A48" t="str">
            <v>A0105E0</v>
          </cell>
          <cell r="B48" t="str">
            <v>45</v>
          </cell>
          <cell r="C48" t="str">
            <v>0105E0</v>
          </cell>
          <cell r="D48" t="str">
            <v>SOL 코리아고배당</v>
          </cell>
          <cell r="E48">
            <v>12782.3</v>
          </cell>
          <cell r="F48">
            <v>12770</v>
          </cell>
          <cell r="G48" t="str">
            <v>115 ( 0.91%)</v>
          </cell>
          <cell r="H48">
            <v>358371</v>
          </cell>
          <cell r="I48" t="str">
            <v>주식-전략</v>
          </cell>
          <cell r="J48">
            <v>30</v>
          </cell>
          <cell r="K48">
            <v>20731</v>
          </cell>
          <cell r="L48">
            <v>937258</v>
          </cell>
          <cell r="M48">
            <v>50000</v>
          </cell>
        </row>
        <row r="49">
          <cell r="A49" t="str">
            <v>A0111J0</v>
          </cell>
          <cell r="B49" t="str">
            <v>46</v>
          </cell>
          <cell r="C49" t="str">
            <v>0111J0</v>
          </cell>
          <cell r="D49" t="str">
            <v>HANARO 증권고배당TOP3플러스</v>
          </cell>
          <cell r="E49">
            <v>14035.53</v>
          </cell>
          <cell r="F49">
            <v>14025</v>
          </cell>
          <cell r="G49" t="str">
            <v>205 ( 1.48%)</v>
          </cell>
          <cell r="H49">
            <v>65027</v>
          </cell>
          <cell r="I49" t="str">
            <v>주식-업종섹터</v>
          </cell>
          <cell r="J49">
            <v>10</v>
          </cell>
          <cell r="K49">
            <v>14247</v>
          </cell>
          <cell r="L49">
            <v>2934395</v>
          </cell>
          <cell r="M49">
            <v>50000</v>
          </cell>
        </row>
        <row r="50">
          <cell r="A50" t="str">
            <v>A0112X0</v>
          </cell>
          <cell r="B50" t="str">
            <v>47</v>
          </cell>
          <cell r="C50" t="str">
            <v>0112X0</v>
          </cell>
          <cell r="D50" t="str">
            <v>마이티 200TR</v>
          </cell>
          <cell r="E50">
            <v>40895.74</v>
          </cell>
          <cell r="F50">
            <v>41010</v>
          </cell>
          <cell r="G50" t="str">
            <v>1,880 ( 4.80%)</v>
          </cell>
          <cell r="H50">
            <v>8956</v>
          </cell>
          <cell r="I50" t="str">
            <v>주식-시장대표</v>
          </cell>
          <cell r="J50">
            <v>197</v>
          </cell>
          <cell r="K50">
            <v>10753</v>
          </cell>
          <cell r="L50">
            <v>-716911</v>
          </cell>
          <cell r="M50">
            <v>50000</v>
          </cell>
        </row>
        <row r="51">
          <cell r="A51" t="str">
            <v>A0113P0</v>
          </cell>
          <cell r="B51" t="str">
            <v>48</v>
          </cell>
          <cell r="C51" t="str">
            <v>0113P0</v>
          </cell>
          <cell r="D51" t="str">
            <v>HK 머니마켓액티브</v>
          </cell>
          <cell r="E51">
            <v>102030.15</v>
          </cell>
          <cell r="F51">
            <v>102030</v>
          </cell>
          <cell r="G51" t="str">
            <v>20 ( 0.02%)</v>
          </cell>
          <cell r="H51">
            <v>11</v>
          </cell>
          <cell r="I51" t="str">
            <v>채권-혼합</v>
          </cell>
          <cell r="J51">
            <v>38</v>
          </cell>
          <cell r="K51">
            <v>0</v>
          </cell>
          <cell r="L51">
            <v>1545539</v>
          </cell>
          <cell r="M51">
            <v>1000</v>
          </cell>
        </row>
        <row r="52">
          <cell r="A52" t="str">
            <v>A0115D0</v>
          </cell>
          <cell r="B52" t="str">
            <v>49</v>
          </cell>
          <cell r="C52" t="str">
            <v>0115D0</v>
          </cell>
          <cell r="D52" t="str">
            <v>KODEX 조선TOP10</v>
          </cell>
          <cell r="E52">
            <v>7483.89</v>
          </cell>
          <cell r="F52">
            <v>7480</v>
          </cell>
          <cell r="G52" t="str">
            <v>5 ( 0.07%)</v>
          </cell>
          <cell r="H52">
            <v>2176573</v>
          </cell>
          <cell r="I52" t="str">
            <v>주식-업종섹터</v>
          </cell>
          <cell r="J52">
            <v>10</v>
          </cell>
          <cell r="K52">
            <v>6496</v>
          </cell>
          <cell r="L52">
            <v>3149605</v>
          </cell>
          <cell r="M52">
            <v>50000</v>
          </cell>
        </row>
        <row r="53">
          <cell r="A53" t="str">
            <v>A0115E0</v>
          </cell>
          <cell r="B53" t="str">
            <v>50</v>
          </cell>
          <cell r="C53" t="str">
            <v>0115E0</v>
          </cell>
          <cell r="D53" t="str">
            <v>KODEX 코리아소버린AI</v>
          </cell>
          <cell r="E53">
            <v>13066.47</v>
          </cell>
          <cell r="F53">
            <v>13030</v>
          </cell>
          <cell r="G53" t="str">
            <v>355 ( 2.80%)</v>
          </cell>
          <cell r="H53">
            <v>17548</v>
          </cell>
          <cell r="I53" t="str">
            <v>주식-업종섹터</v>
          </cell>
          <cell r="J53">
            <v>27</v>
          </cell>
          <cell r="K53">
            <v>9909</v>
          </cell>
          <cell r="L53">
            <v>515711</v>
          </cell>
          <cell r="M53">
            <v>50000</v>
          </cell>
        </row>
        <row r="54">
          <cell r="A54" t="str">
            <v>A0117L0</v>
          </cell>
          <cell r="B54" t="str">
            <v>51</v>
          </cell>
          <cell r="C54" t="str">
            <v>0117L0</v>
          </cell>
          <cell r="D54" t="str">
            <v>KODEX 26-12 금융채(AA-이상)액티브</v>
          </cell>
          <cell r="E54">
            <v>10120.030000000001</v>
          </cell>
          <cell r="F54">
            <v>10125</v>
          </cell>
          <cell r="G54" t="str">
            <v>0 ( 0.00%)</v>
          </cell>
          <cell r="H54">
            <v>209099</v>
          </cell>
          <cell r="I54" t="str">
            <v>채권-회사채</v>
          </cell>
          <cell r="J54">
            <v>73</v>
          </cell>
          <cell r="K54">
            <v>0</v>
          </cell>
          <cell r="L54">
            <v>865863</v>
          </cell>
          <cell r="M54">
            <v>10000</v>
          </cell>
        </row>
        <row r="55">
          <cell r="A55" t="str">
            <v>A0117V0</v>
          </cell>
          <cell r="B55" t="str">
            <v>52</v>
          </cell>
          <cell r="C55" t="str">
            <v>0117V0</v>
          </cell>
          <cell r="D55" t="str">
            <v>TIGER 코리아AI전력기기TOP3플러스</v>
          </cell>
          <cell r="E55">
            <v>17665.689999999999</v>
          </cell>
          <cell r="F55">
            <v>17635</v>
          </cell>
          <cell r="G55" t="str">
            <v>665 ( 3.92%)</v>
          </cell>
          <cell r="H55">
            <v>1496992</v>
          </cell>
          <cell r="I55" t="str">
            <v>주식-업종섹터</v>
          </cell>
          <cell r="J55">
            <v>10</v>
          </cell>
          <cell r="K55">
            <v>4815</v>
          </cell>
          <cell r="L55">
            <v>7526264</v>
          </cell>
          <cell r="M55">
            <v>50000</v>
          </cell>
        </row>
        <row r="56">
          <cell r="A56" t="str">
            <v>A0119H0</v>
          </cell>
          <cell r="B56" t="str">
            <v>53</v>
          </cell>
          <cell r="C56" t="str">
            <v>0119H0</v>
          </cell>
          <cell r="D56" t="str">
            <v>KODEX 28-12 회사채(AA-이상)액티브</v>
          </cell>
          <cell r="E56">
            <v>9851.69</v>
          </cell>
          <cell r="F56">
            <v>9860</v>
          </cell>
          <cell r="G56" t="str">
            <v>0 ( 0.00%)</v>
          </cell>
          <cell r="H56">
            <v>18828</v>
          </cell>
          <cell r="I56" t="str">
            <v>채권-회사채</v>
          </cell>
          <cell r="J56">
            <v>22</v>
          </cell>
          <cell r="K56">
            <v>0</v>
          </cell>
          <cell r="L56">
            <v>-19830874</v>
          </cell>
          <cell r="M56">
            <v>10000</v>
          </cell>
        </row>
        <row r="57">
          <cell r="A57" t="str">
            <v>A0120J0</v>
          </cell>
          <cell r="B57" t="str">
            <v>54</v>
          </cell>
          <cell r="C57" t="str">
            <v>0120J0</v>
          </cell>
          <cell r="D57" t="str">
            <v>BNK 카카오그룹포커스</v>
          </cell>
          <cell r="E57">
            <v>7727.32</v>
          </cell>
          <cell r="F57">
            <v>7700</v>
          </cell>
          <cell r="G57" t="str">
            <v>50 ( 0.65%)</v>
          </cell>
          <cell r="H57">
            <v>9196</v>
          </cell>
          <cell r="I57" t="str">
            <v>주식-전략</v>
          </cell>
          <cell r="J57">
            <v>14</v>
          </cell>
          <cell r="K57">
            <v>17433</v>
          </cell>
          <cell r="L57">
            <v>4492637</v>
          </cell>
          <cell r="M57">
            <v>50000</v>
          </cell>
        </row>
        <row r="58">
          <cell r="A58" t="str">
            <v>A0122W0</v>
          </cell>
          <cell r="B58" t="str">
            <v>55</v>
          </cell>
          <cell r="C58" t="str">
            <v>0122W0</v>
          </cell>
          <cell r="D58" t="str">
            <v>RISE 26-11 회사채(AA-이상)액티브</v>
          </cell>
          <cell r="E58">
            <v>50807.72</v>
          </cell>
          <cell r="F58">
            <v>50800</v>
          </cell>
          <cell r="G58" t="str">
            <v>5 ( 0.01%)</v>
          </cell>
          <cell r="H58">
            <v>18</v>
          </cell>
          <cell r="I58" t="str">
            <v>채권-회사채</v>
          </cell>
          <cell r="J58">
            <v>21</v>
          </cell>
          <cell r="K58">
            <v>0</v>
          </cell>
          <cell r="L58">
            <v>1137837</v>
          </cell>
          <cell r="M58">
            <v>2000</v>
          </cell>
        </row>
        <row r="59">
          <cell r="A59" t="str">
            <v>A0123S0</v>
          </cell>
          <cell r="B59" t="str">
            <v>56</v>
          </cell>
          <cell r="C59" t="str">
            <v>0123S0</v>
          </cell>
          <cell r="D59" t="str">
            <v>HANARO 26-12 은행채(AA+이상)액티브</v>
          </cell>
          <cell r="E59">
            <v>10153.98</v>
          </cell>
          <cell r="F59">
            <v>10155</v>
          </cell>
          <cell r="G59" t="str">
            <v>5 ( 0.05%)</v>
          </cell>
          <cell r="H59">
            <v>3570</v>
          </cell>
          <cell r="I59" t="str">
            <v>채권-회사채</v>
          </cell>
          <cell r="J59">
            <v>6</v>
          </cell>
          <cell r="K59">
            <v>0</v>
          </cell>
          <cell r="L59">
            <v>4586020</v>
          </cell>
          <cell r="M59">
            <v>10000</v>
          </cell>
        </row>
        <row r="60">
          <cell r="A60" t="str">
            <v>A0131W0</v>
          </cell>
          <cell r="B60" t="str">
            <v>57</v>
          </cell>
          <cell r="C60" t="str">
            <v>0131W0</v>
          </cell>
          <cell r="D60" t="str">
            <v>1Q 단기특수은행채액티브</v>
          </cell>
          <cell r="E60">
            <v>101777.82</v>
          </cell>
          <cell r="F60">
            <v>101775</v>
          </cell>
          <cell r="G60" t="str">
            <v>15 ( 0.01%)</v>
          </cell>
          <cell r="H60">
            <v>2047</v>
          </cell>
          <cell r="I60" t="str">
            <v>채권-국공채</v>
          </cell>
          <cell r="J60">
            <v>13</v>
          </cell>
          <cell r="K60">
            <v>0</v>
          </cell>
          <cell r="L60">
            <v>-7612271</v>
          </cell>
          <cell r="M60">
            <v>1000</v>
          </cell>
        </row>
        <row r="61">
          <cell r="A61" t="str">
            <v>A0135Y0</v>
          </cell>
          <cell r="B61" t="str">
            <v>58</v>
          </cell>
          <cell r="C61" t="str">
            <v>0135Y0</v>
          </cell>
          <cell r="D61" t="str">
            <v>IBK 중기종합채권(AA-이상)액티브</v>
          </cell>
          <cell r="E61">
            <v>99909.39</v>
          </cell>
          <cell r="F61">
            <v>99890</v>
          </cell>
          <cell r="G61" t="str">
            <v>35 ( 0.04%)</v>
          </cell>
          <cell r="H61">
            <v>11</v>
          </cell>
          <cell r="I61" t="str">
            <v>채권-혼합</v>
          </cell>
          <cell r="J61">
            <v>18</v>
          </cell>
          <cell r="K61">
            <v>0</v>
          </cell>
          <cell r="L61">
            <v>-15460175</v>
          </cell>
          <cell r="M61">
            <v>1000</v>
          </cell>
        </row>
        <row r="62">
          <cell r="A62" t="str">
            <v>A0138D0</v>
          </cell>
          <cell r="B62" t="str">
            <v>59</v>
          </cell>
          <cell r="C62" t="str">
            <v>0138D0</v>
          </cell>
          <cell r="D62" t="str">
            <v>RISE 동학개미</v>
          </cell>
          <cell r="E62">
            <v>12009.24</v>
          </cell>
          <cell r="F62">
            <v>12000</v>
          </cell>
          <cell r="G62" t="str">
            <v>435 ( 3.76%)</v>
          </cell>
          <cell r="H62">
            <v>6218</v>
          </cell>
          <cell r="I62" t="str">
            <v>주식-전략</v>
          </cell>
          <cell r="J62">
            <v>13</v>
          </cell>
          <cell r="K62">
            <v>6403</v>
          </cell>
          <cell r="L62">
            <v>-3355719</v>
          </cell>
          <cell r="M62">
            <v>50000</v>
          </cell>
        </row>
        <row r="63">
          <cell r="A63" t="str">
            <v>A0139F0</v>
          </cell>
          <cell r="B63" t="str">
            <v>60</v>
          </cell>
          <cell r="C63" t="str">
            <v>0139F0</v>
          </cell>
          <cell r="D63" t="str">
            <v>TIGER 12월자동연장금융채(AA-이상)액티브</v>
          </cell>
          <cell r="E63">
            <v>101650.33</v>
          </cell>
          <cell r="F63">
            <v>101655</v>
          </cell>
          <cell r="G63" t="str">
            <v>30 ( 0.03%)</v>
          </cell>
          <cell r="H63">
            <v>12</v>
          </cell>
          <cell r="I63" t="str">
            <v>채권-회사채</v>
          </cell>
          <cell r="J63">
            <v>172</v>
          </cell>
          <cell r="K63">
            <v>0</v>
          </cell>
          <cell r="L63">
            <v>-20795829</v>
          </cell>
          <cell r="M63">
            <v>1000</v>
          </cell>
        </row>
        <row r="64">
          <cell r="A64" t="str">
            <v>A0139P0</v>
          </cell>
          <cell r="B64" t="str">
            <v>61</v>
          </cell>
          <cell r="C64" t="str">
            <v>0139P0</v>
          </cell>
          <cell r="D64" t="str">
            <v>ACE 고배당주</v>
          </cell>
          <cell r="E64">
            <v>13424.52</v>
          </cell>
          <cell r="F64">
            <v>13385</v>
          </cell>
          <cell r="G64" t="str">
            <v>110 ( 0.83%)</v>
          </cell>
          <cell r="H64">
            <v>13664</v>
          </cell>
          <cell r="I64" t="str">
            <v>주식-전략</v>
          </cell>
          <cell r="J64">
            <v>20</v>
          </cell>
          <cell r="K64">
            <v>22755</v>
          </cell>
          <cell r="L64">
            <v>-4411526</v>
          </cell>
          <cell r="M64">
            <v>50000</v>
          </cell>
        </row>
        <row r="65">
          <cell r="A65" t="str">
            <v>A0141S0</v>
          </cell>
          <cell r="B65" t="str">
            <v>62</v>
          </cell>
          <cell r="C65" t="str">
            <v>0141S0</v>
          </cell>
          <cell r="D65" t="str">
            <v>SOL 조선기자재</v>
          </cell>
          <cell r="E65">
            <v>8080.06</v>
          </cell>
          <cell r="F65">
            <v>8065</v>
          </cell>
          <cell r="G65" t="str">
            <v>60 ( 0.74%)</v>
          </cell>
          <cell r="H65">
            <v>95892</v>
          </cell>
          <cell r="I65" t="str">
            <v>주식-업종섹터</v>
          </cell>
          <cell r="J65">
            <v>10</v>
          </cell>
          <cell r="K65">
            <v>10983</v>
          </cell>
          <cell r="L65">
            <v>-1103428</v>
          </cell>
          <cell r="M65">
            <v>50000</v>
          </cell>
        </row>
        <row r="66">
          <cell r="A66" t="str">
            <v>A0141T0</v>
          </cell>
          <cell r="B66" t="str">
            <v>63</v>
          </cell>
          <cell r="C66" t="str">
            <v>0141T0</v>
          </cell>
          <cell r="D66" t="str">
            <v>SOL 중기종합채권(AA-이상)액티브</v>
          </cell>
          <cell r="E66">
            <v>49993.19</v>
          </cell>
          <cell r="F66">
            <v>49995</v>
          </cell>
          <cell r="G66" t="str">
            <v>25 ( 0.05%)</v>
          </cell>
          <cell r="H66">
            <v>1</v>
          </cell>
          <cell r="I66" t="str">
            <v>채권-혼합</v>
          </cell>
          <cell r="J66">
            <v>14</v>
          </cell>
          <cell r="K66">
            <v>0</v>
          </cell>
          <cell r="L66">
            <v>11798801</v>
          </cell>
          <cell r="M66">
            <v>2000</v>
          </cell>
        </row>
        <row r="67">
          <cell r="A67" t="str">
            <v>A0148J0</v>
          </cell>
          <cell r="B67" t="str">
            <v>64</v>
          </cell>
          <cell r="C67" t="str">
            <v>0148J0</v>
          </cell>
          <cell r="D67" t="str">
            <v>TIGER 코리아휴머노이드로봇산업</v>
          </cell>
          <cell r="E67">
            <v>7745.63</v>
          </cell>
          <cell r="F67">
            <v>7735</v>
          </cell>
          <cell r="G67" t="str">
            <v>415 ( 5.67%)</v>
          </cell>
          <cell r="H67">
            <v>4011949</v>
          </cell>
          <cell r="I67" t="str">
            <v>주식-업종섹터</v>
          </cell>
          <cell r="J67">
            <v>15</v>
          </cell>
          <cell r="K67">
            <v>8156</v>
          </cell>
          <cell r="L67">
            <v>1119136</v>
          </cell>
          <cell r="M67">
            <v>50000</v>
          </cell>
        </row>
        <row r="68">
          <cell r="A68" t="str">
            <v>A0150K0</v>
          </cell>
          <cell r="B68" t="str">
            <v>65</v>
          </cell>
          <cell r="C68" t="str">
            <v>0150K0</v>
          </cell>
          <cell r="D68" t="str">
            <v>KoAct 수소전력ESS인프라액티브</v>
          </cell>
          <cell r="E68">
            <v>8952.01</v>
          </cell>
          <cell r="F68">
            <v>8925</v>
          </cell>
          <cell r="G68" t="str">
            <v>90 ( 1.02%)</v>
          </cell>
          <cell r="H68">
            <v>30987</v>
          </cell>
          <cell r="I68" t="str">
            <v>주식-업종섹터</v>
          </cell>
          <cell r="J68">
            <v>49</v>
          </cell>
          <cell r="K68">
            <v>17735</v>
          </cell>
          <cell r="L68">
            <v>2284575</v>
          </cell>
          <cell r="M68">
            <v>50000</v>
          </cell>
        </row>
        <row r="69">
          <cell r="A69" t="str">
            <v>A0151P0</v>
          </cell>
          <cell r="B69" t="str">
            <v>66</v>
          </cell>
          <cell r="C69" t="str">
            <v>0151P0</v>
          </cell>
          <cell r="D69" t="str">
            <v>RISE 코리아전략산업액티브</v>
          </cell>
          <cell r="E69">
            <v>15239.56</v>
          </cell>
          <cell r="F69">
            <v>15215</v>
          </cell>
          <cell r="G69" t="str">
            <v>540 ( 3.68%)</v>
          </cell>
          <cell r="H69">
            <v>409734</v>
          </cell>
          <cell r="I69" t="str">
            <v>주식-업종섹터</v>
          </cell>
          <cell r="J69">
            <v>19</v>
          </cell>
          <cell r="K69">
            <v>2829</v>
          </cell>
          <cell r="L69">
            <v>-5302348</v>
          </cell>
          <cell r="M69">
            <v>50000</v>
          </cell>
        </row>
        <row r="70">
          <cell r="A70" t="str">
            <v>A0152E0</v>
          </cell>
          <cell r="B70" t="str">
            <v>67</v>
          </cell>
          <cell r="C70" t="str">
            <v>0152E0</v>
          </cell>
          <cell r="D70" t="str">
            <v>SOL 배당성향탑픽액티브</v>
          </cell>
          <cell r="E70">
            <v>11145.97</v>
          </cell>
          <cell r="F70">
            <v>11100</v>
          </cell>
          <cell r="G70" t="str">
            <v>65 ( 0.59%)</v>
          </cell>
          <cell r="H70">
            <v>20392</v>
          </cell>
          <cell r="I70" t="str">
            <v>주식-전략</v>
          </cell>
          <cell r="J70">
            <v>18</v>
          </cell>
          <cell r="K70">
            <v>21340</v>
          </cell>
          <cell r="L70">
            <v>5480603</v>
          </cell>
          <cell r="M70">
            <v>50000</v>
          </cell>
        </row>
        <row r="71">
          <cell r="A71" t="str">
            <v>A0153K0</v>
          </cell>
          <cell r="B71" t="str">
            <v>68</v>
          </cell>
          <cell r="C71" t="str">
            <v>0153K0</v>
          </cell>
          <cell r="D71" t="str">
            <v>KODEX 주주환원고배당주</v>
          </cell>
          <cell r="E71">
            <v>12145.56</v>
          </cell>
          <cell r="F71">
            <v>12125</v>
          </cell>
          <cell r="G71" t="str">
            <v>15 ( 0.12%)</v>
          </cell>
          <cell r="H71">
            <v>106773</v>
          </cell>
          <cell r="I71" t="str">
            <v>주식-전략</v>
          </cell>
          <cell r="J71">
            <v>30</v>
          </cell>
          <cell r="K71">
            <v>29863</v>
          </cell>
          <cell r="L71">
            <v>1850136</v>
          </cell>
          <cell r="M71">
            <v>100000</v>
          </cell>
        </row>
        <row r="72">
          <cell r="A72" t="str">
            <v>A0153P0</v>
          </cell>
          <cell r="B72" t="str">
            <v>69</v>
          </cell>
          <cell r="C72" t="str">
            <v>0153P0</v>
          </cell>
          <cell r="D72" t="str">
            <v>ACE 리츠부동산인프라액티브</v>
          </cell>
          <cell r="E72">
            <v>9360.36</v>
          </cell>
          <cell r="F72">
            <v>9360</v>
          </cell>
          <cell r="G72" t="str">
            <v>80 ( 0.85%)</v>
          </cell>
          <cell r="H72">
            <v>2428</v>
          </cell>
          <cell r="I72" t="str">
            <v>부동산-리츠</v>
          </cell>
          <cell r="J72">
            <v>13</v>
          </cell>
          <cell r="K72">
            <v>80753</v>
          </cell>
          <cell r="L72">
            <v>7656558</v>
          </cell>
          <cell r="M72">
            <v>50000</v>
          </cell>
        </row>
        <row r="73">
          <cell r="A73" t="str">
            <v>A0154F0</v>
          </cell>
          <cell r="B73" t="str">
            <v>70</v>
          </cell>
          <cell r="C73" t="str">
            <v>0154F0</v>
          </cell>
          <cell r="D73" t="str">
            <v>WON 초대형IB&amp;금융지주</v>
          </cell>
          <cell r="E73">
            <v>12591.4</v>
          </cell>
          <cell r="F73">
            <v>12595</v>
          </cell>
          <cell r="G73" t="str">
            <v>170 ( 1.37%)</v>
          </cell>
          <cell r="H73">
            <v>41783</v>
          </cell>
          <cell r="I73" t="str">
            <v>주식-전략</v>
          </cell>
          <cell r="J73">
            <v>10</v>
          </cell>
          <cell r="K73">
            <v>11581</v>
          </cell>
          <cell r="L73">
            <v>2367257</v>
          </cell>
          <cell r="M73">
            <v>50000</v>
          </cell>
        </row>
        <row r="74">
          <cell r="A74" t="str">
            <v>A0155N0</v>
          </cell>
          <cell r="B74" t="str">
            <v>71</v>
          </cell>
          <cell r="C74" t="str">
            <v>0155N0</v>
          </cell>
          <cell r="D74" t="str">
            <v>HANARO K휴머노이드테마TOP10</v>
          </cell>
          <cell r="E74">
            <v>6689.47</v>
          </cell>
          <cell r="F74">
            <v>6690</v>
          </cell>
          <cell r="G74" t="str">
            <v>300 ( 4.69%)</v>
          </cell>
          <cell r="H74">
            <v>87096</v>
          </cell>
          <cell r="I74" t="str">
            <v>주식-업종섹터</v>
          </cell>
          <cell r="J74">
            <v>10</v>
          </cell>
          <cell r="K74">
            <v>3297</v>
          </cell>
          <cell r="L74">
            <v>1443325</v>
          </cell>
          <cell r="M74">
            <v>50000</v>
          </cell>
        </row>
        <row r="75">
          <cell r="A75" t="str">
            <v>A0162M0</v>
          </cell>
          <cell r="B75" t="str">
            <v>72</v>
          </cell>
          <cell r="C75" t="str">
            <v>0162M0</v>
          </cell>
          <cell r="D75" t="str">
            <v>KODEX 금융채1~2년(AA-이상)PLUS액티브</v>
          </cell>
          <cell r="E75">
            <v>9999.0300000000007</v>
          </cell>
          <cell r="F75">
            <v>10000</v>
          </cell>
          <cell r="G75" t="str">
            <v>20 ( 0.20%)</v>
          </cell>
          <cell r="H75">
            <v>10200</v>
          </cell>
          <cell r="I75" t="str">
            <v>채권-회사채</v>
          </cell>
          <cell r="J75">
            <v>45</v>
          </cell>
          <cell r="K75">
            <v>0</v>
          </cell>
          <cell r="L75">
            <v>-49404396</v>
          </cell>
          <cell r="M75">
            <v>10000</v>
          </cell>
        </row>
        <row r="76">
          <cell r="A76" t="str">
            <v>A0162Y0</v>
          </cell>
          <cell r="B76" t="str">
            <v>73</v>
          </cell>
          <cell r="C76" t="str">
            <v>0162Y0</v>
          </cell>
          <cell r="D76" t="str">
            <v>TIME 코스닥액티브</v>
          </cell>
          <cell r="E76">
            <v>7164.19</v>
          </cell>
          <cell r="F76">
            <v>7165</v>
          </cell>
          <cell r="G76" t="str">
            <v>70 ( 0.99%)</v>
          </cell>
          <cell r="H76">
            <v>588318</v>
          </cell>
          <cell r="I76" t="str">
            <v>주식-시장대표</v>
          </cell>
          <cell r="J76">
            <v>64</v>
          </cell>
          <cell r="K76">
            <v>7401</v>
          </cell>
          <cell r="L76">
            <v>6544560</v>
          </cell>
          <cell r="M76">
            <v>50000</v>
          </cell>
        </row>
        <row r="77">
          <cell r="A77" t="str">
            <v>A0162Z0</v>
          </cell>
          <cell r="B77" t="str">
            <v>74</v>
          </cell>
          <cell r="C77" t="str">
            <v>0162Z0</v>
          </cell>
          <cell r="D77" t="str">
            <v>RISE 삼성전자SK하이닉스채권혼합50</v>
          </cell>
          <cell r="E77">
            <v>13480.93</v>
          </cell>
          <cell r="F77">
            <v>13465</v>
          </cell>
          <cell r="G77" t="str">
            <v>405 ( 3.10%)</v>
          </cell>
          <cell r="H77">
            <v>8232359</v>
          </cell>
          <cell r="I77" t="str">
            <v>혼합-주식채권</v>
          </cell>
          <cell r="J77">
            <v>10</v>
          </cell>
          <cell r="K77">
            <v>1532</v>
          </cell>
          <cell r="L77">
            <v>42834748</v>
          </cell>
          <cell r="M77">
            <v>100000</v>
          </cell>
        </row>
        <row r="78">
          <cell r="A78" t="str">
            <v>A0163Y0</v>
          </cell>
          <cell r="B78" t="str">
            <v>75</v>
          </cell>
          <cell r="C78" t="str">
            <v>0163Y0</v>
          </cell>
          <cell r="D78" t="str">
            <v>KoAct 코스닥액티브</v>
          </cell>
          <cell r="E78">
            <v>8703.06</v>
          </cell>
          <cell r="F78">
            <v>8680</v>
          </cell>
          <cell r="G78" t="str">
            <v>80 ( 0.93%)</v>
          </cell>
          <cell r="H78">
            <v>721563</v>
          </cell>
          <cell r="I78" t="str">
            <v>주식-시장대표</v>
          </cell>
          <cell r="J78">
            <v>70</v>
          </cell>
          <cell r="K78">
            <v>9749</v>
          </cell>
          <cell r="L78">
            <v>8584651</v>
          </cell>
          <cell r="M78">
            <v>50000</v>
          </cell>
        </row>
        <row r="79">
          <cell r="A79" t="str">
            <v>A0166N0</v>
          </cell>
          <cell r="B79" t="str">
            <v>76</v>
          </cell>
          <cell r="C79" t="str">
            <v>0166N0</v>
          </cell>
          <cell r="D79" t="str">
            <v>PLUS 코스닥150액티브</v>
          </cell>
          <cell r="E79">
            <v>7377.94</v>
          </cell>
          <cell r="F79">
            <v>7380</v>
          </cell>
          <cell r="G79" t="str">
            <v>40 ( 0.54%)</v>
          </cell>
          <cell r="H79">
            <v>24389</v>
          </cell>
          <cell r="I79" t="str">
            <v>주식-시장대표</v>
          </cell>
          <cell r="J79">
            <v>70</v>
          </cell>
          <cell r="K79">
            <v>16325</v>
          </cell>
          <cell r="L79">
            <v>2024975</v>
          </cell>
          <cell r="M79">
            <v>50000</v>
          </cell>
        </row>
        <row r="80">
          <cell r="A80" t="str">
            <v>A0166S0</v>
          </cell>
          <cell r="B80" t="str">
            <v>77</v>
          </cell>
          <cell r="C80" t="str">
            <v>0166S0</v>
          </cell>
          <cell r="D80" t="str">
            <v>PLUS K제조업핵심기업액티브</v>
          </cell>
          <cell r="E80">
            <v>10723.7</v>
          </cell>
          <cell r="F80">
            <v>10720</v>
          </cell>
          <cell r="G80" t="str">
            <v>415 ( 4.03%)</v>
          </cell>
          <cell r="H80">
            <v>89601</v>
          </cell>
          <cell r="I80" t="str">
            <v>주식-업종섹터</v>
          </cell>
          <cell r="J80">
            <v>30</v>
          </cell>
          <cell r="K80">
            <v>3932</v>
          </cell>
          <cell r="L80">
            <v>85676</v>
          </cell>
          <cell r="M80">
            <v>50000</v>
          </cell>
        </row>
        <row r="81">
          <cell r="A81" t="str">
            <v>A0167A0</v>
          </cell>
          <cell r="B81" t="str">
            <v>78</v>
          </cell>
          <cell r="C81" t="str">
            <v>0167A0</v>
          </cell>
          <cell r="D81" t="str">
            <v>SOL AI반도체TOP2플러스</v>
          </cell>
          <cell r="E81">
            <v>18375.240000000002</v>
          </cell>
          <cell r="F81">
            <v>18355</v>
          </cell>
          <cell r="G81" t="str">
            <v>790 ( 4.50%)</v>
          </cell>
          <cell r="H81">
            <v>17815278</v>
          </cell>
          <cell r="I81" t="str">
            <v>주식-업종섹터</v>
          </cell>
          <cell r="J81">
            <v>10</v>
          </cell>
          <cell r="K81">
            <v>2991</v>
          </cell>
          <cell r="L81">
            <v>8496077</v>
          </cell>
          <cell r="M81">
            <v>50000</v>
          </cell>
        </row>
        <row r="82">
          <cell r="A82" t="str">
            <v>A0167B0</v>
          </cell>
          <cell r="B82" t="str">
            <v>79</v>
          </cell>
          <cell r="C82" t="str">
            <v>0167B0</v>
          </cell>
          <cell r="D82" t="str">
            <v>SOL 200타겟위클리커버드콜</v>
          </cell>
          <cell r="E82">
            <v>12150.55</v>
          </cell>
          <cell r="F82">
            <v>12145</v>
          </cell>
          <cell r="G82" t="str">
            <v>515 ( 4.43%)</v>
          </cell>
          <cell r="H82">
            <v>1109705</v>
          </cell>
          <cell r="I82" t="str">
            <v>주식-전략</v>
          </cell>
          <cell r="J82">
            <v>201</v>
          </cell>
          <cell r="K82">
            <v>6351</v>
          </cell>
          <cell r="L82">
            <v>7999064</v>
          </cell>
          <cell r="M82">
            <v>100000</v>
          </cell>
        </row>
        <row r="83">
          <cell r="A83" t="str">
            <v>A0168K0</v>
          </cell>
          <cell r="B83" t="str">
            <v>80</v>
          </cell>
          <cell r="C83" t="str">
            <v>0168K0</v>
          </cell>
          <cell r="D83" t="str">
            <v>TIGER 기술이전바이오액티브</v>
          </cell>
          <cell r="E83">
            <v>5697.01</v>
          </cell>
          <cell r="F83">
            <v>5685</v>
          </cell>
          <cell r="G83" t="str">
            <v>140 ( 2.40%)</v>
          </cell>
          <cell r="H83">
            <v>2299503</v>
          </cell>
          <cell r="I83" t="str">
            <v>주식-업종섹터</v>
          </cell>
          <cell r="J83">
            <v>30</v>
          </cell>
          <cell r="K83">
            <v>1407</v>
          </cell>
          <cell r="L83">
            <v>3323165</v>
          </cell>
          <cell r="M83">
            <v>10000</v>
          </cell>
        </row>
        <row r="84">
          <cell r="A84" t="str">
            <v>A0172Y0</v>
          </cell>
          <cell r="B84" t="str">
            <v>81</v>
          </cell>
          <cell r="C84" t="str">
            <v>0172Y0</v>
          </cell>
          <cell r="D84" t="str">
            <v>ACE K수출핵심TOP10산업액티브</v>
          </cell>
          <cell r="E84">
            <v>9244.2000000000007</v>
          </cell>
          <cell r="F84">
            <v>9235</v>
          </cell>
          <cell r="G84" t="str">
            <v>420 ( 4.76%)</v>
          </cell>
          <cell r="H84">
            <v>6154</v>
          </cell>
          <cell r="I84" t="str">
            <v>주식-업종섹터</v>
          </cell>
          <cell r="J84">
            <v>16</v>
          </cell>
          <cell r="K84">
            <v>1675</v>
          </cell>
          <cell r="L84">
            <v>11463768</v>
          </cell>
          <cell r="M84">
            <v>50000</v>
          </cell>
        </row>
        <row r="85">
          <cell r="A85" t="str">
            <v>A0174J0</v>
          </cell>
          <cell r="B85" t="str">
            <v>82</v>
          </cell>
          <cell r="C85" t="str">
            <v>0174J0</v>
          </cell>
          <cell r="D85" t="str">
            <v>DAISHIN343 오피스리츠플러스</v>
          </cell>
          <cell r="E85">
            <v>8581.99</v>
          </cell>
          <cell r="F85">
            <v>8550</v>
          </cell>
          <cell r="G85" t="str">
            <v>50 ( 0.58%)</v>
          </cell>
          <cell r="H85">
            <v>13</v>
          </cell>
          <cell r="I85" t="str">
            <v>부동산-리츠</v>
          </cell>
          <cell r="J85">
            <v>11</v>
          </cell>
          <cell r="K85">
            <v>94262</v>
          </cell>
          <cell r="L85">
            <v>18018052</v>
          </cell>
          <cell r="M85">
            <v>50000</v>
          </cell>
        </row>
        <row r="86">
          <cell r="A86" t="str">
            <v>A0176P0</v>
          </cell>
          <cell r="B86" t="str">
            <v>83</v>
          </cell>
          <cell r="C86" t="str">
            <v>0176P0</v>
          </cell>
          <cell r="D86" t="str">
            <v>FOCUS AI반도체위클리고정커버드콜</v>
          </cell>
          <cell r="E86">
            <v>12900.01</v>
          </cell>
          <cell r="F86">
            <v>12920</v>
          </cell>
          <cell r="G86" t="str">
            <v>360 ( 2.87%)</v>
          </cell>
          <cell r="H86">
            <v>5844</v>
          </cell>
          <cell r="I86" t="str">
            <v>주식-전략</v>
          </cell>
          <cell r="J86">
            <v>22</v>
          </cell>
          <cell r="K86">
            <v>6801</v>
          </cell>
          <cell r="L86">
            <v>9434551</v>
          </cell>
          <cell r="M86">
            <v>50000</v>
          </cell>
        </row>
        <row r="87">
          <cell r="A87" t="str">
            <v>A0177A0</v>
          </cell>
          <cell r="B87" t="str">
            <v>84</v>
          </cell>
          <cell r="C87" t="str">
            <v>0177A0</v>
          </cell>
          <cell r="D87" t="str">
            <v>WON 두산그룹포커스</v>
          </cell>
          <cell r="E87">
            <v>7941.17</v>
          </cell>
          <cell r="F87">
            <v>7935</v>
          </cell>
          <cell r="G87" t="str">
            <v>165 ( 2.12%)</v>
          </cell>
          <cell r="H87">
            <v>87268</v>
          </cell>
          <cell r="I87" t="str">
            <v>주식-전략</v>
          </cell>
          <cell r="J87">
            <v>12</v>
          </cell>
          <cell r="K87">
            <v>6000</v>
          </cell>
          <cell r="L87">
            <v>8624080</v>
          </cell>
          <cell r="M87">
            <v>50000</v>
          </cell>
        </row>
        <row r="88">
          <cell r="A88" t="str">
            <v>A0177N0</v>
          </cell>
          <cell r="B88" t="str">
            <v>85</v>
          </cell>
          <cell r="C88" t="str">
            <v>0177N0</v>
          </cell>
          <cell r="D88" t="str">
            <v>KODEX 삼성전자SK하이닉스채권혼합50</v>
          </cell>
          <cell r="E88">
            <v>14206.97</v>
          </cell>
          <cell r="F88">
            <v>14200</v>
          </cell>
          <cell r="G88" t="str">
            <v>410 ( 2.97%)</v>
          </cell>
          <cell r="H88">
            <v>4383603</v>
          </cell>
          <cell r="I88" t="str">
            <v>혼합-주식채권</v>
          </cell>
          <cell r="J88">
            <v>5</v>
          </cell>
          <cell r="K88">
            <v>1607</v>
          </cell>
          <cell r="L88">
            <v>-2597497</v>
          </cell>
          <cell r="M88">
            <v>100000</v>
          </cell>
        </row>
        <row r="89">
          <cell r="A89" t="str">
            <v>A0177R0</v>
          </cell>
          <cell r="B89" t="str">
            <v>86</v>
          </cell>
          <cell r="C89" t="str">
            <v>0177R0</v>
          </cell>
          <cell r="D89" t="str">
            <v>TIGER 반도체TOP10커버드콜액티브</v>
          </cell>
          <cell r="E89">
            <v>11841.05</v>
          </cell>
          <cell r="F89">
            <v>11825</v>
          </cell>
          <cell r="G89" t="str">
            <v>510 ( 4.51%)</v>
          </cell>
          <cell r="H89">
            <v>1469070</v>
          </cell>
          <cell r="I89" t="str">
            <v>주식-전략</v>
          </cell>
          <cell r="J89">
            <v>22</v>
          </cell>
          <cell r="K89">
            <v>6107</v>
          </cell>
          <cell r="L89">
            <v>177015153</v>
          </cell>
          <cell r="M89">
            <v>100000</v>
          </cell>
        </row>
        <row r="90">
          <cell r="A90" t="str">
            <v>A0177X0</v>
          </cell>
          <cell r="B90" t="str">
            <v>87</v>
          </cell>
          <cell r="C90" t="str">
            <v>0177X0</v>
          </cell>
          <cell r="D90" t="str">
            <v>ACE K휴머노이드로봇산업TOP2+</v>
          </cell>
          <cell r="E90">
            <v>8210.1299999999992</v>
          </cell>
          <cell r="F90">
            <v>8200</v>
          </cell>
          <cell r="G90" t="str">
            <v>385 ( 4.93%)</v>
          </cell>
          <cell r="H90">
            <v>717728</v>
          </cell>
          <cell r="I90" t="str">
            <v>주식-업종섹터</v>
          </cell>
          <cell r="J90">
            <v>15</v>
          </cell>
          <cell r="K90">
            <v>4698</v>
          </cell>
          <cell r="L90">
            <v>560579</v>
          </cell>
          <cell r="M90">
            <v>50000</v>
          </cell>
        </row>
        <row r="91">
          <cell r="A91" t="str">
            <v>A0182R0</v>
          </cell>
          <cell r="B91" t="str">
            <v>88</v>
          </cell>
          <cell r="C91" t="str">
            <v>0182R0</v>
          </cell>
          <cell r="D91" t="str">
            <v>1Q K반도체TOP2+</v>
          </cell>
          <cell r="E91">
            <v>10891.7</v>
          </cell>
          <cell r="F91">
            <v>10885</v>
          </cell>
          <cell r="G91" t="str">
            <v>615 ( 5.99%)</v>
          </cell>
          <cell r="H91">
            <v>4307297</v>
          </cell>
          <cell r="I91" t="str">
            <v>주식-업종섹터</v>
          </cell>
          <cell r="J91">
            <v>10</v>
          </cell>
          <cell r="K91">
            <v>1088</v>
          </cell>
          <cell r="L91">
            <v>1856214</v>
          </cell>
          <cell r="M91">
            <v>50000</v>
          </cell>
        </row>
        <row r="92">
          <cell r="A92" t="str">
            <v>A0182S0</v>
          </cell>
          <cell r="B92" t="str">
            <v>89</v>
          </cell>
          <cell r="C92" t="str">
            <v>0182S0</v>
          </cell>
          <cell r="D92" t="str">
            <v>1Q K반도체TOP2채권혼합50</v>
          </cell>
          <cell r="E92">
            <v>12527.76</v>
          </cell>
          <cell r="F92">
            <v>12545</v>
          </cell>
          <cell r="G92" t="str">
            <v>380 ( 3.12%)</v>
          </cell>
          <cell r="H92">
            <v>211345</v>
          </cell>
          <cell r="I92" t="str">
            <v>혼합-주식채권</v>
          </cell>
          <cell r="J92">
            <v>9</v>
          </cell>
          <cell r="K92">
            <v>2059</v>
          </cell>
          <cell r="L92">
            <v>1946231</v>
          </cell>
          <cell r="M92">
            <v>50000</v>
          </cell>
        </row>
        <row r="93">
          <cell r="A93" t="str">
            <v>A0183V0</v>
          </cell>
          <cell r="B93" t="str">
            <v>90</v>
          </cell>
          <cell r="C93" t="str">
            <v>0183V0</v>
          </cell>
          <cell r="D93" t="str">
            <v>KIWOOM 삼성전자&amp;SK하이닉스채권혼합50</v>
          </cell>
          <cell r="E93">
            <v>11923.88</v>
          </cell>
          <cell r="F93">
            <v>11920</v>
          </cell>
          <cell r="G93" t="str">
            <v>380 ( 3.29%)</v>
          </cell>
          <cell r="H93">
            <v>1287690</v>
          </cell>
          <cell r="I93" t="str">
            <v>혼합-주식채권</v>
          </cell>
          <cell r="J93">
            <v>12</v>
          </cell>
          <cell r="K93">
            <v>1572</v>
          </cell>
          <cell r="L93">
            <v>1268366</v>
          </cell>
          <cell r="M93">
            <v>100000</v>
          </cell>
        </row>
        <row r="94">
          <cell r="A94" t="str">
            <v>A0184E0</v>
          </cell>
          <cell r="B94" t="str">
            <v>91</v>
          </cell>
          <cell r="C94" t="str">
            <v>0184E0</v>
          </cell>
          <cell r="D94" t="str">
            <v>1Q 200채권혼합50액티브</v>
          </cell>
          <cell r="E94">
            <v>10933.29</v>
          </cell>
          <cell r="F94">
            <v>10900</v>
          </cell>
          <cell r="G94" t="str">
            <v>360 ( 3.42%)</v>
          </cell>
          <cell r="H94">
            <v>90527</v>
          </cell>
          <cell r="I94" t="str">
            <v>혼합-주식채권</v>
          </cell>
          <cell r="J94">
            <v>179</v>
          </cell>
          <cell r="K94">
            <v>2507</v>
          </cell>
          <cell r="L94">
            <v>-16256687</v>
          </cell>
          <cell r="M94">
            <v>50000</v>
          </cell>
        </row>
        <row r="95">
          <cell r="A95" t="str">
            <v>A0184L0</v>
          </cell>
          <cell r="B95" t="str">
            <v>92</v>
          </cell>
          <cell r="C95" t="str">
            <v>0184L0</v>
          </cell>
          <cell r="D95" t="str">
            <v>PLUS 중기종합채권(A-이상)액티브</v>
          </cell>
          <cell r="E95">
            <v>100115.55</v>
          </cell>
          <cell r="F95">
            <v>100130</v>
          </cell>
          <cell r="G95" t="str">
            <v>70 ( 0.07%)</v>
          </cell>
          <cell r="H95">
            <v>4</v>
          </cell>
          <cell r="I95" t="str">
            <v>채권-혼합</v>
          </cell>
          <cell r="J95">
            <v>12</v>
          </cell>
          <cell r="K95">
            <v>0</v>
          </cell>
          <cell r="L95">
            <v>-6289361</v>
          </cell>
          <cell r="M95">
            <v>1000</v>
          </cell>
        </row>
        <row r="96">
          <cell r="A96" t="str">
            <v>A0184V0</v>
          </cell>
          <cell r="B96" t="str">
            <v>93</v>
          </cell>
          <cell r="C96" t="str">
            <v>0184V0</v>
          </cell>
          <cell r="D96" t="str">
            <v>UNICORN K바이오액티브</v>
          </cell>
          <cell r="E96">
            <v>5446.17</v>
          </cell>
          <cell r="F96">
            <v>5440</v>
          </cell>
          <cell r="G96" t="str">
            <v>180 ( 3.20%)</v>
          </cell>
          <cell r="H96">
            <v>55336</v>
          </cell>
          <cell r="I96" t="str">
            <v>주식-업종섹터</v>
          </cell>
          <cell r="J96">
            <v>16</v>
          </cell>
          <cell r="K96">
            <v>11331</v>
          </cell>
          <cell r="L96">
            <v>7355065</v>
          </cell>
          <cell r="M96">
            <v>50000</v>
          </cell>
        </row>
        <row r="97">
          <cell r="A97" t="str">
            <v>A0186S0</v>
          </cell>
          <cell r="B97" t="str">
            <v>94</v>
          </cell>
          <cell r="C97" t="str">
            <v>0186S0</v>
          </cell>
          <cell r="D97" t="str">
            <v>1Q 코스닥150채권혼합50액티브</v>
          </cell>
          <cell r="E97">
            <v>7930.65</v>
          </cell>
          <cell r="F97">
            <v>7925</v>
          </cell>
          <cell r="G97" t="str">
            <v>50 ( 0.63%)</v>
          </cell>
          <cell r="H97">
            <v>225406</v>
          </cell>
          <cell r="I97" t="str">
            <v>혼합-주식채권</v>
          </cell>
          <cell r="J97">
            <v>155</v>
          </cell>
          <cell r="K97">
            <v>5669</v>
          </cell>
          <cell r="L97">
            <v>-16617141</v>
          </cell>
          <cell r="M97">
            <v>50000</v>
          </cell>
        </row>
        <row r="98">
          <cell r="A98" t="str">
            <v>A0189Z0</v>
          </cell>
          <cell r="B98" t="str">
            <v>95</v>
          </cell>
          <cell r="C98" t="str">
            <v>0189Z0</v>
          </cell>
          <cell r="D98" t="str">
            <v>DAISHIN343 금융&amp;지주고배당</v>
          </cell>
          <cell r="E98">
            <v>10060.530000000001</v>
          </cell>
          <cell r="F98">
            <v>10015</v>
          </cell>
          <cell r="G98" t="str">
            <v>45 ( 0.45%)</v>
          </cell>
          <cell r="H98">
            <v>154</v>
          </cell>
          <cell r="I98" t="str">
            <v>주식-전략</v>
          </cell>
          <cell r="J98">
            <v>20</v>
          </cell>
          <cell r="K98">
            <v>24053</v>
          </cell>
          <cell r="L98">
            <v>13018176</v>
          </cell>
          <cell r="M98">
            <v>50000</v>
          </cell>
        </row>
        <row r="99">
          <cell r="A99" t="str">
            <v>A0190C0</v>
          </cell>
          <cell r="B99" t="str">
            <v>96</v>
          </cell>
          <cell r="C99" t="str">
            <v>0190C0</v>
          </cell>
          <cell r="D99" t="str">
            <v>RISE 현대차고정피지컬AI</v>
          </cell>
          <cell r="E99">
            <v>8319.48</v>
          </cell>
          <cell r="F99">
            <v>8310</v>
          </cell>
          <cell r="G99" t="str">
            <v>225 ( 2.78%)</v>
          </cell>
          <cell r="H99">
            <v>1325335</v>
          </cell>
          <cell r="I99" t="str">
            <v>주식-업종섹터</v>
          </cell>
          <cell r="J99">
            <v>14</v>
          </cell>
          <cell r="K99">
            <v>2303</v>
          </cell>
          <cell r="L99">
            <v>2271402</v>
          </cell>
          <cell r="M99">
            <v>50000</v>
          </cell>
        </row>
        <row r="100">
          <cell r="A100" t="str">
            <v>A0190G0</v>
          </cell>
          <cell r="B100" t="str">
            <v>97</v>
          </cell>
          <cell r="C100" t="str">
            <v>0190G0</v>
          </cell>
          <cell r="D100" t="str">
            <v>KODEX 반도체타겟위클리커버드콜</v>
          </cell>
          <cell r="E100">
            <v>9148.06</v>
          </cell>
          <cell r="F100">
            <v>9135</v>
          </cell>
          <cell r="G100" t="str">
            <v>320 ( 3.63%)</v>
          </cell>
          <cell r="H100">
            <v>1283471</v>
          </cell>
          <cell r="I100" t="str">
            <v>주식-전략</v>
          </cell>
          <cell r="J100">
            <v>37</v>
          </cell>
          <cell r="K100">
            <v>5608</v>
          </cell>
          <cell r="L100">
            <v>-2104588</v>
          </cell>
          <cell r="M100">
            <v>100000</v>
          </cell>
        </row>
        <row r="101">
          <cell r="A101" t="str">
            <v>A0191B0</v>
          </cell>
          <cell r="B101" t="str">
            <v>98</v>
          </cell>
          <cell r="C101" t="str">
            <v>0191B0</v>
          </cell>
          <cell r="D101" t="str">
            <v>MIDAS 코스닥액티브</v>
          </cell>
          <cell r="E101">
            <v>29458.46</v>
          </cell>
          <cell r="F101">
            <v>29540</v>
          </cell>
          <cell r="G101" t="str">
            <v>600 ( 2.07%)</v>
          </cell>
          <cell r="H101">
            <v>365</v>
          </cell>
          <cell r="I101" t="str">
            <v>주식-시장대표</v>
          </cell>
          <cell r="J101">
            <v>59</v>
          </cell>
          <cell r="K101">
            <v>17734</v>
          </cell>
          <cell r="L101">
            <v>6509840</v>
          </cell>
          <cell r="M101">
            <v>25000</v>
          </cell>
        </row>
        <row r="102">
          <cell r="A102" t="str">
            <v>A0191M0</v>
          </cell>
          <cell r="B102" t="str">
            <v>99</v>
          </cell>
          <cell r="C102" t="str">
            <v>0191M0</v>
          </cell>
          <cell r="D102" t="str">
            <v>마이티 5월만기자동연장특수채(AAA)액티브</v>
          </cell>
          <cell r="E102">
            <v>100361.21</v>
          </cell>
          <cell r="F102">
            <v>100370</v>
          </cell>
          <cell r="G102" t="str">
            <v>10 ( 0.01%)</v>
          </cell>
          <cell r="H102">
            <v>2</v>
          </cell>
          <cell r="I102" t="str">
            <v>채권-국공채</v>
          </cell>
          <cell r="J102">
            <v>4</v>
          </cell>
          <cell r="K102">
            <v>0</v>
          </cell>
          <cell r="L102">
            <v>4073264</v>
          </cell>
          <cell r="M102">
            <v>1000</v>
          </cell>
        </row>
        <row r="103">
          <cell r="A103" t="str">
            <v>A0191S0</v>
          </cell>
          <cell r="B103" t="str">
            <v>100</v>
          </cell>
          <cell r="C103" t="str">
            <v>0191S0</v>
          </cell>
          <cell r="D103" t="str">
            <v>IBK 코스닥150</v>
          </cell>
          <cell r="E103">
            <v>12830.54</v>
          </cell>
          <cell r="F103">
            <v>12850</v>
          </cell>
          <cell r="G103" t="str">
            <v>60 ( 0.47%)</v>
          </cell>
          <cell r="H103">
            <v>1749</v>
          </cell>
          <cell r="I103" t="str">
            <v>주식-시장대표</v>
          </cell>
          <cell r="J103">
            <v>150</v>
          </cell>
          <cell r="K103">
            <v>6599</v>
          </cell>
          <cell r="L103">
            <v>991924</v>
          </cell>
          <cell r="M103">
            <v>20000</v>
          </cell>
        </row>
        <row r="104">
          <cell r="A104" t="str">
            <v>A0191W0</v>
          </cell>
          <cell r="B104" t="str">
            <v>101</v>
          </cell>
          <cell r="C104" t="str">
            <v>0191W0</v>
          </cell>
          <cell r="D104" t="str">
            <v>HANARO 중기종합채권(A-이상)액티브</v>
          </cell>
          <cell r="E104">
            <v>100428.77</v>
          </cell>
          <cell r="F104">
            <v>100420</v>
          </cell>
          <cell r="G104" t="str">
            <v>45 ( 0.04%)</v>
          </cell>
          <cell r="H104">
            <v>1</v>
          </cell>
          <cell r="I104" t="str">
            <v>채권-혼합</v>
          </cell>
          <cell r="J104">
            <v>8</v>
          </cell>
          <cell r="K104">
            <v>0</v>
          </cell>
          <cell r="L104">
            <v>45130156</v>
          </cell>
          <cell r="M104">
            <v>1000</v>
          </cell>
        </row>
        <row r="105">
          <cell r="A105" t="str">
            <v>A0192L0</v>
          </cell>
          <cell r="B105" t="str">
            <v>102</v>
          </cell>
          <cell r="C105" t="str">
            <v>0192L0</v>
          </cell>
          <cell r="D105" t="str">
            <v>RISE SK하이닉스단일종목레버리지</v>
          </cell>
          <cell r="E105">
            <v>12686.31</v>
          </cell>
          <cell r="F105">
            <v>12610</v>
          </cell>
          <cell r="G105" t="str">
            <v>1,425 (12.74%)</v>
          </cell>
          <cell r="H105">
            <v>771175</v>
          </cell>
          <cell r="I105" t="str">
            <v>기타</v>
          </cell>
          <cell r="J105">
            <v>2</v>
          </cell>
          <cell r="K105">
            <v>140</v>
          </cell>
          <cell r="L105">
            <v>68602371</v>
          </cell>
          <cell r="M105">
            <v>25000</v>
          </cell>
        </row>
        <row r="106">
          <cell r="A106" t="str">
            <v>A0192M0</v>
          </cell>
          <cell r="B106" t="str">
            <v>103</v>
          </cell>
          <cell r="C106" t="str">
            <v>0192M0</v>
          </cell>
          <cell r="D106" t="str">
            <v>RISE 삼성전자단일종목레버리지</v>
          </cell>
          <cell r="E106">
            <v>12795.67</v>
          </cell>
          <cell r="F106">
            <v>12770</v>
          </cell>
          <cell r="G106" t="str">
            <v>1,565 (13.97%)</v>
          </cell>
          <cell r="H106">
            <v>407503</v>
          </cell>
          <cell r="I106" t="str">
            <v>기타</v>
          </cell>
          <cell r="J106">
            <v>2</v>
          </cell>
          <cell r="K106">
            <v>1009</v>
          </cell>
          <cell r="L106">
            <v>65079711</v>
          </cell>
          <cell r="M106">
            <v>25000</v>
          </cell>
        </row>
        <row r="107">
          <cell r="A107" t="str">
            <v>A0192S0</v>
          </cell>
          <cell r="B107" t="str">
            <v>104</v>
          </cell>
          <cell r="C107" t="str">
            <v>0192S0</v>
          </cell>
          <cell r="D107" t="str">
            <v>SOL 코스피200채권혼합50</v>
          </cell>
          <cell r="E107">
            <v>9433.7800000000007</v>
          </cell>
          <cell r="F107">
            <v>9425</v>
          </cell>
          <cell r="G107" t="str">
            <v>185 ( 2.00%)</v>
          </cell>
          <cell r="H107">
            <v>119291</v>
          </cell>
          <cell r="I107" t="str">
            <v>혼합-주식채권</v>
          </cell>
          <cell r="J107">
            <v>190</v>
          </cell>
          <cell r="K107">
            <v>3754</v>
          </cell>
          <cell r="L107">
            <v>54053715</v>
          </cell>
          <cell r="M107">
            <v>100000</v>
          </cell>
        </row>
        <row r="108">
          <cell r="A108" t="str">
            <v>A0192T0</v>
          </cell>
          <cell r="B108" t="str">
            <v>105</v>
          </cell>
          <cell r="C108" t="str">
            <v>0192T0</v>
          </cell>
          <cell r="D108" t="str">
            <v>SOL 코스닥TOP10</v>
          </cell>
          <cell r="E108">
            <v>6196.48</v>
          </cell>
          <cell r="F108">
            <v>6195</v>
          </cell>
          <cell r="G108" t="str">
            <v>135 ( 2.23%)</v>
          </cell>
          <cell r="H108">
            <v>558959</v>
          </cell>
          <cell r="I108" t="str">
            <v>주식-규모</v>
          </cell>
          <cell r="J108">
            <v>10</v>
          </cell>
          <cell r="K108">
            <v>4185</v>
          </cell>
          <cell r="L108">
            <v>1466417</v>
          </cell>
          <cell r="M108">
            <v>50000</v>
          </cell>
        </row>
        <row r="109">
          <cell r="A109" t="str">
            <v>A0192Z0</v>
          </cell>
          <cell r="B109" t="str">
            <v>106</v>
          </cell>
          <cell r="C109" t="str">
            <v>0192Z0</v>
          </cell>
          <cell r="D109" t="str">
            <v>TIGER 중기종합채권(A-이상)액티브</v>
          </cell>
          <cell r="E109">
            <v>100435.57</v>
          </cell>
          <cell r="F109">
            <v>100415</v>
          </cell>
          <cell r="G109" t="str">
            <v>55 ( 0.05%)</v>
          </cell>
          <cell r="H109">
            <v>2000</v>
          </cell>
          <cell r="I109" t="str">
            <v>채권-혼합</v>
          </cell>
          <cell r="J109">
            <v>22</v>
          </cell>
          <cell r="K109">
            <v>0</v>
          </cell>
          <cell r="L109">
            <v>-20567964</v>
          </cell>
          <cell r="M109">
            <v>1000</v>
          </cell>
        </row>
        <row r="110">
          <cell r="A110" t="str">
            <v>A0193G0</v>
          </cell>
          <cell r="B110" t="str">
            <v>107</v>
          </cell>
          <cell r="C110" t="str">
            <v>0193G0</v>
          </cell>
          <cell r="D110" t="str">
            <v>KoAct 코스피액티브</v>
          </cell>
          <cell r="E110">
            <v>8457.14</v>
          </cell>
          <cell r="F110">
            <v>8440</v>
          </cell>
          <cell r="G110" t="str">
            <v>345 ( 4.26%)</v>
          </cell>
          <cell r="H110">
            <v>250671</v>
          </cell>
          <cell r="I110" t="str">
            <v>주식-시장대표</v>
          </cell>
          <cell r="J110">
            <v>37</v>
          </cell>
          <cell r="K110">
            <v>1350</v>
          </cell>
          <cell r="L110">
            <v>399171</v>
          </cell>
          <cell r="M110">
            <v>50000</v>
          </cell>
        </row>
        <row r="111">
          <cell r="A111" t="str">
            <v>A0193K0</v>
          </cell>
          <cell r="B111" t="str">
            <v>108</v>
          </cell>
          <cell r="C111" t="str">
            <v>0193K0</v>
          </cell>
          <cell r="D111" t="str">
            <v>PLUS 삼성전자단일종목레버리지</v>
          </cell>
          <cell r="E111">
            <v>13778.44</v>
          </cell>
          <cell r="F111">
            <v>13745</v>
          </cell>
          <cell r="G111" t="str">
            <v>1,490 (12.16%)</v>
          </cell>
          <cell r="H111">
            <v>170112</v>
          </cell>
          <cell r="I111" t="str">
            <v>기타</v>
          </cell>
          <cell r="J111">
            <v>4</v>
          </cell>
          <cell r="K111">
            <v>5072</v>
          </cell>
          <cell r="L111">
            <v>547904</v>
          </cell>
          <cell r="M111">
            <v>25000</v>
          </cell>
        </row>
        <row r="112">
          <cell r="A112" t="str">
            <v>A0193L0</v>
          </cell>
          <cell r="B112" t="str">
            <v>109</v>
          </cell>
          <cell r="C112" t="str">
            <v>0193L0</v>
          </cell>
          <cell r="D112" t="str">
            <v>PLUS 삼성전자선물단일종목인버스2X</v>
          </cell>
          <cell r="E112">
            <v>16133.85</v>
          </cell>
          <cell r="F112">
            <v>16110</v>
          </cell>
          <cell r="G112" t="str">
            <v>2,680 (14.26%)</v>
          </cell>
          <cell r="H112">
            <v>14972324</v>
          </cell>
          <cell r="I112" t="str">
            <v>기타</v>
          </cell>
          <cell r="J112">
            <v>1</v>
          </cell>
          <cell r="K112">
            <v>-312</v>
          </cell>
          <cell r="L112">
            <v>385045015</v>
          </cell>
          <cell r="M112">
            <v>20000</v>
          </cell>
        </row>
        <row r="113">
          <cell r="A113" t="str">
            <v>A0193M0</v>
          </cell>
          <cell r="B113" t="str">
            <v>110</v>
          </cell>
          <cell r="C113" t="str">
            <v>0193M0</v>
          </cell>
          <cell r="D113" t="str">
            <v>BNK 27-12 특수채(AAA이상)액티브</v>
          </cell>
          <cell r="E113">
            <v>50145.1</v>
          </cell>
          <cell r="F113">
            <v>50150</v>
          </cell>
          <cell r="G113" t="str">
            <v>0 ( 0.00%)</v>
          </cell>
          <cell r="H113">
            <v>0</v>
          </cell>
          <cell r="I113" t="str">
            <v>채권-국공채</v>
          </cell>
          <cell r="J113">
            <v>8</v>
          </cell>
          <cell r="K113">
            <v>0</v>
          </cell>
          <cell r="L113">
            <v>5846747</v>
          </cell>
          <cell r="M113">
            <v>2000</v>
          </cell>
        </row>
        <row r="114">
          <cell r="A114" t="str">
            <v>A0193T0</v>
          </cell>
          <cell r="B114" t="str">
            <v>111</v>
          </cell>
          <cell r="C114" t="str">
            <v>0193T0</v>
          </cell>
          <cell r="D114" t="str">
            <v>KODEX SK하이닉스단일종목레버리지</v>
          </cell>
          <cell r="E114">
            <v>14860.91</v>
          </cell>
          <cell r="F114">
            <v>14835</v>
          </cell>
          <cell r="G114" t="str">
            <v>1,585 (11.96%)</v>
          </cell>
          <cell r="H114">
            <v>207347966</v>
          </cell>
          <cell r="I114" t="str">
            <v>기타</v>
          </cell>
          <cell r="J114">
            <v>2</v>
          </cell>
          <cell r="K114">
            <v>192</v>
          </cell>
          <cell r="L114">
            <v>25718795</v>
          </cell>
          <cell r="M114">
            <v>25000</v>
          </cell>
        </row>
        <row r="115">
          <cell r="A115" t="str">
            <v>A0193W0</v>
          </cell>
          <cell r="B115" t="str">
            <v>112</v>
          </cell>
          <cell r="C115" t="str">
            <v>0193W0</v>
          </cell>
          <cell r="D115" t="str">
            <v>KODEX 삼성전자단일종목레버리지</v>
          </cell>
          <cell r="E115">
            <v>13714.85</v>
          </cell>
          <cell r="F115">
            <v>13720</v>
          </cell>
          <cell r="G115" t="str">
            <v>1,615 (13.34%)</v>
          </cell>
          <cell r="H115">
            <v>69279140</v>
          </cell>
          <cell r="I115" t="str">
            <v>기타</v>
          </cell>
          <cell r="J115">
            <v>2</v>
          </cell>
          <cell r="K115">
            <v>1254</v>
          </cell>
          <cell r="L115">
            <v>23748183</v>
          </cell>
          <cell r="M115">
            <v>25000</v>
          </cell>
        </row>
        <row r="116">
          <cell r="A116" t="str">
            <v>A0194M0</v>
          </cell>
          <cell r="B116" t="str">
            <v>113</v>
          </cell>
          <cell r="C116" t="str">
            <v>0194M0</v>
          </cell>
          <cell r="D116" t="str">
            <v>ACE 삼성전자단일종목레버리지</v>
          </cell>
          <cell r="E116">
            <v>12679</v>
          </cell>
          <cell r="F116">
            <v>12615</v>
          </cell>
          <cell r="G116" t="str">
            <v>1,470 (13.19%)</v>
          </cell>
          <cell r="H116">
            <v>777411</v>
          </cell>
          <cell r="I116" t="str">
            <v>기타</v>
          </cell>
          <cell r="J116">
            <v>3</v>
          </cell>
          <cell r="K116">
            <v>5035</v>
          </cell>
          <cell r="L116">
            <v>-37570443</v>
          </cell>
          <cell r="M116">
            <v>25000</v>
          </cell>
        </row>
        <row r="117">
          <cell r="A117" t="str">
            <v>A0194N0</v>
          </cell>
          <cell r="B117" t="str">
            <v>114</v>
          </cell>
          <cell r="C117" t="str">
            <v>0194N0</v>
          </cell>
          <cell r="D117" t="str">
            <v>KIWOOM 삼성전자선물단일종목레버리지</v>
          </cell>
          <cell r="E117">
            <v>12486.68</v>
          </cell>
          <cell r="F117">
            <v>12500</v>
          </cell>
          <cell r="G117" t="str">
            <v>1,535 (14.00%)</v>
          </cell>
          <cell r="H117">
            <v>146392</v>
          </cell>
          <cell r="I117" t="str">
            <v>기타</v>
          </cell>
          <cell r="J117">
            <v>2</v>
          </cell>
          <cell r="K117">
            <v>458</v>
          </cell>
          <cell r="L117">
            <v>204578649</v>
          </cell>
          <cell r="M117">
            <v>25000</v>
          </cell>
        </row>
        <row r="118">
          <cell r="A118" t="str">
            <v>A0194R0</v>
          </cell>
          <cell r="B118" t="str">
            <v>115</v>
          </cell>
          <cell r="C118" t="str">
            <v>0194R0</v>
          </cell>
          <cell r="D118" t="str">
            <v>KIWOOM SK하이닉스선물단일종목레버리지</v>
          </cell>
          <cell r="E118">
            <v>12207.22</v>
          </cell>
          <cell r="F118">
            <v>12195</v>
          </cell>
          <cell r="G118" t="str">
            <v>1,300 (11.93%)</v>
          </cell>
          <cell r="H118">
            <v>314376</v>
          </cell>
          <cell r="I118" t="str">
            <v>기타</v>
          </cell>
          <cell r="J118">
            <v>2</v>
          </cell>
          <cell r="K118">
            <v>63</v>
          </cell>
          <cell r="L118">
            <v>206063870</v>
          </cell>
          <cell r="M118">
            <v>25000</v>
          </cell>
        </row>
        <row r="119">
          <cell r="A119" t="str">
            <v>A0194T0</v>
          </cell>
          <cell r="B119" t="str">
            <v>116</v>
          </cell>
          <cell r="C119" t="str">
            <v>0194T0</v>
          </cell>
          <cell r="D119" t="str">
            <v>ACE SK하이닉스단일종목레버리지</v>
          </cell>
          <cell r="E119">
            <v>12524.03</v>
          </cell>
          <cell r="F119">
            <v>12500</v>
          </cell>
          <cell r="G119" t="str">
            <v>1,430 (12.92%)</v>
          </cell>
          <cell r="H119">
            <v>1787193</v>
          </cell>
          <cell r="I119" t="str">
            <v>기타</v>
          </cell>
          <cell r="J119">
            <v>3</v>
          </cell>
          <cell r="K119">
            <v>3923</v>
          </cell>
          <cell r="L119">
            <v>-41038687</v>
          </cell>
          <cell r="M119">
            <v>25000</v>
          </cell>
        </row>
        <row r="120">
          <cell r="A120" t="str">
            <v>A0195R0</v>
          </cell>
          <cell r="B120" t="str">
            <v>117</v>
          </cell>
          <cell r="C120" t="str">
            <v>0195R0</v>
          </cell>
          <cell r="D120" t="str">
            <v>TIGER 삼성전자단일종목레버리지</v>
          </cell>
          <cell r="E120">
            <v>12606.95</v>
          </cell>
          <cell r="F120">
            <v>12625</v>
          </cell>
          <cell r="G120" t="str">
            <v>1,530 (13.79%)</v>
          </cell>
          <cell r="H120">
            <v>34617962</v>
          </cell>
          <cell r="I120" t="str">
            <v>기타</v>
          </cell>
          <cell r="J120">
            <v>2</v>
          </cell>
          <cell r="K120">
            <v>1143</v>
          </cell>
          <cell r="L120">
            <v>24414637</v>
          </cell>
          <cell r="M120">
            <v>25000</v>
          </cell>
        </row>
        <row r="121">
          <cell r="A121" t="str">
            <v>A0195S0</v>
          </cell>
          <cell r="B121" t="str">
            <v>118</v>
          </cell>
          <cell r="C121" t="str">
            <v>0195S0</v>
          </cell>
          <cell r="D121" t="str">
            <v>TIGER SK하이닉스단일종목레버리지</v>
          </cell>
          <cell r="E121">
            <v>12528.8</v>
          </cell>
          <cell r="F121">
            <v>12505</v>
          </cell>
          <cell r="G121" t="str">
            <v>1,315 (11.75%)</v>
          </cell>
          <cell r="H121">
            <v>107916844</v>
          </cell>
          <cell r="I121" t="str">
            <v>기타</v>
          </cell>
          <cell r="J121">
            <v>2</v>
          </cell>
          <cell r="K121">
            <v>163</v>
          </cell>
          <cell r="L121">
            <v>19945913</v>
          </cell>
          <cell r="M121">
            <v>25000</v>
          </cell>
        </row>
        <row r="122">
          <cell r="A122" t="str">
            <v>A0197W0</v>
          </cell>
          <cell r="B122" t="str">
            <v>119</v>
          </cell>
          <cell r="C122" t="str">
            <v>0197W0</v>
          </cell>
          <cell r="D122" t="str">
            <v>SOL SK하이닉스단일종목레버리지</v>
          </cell>
          <cell r="E122">
            <v>12395.28</v>
          </cell>
          <cell r="F122">
            <v>12350</v>
          </cell>
          <cell r="G122" t="str">
            <v>1,330 (12.07%)</v>
          </cell>
          <cell r="H122">
            <v>2925026</v>
          </cell>
          <cell r="I122" t="str">
            <v>기타</v>
          </cell>
          <cell r="J122">
            <v>2</v>
          </cell>
          <cell r="K122">
            <v>171</v>
          </cell>
          <cell r="L122">
            <v>1774437</v>
          </cell>
          <cell r="M122">
            <v>25000</v>
          </cell>
        </row>
        <row r="123">
          <cell r="A123" t="str">
            <v>A0197X0</v>
          </cell>
          <cell r="B123" t="str">
            <v>120</v>
          </cell>
          <cell r="C123" t="str">
            <v>0197X0</v>
          </cell>
          <cell r="D123" t="str">
            <v>SOL SK하이닉스선물단일종목인버스2X</v>
          </cell>
          <cell r="E123">
            <v>10754.87</v>
          </cell>
          <cell r="F123">
            <v>10760</v>
          </cell>
          <cell r="G123" t="str">
            <v>1,610 (13.02%)</v>
          </cell>
          <cell r="H123">
            <v>185674148</v>
          </cell>
          <cell r="I123" t="str">
            <v>기타</v>
          </cell>
          <cell r="J123">
            <v>1</v>
          </cell>
          <cell r="K123">
            <v>-35</v>
          </cell>
          <cell r="L123">
            <v>311015639</v>
          </cell>
          <cell r="M123">
            <v>25000</v>
          </cell>
        </row>
        <row r="124">
          <cell r="A124" t="str">
            <v>A0198A0</v>
          </cell>
          <cell r="B124" t="str">
            <v>121</v>
          </cell>
          <cell r="C124" t="str">
            <v>0198A0</v>
          </cell>
          <cell r="D124" t="str">
            <v>KIWOOM 코스닥150커버드콜액티브</v>
          </cell>
          <cell r="E124">
            <v>8466.69</v>
          </cell>
          <cell r="F124">
            <v>8470</v>
          </cell>
          <cell r="G124" t="str">
            <v>70 ( 0.83%)</v>
          </cell>
          <cell r="H124">
            <v>440574</v>
          </cell>
          <cell r="I124" t="str">
            <v>주식-전략</v>
          </cell>
          <cell r="J124">
            <v>153</v>
          </cell>
          <cell r="K124">
            <v>17595</v>
          </cell>
          <cell r="L124">
            <v>98481770</v>
          </cell>
          <cell r="M124">
            <v>50000</v>
          </cell>
        </row>
        <row r="125">
          <cell r="A125" t="str">
            <v>A0198B0</v>
          </cell>
          <cell r="B125" t="str">
            <v>122</v>
          </cell>
          <cell r="C125" t="str">
            <v>0198B0</v>
          </cell>
          <cell r="D125" t="str">
            <v>1Q 삼성전자선물단일종목레버리지</v>
          </cell>
          <cell r="E125">
            <v>13077.75</v>
          </cell>
          <cell r="F125">
            <v>13050</v>
          </cell>
          <cell r="G125" t="str">
            <v>1,575 (13.73%)</v>
          </cell>
          <cell r="H125">
            <v>147375</v>
          </cell>
          <cell r="I125" t="str">
            <v>기타</v>
          </cell>
          <cell r="J125">
            <v>2</v>
          </cell>
          <cell r="K125">
            <v>139</v>
          </cell>
          <cell r="L125">
            <v>31370737</v>
          </cell>
          <cell r="M125">
            <v>5000</v>
          </cell>
        </row>
        <row r="126">
          <cell r="A126" t="str">
            <v>A0198D0</v>
          </cell>
          <cell r="B126" t="str">
            <v>123</v>
          </cell>
          <cell r="C126" t="str">
            <v>0198D0</v>
          </cell>
          <cell r="D126" t="str">
            <v>1Q SK하이닉스선물단일종목레버리지</v>
          </cell>
          <cell r="E126">
            <v>13063.57</v>
          </cell>
          <cell r="F126">
            <v>12955</v>
          </cell>
          <cell r="G126" t="str">
            <v>1,345 (11.58%)</v>
          </cell>
          <cell r="H126">
            <v>461833</v>
          </cell>
          <cell r="I126" t="str">
            <v>기타</v>
          </cell>
          <cell r="J126">
            <v>2</v>
          </cell>
          <cell r="K126">
            <v>20</v>
          </cell>
          <cell r="L126">
            <v>31198843</v>
          </cell>
          <cell r="M126">
            <v>5000</v>
          </cell>
        </row>
        <row r="127">
          <cell r="A127" t="str">
            <v>A0199C0</v>
          </cell>
          <cell r="B127" t="str">
            <v>124</v>
          </cell>
          <cell r="C127" t="str">
            <v>0199C0</v>
          </cell>
          <cell r="D127" t="str">
            <v>ACE 고배당주Plus커버드콜액티브</v>
          </cell>
          <cell r="E127">
            <v>9726.39</v>
          </cell>
          <cell r="F127">
            <v>9725</v>
          </cell>
          <cell r="G127" t="str">
            <v>130 ( 1.35%)</v>
          </cell>
          <cell r="H127">
            <v>408111</v>
          </cell>
          <cell r="I127" t="str">
            <v>주식-전략</v>
          </cell>
          <cell r="J127">
            <v>22</v>
          </cell>
          <cell r="K127">
            <v>11726</v>
          </cell>
          <cell r="L127">
            <v>18563472</v>
          </cell>
          <cell r="M127">
            <v>50000</v>
          </cell>
        </row>
        <row r="128">
          <cell r="A128" t="str">
            <v>A0203D0</v>
          </cell>
          <cell r="B128" t="str">
            <v>125</v>
          </cell>
          <cell r="C128" t="str">
            <v>0203D0</v>
          </cell>
          <cell r="D128" t="str">
            <v>PLUS 200위클리커버드콜채권혼합</v>
          </cell>
          <cell r="E128">
            <v>9090.24</v>
          </cell>
          <cell r="F128">
            <v>9070</v>
          </cell>
          <cell r="G128" t="str">
            <v>175 ( 1.97%)</v>
          </cell>
          <cell r="H128">
            <v>49333</v>
          </cell>
          <cell r="I128" t="str">
            <v>혼합-주식채권</v>
          </cell>
          <cell r="J128">
            <v>191</v>
          </cell>
          <cell r="K128">
            <v>4920</v>
          </cell>
          <cell r="L128">
            <v>9043386</v>
          </cell>
          <cell r="M128">
            <v>100000</v>
          </cell>
        </row>
        <row r="129">
          <cell r="A129" t="str">
            <v>A0203R0</v>
          </cell>
          <cell r="B129" t="str">
            <v>126</v>
          </cell>
          <cell r="C129" t="str">
            <v>0203R0</v>
          </cell>
          <cell r="D129" t="str">
            <v>WON 중단기종합채권(A-이상)액티브</v>
          </cell>
          <cell r="E129">
            <v>50195.29</v>
          </cell>
          <cell r="F129">
            <v>50190</v>
          </cell>
          <cell r="G129" t="str">
            <v>35 ( 0.07%)</v>
          </cell>
          <cell r="H129">
            <v>1</v>
          </cell>
          <cell r="I129" t="str">
            <v>채권-혼합</v>
          </cell>
          <cell r="J129">
            <v>5</v>
          </cell>
          <cell r="K129">
            <v>0</v>
          </cell>
          <cell r="L129">
            <v>-5820725</v>
          </cell>
          <cell r="M129">
            <v>2000</v>
          </cell>
        </row>
        <row r="130">
          <cell r="A130" t="str">
            <v>A0203S0</v>
          </cell>
          <cell r="B130" t="str">
            <v>127</v>
          </cell>
          <cell r="C130" t="str">
            <v>0203S0</v>
          </cell>
          <cell r="D130" t="str">
            <v>WON 삼성전자현대차채권혼합50</v>
          </cell>
          <cell r="E130">
            <v>8568.31</v>
          </cell>
          <cell r="F130">
            <v>8565</v>
          </cell>
          <cell r="G130" t="str">
            <v>165 ( 1.96%)</v>
          </cell>
          <cell r="H130">
            <v>79922</v>
          </cell>
          <cell r="I130" t="str">
            <v>혼합-주식채권</v>
          </cell>
          <cell r="J130">
            <v>3</v>
          </cell>
          <cell r="K130">
            <v>692</v>
          </cell>
          <cell r="L130">
            <v>9688595</v>
          </cell>
          <cell r="M130">
            <v>50000</v>
          </cell>
        </row>
        <row r="131">
          <cell r="A131" t="str">
            <v>A0204S0</v>
          </cell>
          <cell r="B131" t="str">
            <v>128</v>
          </cell>
          <cell r="C131" t="str">
            <v>0204S0</v>
          </cell>
          <cell r="D131" t="str">
            <v>TIGER 코스닥액티브</v>
          </cell>
          <cell r="E131">
            <v>7010.58</v>
          </cell>
          <cell r="F131">
            <v>7000</v>
          </cell>
          <cell r="G131" t="str">
            <v>165 ( 2.41%)</v>
          </cell>
          <cell r="H131">
            <v>41254</v>
          </cell>
          <cell r="I131" t="str">
            <v>주식-시장대표</v>
          </cell>
          <cell r="J131">
            <v>51</v>
          </cell>
          <cell r="K131">
            <v>2530</v>
          </cell>
          <cell r="L131">
            <v>1870393</v>
          </cell>
          <cell r="M131">
            <v>10000</v>
          </cell>
        </row>
        <row r="132">
          <cell r="A132" t="str">
            <v>A0206G0</v>
          </cell>
          <cell r="B132" t="str">
            <v>129</v>
          </cell>
          <cell r="C132" t="str">
            <v>0206G0</v>
          </cell>
          <cell r="D132" t="str">
            <v>1Q 현대차기아채권혼합50</v>
          </cell>
          <cell r="E132">
            <v>8424.07</v>
          </cell>
          <cell r="F132">
            <v>8420</v>
          </cell>
          <cell r="G132" t="str">
            <v>75 ( 0.90%)</v>
          </cell>
          <cell r="H132">
            <v>199166</v>
          </cell>
          <cell r="I132" t="str">
            <v>혼합-주식채권</v>
          </cell>
          <cell r="J132">
            <v>6</v>
          </cell>
          <cell r="K132">
            <v>986</v>
          </cell>
          <cell r="L132">
            <v>29128907</v>
          </cell>
          <cell r="M132">
            <v>50000</v>
          </cell>
        </row>
        <row r="133">
          <cell r="A133" t="str">
            <v>A0207G0</v>
          </cell>
          <cell r="B133" t="str">
            <v>130</v>
          </cell>
          <cell r="C133" t="str">
            <v>0207G0</v>
          </cell>
          <cell r="D133" t="str">
            <v>SOL 우주항공밸류체인</v>
          </cell>
          <cell r="E133">
            <v>5692.09</v>
          </cell>
          <cell r="F133">
            <v>5700</v>
          </cell>
          <cell r="G133" t="str">
            <v>20 ( 0.35%)</v>
          </cell>
          <cell r="H133">
            <v>183058</v>
          </cell>
          <cell r="I133" t="str">
            <v>주식-업종섹터</v>
          </cell>
          <cell r="J133">
            <v>10</v>
          </cell>
          <cell r="K133">
            <v>7272</v>
          </cell>
          <cell r="L133">
            <v>968847</v>
          </cell>
          <cell r="M133">
            <v>50000</v>
          </cell>
        </row>
        <row r="134">
          <cell r="A134" t="str">
            <v>A0208N0</v>
          </cell>
          <cell r="B134" t="str">
            <v>131</v>
          </cell>
          <cell r="C134" t="str">
            <v>0208N0</v>
          </cell>
          <cell r="D134" t="str">
            <v>IBK 코스피액티브</v>
          </cell>
          <cell r="E134">
            <v>7627.21</v>
          </cell>
          <cell r="F134">
            <v>7595</v>
          </cell>
          <cell r="G134" t="str">
            <v>335 ( 4.61%)</v>
          </cell>
          <cell r="H134">
            <v>425</v>
          </cell>
          <cell r="I134" t="str">
            <v>주식-시장대표</v>
          </cell>
          <cell r="J134">
            <v>41</v>
          </cell>
          <cell r="K134">
            <v>1105</v>
          </cell>
          <cell r="L134">
            <v>3661620</v>
          </cell>
          <cell r="M134">
            <v>50000</v>
          </cell>
        </row>
        <row r="135">
          <cell r="A135" t="str">
            <v>A0209D0</v>
          </cell>
          <cell r="B135" t="str">
            <v>132</v>
          </cell>
          <cell r="C135" t="str">
            <v>0209D0</v>
          </cell>
          <cell r="D135" t="str">
            <v>KODEX 전고체배터리ESS TOP2플러스</v>
          </cell>
          <cell r="E135">
            <v>6879.12</v>
          </cell>
          <cell r="F135">
            <v>6855</v>
          </cell>
          <cell r="G135" t="str">
            <v>65 ( 0.96%)</v>
          </cell>
          <cell r="H135">
            <v>484058</v>
          </cell>
          <cell r="I135" t="str">
            <v>주식-업종섹터</v>
          </cell>
          <cell r="J135">
            <v>10</v>
          </cell>
          <cell r="K135">
            <v>4140</v>
          </cell>
          <cell r="L135">
            <v>1559646</v>
          </cell>
          <cell r="M135">
            <v>50000</v>
          </cell>
        </row>
        <row r="136">
          <cell r="A136" t="str">
            <v>A0209Z0</v>
          </cell>
          <cell r="B136" t="str">
            <v>133</v>
          </cell>
          <cell r="C136" t="str">
            <v>0209Z0</v>
          </cell>
          <cell r="D136" t="str">
            <v>ACE 코리아AI전력TOP10</v>
          </cell>
          <cell r="E136">
            <v>6543.66</v>
          </cell>
          <cell r="F136">
            <v>6530</v>
          </cell>
          <cell r="G136" t="str">
            <v>170 ( 2.67%)</v>
          </cell>
          <cell r="H136">
            <v>646474</v>
          </cell>
          <cell r="I136" t="str">
            <v>주식-업종섹터</v>
          </cell>
          <cell r="J136">
            <v>10</v>
          </cell>
          <cell r="K136">
            <v>3059</v>
          </cell>
          <cell r="L136">
            <v>422753</v>
          </cell>
          <cell r="M136">
            <v>50000</v>
          </cell>
        </row>
        <row r="137">
          <cell r="A137" t="str">
            <v>A0210A0</v>
          </cell>
          <cell r="B137" t="str">
            <v>134</v>
          </cell>
          <cell r="C137" t="str">
            <v>0210A0</v>
          </cell>
          <cell r="D137" t="str">
            <v>ACE K반도체TOP2+</v>
          </cell>
          <cell r="E137">
            <v>7473.86</v>
          </cell>
          <cell r="F137">
            <v>7465</v>
          </cell>
          <cell r="G137" t="str">
            <v>340 ( 4.77%)</v>
          </cell>
          <cell r="H137">
            <v>5732659</v>
          </cell>
          <cell r="I137" t="str">
            <v>주식-업종섹터</v>
          </cell>
          <cell r="J137">
            <v>10</v>
          </cell>
          <cell r="K137">
            <v>1078</v>
          </cell>
          <cell r="L137">
            <v>918838</v>
          </cell>
          <cell r="M137">
            <v>50000</v>
          </cell>
        </row>
        <row r="138">
          <cell r="A138" t="str">
            <v>A0210E0</v>
          </cell>
          <cell r="B138" t="str">
            <v>135</v>
          </cell>
          <cell r="C138" t="str">
            <v>0210E0</v>
          </cell>
          <cell r="D138" t="str">
            <v>PLUS 200커버드콜액티브</v>
          </cell>
          <cell r="E138">
            <v>7714.14</v>
          </cell>
          <cell r="F138">
            <v>7715</v>
          </cell>
          <cell r="G138" t="str">
            <v>330 ( 4.47%)</v>
          </cell>
          <cell r="H138">
            <v>97635</v>
          </cell>
          <cell r="I138" t="str">
            <v>주식-전략</v>
          </cell>
          <cell r="J138">
            <v>190</v>
          </cell>
          <cell r="K138">
            <v>4039</v>
          </cell>
          <cell r="L138">
            <v>936139</v>
          </cell>
          <cell r="M138">
            <v>100000</v>
          </cell>
        </row>
        <row r="139">
          <cell r="A139" t="str">
            <v>A0216Z0</v>
          </cell>
          <cell r="B139" t="str">
            <v>136</v>
          </cell>
          <cell r="C139" t="str">
            <v>0216Z0</v>
          </cell>
          <cell r="D139" t="str">
            <v>ACE K방산TOP5+</v>
          </cell>
          <cell r="E139">
            <v>8302.77</v>
          </cell>
          <cell r="F139">
            <v>8290</v>
          </cell>
          <cell r="G139" t="str">
            <v>50 ( 0.61%)</v>
          </cell>
          <cell r="H139">
            <v>393968</v>
          </cell>
          <cell r="I139" t="str">
            <v>주식-업종섹터</v>
          </cell>
          <cell r="J139">
            <v>10</v>
          </cell>
          <cell r="K139">
            <v>3589</v>
          </cell>
          <cell r="L139">
            <v>2276525</v>
          </cell>
          <cell r="M139">
            <v>50000</v>
          </cell>
        </row>
        <row r="140">
          <cell r="A140" t="str">
            <v>A0218K0</v>
          </cell>
          <cell r="B140" t="str">
            <v>137</v>
          </cell>
          <cell r="C140" t="str">
            <v>0218K0</v>
          </cell>
          <cell r="D140" t="str">
            <v>BNK 스마트카</v>
          </cell>
          <cell r="E140">
            <v>9983.17</v>
          </cell>
          <cell r="F140">
            <v>9975</v>
          </cell>
          <cell r="G140" t="str">
            <v>275 ( 2.84%)</v>
          </cell>
          <cell r="H140">
            <v>2724</v>
          </cell>
          <cell r="I140" t="str">
            <v>주식-업종섹터</v>
          </cell>
          <cell r="J140">
            <v>20</v>
          </cell>
          <cell r="K140">
            <v>10475</v>
          </cell>
          <cell r="L140">
            <v>2558214</v>
          </cell>
          <cell r="M140">
            <v>50000</v>
          </cell>
        </row>
        <row r="141">
          <cell r="A141" t="str">
            <v>A0219B0</v>
          </cell>
          <cell r="B141" t="str">
            <v>138</v>
          </cell>
          <cell r="C141" t="str">
            <v>0219B0</v>
          </cell>
          <cell r="D141" t="str">
            <v>KoAct 광통신&amp;위성네트워크액티브</v>
          </cell>
          <cell r="E141">
            <v>9555.43</v>
          </cell>
          <cell r="F141">
            <v>9575</v>
          </cell>
          <cell r="G141" t="str">
            <v>310 ( 3.35%)</v>
          </cell>
          <cell r="H141">
            <v>3457</v>
          </cell>
          <cell r="I141" t="str">
            <v>주식-업종섹터</v>
          </cell>
          <cell r="J141">
            <v>27</v>
          </cell>
          <cell r="K141">
            <v>24368</v>
          </cell>
          <cell r="L141">
            <v>8302356</v>
          </cell>
          <cell r="M141">
            <v>50000</v>
          </cell>
        </row>
        <row r="142">
          <cell r="A142" t="str">
            <v>A0219E0</v>
          </cell>
          <cell r="B142" t="str">
            <v>139</v>
          </cell>
          <cell r="C142" t="str">
            <v>0219E0</v>
          </cell>
          <cell r="D142" t="str">
            <v>KODEX 200커버드콜액티브</v>
          </cell>
          <cell r="E142">
            <v>8833.82</v>
          </cell>
          <cell r="F142">
            <v>8865</v>
          </cell>
          <cell r="G142" t="str">
            <v>365 ( 4.29%)</v>
          </cell>
          <cell r="H142">
            <v>3379274</v>
          </cell>
          <cell r="I142" t="str">
            <v>주식-전략</v>
          </cell>
          <cell r="J142">
            <v>108</v>
          </cell>
          <cell r="K142">
            <v>4997</v>
          </cell>
          <cell r="L142">
            <v>-2654338</v>
          </cell>
          <cell r="M142">
            <v>100000</v>
          </cell>
        </row>
        <row r="143">
          <cell r="A143" t="str">
            <v>A0220A0</v>
          </cell>
          <cell r="B143" t="str">
            <v>140</v>
          </cell>
          <cell r="C143" t="str">
            <v>0220A0</v>
          </cell>
          <cell r="D143" t="str">
            <v>KIWOOM 현대차그룹TOP3채권혼합50</v>
          </cell>
          <cell r="E143">
            <v>9553.09</v>
          </cell>
          <cell r="F143">
            <v>9540</v>
          </cell>
          <cell r="G143" t="str">
            <v>80 ( 0.85%)</v>
          </cell>
          <cell r="H143">
            <v>43253</v>
          </cell>
          <cell r="I143" t="str">
            <v>혼합-주식채권</v>
          </cell>
          <cell r="J143">
            <v>8</v>
          </cell>
          <cell r="K143">
            <v>1857</v>
          </cell>
          <cell r="L143">
            <v>-12992671</v>
          </cell>
          <cell r="M143">
            <v>100000</v>
          </cell>
        </row>
        <row r="144">
          <cell r="A144" t="str">
            <v>A0220B0</v>
          </cell>
          <cell r="B144" t="str">
            <v>141</v>
          </cell>
          <cell r="C144" t="str">
            <v>0220B0</v>
          </cell>
          <cell r="D144" t="str">
            <v>DS 코스닥액티브</v>
          </cell>
          <cell r="E144">
            <v>10863.45</v>
          </cell>
          <cell r="F144">
            <v>10850</v>
          </cell>
          <cell r="G144" t="str">
            <v>90 ( 0.84%)</v>
          </cell>
          <cell r="H144">
            <v>129821</v>
          </cell>
          <cell r="I144" t="str">
            <v>주식-시장대표</v>
          </cell>
          <cell r="J144">
            <v>28</v>
          </cell>
          <cell r="K144">
            <v>11141</v>
          </cell>
          <cell r="L144">
            <v>3010622</v>
          </cell>
          <cell r="M144">
            <v>50000</v>
          </cell>
        </row>
        <row r="145">
          <cell r="A145" t="str">
            <v>A0221V0</v>
          </cell>
          <cell r="B145" t="str">
            <v>142</v>
          </cell>
          <cell r="C145" t="str">
            <v>0221V0</v>
          </cell>
          <cell r="D145" t="str">
            <v>IBK 초단기채권액티브</v>
          </cell>
          <cell r="E145">
            <v>100032.44</v>
          </cell>
          <cell r="F145">
            <v>100030</v>
          </cell>
          <cell r="G145" t="str">
            <v>5 ( 0.00%)</v>
          </cell>
          <cell r="H145">
            <v>1</v>
          </cell>
          <cell r="I145" t="str">
            <v>채권-혼합</v>
          </cell>
          <cell r="J145">
            <v>11</v>
          </cell>
          <cell r="K145">
            <v>0</v>
          </cell>
          <cell r="L145">
            <v>24017656</v>
          </cell>
          <cell r="M145">
            <v>1000</v>
          </cell>
        </row>
        <row r="146">
          <cell r="A146" t="str">
            <v>A0221Z0</v>
          </cell>
          <cell r="B146" t="str">
            <v>143</v>
          </cell>
          <cell r="C146" t="str">
            <v>0221Z0</v>
          </cell>
          <cell r="D146" t="str">
            <v>ACE K바이오코스닥액티브</v>
          </cell>
          <cell r="E146">
            <v>9513.2099999999991</v>
          </cell>
          <cell r="F146">
            <v>9495</v>
          </cell>
          <cell r="G146" t="str">
            <v>170 ( 1.76%)</v>
          </cell>
          <cell r="H146">
            <v>452851</v>
          </cell>
          <cell r="I146" t="str">
            <v>주식-업종섹터</v>
          </cell>
          <cell r="J146">
            <v>20</v>
          </cell>
          <cell r="K146">
            <v>10084</v>
          </cell>
          <cell r="L146">
            <v>12274733</v>
          </cell>
          <cell r="M146">
            <v>50000</v>
          </cell>
        </row>
        <row r="147">
          <cell r="A147" t="str">
            <v>A069500</v>
          </cell>
          <cell r="B147" t="str">
            <v>144</v>
          </cell>
          <cell r="C147" t="str">
            <v>069500</v>
          </cell>
          <cell r="D147" t="str">
            <v>KODEX 200</v>
          </cell>
          <cell r="E147">
            <v>109041.74</v>
          </cell>
          <cell r="F147">
            <v>109090</v>
          </cell>
          <cell r="G147" t="str">
            <v>4,995 ( 4.80%)</v>
          </cell>
          <cell r="H147">
            <v>15395329</v>
          </cell>
          <cell r="I147" t="str">
            <v>주식-시장대표</v>
          </cell>
          <cell r="J147">
            <v>200</v>
          </cell>
          <cell r="K147">
            <v>28660</v>
          </cell>
          <cell r="L147">
            <v>2072458</v>
          </cell>
          <cell r="M147">
            <v>50000</v>
          </cell>
        </row>
        <row r="148">
          <cell r="A148" t="str">
            <v>A069660</v>
          </cell>
          <cell r="B148" t="str">
            <v>145</v>
          </cell>
          <cell r="C148" t="str">
            <v>069660</v>
          </cell>
          <cell r="D148" t="str">
            <v>KIWOOM 200</v>
          </cell>
          <cell r="E148">
            <v>108872.18</v>
          </cell>
          <cell r="F148">
            <v>108865</v>
          </cell>
          <cell r="G148" t="str">
            <v>5,145 ( 4.96%)</v>
          </cell>
          <cell r="H148">
            <v>198164</v>
          </cell>
          <cell r="I148" t="str">
            <v>주식-시장대표</v>
          </cell>
          <cell r="J148">
            <v>189</v>
          </cell>
          <cell r="K148">
            <v>28390</v>
          </cell>
          <cell r="L148">
            <v>17253786</v>
          </cell>
          <cell r="M148">
            <v>50000</v>
          </cell>
        </row>
        <row r="149">
          <cell r="A149" t="str">
            <v>A091160</v>
          </cell>
          <cell r="B149" t="str">
            <v>146</v>
          </cell>
          <cell r="C149" t="str">
            <v>091160</v>
          </cell>
          <cell r="D149" t="str">
            <v>KODEX 반도체</v>
          </cell>
          <cell r="E149">
            <v>129685.5</v>
          </cell>
          <cell r="F149">
            <v>129610</v>
          </cell>
          <cell r="G149" t="str">
            <v>5,105 ( 4.10%)</v>
          </cell>
          <cell r="H149">
            <v>1101385</v>
          </cell>
          <cell r="I149" t="str">
            <v>주식-업종섹터</v>
          </cell>
          <cell r="J149">
            <v>35</v>
          </cell>
          <cell r="K149">
            <v>40265</v>
          </cell>
          <cell r="L149">
            <v>13418973</v>
          </cell>
          <cell r="M149">
            <v>50000</v>
          </cell>
        </row>
        <row r="150">
          <cell r="A150" t="str">
            <v>A091170</v>
          </cell>
          <cell r="B150" t="str">
            <v>147</v>
          </cell>
          <cell r="C150" t="str">
            <v>091170</v>
          </cell>
          <cell r="D150" t="str">
            <v>KODEX 은행</v>
          </cell>
          <cell r="E150">
            <v>15968.37</v>
          </cell>
          <cell r="F150">
            <v>15930</v>
          </cell>
          <cell r="G150" t="str">
            <v>85 ( 0.54%)</v>
          </cell>
          <cell r="H150">
            <v>920977</v>
          </cell>
          <cell r="I150" t="str">
            <v>주식-업종섹터</v>
          </cell>
          <cell r="J150">
            <v>10</v>
          </cell>
          <cell r="K150">
            <v>15014</v>
          </cell>
          <cell r="L150">
            <v>1563468</v>
          </cell>
          <cell r="M150">
            <v>50000</v>
          </cell>
        </row>
        <row r="151">
          <cell r="A151" t="str">
            <v>A091180</v>
          </cell>
          <cell r="B151" t="str">
            <v>148</v>
          </cell>
          <cell r="C151" t="str">
            <v>091180</v>
          </cell>
          <cell r="D151" t="str">
            <v>KODEX 자동차</v>
          </cell>
          <cell r="E151">
            <v>28891.919999999998</v>
          </cell>
          <cell r="F151">
            <v>28835</v>
          </cell>
          <cell r="G151" t="str">
            <v>475 ( 1.67%)</v>
          </cell>
          <cell r="H151">
            <v>335353</v>
          </cell>
          <cell r="I151" t="str">
            <v>주식-업종섹터</v>
          </cell>
          <cell r="J151">
            <v>20</v>
          </cell>
          <cell r="K151">
            <v>35857</v>
          </cell>
          <cell r="L151">
            <v>7634286</v>
          </cell>
          <cell r="M151">
            <v>50000</v>
          </cell>
        </row>
        <row r="152">
          <cell r="A152" t="str">
            <v>A091220</v>
          </cell>
          <cell r="B152" t="str">
            <v>149</v>
          </cell>
          <cell r="C152" t="str">
            <v>091220</v>
          </cell>
          <cell r="D152" t="str">
            <v>TIGER 은행</v>
          </cell>
          <cell r="E152">
            <v>16669.580000000002</v>
          </cell>
          <cell r="F152">
            <v>16665</v>
          </cell>
          <cell r="G152" t="str">
            <v>215 ( 1.31%)</v>
          </cell>
          <cell r="H152">
            <v>61539</v>
          </cell>
          <cell r="I152" t="str">
            <v>주식-업종섹터</v>
          </cell>
          <cell r="J152">
            <v>10</v>
          </cell>
          <cell r="K152">
            <v>6237</v>
          </cell>
          <cell r="L152">
            <v>2865411</v>
          </cell>
          <cell r="M152">
            <v>20000</v>
          </cell>
        </row>
        <row r="153">
          <cell r="A153" t="str">
            <v>A091230</v>
          </cell>
          <cell r="B153" t="str">
            <v>150</v>
          </cell>
          <cell r="C153" t="str">
            <v>091230</v>
          </cell>
          <cell r="D153" t="str">
            <v>TIGER 반도체</v>
          </cell>
          <cell r="E153">
            <v>136332.41</v>
          </cell>
          <cell r="F153">
            <v>136260</v>
          </cell>
          <cell r="G153" t="str">
            <v>5,440 ( 4.16%)</v>
          </cell>
          <cell r="H153">
            <v>330592</v>
          </cell>
          <cell r="I153" t="str">
            <v>주식-업종섹터</v>
          </cell>
          <cell r="J153">
            <v>35</v>
          </cell>
          <cell r="K153">
            <v>17436</v>
          </cell>
          <cell r="L153">
            <v>-4775575</v>
          </cell>
          <cell r="M153">
            <v>20000</v>
          </cell>
        </row>
        <row r="154">
          <cell r="A154" t="str">
            <v>A100910</v>
          </cell>
          <cell r="B154" t="str">
            <v>151</v>
          </cell>
          <cell r="C154" t="str">
            <v>100910</v>
          </cell>
          <cell r="D154" t="str">
            <v>KIWOOM KRX100</v>
          </cell>
          <cell r="E154">
            <v>17190.09</v>
          </cell>
          <cell r="F154">
            <v>17200</v>
          </cell>
          <cell r="G154" t="str">
            <v>745 ( 4.53%)</v>
          </cell>
          <cell r="H154">
            <v>7928</v>
          </cell>
          <cell r="I154" t="str">
            <v>주식-시장대표</v>
          </cell>
          <cell r="J154">
            <v>101</v>
          </cell>
          <cell r="K154">
            <v>22872</v>
          </cell>
          <cell r="L154">
            <v>-701265</v>
          </cell>
          <cell r="M154">
            <v>300000</v>
          </cell>
        </row>
        <row r="155">
          <cell r="A155" t="str">
            <v>A102110</v>
          </cell>
          <cell r="B155" t="str">
            <v>152</v>
          </cell>
          <cell r="C155" t="str">
            <v>102110</v>
          </cell>
          <cell r="D155" t="str">
            <v>TIGER 200</v>
          </cell>
          <cell r="E155">
            <v>109107.24</v>
          </cell>
          <cell r="F155">
            <v>109175</v>
          </cell>
          <cell r="G155" t="str">
            <v>5,180 ( 4.98%)</v>
          </cell>
          <cell r="H155">
            <v>2902702</v>
          </cell>
          <cell r="I155" t="str">
            <v>주식-시장대표</v>
          </cell>
          <cell r="J155">
            <v>199</v>
          </cell>
          <cell r="K155">
            <v>28689</v>
          </cell>
          <cell r="L155">
            <v>1796128</v>
          </cell>
          <cell r="M155">
            <v>50000</v>
          </cell>
        </row>
        <row r="156">
          <cell r="A156" t="str">
            <v>A102780</v>
          </cell>
          <cell r="B156" t="str">
            <v>153</v>
          </cell>
          <cell r="C156" t="str">
            <v>102780</v>
          </cell>
          <cell r="D156" t="str">
            <v>KODEX 삼성그룹</v>
          </cell>
          <cell r="E156">
            <v>24858.89</v>
          </cell>
          <cell r="F156">
            <v>24815</v>
          </cell>
          <cell r="G156" t="str">
            <v>1,035 ( 4.35%)</v>
          </cell>
          <cell r="H156">
            <v>786313</v>
          </cell>
          <cell r="I156" t="str">
            <v>주식-전략</v>
          </cell>
          <cell r="J156">
            <v>16</v>
          </cell>
          <cell r="K156">
            <v>13832</v>
          </cell>
          <cell r="L156">
            <v>4406921</v>
          </cell>
          <cell r="M156">
            <v>100000</v>
          </cell>
        </row>
        <row r="157">
          <cell r="A157" t="str">
            <v>A102960</v>
          </cell>
          <cell r="B157" t="str">
            <v>154</v>
          </cell>
          <cell r="C157" t="str">
            <v>102960</v>
          </cell>
          <cell r="D157" t="str">
            <v>KODEX 기계장비</v>
          </cell>
          <cell r="E157">
            <v>12564.97</v>
          </cell>
          <cell r="F157">
            <v>12560</v>
          </cell>
          <cell r="G157" t="str">
            <v>185 ( 1.49%)</v>
          </cell>
          <cell r="H157">
            <v>9870</v>
          </cell>
          <cell r="I157" t="str">
            <v>주식-업종섹터</v>
          </cell>
          <cell r="J157">
            <v>35</v>
          </cell>
          <cell r="K157">
            <v>2779</v>
          </cell>
          <cell r="L157">
            <v>1938734</v>
          </cell>
          <cell r="M157">
            <v>20000</v>
          </cell>
        </row>
        <row r="158">
          <cell r="A158" t="str">
            <v>A102970</v>
          </cell>
          <cell r="B158" t="str">
            <v>155</v>
          </cell>
          <cell r="C158" t="str">
            <v>102970</v>
          </cell>
          <cell r="D158" t="str">
            <v>KODEX 증권</v>
          </cell>
          <cell r="E158">
            <v>20494.71</v>
          </cell>
          <cell r="F158">
            <v>20455</v>
          </cell>
          <cell r="G158" t="str">
            <v>270 ( 1.34%)</v>
          </cell>
          <cell r="H158">
            <v>645066</v>
          </cell>
          <cell r="I158" t="str">
            <v>주식-업종섹터</v>
          </cell>
          <cell r="J158">
            <v>14</v>
          </cell>
          <cell r="K158">
            <v>28781</v>
          </cell>
          <cell r="L158">
            <v>5006385</v>
          </cell>
          <cell r="M158">
            <v>50000</v>
          </cell>
        </row>
        <row r="159">
          <cell r="A159" t="str">
            <v>A104520</v>
          </cell>
          <cell r="B159" t="str">
            <v>156</v>
          </cell>
          <cell r="C159" t="str">
            <v>104520</v>
          </cell>
          <cell r="D159" t="str">
            <v>KIWOOM 블루칩</v>
          </cell>
          <cell r="E159">
            <v>14264.92</v>
          </cell>
          <cell r="F159">
            <v>14270</v>
          </cell>
          <cell r="G159" t="str">
            <v>295 ( 2.11%)</v>
          </cell>
          <cell r="H159">
            <v>44</v>
          </cell>
          <cell r="I159" t="str">
            <v>주식-규모</v>
          </cell>
          <cell r="J159">
            <v>40</v>
          </cell>
          <cell r="K159">
            <v>16843</v>
          </cell>
          <cell r="L159">
            <v>4986693</v>
          </cell>
          <cell r="M159">
            <v>100000</v>
          </cell>
        </row>
        <row r="160">
          <cell r="A160" t="str">
            <v>A104530</v>
          </cell>
          <cell r="B160" t="str">
            <v>157</v>
          </cell>
          <cell r="C160" t="str">
            <v>104530</v>
          </cell>
          <cell r="D160" t="str">
            <v>KIWOOM 코리아고배당</v>
          </cell>
          <cell r="E160">
            <v>17152.330000000002</v>
          </cell>
          <cell r="F160">
            <v>17150</v>
          </cell>
          <cell r="G160" t="str">
            <v>150 ( 0.88%)</v>
          </cell>
          <cell r="H160">
            <v>5859</v>
          </cell>
          <cell r="I160" t="str">
            <v>주식-전략</v>
          </cell>
          <cell r="J160">
            <v>20</v>
          </cell>
          <cell r="K160">
            <v>37126</v>
          </cell>
          <cell r="L160">
            <v>2180363</v>
          </cell>
          <cell r="M160">
            <v>50000</v>
          </cell>
        </row>
        <row r="161">
          <cell r="A161" t="str">
            <v>A105190</v>
          </cell>
          <cell r="B161" t="str">
            <v>158</v>
          </cell>
          <cell r="C161" t="str">
            <v>105190</v>
          </cell>
          <cell r="D161" t="str">
            <v>ACE 200</v>
          </cell>
          <cell r="E161">
            <v>109243.39</v>
          </cell>
          <cell r="F161">
            <v>109285</v>
          </cell>
          <cell r="G161" t="str">
            <v>5,265 ( 5.06%)</v>
          </cell>
          <cell r="H161">
            <v>214647</v>
          </cell>
          <cell r="I161" t="str">
            <v>주식-시장대표</v>
          </cell>
          <cell r="J161">
            <v>200</v>
          </cell>
          <cell r="K161">
            <v>27881</v>
          </cell>
          <cell r="L161">
            <v>82821539</v>
          </cell>
          <cell r="M161">
            <v>50000</v>
          </cell>
        </row>
        <row r="162">
          <cell r="A162" t="str">
            <v>A105780</v>
          </cell>
          <cell r="B162" t="str">
            <v>159</v>
          </cell>
          <cell r="C162" t="str">
            <v>105780</v>
          </cell>
          <cell r="D162" t="str">
            <v>RISE 5대그룹주</v>
          </cell>
          <cell r="E162">
            <v>16729.189999999999</v>
          </cell>
          <cell r="F162">
            <v>16715</v>
          </cell>
          <cell r="G162" t="str">
            <v>550 ( 3.40%)</v>
          </cell>
          <cell r="H162">
            <v>4618</v>
          </cell>
          <cell r="I162" t="str">
            <v>주식-전략</v>
          </cell>
          <cell r="J162">
            <v>28</v>
          </cell>
          <cell r="K162">
            <v>12089</v>
          </cell>
          <cell r="L162">
            <v>2594783</v>
          </cell>
          <cell r="M162">
            <v>200000</v>
          </cell>
        </row>
        <row r="163">
          <cell r="A163" t="str">
            <v>A108450</v>
          </cell>
          <cell r="B163" t="str">
            <v>160</v>
          </cell>
          <cell r="C163" t="str">
            <v>108450</v>
          </cell>
          <cell r="D163" t="str">
            <v>ACE 삼성그룹섹터가중</v>
          </cell>
          <cell r="E163">
            <v>37717.4</v>
          </cell>
          <cell r="F163">
            <v>37710</v>
          </cell>
          <cell r="G163" t="str">
            <v>1,200 ( 3.29%)</v>
          </cell>
          <cell r="H163">
            <v>16991</v>
          </cell>
          <cell r="I163" t="str">
            <v>주식-전략</v>
          </cell>
          <cell r="J163">
            <v>16</v>
          </cell>
          <cell r="K163">
            <v>37662</v>
          </cell>
          <cell r="L163">
            <v>8669142</v>
          </cell>
          <cell r="M163">
            <v>100000</v>
          </cell>
        </row>
        <row r="164">
          <cell r="A164" t="str">
            <v>A108590</v>
          </cell>
          <cell r="B164" t="str">
            <v>161</v>
          </cell>
          <cell r="C164" t="str">
            <v>108590</v>
          </cell>
          <cell r="D164" t="str">
            <v>TREX 200</v>
          </cell>
          <cell r="E164">
            <v>108536.89</v>
          </cell>
          <cell r="F164">
            <v>108980</v>
          </cell>
          <cell r="G164" t="str">
            <v>5,395 ( 5.21%)</v>
          </cell>
          <cell r="H164">
            <v>171</v>
          </cell>
          <cell r="I164" t="str">
            <v>주식-시장대표</v>
          </cell>
          <cell r="J164">
            <v>197</v>
          </cell>
          <cell r="K164">
            <v>28111</v>
          </cell>
          <cell r="L164">
            <v>8562708</v>
          </cell>
          <cell r="M164">
            <v>50000</v>
          </cell>
        </row>
        <row r="165">
          <cell r="A165" t="str">
            <v>A114100</v>
          </cell>
          <cell r="B165" t="str">
            <v>162</v>
          </cell>
          <cell r="C165" t="str">
            <v>114100</v>
          </cell>
          <cell r="D165" t="str">
            <v>RISE 국고채3년</v>
          </cell>
          <cell r="E165">
            <v>106084.74</v>
          </cell>
          <cell r="F165">
            <v>106070</v>
          </cell>
          <cell r="G165" t="str">
            <v>90 ( 0.08%)</v>
          </cell>
          <cell r="H165">
            <v>42</v>
          </cell>
          <cell r="I165" t="str">
            <v>채권-국공채</v>
          </cell>
          <cell r="J165">
            <v>4</v>
          </cell>
          <cell r="K165">
            <v>0</v>
          </cell>
          <cell r="L165">
            <v>2967492</v>
          </cell>
          <cell r="M165">
            <v>1000</v>
          </cell>
        </row>
        <row r="166">
          <cell r="A166" t="str">
            <v>A114260</v>
          </cell>
          <cell r="B166" t="str">
            <v>163</v>
          </cell>
          <cell r="C166" t="str">
            <v>114260</v>
          </cell>
          <cell r="D166" t="str">
            <v>KODEX 국고채3년</v>
          </cell>
          <cell r="E166">
            <v>61529.69</v>
          </cell>
          <cell r="F166">
            <v>61500</v>
          </cell>
          <cell r="G166" t="str">
            <v>85 ( 0.14%)</v>
          </cell>
          <cell r="H166">
            <v>9368</v>
          </cell>
          <cell r="I166" t="str">
            <v>채권-국공채</v>
          </cell>
          <cell r="J166">
            <v>3</v>
          </cell>
          <cell r="K166">
            <v>0</v>
          </cell>
          <cell r="L166">
            <v>72353</v>
          </cell>
          <cell r="M166">
            <v>2000</v>
          </cell>
        </row>
        <row r="167">
          <cell r="A167" t="str">
            <v>A114460</v>
          </cell>
          <cell r="B167" t="str">
            <v>164</v>
          </cell>
          <cell r="C167" t="str">
            <v>114460</v>
          </cell>
          <cell r="D167" t="str">
            <v>ACE 국고채3년</v>
          </cell>
          <cell r="E167">
            <v>100224.75</v>
          </cell>
          <cell r="F167">
            <v>100215</v>
          </cell>
          <cell r="G167" t="str">
            <v>95 ( 0.09%)</v>
          </cell>
          <cell r="H167">
            <v>234</v>
          </cell>
          <cell r="I167" t="str">
            <v>채권-국공채</v>
          </cell>
          <cell r="J167">
            <v>3</v>
          </cell>
          <cell r="K167">
            <v>0</v>
          </cell>
          <cell r="L167">
            <v>71100636</v>
          </cell>
          <cell r="M167">
            <v>30000</v>
          </cell>
        </row>
        <row r="168">
          <cell r="A168" t="str">
            <v>A114470</v>
          </cell>
          <cell r="B168" t="str">
            <v>165</v>
          </cell>
          <cell r="C168" t="str">
            <v>114470</v>
          </cell>
          <cell r="D168" t="str">
            <v>KIWOOM 국고채3년</v>
          </cell>
          <cell r="E168">
            <v>107437.75</v>
          </cell>
          <cell r="F168">
            <v>107450</v>
          </cell>
          <cell r="G168" t="str">
            <v>55 ( 0.05%)</v>
          </cell>
          <cell r="H168">
            <v>313</v>
          </cell>
          <cell r="I168" t="str">
            <v>채권-국공채</v>
          </cell>
          <cell r="J168">
            <v>3</v>
          </cell>
          <cell r="K168">
            <v>0</v>
          </cell>
          <cell r="L168">
            <v>96808705</v>
          </cell>
          <cell r="M168">
            <v>10000</v>
          </cell>
        </row>
        <row r="169">
          <cell r="A169" t="str">
            <v>A114800</v>
          </cell>
          <cell r="B169" t="str">
            <v>166</v>
          </cell>
          <cell r="C169" t="str">
            <v>114800</v>
          </cell>
          <cell r="D169" t="str">
            <v>KODEX 인버스</v>
          </cell>
          <cell r="E169">
            <v>1100.9100000000001</v>
          </cell>
          <cell r="F169">
            <v>1102</v>
          </cell>
          <cell r="G169" t="str">
            <v>56 ( 4.84%)</v>
          </cell>
          <cell r="H169">
            <v>576849255</v>
          </cell>
          <cell r="I169" t="str">
            <v>주식-시장대표</v>
          </cell>
          <cell r="J169">
            <v>1</v>
          </cell>
          <cell r="K169">
            <v>0</v>
          </cell>
          <cell r="L169">
            <v>116221786</v>
          </cell>
          <cell r="M169">
            <v>100000</v>
          </cell>
        </row>
        <row r="170">
          <cell r="A170" t="str">
            <v>A114820</v>
          </cell>
          <cell r="B170" t="str">
            <v>167</v>
          </cell>
          <cell r="C170" t="str">
            <v>114820</v>
          </cell>
          <cell r="D170" t="str">
            <v>TIGER 국채3년</v>
          </cell>
          <cell r="E170">
            <v>104562.84</v>
          </cell>
          <cell r="F170">
            <v>104575</v>
          </cell>
          <cell r="G170" t="str">
            <v>90 ( 0.09%)</v>
          </cell>
          <cell r="H170">
            <v>2116</v>
          </cell>
          <cell r="I170" t="str">
            <v>채권-국공채</v>
          </cell>
          <cell r="J170">
            <v>3</v>
          </cell>
          <cell r="K170">
            <v>0</v>
          </cell>
          <cell r="L170">
            <v>1815369</v>
          </cell>
          <cell r="M170">
            <v>1000</v>
          </cell>
        </row>
        <row r="171">
          <cell r="A171" t="str">
            <v>A117460</v>
          </cell>
          <cell r="B171" t="str">
            <v>168</v>
          </cell>
          <cell r="C171" t="str">
            <v>117460</v>
          </cell>
          <cell r="D171" t="str">
            <v>KODEX 에너지화학</v>
          </cell>
          <cell r="E171">
            <v>12625.69</v>
          </cell>
          <cell r="F171">
            <v>12605</v>
          </cell>
          <cell r="G171" t="str">
            <v>35 ( 0.28%)</v>
          </cell>
          <cell r="H171">
            <v>14974</v>
          </cell>
          <cell r="I171" t="str">
            <v>주식-업종섹터</v>
          </cell>
          <cell r="J171">
            <v>38</v>
          </cell>
          <cell r="K171">
            <v>10940</v>
          </cell>
          <cell r="L171">
            <v>2232250</v>
          </cell>
          <cell r="M171">
            <v>70000</v>
          </cell>
        </row>
        <row r="172">
          <cell r="A172" t="str">
            <v>A117680</v>
          </cell>
          <cell r="B172" t="str">
            <v>169</v>
          </cell>
          <cell r="C172" t="str">
            <v>117680</v>
          </cell>
          <cell r="D172" t="str">
            <v>KODEX 철강</v>
          </cell>
          <cell r="E172">
            <v>10284.780000000001</v>
          </cell>
          <cell r="F172">
            <v>10290</v>
          </cell>
          <cell r="G172" t="str">
            <v>25 ( 0.24%)</v>
          </cell>
          <cell r="H172">
            <v>43711</v>
          </cell>
          <cell r="I172" t="str">
            <v>주식-업종섹터</v>
          </cell>
          <cell r="J172">
            <v>20</v>
          </cell>
          <cell r="K172">
            <v>23010</v>
          </cell>
          <cell r="L172">
            <v>4363105</v>
          </cell>
          <cell r="M172">
            <v>70000</v>
          </cell>
        </row>
        <row r="173">
          <cell r="A173" t="str">
            <v>A117700</v>
          </cell>
          <cell r="B173" t="str">
            <v>170</v>
          </cell>
          <cell r="C173" t="str">
            <v>117700</v>
          </cell>
          <cell r="D173" t="str">
            <v>KODEX 건설</v>
          </cell>
          <cell r="E173">
            <v>5697.46</v>
          </cell>
          <cell r="F173">
            <v>5690</v>
          </cell>
          <cell r="G173" t="str">
            <v>200 ( 3.64%)</v>
          </cell>
          <cell r="H173">
            <v>603192</v>
          </cell>
          <cell r="I173" t="str">
            <v>주식-업종섹터</v>
          </cell>
          <cell r="J173">
            <v>21</v>
          </cell>
          <cell r="K173">
            <v>18563</v>
          </cell>
          <cell r="L173">
            <v>1667672</v>
          </cell>
          <cell r="M173">
            <v>100000</v>
          </cell>
        </row>
        <row r="174">
          <cell r="A174" t="str">
            <v>A122090</v>
          </cell>
          <cell r="B174" t="str">
            <v>171</v>
          </cell>
          <cell r="C174" t="str">
            <v>122090</v>
          </cell>
          <cell r="D174" t="str">
            <v>PLUS 코스피50</v>
          </cell>
          <cell r="E174">
            <v>82908.39</v>
          </cell>
          <cell r="F174">
            <v>82950</v>
          </cell>
          <cell r="G174" t="str">
            <v>3,685 ( 4.65%)</v>
          </cell>
          <cell r="H174">
            <v>43534</v>
          </cell>
          <cell r="I174" t="str">
            <v>주식-시장대표</v>
          </cell>
          <cell r="J174">
            <v>50</v>
          </cell>
          <cell r="K174">
            <v>9256</v>
          </cell>
          <cell r="L174">
            <v>-4137540</v>
          </cell>
          <cell r="M174">
            <v>30000</v>
          </cell>
        </row>
        <row r="175">
          <cell r="A175" t="str">
            <v>A122260</v>
          </cell>
          <cell r="B175" t="str">
            <v>172</v>
          </cell>
          <cell r="C175" t="str">
            <v>122260</v>
          </cell>
          <cell r="D175" t="str">
            <v>KIWOOM 통안채1년</v>
          </cell>
          <cell r="E175">
            <v>103835.35</v>
          </cell>
          <cell r="F175">
            <v>103835</v>
          </cell>
          <cell r="G175" t="str">
            <v>0 ( 0.00%)</v>
          </cell>
          <cell r="H175">
            <v>75</v>
          </cell>
          <cell r="I175" t="str">
            <v>채권-국공채</v>
          </cell>
          <cell r="J175">
            <v>5</v>
          </cell>
          <cell r="K175">
            <v>0</v>
          </cell>
          <cell r="L175">
            <v>43009923</v>
          </cell>
          <cell r="M175">
            <v>10000</v>
          </cell>
        </row>
        <row r="176">
          <cell r="A176" t="str">
            <v>A122630</v>
          </cell>
          <cell r="B176" t="str">
            <v>173</v>
          </cell>
          <cell r="C176" t="str">
            <v>122630</v>
          </cell>
          <cell r="D176" t="str">
            <v>KODEX 레버리지</v>
          </cell>
          <cell r="E176">
            <v>120384.1</v>
          </cell>
          <cell r="F176">
            <v>120225</v>
          </cell>
          <cell r="G176" t="str">
            <v>10,790 ( 9.86%)</v>
          </cell>
          <cell r="H176">
            <v>10485359</v>
          </cell>
          <cell r="I176" t="str">
            <v>주식-시장대표</v>
          </cell>
          <cell r="J176">
            <v>209</v>
          </cell>
          <cell r="K176">
            <v>50840</v>
          </cell>
          <cell r="L176">
            <v>-349428161</v>
          </cell>
          <cell r="M176">
            <v>50000</v>
          </cell>
        </row>
        <row r="177">
          <cell r="A177" t="str">
            <v>A123310</v>
          </cell>
          <cell r="B177" t="str">
            <v>174</v>
          </cell>
          <cell r="C177" t="str">
            <v>123310</v>
          </cell>
          <cell r="D177" t="str">
            <v>TIGER 인버스</v>
          </cell>
          <cell r="E177">
            <v>1238.7</v>
          </cell>
          <cell r="F177">
            <v>1241</v>
          </cell>
          <cell r="G177" t="str">
            <v>61 ( 4.69%)</v>
          </cell>
          <cell r="H177">
            <v>2899422</v>
          </cell>
          <cell r="I177" t="str">
            <v>주식-시장대표</v>
          </cell>
          <cell r="J177">
            <v>1</v>
          </cell>
          <cell r="K177">
            <v>-1</v>
          </cell>
          <cell r="L177">
            <v>130682874</v>
          </cell>
          <cell r="M177">
            <v>100000</v>
          </cell>
        </row>
        <row r="178">
          <cell r="A178" t="str">
            <v>A123320</v>
          </cell>
          <cell r="B178" t="str">
            <v>175</v>
          </cell>
          <cell r="C178" t="str">
            <v>123320</v>
          </cell>
          <cell r="D178" t="str">
            <v>TIGER 레버리지</v>
          </cell>
          <cell r="E178">
            <v>120447.2</v>
          </cell>
          <cell r="F178">
            <v>120115</v>
          </cell>
          <cell r="G178" t="str">
            <v>10,620 ( 9.70%)</v>
          </cell>
          <cell r="H178">
            <v>165722</v>
          </cell>
          <cell r="I178" t="str">
            <v>주식-시장대표</v>
          </cell>
          <cell r="J178">
            <v>203</v>
          </cell>
          <cell r="K178">
            <v>63044</v>
          </cell>
          <cell r="L178">
            <v>787664350</v>
          </cell>
          <cell r="M178">
            <v>100000</v>
          </cell>
        </row>
        <row r="179">
          <cell r="A179" t="str">
            <v>A130730</v>
          </cell>
          <cell r="B179" t="str">
            <v>176</v>
          </cell>
          <cell r="C179" t="str">
            <v>130730</v>
          </cell>
          <cell r="D179" t="str">
            <v>KIWOOM 단기자금</v>
          </cell>
          <cell r="E179">
            <v>102693.11</v>
          </cell>
          <cell r="F179">
            <v>102685</v>
          </cell>
          <cell r="G179" t="str">
            <v>20 ( 0.02%)</v>
          </cell>
          <cell r="H179">
            <v>1317</v>
          </cell>
          <cell r="I179" t="str">
            <v>채권-혼합</v>
          </cell>
          <cell r="J179">
            <v>12</v>
          </cell>
          <cell r="K179">
            <v>0</v>
          </cell>
          <cell r="L179">
            <v>3570651</v>
          </cell>
          <cell r="M179">
            <v>1000</v>
          </cell>
        </row>
        <row r="180">
          <cell r="A180" t="str">
            <v>A131890</v>
          </cell>
          <cell r="B180" t="str">
            <v>177</v>
          </cell>
          <cell r="C180" t="str">
            <v>131890</v>
          </cell>
          <cell r="D180" t="str">
            <v>ACE 삼성그룹동일가중</v>
          </cell>
          <cell r="E180">
            <v>38552.68</v>
          </cell>
          <cell r="F180">
            <v>38500</v>
          </cell>
          <cell r="G180" t="str">
            <v>990 ( 2.64%)</v>
          </cell>
          <cell r="H180">
            <v>793</v>
          </cell>
          <cell r="I180" t="str">
            <v>주식-전략</v>
          </cell>
          <cell r="J180">
            <v>16</v>
          </cell>
          <cell r="K180">
            <v>54433</v>
          </cell>
          <cell r="L180">
            <v>16214707</v>
          </cell>
          <cell r="M180">
            <v>100000</v>
          </cell>
        </row>
        <row r="181">
          <cell r="A181" t="str">
            <v>A136340</v>
          </cell>
          <cell r="B181" t="str">
            <v>178</v>
          </cell>
          <cell r="C181" t="str">
            <v>136340</v>
          </cell>
          <cell r="D181" t="str">
            <v>RISE 중기우량회사채</v>
          </cell>
          <cell r="E181">
            <v>103868.26</v>
          </cell>
          <cell r="F181">
            <v>103835</v>
          </cell>
          <cell r="G181" t="str">
            <v>5 ( 0.00%)</v>
          </cell>
          <cell r="H181">
            <v>180</v>
          </cell>
          <cell r="I181" t="str">
            <v>채권-회사채</v>
          </cell>
          <cell r="J181">
            <v>19</v>
          </cell>
          <cell r="K181">
            <v>0</v>
          </cell>
          <cell r="L181">
            <v>369063</v>
          </cell>
          <cell r="M181">
            <v>1000</v>
          </cell>
        </row>
        <row r="182">
          <cell r="A182" t="str">
            <v>A138230</v>
          </cell>
          <cell r="B182" t="str">
            <v>179</v>
          </cell>
          <cell r="C182" t="str">
            <v>138230</v>
          </cell>
          <cell r="D182" t="str">
            <v>KIWOOM 미국달러선물</v>
          </cell>
          <cell r="E182">
            <v>17225.66</v>
          </cell>
          <cell r="F182">
            <v>17210</v>
          </cell>
          <cell r="G182" t="str">
            <v>60 ( 0.35%)</v>
          </cell>
          <cell r="H182">
            <v>315</v>
          </cell>
          <cell r="I182" t="str">
            <v>통화-미국달러</v>
          </cell>
          <cell r="J182">
            <v>1</v>
          </cell>
          <cell r="K182">
            <v>12</v>
          </cell>
          <cell r="L182">
            <v>172723791</v>
          </cell>
          <cell r="M182">
            <v>10000</v>
          </cell>
        </row>
        <row r="183">
          <cell r="A183" t="str">
            <v>A138520</v>
          </cell>
          <cell r="B183" t="str">
            <v>180</v>
          </cell>
          <cell r="C183" t="str">
            <v>138520</v>
          </cell>
          <cell r="D183" t="str">
            <v>TIGER 삼성그룹</v>
          </cell>
          <cell r="E183">
            <v>34329.06</v>
          </cell>
          <cell r="F183">
            <v>34335</v>
          </cell>
          <cell r="G183" t="str">
            <v>1,735 ( 5.32%)</v>
          </cell>
          <cell r="H183">
            <v>40796</v>
          </cell>
          <cell r="I183" t="str">
            <v>주식-전략</v>
          </cell>
          <cell r="J183">
            <v>16</v>
          </cell>
          <cell r="K183">
            <v>5611</v>
          </cell>
          <cell r="L183">
            <v>1968813</v>
          </cell>
          <cell r="M183">
            <v>20000</v>
          </cell>
        </row>
        <row r="184">
          <cell r="A184" t="str">
            <v>A138530</v>
          </cell>
          <cell r="B184" t="str">
            <v>181</v>
          </cell>
          <cell r="C184" t="str">
            <v>138530</v>
          </cell>
          <cell r="D184" t="str">
            <v>TIGER LG그룹플러스</v>
          </cell>
          <cell r="E184">
            <v>11102.84</v>
          </cell>
          <cell r="F184">
            <v>11100</v>
          </cell>
          <cell r="G184" t="str">
            <v>115 ( 1.05%)</v>
          </cell>
          <cell r="H184">
            <v>108500</v>
          </cell>
          <cell r="I184" t="str">
            <v>주식-전략</v>
          </cell>
          <cell r="J184">
            <v>20</v>
          </cell>
          <cell r="K184">
            <v>6290</v>
          </cell>
          <cell r="L184">
            <v>913440</v>
          </cell>
          <cell r="M184">
            <v>20000</v>
          </cell>
        </row>
        <row r="185">
          <cell r="A185" t="str">
            <v>A138540</v>
          </cell>
          <cell r="B185" t="str">
            <v>182</v>
          </cell>
          <cell r="C185" t="str">
            <v>138540</v>
          </cell>
          <cell r="D185" t="str">
            <v>TIGER 현대차그룹플러스</v>
          </cell>
          <cell r="E185">
            <v>51106.67</v>
          </cell>
          <cell r="F185">
            <v>51040</v>
          </cell>
          <cell r="G185" t="str">
            <v>970 ( 1.94%)</v>
          </cell>
          <cell r="H185">
            <v>271088</v>
          </cell>
          <cell r="I185" t="str">
            <v>주식-전략</v>
          </cell>
          <cell r="J185">
            <v>20</v>
          </cell>
          <cell r="K185">
            <v>8817</v>
          </cell>
          <cell r="L185">
            <v>-679423</v>
          </cell>
          <cell r="M185">
            <v>20000</v>
          </cell>
        </row>
        <row r="186">
          <cell r="A186" t="str">
            <v>A139220</v>
          </cell>
          <cell r="B186" t="str">
            <v>183</v>
          </cell>
          <cell r="C186" t="str">
            <v>139220</v>
          </cell>
          <cell r="D186" t="str">
            <v>TIGER 200 건설</v>
          </cell>
          <cell r="E186">
            <v>6675.95</v>
          </cell>
          <cell r="F186">
            <v>6680</v>
          </cell>
          <cell r="G186" t="str">
            <v>370 ( 5.86%)</v>
          </cell>
          <cell r="H186">
            <v>844191</v>
          </cell>
          <cell r="I186" t="str">
            <v>주식-업종섹터</v>
          </cell>
          <cell r="J186">
            <v>10</v>
          </cell>
          <cell r="K186">
            <v>2506</v>
          </cell>
          <cell r="L186">
            <v>465399</v>
          </cell>
          <cell r="M186">
            <v>20000</v>
          </cell>
        </row>
        <row r="187">
          <cell r="A187" t="str">
            <v>A139230</v>
          </cell>
          <cell r="B187" t="str">
            <v>184</v>
          </cell>
          <cell r="C187" t="str">
            <v>139230</v>
          </cell>
          <cell r="D187" t="str">
            <v>TIGER 200 중공업</v>
          </cell>
          <cell r="E187">
            <v>12448.88</v>
          </cell>
          <cell r="F187">
            <v>12435</v>
          </cell>
          <cell r="G187" t="str">
            <v>255 ( 2.09%)</v>
          </cell>
          <cell r="H187">
            <v>250477</v>
          </cell>
          <cell r="I187" t="str">
            <v>주식-업종섹터</v>
          </cell>
          <cell r="J187">
            <v>17</v>
          </cell>
          <cell r="K187">
            <v>2699</v>
          </cell>
          <cell r="L187">
            <v>1627005</v>
          </cell>
          <cell r="M187">
            <v>20000</v>
          </cell>
        </row>
        <row r="188">
          <cell r="A188" t="str">
            <v>A139240</v>
          </cell>
          <cell r="B188" t="str">
            <v>185</v>
          </cell>
          <cell r="C188" t="str">
            <v>139240</v>
          </cell>
          <cell r="D188" t="str">
            <v>TIGER 200 철강소재</v>
          </cell>
          <cell r="E188">
            <v>9132.4599999999991</v>
          </cell>
          <cell r="F188">
            <v>9135</v>
          </cell>
          <cell r="G188" t="str">
            <v>5 ( 0.05%)</v>
          </cell>
          <cell r="H188">
            <v>37851</v>
          </cell>
          <cell r="I188" t="str">
            <v>주식-업종섹터</v>
          </cell>
          <cell r="J188">
            <v>10</v>
          </cell>
          <cell r="K188">
            <v>3276</v>
          </cell>
          <cell r="L188">
            <v>2497721</v>
          </cell>
          <cell r="M188">
            <v>20000</v>
          </cell>
        </row>
        <row r="189">
          <cell r="A189" t="str">
            <v>A139250</v>
          </cell>
          <cell r="B189" t="str">
            <v>186</v>
          </cell>
          <cell r="C189" t="str">
            <v>139250</v>
          </cell>
          <cell r="D189" t="str">
            <v>TIGER 200 에너지화학</v>
          </cell>
          <cell r="E189">
            <v>16599.38</v>
          </cell>
          <cell r="F189">
            <v>16565</v>
          </cell>
          <cell r="G189" t="str">
            <v>60 ( 0.36%)</v>
          </cell>
          <cell r="H189">
            <v>12923</v>
          </cell>
          <cell r="I189" t="str">
            <v>주식-업종섹터</v>
          </cell>
          <cell r="J189">
            <v>28</v>
          </cell>
          <cell r="K189">
            <v>3010</v>
          </cell>
          <cell r="L189">
            <v>-3243157</v>
          </cell>
          <cell r="M189">
            <v>20000</v>
          </cell>
        </row>
        <row r="190">
          <cell r="A190" t="str">
            <v>A139260</v>
          </cell>
          <cell r="B190" t="str">
            <v>187</v>
          </cell>
          <cell r="C190" t="str">
            <v>139260</v>
          </cell>
          <cell r="D190" t="str">
            <v>TIGER 200 IT</v>
          </cell>
          <cell r="E190">
            <v>139617.25</v>
          </cell>
          <cell r="F190">
            <v>139445</v>
          </cell>
          <cell r="G190" t="str">
            <v>7,445 ( 5.64%)</v>
          </cell>
          <cell r="H190">
            <v>411506</v>
          </cell>
          <cell r="I190" t="str">
            <v>주식-업종섹터</v>
          </cell>
          <cell r="J190">
            <v>16</v>
          </cell>
          <cell r="K190">
            <v>7365</v>
          </cell>
          <cell r="L190">
            <v>10224883</v>
          </cell>
          <cell r="M190">
            <v>20000</v>
          </cell>
        </row>
        <row r="191">
          <cell r="A191" t="str">
            <v>A139270</v>
          </cell>
          <cell r="B191" t="str">
            <v>188</v>
          </cell>
          <cell r="C191" t="str">
            <v>139270</v>
          </cell>
          <cell r="D191" t="str">
            <v>TIGER 200 금융</v>
          </cell>
          <cell r="E191">
            <v>16878.71</v>
          </cell>
          <cell r="F191">
            <v>16830</v>
          </cell>
          <cell r="G191" t="str">
            <v>255 ( 1.54%)</v>
          </cell>
          <cell r="H191">
            <v>18243</v>
          </cell>
          <cell r="I191" t="str">
            <v>주식-업종섹터</v>
          </cell>
          <cell r="J191">
            <v>22</v>
          </cell>
          <cell r="K191">
            <v>4941</v>
          </cell>
          <cell r="L191">
            <v>1034089</v>
          </cell>
          <cell r="M191">
            <v>20000</v>
          </cell>
        </row>
        <row r="192">
          <cell r="A192" t="str">
            <v>A139280</v>
          </cell>
          <cell r="B192" t="str">
            <v>189</v>
          </cell>
          <cell r="C192" t="str">
            <v>139280</v>
          </cell>
          <cell r="D192" t="str">
            <v>TIGER 경기방어</v>
          </cell>
          <cell r="E192">
            <v>11971.08</v>
          </cell>
          <cell r="F192">
            <v>11940</v>
          </cell>
          <cell r="G192" t="str">
            <v>160 ( 1.36%)</v>
          </cell>
          <cell r="H192">
            <v>24174</v>
          </cell>
          <cell r="I192" t="str">
            <v>주식-업종섹터</v>
          </cell>
          <cell r="J192">
            <v>45</v>
          </cell>
          <cell r="K192">
            <v>2934</v>
          </cell>
          <cell r="L192">
            <v>267783</v>
          </cell>
          <cell r="M192">
            <v>20000</v>
          </cell>
        </row>
        <row r="193">
          <cell r="A193" t="str">
            <v>A139290</v>
          </cell>
          <cell r="B193" t="str">
            <v>190</v>
          </cell>
          <cell r="C193" t="str">
            <v>139290</v>
          </cell>
          <cell r="D193" t="str">
            <v>TIGER 200 경기소비재</v>
          </cell>
          <cell r="E193">
            <v>26558.29</v>
          </cell>
          <cell r="F193">
            <v>26550</v>
          </cell>
          <cell r="G193" t="str">
            <v>425 ( 1.63%)</v>
          </cell>
          <cell r="H193">
            <v>11275</v>
          </cell>
          <cell r="I193" t="str">
            <v>주식-업종섹터</v>
          </cell>
          <cell r="J193">
            <v>25</v>
          </cell>
          <cell r="K193">
            <v>7496</v>
          </cell>
          <cell r="L193">
            <v>4900588</v>
          </cell>
          <cell r="M193">
            <v>20000</v>
          </cell>
        </row>
        <row r="194">
          <cell r="A194" t="str">
            <v>A139660</v>
          </cell>
          <cell r="B194" t="str">
            <v>191</v>
          </cell>
          <cell r="C194" t="str">
            <v>139660</v>
          </cell>
          <cell r="D194" t="str">
            <v>KIWOOM 미국달러선물인버스</v>
          </cell>
          <cell r="E194">
            <v>7860.93</v>
          </cell>
          <cell r="F194">
            <v>7840</v>
          </cell>
          <cell r="G194" t="str">
            <v>20 ( 0.26%)</v>
          </cell>
          <cell r="H194">
            <v>11160</v>
          </cell>
          <cell r="I194" t="str">
            <v>통화-미국달러</v>
          </cell>
          <cell r="J194">
            <v>1</v>
          </cell>
          <cell r="K194">
            <v>-5</v>
          </cell>
          <cell r="L194">
            <v>78397336</v>
          </cell>
          <cell r="M194">
            <v>10000</v>
          </cell>
        </row>
        <row r="195">
          <cell r="A195" t="str">
            <v>A140570</v>
          </cell>
          <cell r="B195" t="str">
            <v>192</v>
          </cell>
          <cell r="C195" t="str">
            <v>140570</v>
          </cell>
          <cell r="D195" t="str">
            <v>RISE 수출주</v>
          </cell>
          <cell r="E195">
            <v>24032.95</v>
          </cell>
          <cell r="F195">
            <v>24050</v>
          </cell>
          <cell r="G195" t="str">
            <v>400 ( 1.69%)</v>
          </cell>
          <cell r="H195">
            <v>341</v>
          </cell>
          <cell r="I195" t="str">
            <v>주식-업종섹터</v>
          </cell>
          <cell r="J195">
            <v>50</v>
          </cell>
          <cell r="K195">
            <v>29382</v>
          </cell>
          <cell r="L195">
            <v>1424208</v>
          </cell>
          <cell r="M195">
            <v>100000</v>
          </cell>
        </row>
        <row r="196">
          <cell r="A196" t="str">
            <v>A140580</v>
          </cell>
          <cell r="B196" t="str">
            <v>193</v>
          </cell>
          <cell r="C196" t="str">
            <v>140580</v>
          </cell>
          <cell r="D196" t="str">
            <v>RISE 우량업종대표주</v>
          </cell>
          <cell r="E196">
            <v>23853.82</v>
          </cell>
          <cell r="F196">
            <v>23850</v>
          </cell>
          <cell r="G196" t="str">
            <v>415 ( 1.77%)</v>
          </cell>
          <cell r="H196">
            <v>26</v>
          </cell>
          <cell r="I196" t="str">
            <v>주식-업종섹터</v>
          </cell>
          <cell r="J196">
            <v>46</v>
          </cell>
          <cell r="K196">
            <v>39511</v>
          </cell>
          <cell r="L196">
            <v>13933942</v>
          </cell>
          <cell r="M196">
            <v>100000</v>
          </cell>
        </row>
        <row r="197">
          <cell r="A197" t="str">
            <v>A140700</v>
          </cell>
          <cell r="B197" t="str">
            <v>194</v>
          </cell>
          <cell r="C197" t="str">
            <v>140700</v>
          </cell>
          <cell r="D197" t="str">
            <v>KODEX 보험</v>
          </cell>
          <cell r="E197">
            <v>18758.5</v>
          </cell>
          <cell r="F197">
            <v>18745</v>
          </cell>
          <cell r="G197" t="str">
            <v>400 ( 2.18%)</v>
          </cell>
          <cell r="H197">
            <v>15509</v>
          </cell>
          <cell r="I197" t="str">
            <v>주식-업종섹터</v>
          </cell>
          <cell r="J197">
            <v>12</v>
          </cell>
          <cell r="K197">
            <v>79585</v>
          </cell>
          <cell r="L197">
            <v>8360729</v>
          </cell>
          <cell r="M197">
            <v>100000</v>
          </cell>
        </row>
        <row r="198">
          <cell r="A198" t="str">
            <v>A140710</v>
          </cell>
          <cell r="B198" t="str">
            <v>195</v>
          </cell>
          <cell r="C198" t="str">
            <v>140710</v>
          </cell>
          <cell r="D198" t="str">
            <v>KODEX 운송</v>
          </cell>
          <cell r="E198">
            <v>6108.86</v>
          </cell>
          <cell r="F198">
            <v>6085</v>
          </cell>
          <cell r="G198" t="str">
            <v>30 ( 0.50%)</v>
          </cell>
          <cell r="H198">
            <v>4099</v>
          </cell>
          <cell r="I198" t="str">
            <v>주식-업종섹터</v>
          </cell>
          <cell r="J198">
            <v>13</v>
          </cell>
          <cell r="K198">
            <v>55510</v>
          </cell>
          <cell r="L198">
            <v>2165620</v>
          </cell>
          <cell r="M198">
            <v>100000</v>
          </cell>
        </row>
        <row r="199">
          <cell r="A199" t="str">
            <v>A140950</v>
          </cell>
          <cell r="B199" t="str">
            <v>196</v>
          </cell>
          <cell r="C199" t="str">
            <v>140950</v>
          </cell>
          <cell r="D199" t="str">
            <v>파워 코스피100</v>
          </cell>
          <cell r="E199">
            <v>85975.77</v>
          </cell>
          <cell r="F199">
            <v>86025</v>
          </cell>
          <cell r="G199" t="str">
            <v>4,010 ( 4.89%)</v>
          </cell>
          <cell r="H199">
            <v>1785</v>
          </cell>
          <cell r="I199" t="str">
            <v>주식-시장대표</v>
          </cell>
          <cell r="J199">
            <v>100</v>
          </cell>
          <cell r="K199">
            <v>15295</v>
          </cell>
          <cell r="L199">
            <v>528783</v>
          </cell>
          <cell r="M199">
            <v>40000</v>
          </cell>
        </row>
        <row r="200">
          <cell r="A200" t="str">
            <v>A143860</v>
          </cell>
          <cell r="B200" t="str">
            <v>197</v>
          </cell>
          <cell r="C200" t="str">
            <v>143860</v>
          </cell>
          <cell r="D200" t="str">
            <v>TIGER 헬스케어</v>
          </cell>
          <cell r="E200">
            <v>33936.370000000003</v>
          </cell>
          <cell r="F200">
            <v>33945</v>
          </cell>
          <cell r="G200" t="str">
            <v>245 ( 0.72%)</v>
          </cell>
          <cell r="H200">
            <v>10243</v>
          </cell>
          <cell r="I200" t="str">
            <v>주식-업종섹터</v>
          </cell>
          <cell r="J200">
            <v>67</v>
          </cell>
          <cell r="K200">
            <v>11846</v>
          </cell>
          <cell r="L200">
            <v>1480314</v>
          </cell>
          <cell r="M200">
            <v>20000</v>
          </cell>
        </row>
        <row r="201">
          <cell r="A201" t="str">
            <v>A145670</v>
          </cell>
          <cell r="B201" t="str">
            <v>198</v>
          </cell>
          <cell r="C201" t="str">
            <v>145670</v>
          </cell>
          <cell r="D201" t="str">
            <v>ACE 인버스</v>
          </cell>
          <cell r="E201">
            <v>1383.8</v>
          </cell>
          <cell r="F201">
            <v>1374</v>
          </cell>
          <cell r="G201" t="str">
            <v>74 ( 5.11%)</v>
          </cell>
          <cell r="H201">
            <v>159065</v>
          </cell>
          <cell r="I201" t="str">
            <v>주식-시장대표</v>
          </cell>
          <cell r="J201">
            <v>3</v>
          </cell>
          <cell r="K201">
            <v>8369</v>
          </cell>
          <cell r="L201">
            <v>136225743</v>
          </cell>
          <cell r="M201">
            <v>100000</v>
          </cell>
        </row>
        <row r="202">
          <cell r="A202" t="str">
            <v>A145850</v>
          </cell>
          <cell r="B202" t="str">
            <v>199</v>
          </cell>
          <cell r="C202" t="str">
            <v>145850</v>
          </cell>
          <cell r="D202" t="str">
            <v>TREX 펀더멘탈 200</v>
          </cell>
          <cell r="E202">
            <v>115037.06</v>
          </cell>
          <cell r="F202">
            <v>114690</v>
          </cell>
          <cell r="G202" t="str">
            <v>1,740 ( 1.54%)</v>
          </cell>
          <cell r="H202">
            <v>1</v>
          </cell>
          <cell r="I202" t="str">
            <v>주식-전략</v>
          </cell>
          <cell r="J202">
            <v>196</v>
          </cell>
          <cell r="K202">
            <v>90081</v>
          </cell>
          <cell r="L202">
            <v>172725828</v>
          </cell>
          <cell r="M202">
            <v>50000</v>
          </cell>
        </row>
        <row r="203">
          <cell r="A203" t="str">
            <v>A147970</v>
          </cell>
          <cell r="B203" t="str">
            <v>200</v>
          </cell>
          <cell r="C203" t="str">
            <v>147970</v>
          </cell>
          <cell r="D203" t="str">
            <v>TIGER 모멘텀</v>
          </cell>
          <cell r="E203">
            <v>79039.11</v>
          </cell>
          <cell r="F203">
            <v>78915</v>
          </cell>
          <cell r="G203" t="str">
            <v>1,855 ( 2.41%)</v>
          </cell>
          <cell r="H203">
            <v>979</v>
          </cell>
          <cell r="I203" t="str">
            <v>주식-전략</v>
          </cell>
          <cell r="J203">
            <v>30</v>
          </cell>
          <cell r="K203">
            <v>14010</v>
          </cell>
          <cell r="L203">
            <v>3039195</v>
          </cell>
          <cell r="M203">
            <v>20000</v>
          </cell>
        </row>
        <row r="204">
          <cell r="A204" t="str">
            <v>A148020</v>
          </cell>
          <cell r="B204" t="str">
            <v>201</v>
          </cell>
          <cell r="C204" t="str">
            <v>148020</v>
          </cell>
          <cell r="D204" t="str">
            <v>RISE 200</v>
          </cell>
          <cell r="E204">
            <v>109742.12</v>
          </cell>
          <cell r="F204">
            <v>109835</v>
          </cell>
          <cell r="G204" t="str">
            <v>5,285 ( 5.05%)</v>
          </cell>
          <cell r="H204">
            <v>1234539</v>
          </cell>
          <cell r="I204" t="str">
            <v>주식-시장대표</v>
          </cell>
          <cell r="J204">
            <v>199</v>
          </cell>
          <cell r="K204">
            <v>28863</v>
          </cell>
          <cell r="L204">
            <v>2112077</v>
          </cell>
          <cell r="M204">
            <v>50000</v>
          </cell>
        </row>
        <row r="205">
          <cell r="A205" t="str">
            <v>A148070</v>
          </cell>
          <cell r="B205" t="str">
            <v>202</v>
          </cell>
          <cell r="C205" t="str">
            <v>148070</v>
          </cell>
          <cell r="D205" t="str">
            <v>KIWOOM 국고채10년</v>
          </cell>
          <cell r="E205">
            <v>103921.07</v>
          </cell>
          <cell r="F205">
            <v>103910</v>
          </cell>
          <cell r="G205" t="str">
            <v>95 ( 0.09%)</v>
          </cell>
          <cell r="H205">
            <v>4495</v>
          </cell>
          <cell r="I205" t="str">
            <v>채권-국공채</v>
          </cell>
          <cell r="J205">
            <v>3</v>
          </cell>
          <cell r="K205">
            <v>0</v>
          </cell>
          <cell r="L205">
            <v>3561193</v>
          </cell>
          <cell r="M205">
            <v>1000</v>
          </cell>
        </row>
        <row r="206">
          <cell r="A206" t="str">
            <v>A150460</v>
          </cell>
          <cell r="B206" t="str">
            <v>203</v>
          </cell>
          <cell r="C206" t="str">
            <v>150460</v>
          </cell>
          <cell r="D206" t="str">
            <v>TIGER 중국소비테마</v>
          </cell>
          <cell r="E206">
            <v>7029.21</v>
          </cell>
          <cell r="F206">
            <v>7020</v>
          </cell>
          <cell r="G206" t="str">
            <v>80 ( 1.15%)</v>
          </cell>
          <cell r="H206">
            <v>10962</v>
          </cell>
          <cell r="I206" t="str">
            <v>주식-전략</v>
          </cell>
          <cell r="J206">
            <v>23</v>
          </cell>
          <cell r="K206">
            <v>4227</v>
          </cell>
          <cell r="L206">
            <v>480553</v>
          </cell>
          <cell r="M206">
            <v>30000</v>
          </cell>
        </row>
        <row r="207">
          <cell r="A207" t="str">
            <v>A152100</v>
          </cell>
          <cell r="B207" t="str">
            <v>204</v>
          </cell>
          <cell r="C207" t="str">
            <v>152100</v>
          </cell>
          <cell r="D207" t="str">
            <v>PLUS 200</v>
          </cell>
          <cell r="E207">
            <v>110606.26</v>
          </cell>
          <cell r="F207">
            <v>110755</v>
          </cell>
          <cell r="G207" t="str">
            <v>5,135 ( 4.86%)</v>
          </cell>
          <cell r="H207">
            <v>258567</v>
          </cell>
          <cell r="I207" t="str">
            <v>주식-시장대표</v>
          </cell>
          <cell r="J207">
            <v>199</v>
          </cell>
          <cell r="K207">
            <v>29107</v>
          </cell>
          <cell r="L207">
            <v>-5030189</v>
          </cell>
          <cell r="M207">
            <v>50000</v>
          </cell>
        </row>
        <row r="208">
          <cell r="A208" t="str">
            <v>A152380</v>
          </cell>
          <cell r="B208" t="str">
            <v>205</v>
          </cell>
          <cell r="C208" t="str">
            <v>152380</v>
          </cell>
          <cell r="D208" t="str">
            <v>KODEX 국채선물10년</v>
          </cell>
          <cell r="E208">
            <v>64477.16</v>
          </cell>
          <cell r="F208">
            <v>64455</v>
          </cell>
          <cell r="G208" t="str">
            <v>40 ( 0.06%)</v>
          </cell>
          <cell r="H208">
            <v>644</v>
          </cell>
          <cell r="I208" t="str">
            <v>채권-국공채</v>
          </cell>
          <cell r="J208">
            <v>1</v>
          </cell>
          <cell r="K208">
            <v>4</v>
          </cell>
          <cell r="L208">
            <v>386789386</v>
          </cell>
          <cell r="M208">
            <v>6000</v>
          </cell>
        </row>
        <row r="209">
          <cell r="A209" t="str">
            <v>A152500</v>
          </cell>
          <cell r="B209" t="str">
            <v>206</v>
          </cell>
          <cell r="C209" t="str">
            <v>152500</v>
          </cell>
          <cell r="D209" t="str">
            <v>ACE 레버리지</v>
          </cell>
          <cell r="E209">
            <v>49191.64</v>
          </cell>
          <cell r="F209">
            <v>49100</v>
          </cell>
          <cell r="G209" t="str">
            <v>4,295 ( 9.59%)</v>
          </cell>
          <cell r="H209">
            <v>66862</v>
          </cell>
          <cell r="I209" t="str">
            <v>주식-시장대표</v>
          </cell>
          <cell r="J209">
            <v>202</v>
          </cell>
          <cell r="K209">
            <v>24788</v>
          </cell>
          <cell r="L209">
            <v>296319486</v>
          </cell>
          <cell r="M209">
            <v>100000</v>
          </cell>
        </row>
        <row r="210">
          <cell r="A210" t="str">
            <v>A152870</v>
          </cell>
          <cell r="B210" t="str">
            <v>207</v>
          </cell>
          <cell r="C210" t="str">
            <v>152870</v>
          </cell>
          <cell r="D210" t="str">
            <v>파워 200</v>
          </cell>
          <cell r="E210">
            <v>109929.75</v>
          </cell>
          <cell r="F210">
            <v>109995</v>
          </cell>
          <cell r="G210" t="str">
            <v>5,280 ( 5.04%)</v>
          </cell>
          <cell r="H210">
            <v>45433</v>
          </cell>
          <cell r="I210" t="str">
            <v>주식-시장대표</v>
          </cell>
          <cell r="J210">
            <v>199</v>
          </cell>
          <cell r="K210">
            <v>28856</v>
          </cell>
          <cell r="L210">
            <v>10443452</v>
          </cell>
          <cell r="M210">
            <v>50000</v>
          </cell>
        </row>
        <row r="211">
          <cell r="A211" t="str">
            <v>A153130</v>
          </cell>
          <cell r="B211" t="str">
            <v>208</v>
          </cell>
          <cell r="C211" t="str">
            <v>153130</v>
          </cell>
          <cell r="D211" t="str">
            <v>KODEX 단기채권</v>
          </cell>
          <cell r="E211">
            <v>113201.16</v>
          </cell>
          <cell r="F211">
            <v>113200</v>
          </cell>
          <cell r="G211" t="str">
            <v>20 ( 0.02%)</v>
          </cell>
          <cell r="H211">
            <v>17331</v>
          </cell>
          <cell r="I211" t="str">
            <v>채권-국공채</v>
          </cell>
          <cell r="J211">
            <v>15</v>
          </cell>
          <cell r="K211">
            <v>0</v>
          </cell>
          <cell r="L211">
            <v>30835551</v>
          </cell>
          <cell r="M211">
            <v>1000</v>
          </cell>
        </row>
        <row r="212">
          <cell r="A212" t="str">
            <v>A153270</v>
          </cell>
          <cell r="B212" t="str">
            <v>209</v>
          </cell>
          <cell r="C212" t="str">
            <v>153270</v>
          </cell>
          <cell r="D212" t="str">
            <v>KIWOOM 코스피100</v>
          </cell>
          <cell r="E212">
            <v>84477.62</v>
          </cell>
          <cell r="F212">
            <v>84600</v>
          </cell>
          <cell r="G212" t="str">
            <v>4,330 ( 5.39%)</v>
          </cell>
          <cell r="H212">
            <v>1090</v>
          </cell>
          <cell r="I212" t="str">
            <v>주식-시장대표</v>
          </cell>
          <cell r="J212">
            <v>100</v>
          </cell>
          <cell r="K212">
            <v>7521</v>
          </cell>
          <cell r="L212">
            <v>598075</v>
          </cell>
          <cell r="M212">
            <v>20000</v>
          </cell>
        </row>
        <row r="213">
          <cell r="A213" t="str">
            <v>A156080</v>
          </cell>
          <cell r="B213" t="str">
            <v>210</v>
          </cell>
          <cell r="C213" t="str">
            <v>156080</v>
          </cell>
          <cell r="D213" t="str">
            <v>KODEX MSCI Korea</v>
          </cell>
          <cell r="E213">
            <v>51960.639999999999</v>
          </cell>
          <cell r="F213">
            <v>52010</v>
          </cell>
          <cell r="G213" t="str">
            <v>2,390 ( 4.82%)</v>
          </cell>
          <cell r="H213">
            <v>5034</v>
          </cell>
          <cell r="I213" t="str">
            <v>주식-시장대표</v>
          </cell>
          <cell r="J213">
            <v>77</v>
          </cell>
          <cell r="K213">
            <v>20859</v>
          </cell>
          <cell r="L213">
            <v>32615684</v>
          </cell>
          <cell r="M213">
            <v>100000</v>
          </cell>
        </row>
        <row r="214">
          <cell r="A214" t="str">
            <v>A157450</v>
          </cell>
          <cell r="B214" t="str">
            <v>211</v>
          </cell>
          <cell r="C214" t="str">
            <v>157450</v>
          </cell>
          <cell r="D214" t="str">
            <v>TIGER 단기통안채</v>
          </cell>
          <cell r="E214">
            <v>112208.86</v>
          </cell>
          <cell r="F214">
            <v>112210</v>
          </cell>
          <cell r="G214" t="str">
            <v>20 ( 0.02%)</v>
          </cell>
          <cell r="H214">
            <v>5783</v>
          </cell>
          <cell r="I214" t="str">
            <v>채권-국공채</v>
          </cell>
          <cell r="J214">
            <v>3</v>
          </cell>
          <cell r="K214">
            <v>0</v>
          </cell>
          <cell r="L214">
            <v>4173683</v>
          </cell>
          <cell r="M214">
            <v>1000</v>
          </cell>
        </row>
        <row r="215">
          <cell r="A215" t="str">
            <v>A157490</v>
          </cell>
          <cell r="B215" t="str">
            <v>212</v>
          </cell>
          <cell r="C215" t="str">
            <v>157490</v>
          </cell>
          <cell r="D215" t="str">
            <v>TIGER 소프트웨어</v>
          </cell>
          <cell r="E215">
            <v>7870.32</v>
          </cell>
          <cell r="F215">
            <v>7855</v>
          </cell>
          <cell r="G215" t="str">
            <v>240 ( 3.15%)</v>
          </cell>
          <cell r="H215">
            <v>77321</v>
          </cell>
          <cell r="I215" t="str">
            <v>주식-업종섹터</v>
          </cell>
          <cell r="J215">
            <v>23</v>
          </cell>
          <cell r="K215">
            <v>2272</v>
          </cell>
          <cell r="L215">
            <v>174365</v>
          </cell>
          <cell r="M215">
            <v>20000</v>
          </cell>
        </row>
        <row r="216">
          <cell r="A216" t="str">
            <v>A157500</v>
          </cell>
          <cell r="B216" t="str">
            <v>213</v>
          </cell>
          <cell r="C216" t="str">
            <v>157500</v>
          </cell>
          <cell r="D216" t="str">
            <v>TIGER 증권</v>
          </cell>
          <cell r="E216">
            <v>14387.28</v>
          </cell>
          <cell r="F216">
            <v>14345</v>
          </cell>
          <cell r="G216" t="str">
            <v>250 ( 1.77%)</v>
          </cell>
          <cell r="H216">
            <v>504615</v>
          </cell>
          <cell r="I216" t="str">
            <v>주식-업종섹터</v>
          </cell>
          <cell r="J216">
            <v>10</v>
          </cell>
          <cell r="K216">
            <v>7004</v>
          </cell>
          <cell r="L216">
            <v>3356654</v>
          </cell>
          <cell r="M216">
            <v>20000</v>
          </cell>
        </row>
        <row r="217">
          <cell r="A217" t="str">
            <v>A159800</v>
          </cell>
          <cell r="B217" t="str">
            <v>214</v>
          </cell>
          <cell r="C217" t="str">
            <v>159800</v>
          </cell>
          <cell r="D217" t="str">
            <v>마이티 코스피100</v>
          </cell>
          <cell r="E217">
            <v>86704.14</v>
          </cell>
          <cell r="F217">
            <v>84880</v>
          </cell>
          <cell r="G217" t="str">
            <v>2,465 ( 2.99%)</v>
          </cell>
          <cell r="H217">
            <v>263</v>
          </cell>
          <cell r="I217" t="str">
            <v>주식-시장대표</v>
          </cell>
          <cell r="J217">
            <v>100</v>
          </cell>
          <cell r="K217">
            <v>15436</v>
          </cell>
          <cell r="L217">
            <v>-2610464</v>
          </cell>
          <cell r="M217">
            <v>40000</v>
          </cell>
        </row>
        <row r="218">
          <cell r="A218" t="str">
            <v>A161510</v>
          </cell>
          <cell r="B218" t="str">
            <v>215</v>
          </cell>
          <cell r="C218" t="str">
            <v>161510</v>
          </cell>
          <cell r="D218" t="str">
            <v>PLUS 고배당주</v>
          </cell>
          <cell r="E218">
            <v>24798.720000000001</v>
          </cell>
          <cell r="F218">
            <v>24750</v>
          </cell>
          <cell r="G218" t="str">
            <v>100 ( 0.41%)</v>
          </cell>
          <cell r="H218">
            <v>479074</v>
          </cell>
          <cell r="I218" t="str">
            <v>주식-전략</v>
          </cell>
          <cell r="J218">
            <v>30</v>
          </cell>
          <cell r="K218">
            <v>19316</v>
          </cell>
          <cell r="L218">
            <v>2808277</v>
          </cell>
          <cell r="M218">
            <v>30000</v>
          </cell>
        </row>
        <row r="219">
          <cell r="A219" t="str">
            <v>A166400</v>
          </cell>
          <cell r="B219" t="str">
            <v>216</v>
          </cell>
          <cell r="C219" t="str">
            <v>166400</v>
          </cell>
          <cell r="D219" t="str">
            <v>TIGER 200커버드콜OTM</v>
          </cell>
          <cell r="E219">
            <v>23037.88</v>
          </cell>
          <cell r="F219">
            <v>22875</v>
          </cell>
          <cell r="G219" t="str">
            <v>875 ( 3.98%)</v>
          </cell>
          <cell r="H219">
            <v>3198</v>
          </cell>
          <cell r="I219" t="str">
            <v>주식-전략</v>
          </cell>
          <cell r="J219">
            <v>204</v>
          </cell>
          <cell r="K219">
            <v>11225</v>
          </cell>
          <cell r="L219">
            <v>365375922</v>
          </cell>
          <cell r="M219">
            <v>100000</v>
          </cell>
        </row>
        <row r="220">
          <cell r="A220" t="str">
            <v>A167860</v>
          </cell>
          <cell r="B220" t="str">
            <v>217</v>
          </cell>
          <cell r="C220" t="str">
            <v>167860</v>
          </cell>
          <cell r="D220" t="str">
            <v>KIWOOM 국고채10년레버리지</v>
          </cell>
          <cell r="E220">
            <v>91158.23</v>
          </cell>
          <cell r="F220">
            <v>90725</v>
          </cell>
          <cell r="G220" t="str">
            <v>335 ( 0.37%)</v>
          </cell>
          <cell r="H220">
            <v>12</v>
          </cell>
          <cell r="I220" t="str">
            <v>채권-국공채</v>
          </cell>
          <cell r="J220">
            <v>4</v>
          </cell>
          <cell r="K220">
            <v>8</v>
          </cell>
          <cell r="L220">
            <v>-46069949</v>
          </cell>
          <cell r="M220">
            <v>10000</v>
          </cell>
        </row>
        <row r="221">
          <cell r="A221" t="str">
            <v>A174350</v>
          </cell>
          <cell r="B221" t="str">
            <v>218</v>
          </cell>
          <cell r="C221" t="str">
            <v>174350</v>
          </cell>
          <cell r="D221" t="str">
            <v>TIGER 로우볼</v>
          </cell>
          <cell r="E221">
            <v>20214.740000000002</v>
          </cell>
          <cell r="F221">
            <v>20155</v>
          </cell>
          <cell r="G221" t="str">
            <v>150 ( 0.75%)</v>
          </cell>
          <cell r="H221">
            <v>46</v>
          </cell>
          <cell r="I221" t="str">
            <v>주식-전략</v>
          </cell>
          <cell r="J221">
            <v>40</v>
          </cell>
          <cell r="K221">
            <v>10585</v>
          </cell>
          <cell r="L221">
            <v>2515666</v>
          </cell>
          <cell r="M221">
            <v>20000</v>
          </cell>
        </row>
        <row r="222">
          <cell r="A222" t="str">
            <v>A176950</v>
          </cell>
          <cell r="B222" t="str">
            <v>219</v>
          </cell>
          <cell r="C222" t="str">
            <v>176950</v>
          </cell>
          <cell r="D222" t="str">
            <v>KODEX 국채선물10년인버스</v>
          </cell>
          <cell r="E222">
            <v>60528.71</v>
          </cell>
          <cell r="F222">
            <v>60500</v>
          </cell>
          <cell r="G222" t="str">
            <v>20 ( 0.03%)</v>
          </cell>
          <cell r="H222">
            <v>104</v>
          </cell>
          <cell r="I222" t="str">
            <v>채권-국공채</v>
          </cell>
          <cell r="J222">
            <v>1</v>
          </cell>
          <cell r="K222">
            <v>-3</v>
          </cell>
          <cell r="L222">
            <v>363241071</v>
          </cell>
          <cell r="M222">
            <v>6000</v>
          </cell>
        </row>
        <row r="223">
          <cell r="A223" t="str">
            <v>A183700</v>
          </cell>
          <cell r="B223" t="str">
            <v>220</v>
          </cell>
          <cell r="C223" t="str">
            <v>183700</v>
          </cell>
          <cell r="D223" t="str">
            <v>RISE 200채권혼합50</v>
          </cell>
          <cell r="E223">
            <v>95890.36</v>
          </cell>
          <cell r="F223">
            <v>95935</v>
          </cell>
          <cell r="G223" t="str">
            <v>1,735 ( 1.84%)</v>
          </cell>
          <cell r="H223">
            <v>3770</v>
          </cell>
          <cell r="I223" t="str">
            <v>혼합-주식채권</v>
          </cell>
          <cell r="J223">
            <v>205</v>
          </cell>
          <cell r="K223">
            <v>16969</v>
          </cell>
          <cell r="L223">
            <v>1686863912</v>
          </cell>
          <cell r="M223">
            <v>60000</v>
          </cell>
        </row>
        <row r="224">
          <cell r="A224" t="str">
            <v>A183710</v>
          </cell>
          <cell r="B224" t="str">
            <v>221</v>
          </cell>
          <cell r="C224" t="str">
            <v>183710</v>
          </cell>
          <cell r="D224" t="str">
            <v>RISE 주식혼합</v>
          </cell>
          <cell r="E224">
            <v>92748.18</v>
          </cell>
          <cell r="F224">
            <v>92640</v>
          </cell>
          <cell r="G224" t="str">
            <v>2,690 ( 2.99%)</v>
          </cell>
          <cell r="H224">
            <v>392</v>
          </cell>
          <cell r="I224" t="str">
            <v>혼합-주식채권</v>
          </cell>
          <cell r="J224">
            <v>206</v>
          </cell>
          <cell r="K224">
            <v>20871</v>
          </cell>
          <cell r="L224">
            <v>735592906</v>
          </cell>
          <cell r="M224">
            <v>50000</v>
          </cell>
        </row>
        <row r="225">
          <cell r="A225" t="str">
            <v>A190620</v>
          </cell>
          <cell r="B225" t="str">
            <v>222</v>
          </cell>
          <cell r="C225" t="str">
            <v>190620</v>
          </cell>
          <cell r="D225" t="str">
            <v>ACE 단기통안채</v>
          </cell>
          <cell r="E225">
            <v>101675.78</v>
          </cell>
          <cell r="F225">
            <v>101680</v>
          </cell>
          <cell r="G225" t="str">
            <v>20 ( 0.02%)</v>
          </cell>
          <cell r="H225">
            <v>953</v>
          </cell>
          <cell r="I225" t="str">
            <v>채권-국공채</v>
          </cell>
          <cell r="J225">
            <v>9</v>
          </cell>
          <cell r="K225">
            <v>0</v>
          </cell>
          <cell r="L225">
            <v>17081957</v>
          </cell>
          <cell r="M225">
            <v>1000</v>
          </cell>
        </row>
        <row r="226">
          <cell r="A226" t="str">
            <v>A192720</v>
          </cell>
          <cell r="B226" t="str">
            <v>223</v>
          </cell>
          <cell r="C226" t="str">
            <v>192720</v>
          </cell>
          <cell r="D226" t="str">
            <v>파워 고배당저변동성</v>
          </cell>
          <cell r="E226">
            <v>57133.65</v>
          </cell>
          <cell r="F226">
            <v>57100</v>
          </cell>
          <cell r="G226" t="str">
            <v>820 ( 1.46%)</v>
          </cell>
          <cell r="H226">
            <v>799</v>
          </cell>
          <cell r="I226" t="str">
            <v>주식-전략</v>
          </cell>
          <cell r="J226">
            <v>50</v>
          </cell>
          <cell r="K226">
            <v>47041</v>
          </cell>
          <cell r="L226">
            <v>4836289</v>
          </cell>
          <cell r="M226">
            <v>30000</v>
          </cell>
        </row>
        <row r="227">
          <cell r="A227" t="str">
            <v>A196230</v>
          </cell>
          <cell r="B227" t="str">
            <v>224</v>
          </cell>
          <cell r="C227" t="str">
            <v>196230</v>
          </cell>
          <cell r="D227" t="str">
            <v>RISE 단기통안채</v>
          </cell>
          <cell r="E227">
            <v>116604.05</v>
          </cell>
          <cell r="F227">
            <v>116590</v>
          </cell>
          <cell r="G227" t="str">
            <v>10 ( 0.01%)</v>
          </cell>
          <cell r="H227">
            <v>2303</v>
          </cell>
          <cell r="I227" t="str">
            <v>채권-국공채</v>
          </cell>
          <cell r="J227">
            <v>8</v>
          </cell>
          <cell r="K227">
            <v>0</v>
          </cell>
          <cell r="L227">
            <v>12776058</v>
          </cell>
          <cell r="M227">
            <v>1000</v>
          </cell>
        </row>
        <row r="228">
          <cell r="A228" t="str">
            <v>A210780</v>
          </cell>
          <cell r="B228" t="str">
            <v>225</v>
          </cell>
          <cell r="C228" t="str">
            <v>210780</v>
          </cell>
          <cell r="D228" t="str">
            <v>TIGER 코스피고배당</v>
          </cell>
          <cell r="E228">
            <v>22716.46</v>
          </cell>
          <cell r="F228">
            <v>22690</v>
          </cell>
          <cell r="G228" t="str">
            <v>75 ( 0.33%)</v>
          </cell>
          <cell r="H228">
            <v>8720</v>
          </cell>
          <cell r="I228" t="str">
            <v>주식-전략</v>
          </cell>
          <cell r="J228">
            <v>50</v>
          </cell>
          <cell r="K228">
            <v>36345</v>
          </cell>
          <cell r="L228">
            <v>7883548</v>
          </cell>
          <cell r="M228">
            <v>30000</v>
          </cell>
        </row>
        <row r="229">
          <cell r="A229" t="str">
            <v>A211560</v>
          </cell>
          <cell r="B229" t="str">
            <v>226</v>
          </cell>
          <cell r="C229" t="str">
            <v>211560</v>
          </cell>
          <cell r="D229" t="str">
            <v>TIGER 배당성장</v>
          </cell>
          <cell r="E229">
            <v>35268.74</v>
          </cell>
          <cell r="F229">
            <v>35270</v>
          </cell>
          <cell r="G229" t="str">
            <v>495 ( 1.42%)</v>
          </cell>
          <cell r="H229">
            <v>5919</v>
          </cell>
          <cell r="I229" t="str">
            <v>주식-전략</v>
          </cell>
          <cell r="J229">
            <v>50</v>
          </cell>
          <cell r="K229">
            <v>19284</v>
          </cell>
          <cell r="L229">
            <v>4242339</v>
          </cell>
          <cell r="M229">
            <v>30000</v>
          </cell>
        </row>
        <row r="230">
          <cell r="A230" t="str">
            <v>A211900</v>
          </cell>
          <cell r="B230" t="str">
            <v>227</v>
          </cell>
          <cell r="C230" t="str">
            <v>211900</v>
          </cell>
          <cell r="D230" t="str">
            <v>KODEX 코리아배당성장</v>
          </cell>
          <cell r="E230">
            <v>28153.56</v>
          </cell>
          <cell r="F230">
            <v>28160</v>
          </cell>
          <cell r="G230" t="str">
            <v>530 ( 1.92%)</v>
          </cell>
          <cell r="H230">
            <v>7227</v>
          </cell>
          <cell r="I230" t="str">
            <v>주식-전략</v>
          </cell>
          <cell r="J230">
            <v>50</v>
          </cell>
          <cell r="K230">
            <v>25723</v>
          </cell>
          <cell r="L230">
            <v>1562741</v>
          </cell>
          <cell r="M230">
            <v>50000</v>
          </cell>
        </row>
        <row r="231">
          <cell r="A231" t="str">
            <v>A213610</v>
          </cell>
          <cell r="B231" t="str">
            <v>228</v>
          </cell>
          <cell r="C231" t="str">
            <v>213610</v>
          </cell>
          <cell r="D231" t="str">
            <v>KODEX 삼성그룹밸류</v>
          </cell>
          <cell r="E231">
            <v>21535.200000000001</v>
          </cell>
          <cell r="F231">
            <v>21545</v>
          </cell>
          <cell r="G231" t="str">
            <v>780 ( 3.76%)</v>
          </cell>
          <cell r="H231">
            <v>10740</v>
          </cell>
          <cell r="I231" t="str">
            <v>주식-전략</v>
          </cell>
          <cell r="J231">
            <v>16</v>
          </cell>
          <cell r="K231">
            <v>22785</v>
          </cell>
          <cell r="L231">
            <v>1427189</v>
          </cell>
          <cell r="M231">
            <v>100000</v>
          </cell>
        </row>
        <row r="232">
          <cell r="A232" t="str">
            <v>A214980</v>
          </cell>
          <cell r="B232" t="str">
            <v>229</v>
          </cell>
          <cell r="C232" t="str">
            <v>214980</v>
          </cell>
          <cell r="D232" t="str">
            <v>KODEX 단기채권PLUS</v>
          </cell>
          <cell r="E232">
            <v>114489.65</v>
          </cell>
          <cell r="F232">
            <v>114467</v>
          </cell>
          <cell r="G232" t="str">
            <v>27 ( 0.02%)</v>
          </cell>
          <cell r="H232">
            <v>19852</v>
          </cell>
          <cell r="I232" t="str">
            <v>채권-혼합</v>
          </cell>
          <cell r="J232">
            <v>46</v>
          </cell>
          <cell r="K232">
            <v>0</v>
          </cell>
          <cell r="L232">
            <v>18649575</v>
          </cell>
          <cell r="M232">
            <v>1000</v>
          </cell>
        </row>
        <row r="233">
          <cell r="A233" t="str">
            <v>A215620</v>
          </cell>
          <cell r="B233" t="str">
            <v>230</v>
          </cell>
          <cell r="C233" t="str">
            <v>215620</v>
          </cell>
          <cell r="D233" t="str">
            <v>HK S&amp;P코리아로우볼</v>
          </cell>
          <cell r="E233">
            <v>15260.54</v>
          </cell>
          <cell r="F233">
            <v>15455</v>
          </cell>
          <cell r="G233" t="str">
            <v>0 ( 0.00%)</v>
          </cell>
          <cell r="H233">
            <v>0</v>
          </cell>
          <cell r="I233" t="str">
            <v>주식-전략</v>
          </cell>
          <cell r="J233">
            <v>50</v>
          </cell>
          <cell r="K233">
            <v>51566</v>
          </cell>
          <cell r="L233">
            <v>3775213</v>
          </cell>
          <cell r="M233">
            <v>30000</v>
          </cell>
        </row>
        <row r="234">
          <cell r="A234" t="str">
            <v>A223190</v>
          </cell>
          <cell r="B234" t="str">
            <v>231</v>
          </cell>
          <cell r="C234" t="str">
            <v>223190</v>
          </cell>
          <cell r="D234" t="str">
            <v>KODEX 200가치저변동</v>
          </cell>
          <cell r="E234">
            <v>27136.76</v>
          </cell>
          <cell r="F234">
            <v>27215</v>
          </cell>
          <cell r="G234" t="str">
            <v>960 ( 3.66%)</v>
          </cell>
          <cell r="H234">
            <v>718</v>
          </cell>
          <cell r="I234" t="str">
            <v>주식-전략</v>
          </cell>
          <cell r="J234">
            <v>193</v>
          </cell>
          <cell r="K234">
            <v>28188</v>
          </cell>
          <cell r="L234">
            <v>8831484</v>
          </cell>
          <cell r="M234">
            <v>100000</v>
          </cell>
        </row>
        <row r="235">
          <cell r="A235" t="str">
            <v>A225800</v>
          </cell>
          <cell r="B235" t="str">
            <v>232</v>
          </cell>
          <cell r="C235" t="str">
            <v>225800</v>
          </cell>
          <cell r="D235" t="str">
            <v>KIWOOM 미국달러선물레버리지</v>
          </cell>
          <cell r="E235">
            <v>17114.240000000002</v>
          </cell>
          <cell r="F235">
            <v>17090</v>
          </cell>
          <cell r="G235" t="str">
            <v>70 ( 0.41%)</v>
          </cell>
          <cell r="H235">
            <v>143</v>
          </cell>
          <cell r="I235" t="str">
            <v>통화-미국달러</v>
          </cell>
          <cell r="J235">
            <v>2</v>
          </cell>
          <cell r="K235">
            <v>2181</v>
          </cell>
          <cell r="L235">
            <v>134798352</v>
          </cell>
          <cell r="M235">
            <v>10000</v>
          </cell>
        </row>
        <row r="236">
          <cell r="A236" t="str">
            <v>A226380</v>
          </cell>
          <cell r="B236" t="str">
            <v>233</v>
          </cell>
          <cell r="C236" t="str">
            <v>226380</v>
          </cell>
          <cell r="D236" t="str">
            <v>ACE Fn성장소비주도주</v>
          </cell>
          <cell r="E236">
            <v>5428.31</v>
          </cell>
          <cell r="F236">
            <v>5405</v>
          </cell>
          <cell r="G236" t="str">
            <v>50 ( 0.93%)</v>
          </cell>
          <cell r="H236">
            <v>56</v>
          </cell>
          <cell r="I236" t="str">
            <v>주식-전략</v>
          </cell>
          <cell r="J236">
            <v>51</v>
          </cell>
          <cell r="K236">
            <v>20213</v>
          </cell>
          <cell r="L236">
            <v>7866281</v>
          </cell>
          <cell r="M236">
            <v>100000</v>
          </cell>
        </row>
        <row r="237">
          <cell r="A237" t="str">
            <v>A226490</v>
          </cell>
          <cell r="B237" t="str">
            <v>234</v>
          </cell>
          <cell r="C237" t="str">
            <v>226490</v>
          </cell>
          <cell r="D237" t="str">
            <v>KODEX 코스피</v>
          </cell>
          <cell r="E237">
            <v>70039.61</v>
          </cell>
          <cell r="F237">
            <v>69945</v>
          </cell>
          <cell r="G237" t="str">
            <v>2,515 ( 3.73%)</v>
          </cell>
          <cell r="H237">
            <v>174670</v>
          </cell>
          <cell r="I237" t="str">
            <v>주식-시장대표</v>
          </cell>
          <cell r="J237">
            <v>728</v>
          </cell>
          <cell r="K237">
            <v>34355</v>
          </cell>
          <cell r="L237">
            <v>7262849</v>
          </cell>
          <cell r="M237">
            <v>50000</v>
          </cell>
        </row>
        <row r="238">
          <cell r="A238" t="str">
            <v>A226980</v>
          </cell>
          <cell r="B238" t="str">
            <v>235</v>
          </cell>
          <cell r="C238" t="str">
            <v>226980</v>
          </cell>
          <cell r="D238" t="str">
            <v>KODEX 200 중소형</v>
          </cell>
          <cell r="E238">
            <v>21243.58</v>
          </cell>
          <cell r="F238">
            <v>21200</v>
          </cell>
          <cell r="G238" t="str">
            <v>200 ( 0.95%)</v>
          </cell>
          <cell r="H238">
            <v>77299</v>
          </cell>
          <cell r="I238" t="str">
            <v>주식-규모</v>
          </cell>
          <cell r="J238">
            <v>100</v>
          </cell>
          <cell r="K238">
            <v>60584</v>
          </cell>
          <cell r="L238">
            <v>5851595</v>
          </cell>
          <cell r="M238">
            <v>100000</v>
          </cell>
        </row>
        <row r="239">
          <cell r="A239" t="str">
            <v>A227540</v>
          </cell>
          <cell r="B239" t="str">
            <v>236</v>
          </cell>
          <cell r="C239" t="str">
            <v>227540</v>
          </cell>
          <cell r="D239" t="str">
            <v>TIGER 200 헬스케어</v>
          </cell>
          <cell r="E239">
            <v>17532.3</v>
          </cell>
          <cell r="F239">
            <v>17485</v>
          </cell>
          <cell r="G239" t="str">
            <v>170 ( 0.98%)</v>
          </cell>
          <cell r="H239">
            <v>17507</v>
          </cell>
          <cell r="I239" t="str">
            <v>주식-업종섹터</v>
          </cell>
          <cell r="J239">
            <v>14</v>
          </cell>
          <cell r="K239">
            <v>3580</v>
          </cell>
          <cell r="L239">
            <v>797593</v>
          </cell>
          <cell r="M239">
            <v>20000</v>
          </cell>
        </row>
        <row r="240">
          <cell r="A240" t="str">
            <v>A227550</v>
          </cell>
          <cell r="B240" t="str">
            <v>237</v>
          </cell>
          <cell r="C240" t="str">
            <v>227550</v>
          </cell>
          <cell r="D240" t="str">
            <v>TIGER 200 산업재</v>
          </cell>
          <cell r="E240">
            <v>11002.42</v>
          </cell>
          <cell r="F240">
            <v>10995</v>
          </cell>
          <cell r="G240" t="str">
            <v>185 ( 1.71%)</v>
          </cell>
          <cell r="H240">
            <v>5531</v>
          </cell>
          <cell r="I240" t="str">
            <v>주식-업종섹터</v>
          </cell>
          <cell r="J240">
            <v>20</v>
          </cell>
          <cell r="K240">
            <v>2700</v>
          </cell>
          <cell r="L240">
            <v>1779360</v>
          </cell>
          <cell r="M240">
            <v>20000</v>
          </cell>
        </row>
        <row r="241">
          <cell r="A241" t="str">
            <v>A227560</v>
          </cell>
          <cell r="B241" t="str">
            <v>238</v>
          </cell>
          <cell r="C241" t="str">
            <v>227560</v>
          </cell>
          <cell r="D241" t="str">
            <v>TIGER 200 생활소비재</v>
          </cell>
          <cell r="E241">
            <v>12317.87</v>
          </cell>
          <cell r="F241">
            <v>12260</v>
          </cell>
          <cell r="G241" t="str">
            <v>240 ( 2.00%)</v>
          </cell>
          <cell r="H241">
            <v>7932</v>
          </cell>
          <cell r="I241" t="str">
            <v>주식-업종섹터</v>
          </cell>
          <cell r="J241">
            <v>28</v>
          </cell>
          <cell r="K241">
            <v>3014</v>
          </cell>
          <cell r="L241">
            <v>665311</v>
          </cell>
          <cell r="M241">
            <v>20000</v>
          </cell>
        </row>
        <row r="242">
          <cell r="A242" t="str">
            <v>A227570</v>
          </cell>
          <cell r="B242" t="str">
            <v>239</v>
          </cell>
          <cell r="C242" t="str">
            <v>227570</v>
          </cell>
          <cell r="D242" t="str">
            <v>TIGER 우량가치</v>
          </cell>
          <cell r="E242">
            <v>19508.080000000002</v>
          </cell>
          <cell r="F242">
            <v>19525</v>
          </cell>
          <cell r="G242" t="str">
            <v>100 ( 0.51%)</v>
          </cell>
          <cell r="H242">
            <v>420</v>
          </cell>
          <cell r="I242" t="str">
            <v>주식-전략</v>
          </cell>
          <cell r="J242">
            <v>50</v>
          </cell>
          <cell r="K242">
            <v>33823</v>
          </cell>
          <cell r="L242">
            <v>1286551</v>
          </cell>
          <cell r="M242">
            <v>30000</v>
          </cell>
        </row>
        <row r="243">
          <cell r="A243" t="str">
            <v>A227830</v>
          </cell>
          <cell r="B243" t="str">
            <v>240</v>
          </cell>
          <cell r="C243" t="str">
            <v>227830</v>
          </cell>
          <cell r="D243" t="str">
            <v>PLUS 코스피</v>
          </cell>
          <cell r="E243">
            <v>70408.23</v>
          </cell>
          <cell r="F243">
            <v>70535</v>
          </cell>
          <cell r="G243" t="str">
            <v>2,915 ( 4.31%)</v>
          </cell>
          <cell r="H243">
            <v>115</v>
          </cell>
          <cell r="I243" t="str">
            <v>주식-시장대표</v>
          </cell>
          <cell r="J243">
            <v>708</v>
          </cell>
          <cell r="K243">
            <v>35458</v>
          </cell>
          <cell r="L243">
            <v>1574628</v>
          </cell>
          <cell r="M243">
            <v>50000</v>
          </cell>
        </row>
        <row r="244">
          <cell r="A244" t="str">
            <v>A228790</v>
          </cell>
          <cell r="B244" t="str">
            <v>241</v>
          </cell>
          <cell r="C244" t="str">
            <v>228790</v>
          </cell>
          <cell r="D244" t="str">
            <v>TIGER 화장품</v>
          </cell>
          <cell r="E244">
            <v>3694.96</v>
          </cell>
          <cell r="F244">
            <v>3685</v>
          </cell>
          <cell r="G244" t="str">
            <v>105 ( 2.93%)</v>
          </cell>
          <cell r="H244">
            <v>2718726</v>
          </cell>
          <cell r="I244" t="str">
            <v>주식-업종섹터</v>
          </cell>
          <cell r="J244">
            <v>18</v>
          </cell>
          <cell r="K244">
            <v>1849</v>
          </cell>
          <cell r="L244">
            <v>395643</v>
          </cell>
          <cell r="M244">
            <v>30000</v>
          </cell>
        </row>
        <row r="245">
          <cell r="A245" t="str">
            <v>A228800</v>
          </cell>
          <cell r="B245" t="str">
            <v>242</v>
          </cell>
          <cell r="C245" t="str">
            <v>228800</v>
          </cell>
          <cell r="D245" t="str">
            <v>TIGER 여행레저</v>
          </cell>
          <cell r="E245">
            <v>2472.4499999999998</v>
          </cell>
          <cell r="F245">
            <v>2470</v>
          </cell>
          <cell r="G245" t="str">
            <v>0 ( 0.00%)</v>
          </cell>
          <cell r="H245">
            <v>101459</v>
          </cell>
          <cell r="I245" t="str">
            <v>주식-업종섹터</v>
          </cell>
          <cell r="J245">
            <v>17</v>
          </cell>
          <cell r="K245">
            <v>8398</v>
          </cell>
          <cell r="L245">
            <v>685407</v>
          </cell>
          <cell r="M245">
            <v>30000</v>
          </cell>
        </row>
        <row r="246">
          <cell r="A246" t="str">
            <v>A228810</v>
          </cell>
          <cell r="B246" t="str">
            <v>243</v>
          </cell>
          <cell r="C246" t="str">
            <v>228810</v>
          </cell>
          <cell r="D246" t="str">
            <v>TIGER 미디어컨텐츠</v>
          </cell>
          <cell r="E246">
            <v>3146.31</v>
          </cell>
          <cell r="F246">
            <v>3140</v>
          </cell>
          <cell r="G246" t="str">
            <v>40 ( 1.29%)</v>
          </cell>
          <cell r="H246">
            <v>49534</v>
          </cell>
          <cell r="I246" t="str">
            <v>주식-업종섹터</v>
          </cell>
          <cell r="J246">
            <v>12</v>
          </cell>
          <cell r="K246">
            <v>8313</v>
          </cell>
          <cell r="L246">
            <v>487122</v>
          </cell>
          <cell r="M246">
            <v>30000</v>
          </cell>
        </row>
        <row r="247">
          <cell r="A247" t="str">
            <v>A228820</v>
          </cell>
          <cell r="B247" t="str">
            <v>244</v>
          </cell>
          <cell r="C247" t="str">
            <v>228820</v>
          </cell>
          <cell r="D247" t="str">
            <v>TIGER KTOP30</v>
          </cell>
          <cell r="E247">
            <v>18156.169999999998</v>
          </cell>
          <cell r="F247">
            <v>18160</v>
          </cell>
          <cell r="G247" t="str">
            <v>690 ( 3.95%)</v>
          </cell>
          <cell r="H247">
            <v>6850</v>
          </cell>
          <cell r="I247" t="str">
            <v>주식-시장대표</v>
          </cell>
          <cell r="J247">
            <v>30</v>
          </cell>
          <cell r="K247">
            <v>3528</v>
          </cell>
          <cell r="L247">
            <v>14184961</v>
          </cell>
          <cell r="M247">
            <v>50000</v>
          </cell>
        </row>
        <row r="248">
          <cell r="A248" t="str">
            <v>A229200</v>
          </cell>
          <cell r="B248" t="str">
            <v>245</v>
          </cell>
          <cell r="C248" t="str">
            <v>229200</v>
          </cell>
          <cell r="D248" t="str">
            <v>KODEX 코스닥150</v>
          </cell>
          <cell r="E248">
            <v>12698.26</v>
          </cell>
          <cell r="F248">
            <v>12680</v>
          </cell>
          <cell r="G248" t="str">
            <v>70 ( 0.56%)</v>
          </cell>
          <cell r="H248">
            <v>24498465</v>
          </cell>
          <cell r="I248" t="str">
            <v>주식-시장대표</v>
          </cell>
          <cell r="J248">
            <v>150</v>
          </cell>
          <cell r="K248">
            <v>16408</v>
          </cell>
          <cell r="L248">
            <v>-127275</v>
          </cell>
          <cell r="M248">
            <v>50000</v>
          </cell>
        </row>
        <row r="249">
          <cell r="A249" t="str">
            <v>A229720</v>
          </cell>
          <cell r="B249" t="str">
            <v>246</v>
          </cell>
          <cell r="C249" t="str">
            <v>229720</v>
          </cell>
          <cell r="D249" t="str">
            <v>KODEX KTOP30</v>
          </cell>
          <cell r="E249">
            <v>35985.39</v>
          </cell>
          <cell r="F249">
            <v>36055</v>
          </cell>
          <cell r="G249" t="str">
            <v>1,580 ( 4.58%)</v>
          </cell>
          <cell r="H249">
            <v>4214</v>
          </cell>
          <cell r="I249" t="str">
            <v>주식-시장대표</v>
          </cell>
          <cell r="J249">
            <v>30</v>
          </cell>
          <cell r="K249">
            <v>14246</v>
          </cell>
          <cell r="L249">
            <v>-8484571</v>
          </cell>
          <cell r="M249">
            <v>100000</v>
          </cell>
        </row>
        <row r="250">
          <cell r="A250" t="str">
            <v>A230480</v>
          </cell>
          <cell r="B250" t="str">
            <v>247</v>
          </cell>
          <cell r="C250" t="str">
            <v>230480</v>
          </cell>
          <cell r="D250" t="str">
            <v>KIWOOM 미국달러선물인버스2X</v>
          </cell>
          <cell r="E250">
            <v>4073.64</v>
          </cell>
          <cell r="F250">
            <v>4055</v>
          </cell>
          <cell r="G250" t="str">
            <v>20 ( 0.50%)</v>
          </cell>
          <cell r="H250">
            <v>2449</v>
          </cell>
          <cell r="I250" t="str">
            <v>통화-미국달러</v>
          </cell>
          <cell r="J250">
            <v>2</v>
          </cell>
          <cell r="K250">
            <v>982</v>
          </cell>
          <cell r="L250">
            <v>32797799</v>
          </cell>
          <cell r="M250">
            <v>10000</v>
          </cell>
        </row>
        <row r="251">
          <cell r="A251" t="str">
            <v>A232080</v>
          </cell>
          <cell r="B251" t="str">
            <v>248</v>
          </cell>
          <cell r="C251" t="str">
            <v>232080</v>
          </cell>
          <cell r="D251" t="str">
            <v>TIGER 코스닥150</v>
          </cell>
          <cell r="E251">
            <v>12943.55</v>
          </cell>
          <cell r="F251">
            <v>12940</v>
          </cell>
          <cell r="G251" t="str">
            <v>40 ( 0.31%)</v>
          </cell>
          <cell r="H251">
            <v>1782439</v>
          </cell>
          <cell r="I251" t="str">
            <v>주식-시장대표</v>
          </cell>
          <cell r="J251">
            <v>150</v>
          </cell>
          <cell r="K251">
            <v>6684</v>
          </cell>
          <cell r="L251">
            <v>228181</v>
          </cell>
          <cell r="M251">
            <v>20000</v>
          </cell>
        </row>
        <row r="252">
          <cell r="A252" t="str">
            <v>A233160</v>
          </cell>
          <cell r="B252" t="str">
            <v>249</v>
          </cell>
          <cell r="C252" t="str">
            <v>233160</v>
          </cell>
          <cell r="D252" t="str">
            <v>TIGER 코스닥150 레버리지</v>
          </cell>
          <cell r="E252">
            <v>6681.67</v>
          </cell>
          <cell r="F252">
            <v>6680</v>
          </cell>
          <cell r="G252" t="str">
            <v>5 ( 0.07%)</v>
          </cell>
          <cell r="H252">
            <v>1460267</v>
          </cell>
          <cell r="I252" t="str">
            <v>주식-시장대표</v>
          </cell>
          <cell r="J252">
            <v>153</v>
          </cell>
          <cell r="K252">
            <v>15012</v>
          </cell>
          <cell r="L252">
            <v>-64285113</v>
          </cell>
          <cell r="M252">
            <v>50000</v>
          </cell>
        </row>
        <row r="253">
          <cell r="A253" t="str">
            <v>A233740</v>
          </cell>
          <cell r="B253" t="str">
            <v>250</v>
          </cell>
          <cell r="C253" t="str">
            <v>233740</v>
          </cell>
          <cell r="D253" t="str">
            <v>KODEX 코스닥150레버리지</v>
          </cell>
          <cell r="E253">
            <v>6103.87</v>
          </cell>
          <cell r="F253">
            <v>6115</v>
          </cell>
          <cell r="G253" t="str">
            <v>80 ( 1.33%)</v>
          </cell>
          <cell r="H253">
            <v>76977912</v>
          </cell>
          <cell r="I253" t="str">
            <v>주식-시장대표</v>
          </cell>
          <cell r="J253">
            <v>157</v>
          </cell>
          <cell r="K253">
            <v>24817</v>
          </cell>
          <cell r="L253">
            <v>-47341230</v>
          </cell>
          <cell r="M253">
            <v>100000</v>
          </cell>
        </row>
        <row r="254">
          <cell r="A254" t="str">
            <v>A234310</v>
          </cell>
          <cell r="B254" t="str">
            <v>251</v>
          </cell>
          <cell r="C254" t="str">
            <v>234310</v>
          </cell>
          <cell r="D254" t="str">
            <v>RISE V&amp;S셀렉트밸류</v>
          </cell>
          <cell r="E254">
            <v>27759.66</v>
          </cell>
          <cell r="F254">
            <v>27715</v>
          </cell>
          <cell r="G254" t="str">
            <v>835 ( 3.11%)</v>
          </cell>
          <cell r="H254">
            <v>6</v>
          </cell>
          <cell r="I254" t="str">
            <v>주식-전략</v>
          </cell>
          <cell r="J254">
            <v>31</v>
          </cell>
          <cell r="K254">
            <v>28027</v>
          </cell>
          <cell r="L254">
            <v>89877960</v>
          </cell>
          <cell r="M254">
            <v>100000</v>
          </cell>
        </row>
        <row r="255">
          <cell r="A255" t="str">
            <v>A237350</v>
          </cell>
          <cell r="B255" t="str">
            <v>252</v>
          </cell>
          <cell r="C255" t="str">
            <v>237350</v>
          </cell>
          <cell r="D255" t="str">
            <v>KODEX 코스피100</v>
          </cell>
          <cell r="E255">
            <v>87406.95</v>
          </cell>
          <cell r="F255">
            <v>87415</v>
          </cell>
          <cell r="G255" t="str">
            <v>4,505 ( 5.43%)</v>
          </cell>
          <cell r="H255">
            <v>230580</v>
          </cell>
          <cell r="I255" t="str">
            <v>주식-시장대표</v>
          </cell>
          <cell r="J255">
            <v>100</v>
          </cell>
          <cell r="K255">
            <v>19430</v>
          </cell>
          <cell r="L255">
            <v>1906543</v>
          </cell>
          <cell r="M255">
            <v>50000</v>
          </cell>
        </row>
        <row r="256">
          <cell r="A256" t="str">
            <v>A237370</v>
          </cell>
          <cell r="B256" t="str">
            <v>253</v>
          </cell>
          <cell r="C256" t="str">
            <v>237370</v>
          </cell>
          <cell r="D256" t="str">
            <v>KODEX 코리아배당성장채권혼합</v>
          </cell>
          <cell r="E256">
            <v>15687.71</v>
          </cell>
          <cell r="F256">
            <v>15630</v>
          </cell>
          <cell r="G256" t="str">
            <v>25 ( 0.16%)</v>
          </cell>
          <cell r="H256">
            <v>30319</v>
          </cell>
          <cell r="I256" t="str">
            <v>혼합-주식채권</v>
          </cell>
          <cell r="J256">
            <v>56</v>
          </cell>
          <cell r="K256">
            <v>33140</v>
          </cell>
          <cell r="L256">
            <v>4253468</v>
          </cell>
          <cell r="M256">
            <v>200000</v>
          </cell>
        </row>
        <row r="257">
          <cell r="A257" t="str">
            <v>A237440</v>
          </cell>
          <cell r="B257" t="str">
            <v>254</v>
          </cell>
          <cell r="C257" t="str">
            <v>237440</v>
          </cell>
          <cell r="D257" t="str">
            <v>TIGER 경기방어채권혼합</v>
          </cell>
          <cell r="E257">
            <v>10051.31</v>
          </cell>
          <cell r="F257">
            <v>10035</v>
          </cell>
          <cell r="G257" t="str">
            <v>15 ( 0.15%)</v>
          </cell>
          <cell r="H257">
            <v>1034</v>
          </cell>
          <cell r="I257" t="str">
            <v>혼합-주식채권</v>
          </cell>
          <cell r="J257">
            <v>48</v>
          </cell>
          <cell r="K257">
            <v>2802</v>
          </cell>
          <cell r="L257">
            <v>188482466</v>
          </cell>
          <cell r="M257">
            <v>100000</v>
          </cell>
        </row>
        <row r="258">
          <cell r="A258" t="str">
            <v>A238670</v>
          </cell>
          <cell r="B258" t="str">
            <v>255</v>
          </cell>
          <cell r="C258" t="str">
            <v>238670</v>
          </cell>
          <cell r="D258" t="str">
            <v>PLUS 스마트베타Quality채권혼합</v>
          </cell>
          <cell r="E258">
            <v>13052.5</v>
          </cell>
          <cell r="F258">
            <v>13075</v>
          </cell>
          <cell r="G258" t="str">
            <v>40 ( 0.31%)</v>
          </cell>
          <cell r="H258">
            <v>80</v>
          </cell>
          <cell r="I258" t="str">
            <v>혼합-주식채권</v>
          </cell>
          <cell r="J258">
            <v>58</v>
          </cell>
          <cell r="K258">
            <v>14527</v>
          </cell>
          <cell r="L258">
            <v>182349141</v>
          </cell>
          <cell r="M258">
            <v>100000</v>
          </cell>
        </row>
        <row r="259">
          <cell r="A259" t="str">
            <v>A239660</v>
          </cell>
          <cell r="B259" t="str">
            <v>256</v>
          </cell>
          <cell r="C259" t="str">
            <v>239660</v>
          </cell>
          <cell r="D259" t="str">
            <v>PLUS 우량회사채50</v>
          </cell>
          <cell r="E259">
            <v>121207.91</v>
          </cell>
          <cell r="F259">
            <v>121210</v>
          </cell>
          <cell r="G259" t="str">
            <v>50 ( 0.04%)</v>
          </cell>
          <cell r="H259">
            <v>589</v>
          </cell>
          <cell r="I259" t="str">
            <v>채권-회사채</v>
          </cell>
          <cell r="J259">
            <v>15</v>
          </cell>
          <cell r="K259">
            <v>1111</v>
          </cell>
          <cell r="L259">
            <v>146436664</v>
          </cell>
          <cell r="M259">
            <v>20000</v>
          </cell>
        </row>
        <row r="260">
          <cell r="A260" t="str">
            <v>A241390</v>
          </cell>
          <cell r="B260" t="str">
            <v>257</v>
          </cell>
          <cell r="C260" t="str">
            <v>241390</v>
          </cell>
          <cell r="D260" t="str">
            <v>RISE V&amp;S셀렉트밸류채권혼합</v>
          </cell>
          <cell r="E260">
            <v>15575.53</v>
          </cell>
          <cell r="F260">
            <v>15520</v>
          </cell>
          <cell r="G260" t="str">
            <v>295 ( 1.94%)</v>
          </cell>
          <cell r="H260">
            <v>2106</v>
          </cell>
          <cell r="I260" t="str">
            <v>혼합-주식채권</v>
          </cell>
          <cell r="J260">
            <v>48</v>
          </cell>
          <cell r="K260">
            <v>22747</v>
          </cell>
          <cell r="L260">
            <v>65974876</v>
          </cell>
          <cell r="M260">
            <v>200000</v>
          </cell>
        </row>
        <row r="261">
          <cell r="A261" t="str">
            <v>A243880</v>
          </cell>
          <cell r="B261" t="str">
            <v>258</v>
          </cell>
          <cell r="C261" t="str">
            <v>243880</v>
          </cell>
          <cell r="D261" t="str">
            <v>TIGER 200IT레버리지</v>
          </cell>
          <cell r="E261">
            <v>393362.87</v>
          </cell>
          <cell r="F261">
            <v>392245</v>
          </cell>
          <cell r="G261" t="str">
            <v>36,060 (10.12%)</v>
          </cell>
          <cell r="H261">
            <v>73193</v>
          </cell>
          <cell r="I261" t="str">
            <v>주식-업종섹터</v>
          </cell>
          <cell r="J261">
            <v>17</v>
          </cell>
          <cell r="K261">
            <v>58045</v>
          </cell>
          <cell r="L261">
            <v>-8879392928</v>
          </cell>
          <cell r="M261">
            <v>25000</v>
          </cell>
        </row>
        <row r="262">
          <cell r="A262" t="str">
            <v>A243890</v>
          </cell>
          <cell r="B262" t="str">
            <v>259</v>
          </cell>
          <cell r="C262" t="str">
            <v>243890</v>
          </cell>
          <cell r="D262" t="str">
            <v>TIGER 200에너지화학레버리지</v>
          </cell>
          <cell r="E262">
            <v>7794.99</v>
          </cell>
          <cell r="F262">
            <v>7780</v>
          </cell>
          <cell r="G262" t="str">
            <v>110 ( 1.43%)</v>
          </cell>
          <cell r="H262">
            <v>38132</v>
          </cell>
          <cell r="I262" t="str">
            <v>주식-업종섹터</v>
          </cell>
          <cell r="J262">
            <v>29</v>
          </cell>
          <cell r="K262">
            <v>5285</v>
          </cell>
          <cell r="L262">
            <v>-199692466</v>
          </cell>
          <cell r="M262">
            <v>25000</v>
          </cell>
        </row>
        <row r="263">
          <cell r="A263" t="str">
            <v>A244580</v>
          </cell>
          <cell r="B263" t="str">
            <v>260</v>
          </cell>
          <cell r="C263" t="str">
            <v>244580</v>
          </cell>
          <cell r="D263" t="str">
            <v>KODEX 바이오</v>
          </cell>
          <cell r="E263">
            <v>7691.06</v>
          </cell>
          <cell r="F263">
            <v>7680</v>
          </cell>
          <cell r="G263" t="str">
            <v>170 ( 2.17%)</v>
          </cell>
          <cell r="H263">
            <v>268239</v>
          </cell>
          <cell r="I263" t="str">
            <v>주식-업종섹터</v>
          </cell>
          <cell r="J263">
            <v>50</v>
          </cell>
          <cell r="K263">
            <v>24919</v>
          </cell>
          <cell r="L263">
            <v>2334002</v>
          </cell>
          <cell r="M263">
            <v>80000</v>
          </cell>
        </row>
        <row r="264">
          <cell r="A264" t="str">
            <v>A244620</v>
          </cell>
          <cell r="B264" t="str">
            <v>261</v>
          </cell>
          <cell r="C264" t="str">
            <v>244620</v>
          </cell>
          <cell r="D264" t="str">
            <v>KODEX 모멘텀Plus</v>
          </cell>
          <cell r="E264">
            <v>20643.54</v>
          </cell>
          <cell r="F264">
            <v>20670</v>
          </cell>
          <cell r="G264" t="str">
            <v>610 ( 3.04%)</v>
          </cell>
          <cell r="H264">
            <v>1864</v>
          </cell>
          <cell r="I264" t="str">
            <v>주식-전략</v>
          </cell>
          <cell r="J264">
            <v>56</v>
          </cell>
          <cell r="K264">
            <v>21086</v>
          </cell>
          <cell r="L264">
            <v>36225127</v>
          </cell>
          <cell r="M264">
            <v>100000</v>
          </cell>
        </row>
        <row r="265">
          <cell r="A265" t="str">
            <v>A244660</v>
          </cell>
          <cell r="B265" t="str">
            <v>262</v>
          </cell>
          <cell r="C265" t="str">
            <v>244660</v>
          </cell>
          <cell r="D265" t="str">
            <v>KODEX 퀄리티Plus</v>
          </cell>
          <cell r="E265">
            <v>8996.7999999999993</v>
          </cell>
          <cell r="F265">
            <v>9010</v>
          </cell>
          <cell r="G265" t="str">
            <v>0 ( 0.00%)</v>
          </cell>
          <cell r="H265">
            <v>10</v>
          </cell>
          <cell r="I265" t="str">
            <v>주식-전략</v>
          </cell>
          <cell r="J265">
            <v>48</v>
          </cell>
          <cell r="K265">
            <v>40885</v>
          </cell>
          <cell r="L265">
            <v>4607979</v>
          </cell>
          <cell r="M265">
            <v>100000</v>
          </cell>
        </row>
        <row r="266">
          <cell r="A266" t="str">
            <v>A244670</v>
          </cell>
          <cell r="B266" t="str">
            <v>263</v>
          </cell>
          <cell r="C266" t="str">
            <v>244670</v>
          </cell>
          <cell r="D266" t="str">
            <v>KODEX 밸류Plus</v>
          </cell>
          <cell r="E266">
            <v>11057.27</v>
          </cell>
          <cell r="F266">
            <v>11030</v>
          </cell>
          <cell r="G266" t="str">
            <v>120 ( 1.10%)</v>
          </cell>
          <cell r="H266">
            <v>65</v>
          </cell>
          <cell r="I266" t="str">
            <v>주식-전략</v>
          </cell>
          <cell r="J266">
            <v>50</v>
          </cell>
          <cell r="K266">
            <v>80361</v>
          </cell>
          <cell r="L266">
            <v>6776089</v>
          </cell>
          <cell r="M266">
            <v>100000</v>
          </cell>
        </row>
        <row r="267">
          <cell r="A267" t="str">
            <v>A250780</v>
          </cell>
          <cell r="B267" t="str">
            <v>264</v>
          </cell>
          <cell r="C267" t="str">
            <v>250780</v>
          </cell>
          <cell r="D267" t="str">
            <v>TIGER 코스닥150선물인버스</v>
          </cell>
          <cell r="E267">
            <v>2845.55</v>
          </cell>
          <cell r="F267">
            <v>2845</v>
          </cell>
          <cell r="G267" t="str">
            <v>25 ( 0.87%)</v>
          </cell>
          <cell r="H267">
            <v>309915</v>
          </cell>
          <cell r="I267" t="str">
            <v>주식-시장대표</v>
          </cell>
          <cell r="J267">
            <v>1</v>
          </cell>
          <cell r="K267">
            <v>-11</v>
          </cell>
          <cell r="L267">
            <v>144077130</v>
          </cell>
          <cell r="M267">
            <v>50000</v>
          </cell>
        </row>
        <row r="268">
          <cell r="A268" t="str">
            <v>A251340</v>
          </cell>
          <cell r="B268" t="str">
            <v>265</v>
          </cell>
          <cell r="C268" t="str">
            <v>251340</v>
          </cell>
          <cell r="D268" t="str">
            <v>KODEX 코스닥150선물인버스</v>
          </cell>
          <cell r="E268">
            <v>2866.49</v>
          </cell>
          <cell r="F268">
            <v>2845</v>
          </cell>
          <cell r="G268" t="str">
            <v>10 ( 0.35%)</v>
          </cell>
          <cell r="H268">
            <v>28711399</v>
          </cell>
          <cell r="I268" t="str">
            <v>주식-시장대표</v>
          </cell>
          <cell r="J268">
            <v>1</v>
          </cell>
          <cell r="K268">
            <v>-23</v>
          </cell>
          <cell r="L268">
            <v>290227625</v>
          </cell>
          <cell r="M268">
            <v>100000</v>
          </cell>
        </row>
        <row r="269">
          <cell r="A269" t="str">
            <v>A251590</v>
          </cell>
          <cell r="B269" t="str">
            <v>266</v>
          </cell>
          <cell r="C269" t="str">
            <v>251590</v>
          </cell>
          <cell r="D269" t="str">
            <v>PLUS 고배당저변동50</v>
          </cell>
          <cell r="E269">
            <v>16616.830000000002</v>
          </cell>
          <cell r="F269">
            <v>16575</v>
          </cell>
          <cell r="G269" t="str">
            <v>105 ( 0.63%)</v>
          </cell>
          <cell r="H269">
            <v>483</v>
          </cell>
          <cell r="I269" t="str">
            <v>주식-전략</v>
          </cell>
          <cell r="J269">
            <v>50</v>
          </cell>
          <cell r="K269">
            <v>81437</v>
          </cell>
          <cell r="L269">
            <v>5285409</v>
          </cell>
          <cell r="M269">
            <v>50000</v>
          </cell>
        </row>
        <row r="270">
          <cell r="A270" t="str">
            <v>A251600</v>
          </cell>
          <cell r="B270" t="str">
            <v>267</v>
          </cell>
          <cell r="C270" t="str">
            <v>251600</v>
          </cell>
          <cell r="D270" t="str">
            <v>PLUS 고배당주채권혼합</v>
          </cell>
          <cell r="E270">
            <v>15301.22</v>
          </cell>
          <cell r="F270">
            <v>15280</v>
          </cell>
          <cell r="G270" t="str">
            <v>65 ( 0.43%)</v>
          </cell>
          <cell r="H270">
            <v>169503</v>
          </cell>
          <cell r="I270" t="str">
            <v>혼합-주식채권</v>
          </cell>
          <cell r="J270">
            <v>42</v>
          </cell>
          <cell r="K270">
            <v>25719</v>
          </cell>
          <cell r="L270">
            <v>-2946039</v>
          </cell>
          <cell r="M270">
            <v>100000</v>
          </cell>
        </row>
        <row r="271">
          <cell r="A271" t="str">
            <v>A252000</v>
          </cell>
          <cell r="B271" t="str">
            <v>268</v>
          </cell>
          <cell r="C271" t="str">
            <v>252000</v>
          </cell>
          <cell r="D271" t="str">
            <v>TIGER 200동일가중</v>
          </cell>
          <cell r="E271">
            <v>18209.349999999999</v>
          </cell>
          <cell r="F271">
            <v>18215</v>
          </cell>
          <cell r="G271" t="str">
            <v>260 ( 1.45%)</v>
          </cell>
          <cell r="H271">
            <v>126</v>
          </cell>
          <cell r="I271" t="str">
            <v>주식-시장대표</v>
          </cell>
          <cell r="J271">
            <v>200</v>
          </cell>
          <cell r="K271">
            <v>22275</v>
          </cell>
          <cell r="L271">
            <v>2482166</v>
          </cell>
          <cell r="M271">
            <v>50000</v>
          </cell>
        </row>
        <row r="272">
          <cell r="A272" t="str">
            <v>A252400</v>
          </cell>
          <cell r="B272" t="str">
            <v>269</v>
          </cell>
          <cell r="C272" t="str">
            <v>252400</v>
          </cell>
          <cell r="D272" t="str">
            <v>RISE 200선물레버리지</v>
          </cell>
          <cell r="E272">
            <v>111689.83</v>
          </cell>
          <cell r="F272">
            <v>111550</v>
          </cell>
          <cell r="G272" t="str">
            <v>10,140 (10.00%)</v>
          </cell>
          <cell r="H272">
            <v>15129</v>
          </cell>
          <cell r="I272" t="str">
            <v>주식-시장대표</v>
          </cell>
          <cell r="J272">
            <v>4</v>
          </cell>
          <cell r="K272">
            <v>40395</v>
          </cell>
          <cell r="L272">
            <v>6840954692</v>
          </cell>
          <cell r="M272">
            <v>100000</v>
          </cell>
        </row>
        <row r="273">
          <cell r="A273" t="str">
            <v>A252410</v>
          </cell>
          <cell r="B273" t="str">
            <v>270</v>
          </cell>
          <cell r="C273" t="str">
            <v>252410</v>
          </cell>
          <cell r="D273" t="str">
            <v>RISE 200선물인버스</v>
          </cell>
          <cell r="E273">
            <v>1411.91</v>
          </cell>
          <cell r="F273">
            <v>1407</v>
          </cell>
          <cell r="G273" t="str">
            <v>75 ( 5.06%)</v>
          </cell>
          <cell r="H273">
            <v>51535</v>
          </cell>
          <cell r="I273" t="str">
            <v>주식-시장대표</v>
          </cell>
          <cell r="J273">
            <v>3</v>
          </cell>
          <cell r="K273">
            <v>7894</v>
          </cell>
          <cell r="L273">
            <v>148032969</v>
          </cell>
          <cell r="M273">
            <v>100000</v>
          </cell>
        </row>
        <row r="274">
          <cell r="A274" t="str">
            <v>A252420</v>
          </cell>
          <cell r="B274" t="str">
            <v>271</v>
          </cell>
          <cell r="C274" t="str">
            <v>252420</v>
          </cell>
          <cell r="D274" t="str">
            <v>RISE 200선물인버스2X</v>
          </cell>
          <cell r="E274">
            <v>102.07</v>
          </cell>
          <cell r="F274">
            <v>103</v>
          </cell>
          <cell r="G274" t="str">
            <v>10 ( 8.85%)</v>
          </cell>
          <cell r="H274">
            <v>2251963</v>
          </cell>
          <cell r="I274" t="str">
            <v>주식-시장대표</v>
          </cell>
          <cell r="J274">
            <v>3</v>
          </cell>
          <cell r="K274">
            <v>10024</v>
          </cell>
          <cell r="L274">
            <v>8941038</v>
          </cell>
          <cell r="M274">
            <v>100000</v>
          </cell>
        </row>
        <row r="275">
          <cell r="A275" t="str">
            <v>A252650</v>
          </cell>
          <cell r="B275" t="str">
            <v>272</v>
          </cell>
          <cell r="C275" t="str">
            <v>252650</v>
          </cell>
          <cell r="D275" t="str">
            <v>KODEX 200동일가중</v>
          </cell>
          <cell r="E275">
            <v>17446.28</v>
          </cell>
          <cell r="F275">
            <v>17390</v>
          </cell>
          <cell r="G275" t="str">
            <v>165 ( 0.96%)</v>
          </cell>
          <cell r="H275">
            <v>520</v>
          </cell>
          <cell r="I275" t="str">
            <v>주식-시장대표</v>
          </cell>
          <cell r="J275">
            <v>200</v>
          </cell>
          <cell r="K275">
            <v>42694</v>
          </cell>
          <cell r="L275">
            <v>5289519</v>
          </cell>
          <cell r="M275">
            <v>100000</v>
          </cell>
        </row>
        <row r="276">
          <cell r="A276" t="str">
            <v>A252670</v>
          </cell>
          <cell r="B276" t="str">
            <v>273</v>
          </cell>
          <cell r="C276" t="str">
            <v>252670</v>
          </cell>
          <cell r="D276" t="str">
            <v>KODEX 200선물인버스2X</v>
          </cell>
          <cell r="E276">
            <v>98</v>
          </cell>
          <cell r="F276">
            <v>98</v>
          </cell>
          <cell r="G276" t="str">
            <v>11 (10.09%)</v>
          </cell>
          <cell r="H276">
            <v>7079081474</v>
          </cell>
          <cell r="I276" t="str">
            <v>주식-시장대표</v>
          </cell>
          <cell r="J276">
            <v>2</v>
          </cell>
          <cell r="K276">
            <v>2050</v>
          </cell>
          <cell r="L276">
            <v>8632596</v>
          </cell>
          <cell r="M276">
            <v>100000</v>
          </cell>
        </row>
        <row r="277">
          <cell r="A277" t="str">
            <v>A252710</v>
          </cell>
          <cell r="B277" t="str">
            <v>274</v>
          </cell>
          <cell r="C277" t="str">
            <v>252710</v>
          </cell>
          <cell r="D277" t="str">
            <v>TIGER 200선물인버스2X</v>
          </cell>
          <cell r="E277">
            <v>105.33</v>
          </cell>
          <cell r="F277">
            <v>106</v>
          </cell>
          <cell r="G277" t="str">
            <v>11 ( 9.40%)</v>
          </cell>
          <cell r="H277">
            <v>71380401</v>
          </cell>
          <cell r="I277" t="str">
            <v>주식-시장대표</v>
          </cell>
          <cell r="J277">
            <v>2</v>
          </cell>
          <cell r="K277">
            <v>2538</v>
          </cell>
          <cell r="L277">
            <v>8473246</v>
          </cell>
          <cell r="M277">
            <v>100000</v>
          </cell>
        </row>
        <row r="278">
          <cell r="A278" t="str">
            <v>A253150</v>
          </cell>
          <cell r="B278" t="str">
            <v>275</v>
          </cell>
          <cell r="C278" t="str">
            <v>253150</v>
          </cell>
          <cell r="D278" t="str">
            <v>PLUS 200선물레버리지</v>
          </cell>
          <cell r="E278">
            <v>222858.81</v>
          </cell>
          <cell r="F278">
            <v>222895</v>
          </cell>
          <cell r="G278" t="str">
            <v>20,395 (10.07%)</v>
          </cell>
          <cell r="H278">
            <v>170580</v>
          </cell>
          <cell r="I278" t="str">
            <v>주식-시장대표</v>
          </cell>
          <cell r="J278">
            <v>5</v>
          </cell>
          <cell r="K278">
            <v>24168</v>
          </cell>
          <cell r="L278">
            <v>8238483509</v>
          </cell>
          <cell r="M278">
            <v>50000</v>
          </cell>
        </row>
        <row r="279">
          <cell r="A279" t="str">
            <v>A253160</v>
          </cell>
          <cell r="B279" t="str">
            <v>276</v>
          </cell>
          <cell r="C279" t="str">
            <v>253160</v>
          </cell>
          <cell r="D279" t="str">
            <v>PLUS 200선물인버스2X</v>
          </cell>
          <cell r="E279">
            <v>200.42</v>
          </cell>
          <cell r="F279">
            <v>199</v>
          </cell>
          <cell r="G279" t="str">
            <v>21 ( 9.55%)</v>
          </cell>
          <cell r="H279">
            <v>704120</v>
          </cell>
          <cell r="I279" t="str">
            <v>주식-시장대표</v>
          </cell>
          <cell r="J279">
            <v>3</v>
          </cell>
          <cell r="K279">
            <v>14831</v>
          </cell>
          <cell r="L279">
            <v>9497368</v>
          </cell>
          <cell r="M279">
            <v>50000</v>
          </cell>
        </row>
        <row r="280">
          <cell r="A280" t="str">
            <v>A253230</v>
          </cell>
          <cell r="B280" t="str">
            <v>277</v>
          </cell>
          <cell r="C280" t="str">
            <v>253230</v>
          </cell>
          <cell r="D280" t="str">
            <v>KIWOOM 200선물인버스2X</v>
          </cell>
          <cell r="E280">
            <v>96.79</v>
          </cell>
          <cell r="F280">
            <v>96</v>
          </cell>
          <cell r="G280" t="str">
            <v>10 ( 9.43%)</v>
          </cell>
          <cell r="H280">
            <v>1120723</v>
          </cell>
          <cell r="I280" t="str">
            <v>주식-시장대표</v>
          </cell>
          <cell r="J280">
            <v>3</v>
          </cell>
          <cell r="K280">
            <v>12357</v>
          </cell>
          <cell r="L280">
            <v>9222764</v>
          </cell>
          <cell r="M280">
            <v>100000</v>
          </cell>
        </row>
        <row r="281">
          <cell r="A281" t="str">
            <v>A253240</v>
          </cell>
          <cell r="B281" t="str">
            <v>278</v>
          </cell>
          <cell r="C281" t="str">
            <v>253240</v>
          </cell>
          <cell r="D281" t="str">
            <v>KIWOOM 200선물인버스</v>
          </cell>
          <cell r="E281">
            <v>1409.52</v>
          </cell>
          <cell r="F281">
            <v>1408</v>
          </cell>
          <cell r="G281" t="str">
            <v>65 ( 4.41%)</v>
          </cell>
          <cell r="H281">
            <v>62771</v>
          </cell>
          <cell r="I281" t="str">
            <v>주식-시장대표</v>
          </cell>
          <cell r="J281">
            <v>2</v>
          </cell>
          <cell r="K281">
            <v>3450</v>
          </cell>
          <cell r="L281">
            <v>25753946</v>
          </cell>
          <cell r="M281">
            <v>20000</v>
          </cell>
        </row>
        <row r="282">
          <cell r="A282" t="str">
            <v>A253250</v>
          </cell>
          <cell r="B282" t="str">
            <v>279</v>
          </cell>
          <cell r="C282" t="str">
            <v>253250</v>
          </cell>
          <cell r="D282" t="str">
            <v>KIWOOM 200선물레버리지</v>
          </cell>
          <cell r="E282">
            <v>109047.05</v>
          </cell>
          <cell r="F282">
            <v>108865</v>
          </cell>
          <cell r="G282" t="str">
            <v>9,785 ( 9.88%)</v>
          </cell>
          <cell r="H282">
            <v>29122</v>
          </cell>
          <cell r="I282" t="str">
            <v>주식-시장대표</v>
          </cell>
          <cell r="J282">
            <v>2</v>
          </cell>
          <cell r="K282">
            <v>2501</v>
          </cell>
          <cell r="L282">
            <v>728611099</v>
          </cell>
          <cell r="M282">
            <v>10000</v>
          </cell>
        </row>
        <row r="283">
          <cell r="A283" t="str">
            <v>A253280</v>
          </cell>
          <cell r="B283" t="str">
            <v>280</v>
          </cell>
          <cell r="C283" t="str">
            <v>253280</v>
          </cell>
          <cell r="D283" t="str">
            <v>RISE 헬스케어</v>
          </cell>
          <cell r="E283">
            <v>11814.96</v>
          </cell>
          <cell r="F283">
            <v>11805</v>
          </cell>
          <cell r="G283" t="str">
            <v>95 ( 0.80%)</v>
          </cell>
          <cell r="H283">
            <v>322</v>
          </cell>
          <cell r="I283" t="str">
            <v>주식-업종섹터</v>
          </cell>
          <cell r="J283">
            <v>45</v>
          </cell>
          <cell r="K283">
            <v>10042</v>
          </cell>
          <cell r="L283">
            <v>7823225</v>
          </cell>
          <cell r="M283">
            <v>50000</v>
          </cell>
        </row>
        <row r="284">
          <cell r="A284" t="str">
            <v>A253290</v>
          </cell>
          <cell r="B284" t="str">
            <v>281</v>
          </cell>
          <cell r="C284" t="str">
            <v>253290</v>
          </cell>
          <cell r="D284" t="str">
            <v>RISE 헬스케어채권혼합</v>
          </cell>
          <cell r="E284">
            <v>11417.48</v>
          </cell>
          <cell r="F284">
            <v>11340</v>
          </cell>
          <cell r="G284" t="str">
            <v>0 ( 0.00%)</v>
          </cell>
          <cell r="H284">
            <v>7346</v>
          </cell>
          <cell r="I284" t="str">
            <v>혼합-주식채권</v>
          </cell>
          <cell r="J284">
            <v>51</v>
          </cell>
          <cell r="K284">
            <v>30031</v>
          </cell>
          <cell r="L284">
            <v>14879830</v>
          </cell>
          <cell r="M284">
            <v>200000</v>
          </cell>
        </row>
        <row r="285">
          <cell r="A285" t="str">
            <v>A261060</v>
          </cell>
          <cell r="B285" t="str">
            <v>282</v>
          </cell>
          <cell r="C285" t="str">
            <v>261060</v>
          </cell>
          <cell r="D285" t="str">
            <v>TIGER 코스닥150IT</v>
          </cell>
          <cell r="E285">
            <v>22118.76</v>
          </cell>
          <cell r="F285">
            <v>22115</v>
          </cell>
          <cell r="G285" t="str">
            <v>90 ( 0.41%)</v>
          </cell>
          <cell r="H285">
            <v>23985</v>
          </cell>
          <cell r="I285" t="str">
            <v>주식-업종섹터</v>
          </cell>
          <cell r="J285">
            <v>57</v>
          </cell>
          <cell r="K285">
            <v>9834</v>
          </cell>
          <cell r="L285">
            <v>2881245</v>
          </cell>
          <cell r="M285">
            <v>20000</v>
          </cell>
        </row>
        <row r="286">
          <cell r="A286" t="str">
            <v>A261070</v>
          </cell>
          <cell r="B286" t="str">
            <v>283</v>
          </cell>
          <cell r="C286" t="str">
            <v>261070</v>
          </cell>
          <cell r="D286" t="str">
            <v>TIGER 코스닥150바이오테크</v>
          </cell>
          <cell r="E286">
            <v>10839.02</v>
          </cell>
          <cell r="F286">
            <v>10835</v>
          </cell>
          <cell r="G286" t="str">
            <v>290 ( 2.61%)</v>
          </cell>
          <cell r="H286">
            <v>143300</v>
          </cell>
          <cell r="I286" t="str">
            <v>주식-업종섹터</v>
          </cell>
          <cell r="J286">
            <v>26</v>
          </cell>
          <cell r="K286">
            <v>3813</v>
          </cell>
          <cell r="L286">
            <v>370883</v>
          </cell>
          <cell r="M286">
            <v>20000</v>
          </cell>
        </row>
        <row r="287">
          <cell r="A287" t="str">
            <v>A261110</v>
          </cell>
          <cell r="B287" t="str">
            <v>284</v>
          </cell>
          <cell r="C287" t="str">
            <v>261110</v>
          </cell>
          <cell r="D287" t="str">
            <v>TIGER 미국달러선물레버리지</v>
          </cell>
          <cell r="E287">
            <v>18169.740000000002</v>
          </cell>
          <cell r="F287">
            <v>18130</v>
          </cell>
          <cell r="G287" t="str">
            <v>115 ( 0.63%)</v>
          </cell>
          <cell r="H287">
            <v>1202</v>
          </cell>
          <cell r="I287" t="str">
            <v>통화-미국달러</v>
          </cell>
          <cell r="J287">
            <v>3</v>
          </cell>
          <cell r="K287">
            <v>10224</v>
          </cell>
          <cell r="L287">
            <v>1587312258</v>
          </cell>
          <cell r="M287">
            <v>100000</v>
          </cell>
        </row>
        <row r="288">
          <cell r="A288" t="str">
            <v>A261120</v>
          </cell>
          <cell r="B288" t="str">
            <v>285</v>
          </cell>
          <cell r="C288" t="str">
            <v>261120</v>
          </cell>
          <cell r="D288" t="str">
            <v>TIGER 미국달러선물인버스2X</v>
          </cell>
          <cell r="E288">
            <v>4652.66</v>
          </cell>
          <cell r="F288">
            <v>4655</v>
          </cell>
          <cell r="G288" t="str">
            <v>25 ( 0.54%)</v>
          </cell>
          <cell r="H288">
            <v>14316</v>
          </cell>
          <cell r="I288" t="str">
            <v>통화-미국달러</v>
          </cell>
          <cell r="J288">
            <v>3</v>
          </cell>
          <cell r="K288">
            <v>6369</v>
          </cell>
          <cell r="L288">
            <v>432324949</v>
          </cell>
          <cell r="M288">
            <v>100000</v>
          </cell>
        </row>
        <row r="289">
          <cell r="A289" t="str">
            <v>A261140</v>
          </cell>
          <cell r="B289" t="str">
            <v>286</v>
          </cell>
          <cell r="C289" t="str">
            <v>261140</v>
          </cell>
          <cell r="D289" t="str">
            <v>TIGER 우선주</v>
          </cell>
          <cell r="E289">
            <v>23224.05</v>
          </cell>
          <cell r="F289">
            <v>23195</v>
          </cell>
          <cell r="G289" t="str">
            <v>690 ( 3.07%)</v>
          </cell>
          <cell r="H289">
            <v>6602</v>
          </cell>
          <cell r="I289" t="str">
            <v>주식-전략</v>
          </cell>
          <cell r="J289">
            <v>20</v>
          </cell>
          <cell r="K289">
            <v>7206</v>
          </cell>
          <cell r="L289">
            <v>1155496</v>
          </cell>
          <cell r="M289">
            <v>20000</v>
          </cell>
        </row>
        <row r="290">
          <cell r="A290" t="str">
            <v>A261240</v>
          </cell>
          <cell r="B290" t="str">
            <v>287</v>
          </cell>
          <cell r="C290" t="str">
            <v>261240</v>
          </cell>
          <cell r="D290" t="str">
            <v>KODEX 미국달러선물</v>
          </cell>
          <cell r="E290">
            <v>15193.7</v>
          </cell>
          <cell r="F290">
            <v>15175</v>
          </cell>
          <cell r="G290" t="str">
            <v>35 ( 0.23%)</v>
          </cell>
          <cell r="H290">
            <v>30587</v>
          </cell>
          <cell r="I290" t="str">
            <v>통화-미국달러</v>
          </cell>
          <cell r="J290">
            <v>1</v>
          </cell>
          <cell r="K290">
            <v>10</v>
          </cell>
          <cell r="L290">
            <v>152348953</v>
          </cell>
          <cell r="M290">
            <v>10000</v>
          </cell>
        </row>
        <row r="291">
          <cell r="A291" t="str">
            <v>A261250</v>
          </cell>
          <cell r="B291" t="str">
            <v>288</v>
          </cell>
          <cell r="C291" t="str">
            <v>261250</v>
          </cell>
          <cell r="D291" t="str">
            <v>KODEX 미국달러선물레버리지</v>
          </cell>
          <cell r="E291">
            <v>18122.04</v>
          </cell>
          <cell r="F291">
            <v>18085</v>
          </cell>
          <cell r="G291" t="str">
            <v>100 ( 0.55%)</v>
          </cell>
          <cell r="H291">
            <v>12643</v>
          </cell>
          <cell r="I291" t="str">
            <v>통화-미국달러</v>
          </cell>
          <cell r="J291">
            <v>5</v>
          </cell>
          <cell r="K291">
            <v>5971</v>
          </cell>
          <cell r="L291">
            <v>102895394</v>
          </cell>
          <cell r="M291">
            <v>10000</v>
          </cell>
        </row>
        <row r="292">
          <cell r="A292" t="str">
            <v>A261260</v>
          </cell>
          <cell r="B292" t="str">
            <v>289</v>
          </cell>
          <cell r="C292" t="str">
            <v>261260</v>
          </cell>
          <cell r="D292" t="str">
            <v>KODEX 미국달러선물인버스2X</v>
          </cell>
          <cell r="E292">
            <v>4689.68</v>
          </cell>
          <cell r="F292">
            <v>4685</v>
          </cell>
          <cell r="G292" t="str">
            <v>20 ( 0.43%)</v>
          </cell>
          <cell r="H292">
            <v>284857</v>
          </cell>
          <cell r="I292" t="str">
            <v>통화-미국달러</v>
          </cell>
          <cell r="J292">
            <v>6</v>
          </cell>
          <cell r="K292">
            <v>1447</v>
          </cell>
          <cell r="L292">
            <v>35464405</v>
          </cell>
          <cell r="M292">
            <v>10000</v>
          </cell>
        </row>
        <row r="293">
          <cell r="A293" t="str">
            <v>A261270</v>
          </cell>
          <cell r="B293" t="str">
            <v>290</v>
          </cell>
          <cell r="C293" t="str">
            <v>261270</v>
          </cell>
          <cell r="D293" t="str">
            <v>KODEX 미국달러선물인버스</v>
          </cell>
          <cell r="E293">
            <v>7577.78</v>
          </cell>
          <cell r="F293">
            <v>7565</v>
          </cell>
          <cell r="G293" t="str">
            <v>20 ( 0.27%)</v>
          </cell>
          <cell r="H293">
            <v>145838</v>
          </cell>
          <cell r="I293" t="str">
            <v>통화-미국달러</v>
          </cell>
          <cell r="J293">
            <v>1</v>
          </cell>
          <cell r="K293">
            <v>-5</v>
          </cell>
          <cell r="L293">
            <v>75573019</v>
          </cell>
          <cell r="M293">
            <v>10000</v>
          </cell>
        </row>
        <row r="294">
          <cell r="A294" t="str">
            <v>A266160</v>
          </cell>
          <cell r="B294" t="str">
            <v>291</v>
          </cell>
          <cell r="C294" t="str">
            <v>266160</v>
          </cell>
          <cell r="D294" t="str">
            <v>RISE 고배당</v>
          </cell>
          <cell r="E294">
            <v>33613.269999999997</v>
          </cell>
          <cell r="F294">
            <v>33605</v>
          </cell>
          <cell r="G294" t="str">
            <v>1,230 ( 3.80%)</v>
          </cell>
          <cell r="H294">
            <v>32642</v>
          </cell>
          <cell r="I294" t="str">
            <v>주식-전략</v>
          </cell>
          <cell r="J294">
            <v>79</v>
          </cell>
          <cell r="K294">
            <v>16422</v>
          </cell>
          <cell r="L294">
            <v>7169170</v>
          </cell>
          <cell r="M294">
            <v>50000</v>
          </cell>
        </row>
        <row r="295">
          <cell r="A295" t="str">
            <v>A266360</v>
          </cell>
          <cell r="B295" t="str">
            <v>292</v>
          </cell>
          <cell r="C295" t="str">
            <v>266360</v>
          </cell>
          <cell r="D295" t="str">
            <v>KODEX K콘텐츠</v>
          </cell>
          <cell r="E295">
            <v>9740.76</v>
          </cell>
          <cell r="F295">
            <v>9730</v>
          </cell>
          <cell r="G295" t="str">
            <v>310 ( 3.29%)</v>
          </cell>
          <cell r="H295">
            <v>32880</v>
          </cell>
          <cell r="I295" t="str">
            <v>주식-업종섹터</v>
          </cell>
          <cell r="J295">
            <v>20</v>
          </cell>
          <cell r="K295">
            <v>15602</v>
          </cell>
          <cell r="L295">
            <v>2591989</v>
          </cell>
          <cell r="M295">
            <v>100000</v>
          </cell>
        </row>
        <row r="296">
          <cell r="A296" t="str">
            <v>A266370</v>
          </cell>
          <cell r="B296" t="str">
            <v>293</v>
          </cell>
          <cell r="C296" t="str">
            <v>266370</v>
          </cell>
          <cell r="D296" t="str">
            <v>KODEX IT</v>
          </cell>
          <cell r="E296">
            <v>66633.539999999994</v>
          </cell>
          <cell r="F296">
            <v>66630</v>
          </cell>
          <cell r="G296" t="str">
            <v>2,745 ( 4.30%)</v>
          </cell>
          <cell r="H296">
            <v>141260</v>
          </cell>
          <cell r="I296" t="str">
            <v>주식-업종섹터</v>
          </cell>
          <cell r="J296">
            <v>45</v>
          </cell>
          <cell r="K296">
            <v>28885</v>
          </cell>
          <cell r="L296">
            <v>43169312</v>
          </cell>
          <cell r="M296">
            <v>100000</v>
          </cell>
        </row>
        <row r="297">
          <cell r="A297" t="str">
            <v>A266390</v>
          </cell>
          <cell r="B297" t="str">
            <v>294</v>
          </cell>
          <cell r="C297" t="str">
            <v>266390</v>
          </cell>
          <cell r="D297" t="str">
            <v>KODEX 경기소비재</v>
          </cell>
          <cell r="E297">
            <v>14764.81</v>
          </cell>
          <cell r="F297">
            <v>14735</v>
          </cell>
          <cell r="G297" t="str">
            <v>335 ( 2.33%)</v>
          </cell>
          <cell r="H297">
            <v>3245</v>
          </cell>
          <cell r="I297" t="str">
            <v>주식-업종섹터</v>
          </cell>
          <cell r="J297">
            <v>37</v>
          </cell>
          <cell r="K297">
            <v>33697</v>
          </cell>
          <cell r="L297">
            <v>4822399</v>
          </cell>
          <cell r="M297">
            <v>100000</v>
          </cell>
        </row>
        <row r="298">
          <cell r="A298" t="str">
            <v>A266410</v>
          </cell>
          <cell r="B298" t="str">
            <v>295</v>
          </cell>
          <cell r="C298" t="str">
            <v>266410</v>
          </cell>
          <cell r="D298" t="str">
            <v>KODEX 필수소비재</v>
          </cell>
          <cell r="E298">
            <v>9048.16</v>
          </cell>
          <cell r="F298">
            <v>8985</v>
          </cell>
          <cell r="G298" t="str">
            <v>100 ( 1.13%)</v>
          </cell>
          <cell r="H298">
            <v>5352</v>
          </cell>
          <cell r="I298" t="str">
            <v>주식-업종섹터</v>
          </cell>
          <cell r="J298">
            <v>36</v>
          </cell>
          <cell r="K298">
            <v>26127</v>
          </cell>
          <cell r="L298">
            <v>4131738</v>
          </cell>
          <cell r="M298">
            <v>200000</v>
          </cell>
        </row>
        <row r="299">
          <cell r="A299" t="str">
            <v>A266420</v>
          </cell>
          <cell r="B299" t="str">
            <v>296</v>
          </cell>
          <cell r="C299" t="str">
            <v>266420</v>
          </cell>
          <cell r="D299" t="str">
            <v>KODEX 헬스케어</v>
          </cell>
          <cell r="E299">
            <v>15403.28</v>
          </cell>
          <cell r="F299">
            <v>15370</v>
          </cell>
          <cell r="G299" t="str">
            <v>30 ( 0.19%)</v>
          </cell>
          <cell r="H299">
            <v>17325</v>
          </cell>
          <cell r="I299" t="str">
            <v>주식-업종섹터</v>
          </cell>
          <cell r="J299">
            <v>67</v>
          </cell>
          <cell r="K299">
            <v>26886</v>
          </cell>
          <cell r="L299">
            <v>2382059</v>
          </cell>
          <cell r="M299">
            <v>100000</v>
          </cell>
        </row>
        <row r="300">
          <cell r="A300" t="str">
            <v>A266550</v>
          </cell>
          <cell r="B300" t="str">
            <v>297</v>
          </cell>
          <cell r="C300" t="str">
            <v>266550</v>
          </cell>
          <cell r="D300" t="str">
            <v>PLUS 중형주저변동50</v>
          </cell>
          <cell r="E300">
            <v>17651.34</v>
          </cell>
          <cell r="F300">
            <v>17600</v>
          </cell>
          <cell r="G300" t="str">
            <v>10 ( 0.06%)</v>
          </cell>
          <cell r="H300">
            <v>98</v>
          </cell>
          <cell r="I300" t="str">
            <v>주식-규모</v>
          </cell>
          <cell r="J300">
            <v>50</v>
          </cell>
          <cell r="K300">
            <v>34252</v>
          </cell>
          <cell r="L300">
            <v>3874756</v>
          </cell>
          <cell r="M300">
            <v>50000</v>
          </cell>
        </row>
        <row r="301">
          <cell r="A301" t="str">
            <v>A267770</v>
          </cell>
          <cell r="B301" t="str">
            <v>298</v>
          </cell>
          <cell r="C301" t="str">
            <v>267770</v>
          </cell>
          <cell r="D301" t="str">
            <v>TIGER 200선물레버리지</v>
          </cell>
          <cell r="E301">
            <v>92737.83</v>
          </cell>
          <cell r="F301">
            <v>92630</v>
          </cell>
          <cell r="G301" t="str">
            <v>8,530 (10.14%)</v>
          </cell>
          <cell r="H301">
            <v>52634</v>
          </cell>
          <cell r="I301" t="str">
            <v>주식-시장대표</v>
          </cell>
          <cell r="J301">
            <v>4</v>
          </cell>
          <cell r="K301">
            <v>28274</v>
          </cell>
          <cell r="L301">
            <v>5446935799</v>
          </cell>
          <cell r="M301">
            <v>100000</v>
          </cell>
        </row>
        <row r="302">
          <cell r="A302" t="str">
            <v>A270800</v>
          </cell>
          <cell r="B302" t="str">
            <v>299</v>
          </cell>
          <cell r="C302" t="str">
            <v>270800</v>
          </cell>
          <cell r="D302" t="str">
            <v>RISE KQ고배당</v>
          </cell>
          <cell r="E302">
            <v>15001.4</v>
          </cell>
          <cell r="F302">
            <v>14745</v>
          </cell>
          <cell r="G302" t="str">
            <v>125 ( 0.85%)</v>
          </cell>
          <cell r="H302">
            <v>432</v>
          </cell>
          <cell r="I302" t="str">
            <v>주식-전략</v>
          </cell>
          <cell r="J302">
            <v>64</v>
          </cell>
          <cell r="K302">
            <v>55269</v>
          </cell>
          <cell r="L302">
            <v>12005737</v>
          </cell>
          <cell r="M302">
            <v>50000</v>
          </cell>
        </row>
        <row r="303">
          <cell r="A303" t="str">
            <v>A270810</v>
          </cell>
          <cell r="B303" t="str">
            <v>300</v>
          </cell>
          <cell r="C303" t="str">
            <v>270810</v>
          </cell>
          <cell r="D303" t="str">
            <v>RISE 코스닥150</v>
          </cell>
          <cell r="E303">
            <v>12630.08</v>
          </cell>
          <cell r="F303">
            <v>12620</v>
          </cell>
          <cell r="G303" t="str">
            <v>75 ( 0.60%)</v>
          </cell>
          <cell r="H303">
            <v>238264</v>
          </cell>
          <cell r="I303" t="str">
            <v>주식-시장대표</v>
          </cell>
          <cell r="J303">
            <v>150</v>
          </cell>
          <cell r="K303">
            <v>6520</v>
          </cell>
          <cell r="L303">
            <v>-53128</v>
          </cell>
          <cell r="M303">
            <v>20000</v>
          </cell>
        </row>
        <row r="304">
          <cell r="A304" t="str">
            <v>A272560</v>
          </cell>
          <cell r="B304" t="str">
            <v>301</v>
          </cell>
          <cell r="C304" t="str">
            <v>272560</v>
          </cell>
          <cell r="D304" t="str">
            <v>RISE 단기국공채액티브</v>
          </cell>
          <cell r="E304">
            <v>114435.52</v>
          </cell>
          <cell r="F304">
            <v>114430</v>
          </cell>
          <cell r="G304" t="str">
            <v>15 ( 0.01%)</v>
          </cell>
          <cell r="H304">
            <v>2658</v>
          </cell>
          <cell r="I304" t="str">
            <v>채권-국공채</v>
          </cell>
          <cell r="J304">
            <v>21</v>
          </cell>
          <cell r="K304">
            <v>0</v>
          </cell>
          <cell r="L304">
            <v>-32265760</v>
          </cell>
          <cell r="M304">
            <v>1000</v>
          </cell>
        </row>
        <row r="305">
          <cell r="A305" t="str">
            <v>A272570</v>
          </cell>
          <cell r="B305" t="str">
            <v>302</v>
          </cell>
          <cell r="C305" t="str">
            <v>272570</v>
          </cell>
          <cell r="D305" t="str">
            <v>RISE 중장기국공채액티브</v>
          </cell>
          <cell r="E305">
            <v>107281.25</v>
          </cell>
          <cell r="F305">
            <v>107220</v>
          </cell>
          <cell r="G305" t="str">
            <v>65 ( 0.06%)</v>
          </cell>
          <cell r="H305">
            <v>8</v>
          </cell>
          <cell r="I305" t="str">
            <v>채권-국공채</v>
          </cell>
          <cell r="J305">
            <v>6</v>
          </cell>
          <cell r="K305">
            <v>0</v>
          </cell>
          <cell r="L305">
            <v>-16984486</v>
          </cell>
          <cell r="M305">
            <v>1000</v>
          </cell>
        </row>
        <row r="306">
          <cell r="A306" t="str">
            <v>A272580</v>
          </cell>
          <cell r="B306" t="str">
            <v>303</v>
          </cell>
          <cell r="C306" t="str">
            <v>272580</v>
          </cell>
          <cell r="D306" t="str">
            <v>TIGER 단기채권액티브</v>
          </cell>
          <cell r="E306">
            <v>56879.21</v>
          </cell>
          <cell r="F306">
            <v>56880</v>
          </cell>
          <cell r="G306" t="str">
            <v>20 ( 0.04%)</v>
          </cell>
          <cell r="H306">
            <v>14922</v>
          </cell>
          <cell r="I306" t="str">
            <v>채권-혼합</v>
          </cell>
          <cell r="J306">
            <v>45</v>
          </cell>
          <cell r="K306">
            <v>0</v>
          </cell>
          <cell r="L306">
            <v>-13534996</v>
          </cell>
          <cell r="M306">
            <v>2000</v>
          </cell>
        </row>
        <row r="307">
          <cell r="A307" t="str">
            <v>A272910</v>
          </cell>
          <cell r="B307" t="str">
            <v>304</v>
          </cell>
          <cell r="C307" t="str">
            <v>272910</v>
          </cell>
          <cell r="D307" t="str">
            <v>ACE 중장기국공채액티브</v>
          </cell>
          <cell r="E307">
            <v>105501.91</v>
          </cell>
          <cell r="F307">
            <v>105520</v>
          </cell>
          <cell r="G307" t="str">
            <v>165 ( 0.16%)</v>
          </cell>
          <cell r="H307">
            <v>73</v>
          </cell>
          <cell r="I307" t="str">
            <v>채권-국공채</v>
          </cell>
          <cell r="J307">
            <v>29</v>
          </cell>
          <cell r="K307">
            <v>0</v>
          </cell>
          <cell r="L307">
            <v>-27399009</v>
          </cell>
          <cell r="M307">
            <v>1000</v>
          </cell>
        </row>
        <row r="308">
          <cell r="A308" t="str">
            <v>A273130</v>
          </cell>
          <cell r="B308" t="str">
            <v>305</v>
          </cell>
          <cell r="C308" t="str">
            <v>273130</v>
          </cell>
          <cell r="D308" t="str">
            <v>KODEX 종합채권(AA-이상)액티브</v>
          </cell>
          <cell r="E308">
            <v>109462.07</v>
          </cell>
          <cell r="F308">
            <v>109415</v>
          </cell>
          <cell r="G308" t="str">
            <v>90 ( 0.08%)</v>
          </cell>
          <cell r="H308">
            <v>43561</v>
          </cell>
          <cell r="I308" t="str">
            <v>채권-혼합</v>
          </cell>
          <cell r="J308">
            <v>383</v>
          </cell>
          <cell r="K308">
            <v>0</v>
          </cell>
          <cell r="L308">
            <v>-5302502</v>
          </cell>
          <cell r="M308">
            <v>1000</v>
          </cell>
        </row>
        <row r="309">
          <cell r="A309" t="str">
            <v>A273140</v>
          </cell>
          <cell r="B309" t="str">
            <v>306</v>
          </cell>
          <cell r="C309" t="str">
            <v>273140</v>
          </cell>
          <cell r="D309" t="str">
            <v>KODEX 단기변동금리부채권액티브</v>
          </cell>
          <cell r="E309">
            <v>114563.49</v>
          </cell>
          <cell r="F309">
            <v>114555</v>
          </cell>
          <cell r="G309" t="str">
            <v>10 ( 0.01%)</v>
          </cell>
          <cell r="H309">
            <v>5211</v>
          </cell>
          <cell r="I309" t="str">
            <v>채권-혼합</v>
          </cell>
          <cell r="J309">
            <v>13</v>
          </cell>
          <cell r="K309">
            <v>0</v>
          </cell>
          <cell r="L309">
            <v>28044190</v>
          </cell>
          <cell r="M309">
            <v>1000</v>
          </cell>
        </row>
        <row r="310">
          <cell r="A310" t="str">
            <v>A275280</v>
          </cell>
          <cell r="B310" t="str">
            <v>307</v>
          </cell>
          <cell r="C310" t="str">
            <v>275280</v>
          </cell>
          <cell r="D310" t="str">
            <v>KODEX 모멘텀주</v>
          </cell>
          <cell r="E310">
            <v>42619.98</v>
          </cell>
          <cell r="F310">
            <v>42500</v>
          </cell>
          <cell r="G310" t="str">
            <v>1,650 ( 4.04%)</v>
          </cell>
          <cell r="H310">
            <v>16684</v>
          </cell>
          <cell r="I310" t="str">
            <v>주식-전략</v>
          </cell>
          <cell r="J310">
            <v>196</v>
          </cell>
          <cell r="K310">
            <v>21432</v>
          </cell>
          <cell r="L310">
            <v>-4263449</v>
          </cell>
          <cell r="M310">
            <v>100000</v>
          </cell>
        </row>
        <row r="311">
          <cell r="A311" t="str">
            <v>A275290</v>
          </cell>
          <cell r="B311" t="str">
            <v>308</v>
          </cell>
          <cell r="C311" t="str">
            <v>275290</v>
          </cell>
          <cell r="D311" t="str">
            <v>KODEX 가치주</v>
          </cell>
          <cell r="E311">
            <v>34750.29</v>
          </cell>
          <cell r="F311">
            <v>34700</v>
          </cell>
          <cell r="G311" t="str">
            <v>1,305 ( 3.91%)</v>
          </cell>
          <cell r="H311">
            <v>2479</v>
          </cell>
          <cell r="I311" t="str">
            <v>주식-전략</v>
          </cell>
          <cell r="J311">
            <v>79</v>
          </cell>
          <cell r="K311">
            <v>55010</v>
          </cell>
          <cell r="L311">
            <v>11049684</v>
          </cell>
          <cell r="M311">
            <v>100000</v>
          </cell>
        </row>
        <row r="312">
          <cell r="A312" t="str">
            <v>A275300</v>
          </cell>
          <cell r="B312" t="str">
            <v>309</v>
          </cell>
          <cell r="C312" t="str">
            <v>275300</v>
          </cell>
          <cell r="D312" t="str">
            <v>KODEX 우량주</v>
          </cell>
          <cell r="E312">
            <v>30202.720000000001</v>
          </cell>
          <cell r="F312">
            <v>30230</v>
          </cell>
          <cell r="G312" t="str">
            <v>1,280 ( 4.42%)</v>
          </cell>
          <cell r="H312">
            <v>8698</v>
          </cell>
          <cell r="I312" t="str">
            <v>주식-전략</v>
          </cell>
          <cell r="J312">
            <v>124</v>
          </cell>
          <cell r="K312">
            <v>13118</v>
          </cell>
          <cell r="L312">
            <v>10974941</v>
          </cell>
          <cell r="M312">
            <v>100000</v>
          </cell>
        </row>
        <row r="313">
          <cell r="A313" t="str">
            <v>A275750</v>
          </cell>
          <cell r="B313" t="str">
            <v>310</v>
          </cell>
          <cell r="C313" t="str">
            <v>275750</v>
          </cell>
          <cell r="D313" t="str">
            <v>RISE 코스닥150선물인버스</v>
          </cell>
          <cell r="E313">
            <v>2883.65</v>
          </cell>
          <cell r="F313">
            <v>2860</v>
          </cell>
          <cell r="G313" t="str">
            <v>50 ( 1.72%)</v>
          </cell>
          <cell r="H313">
            <v>37038</v>
          </cell>
          <cell r="I313" t="str">
            <v>주식-시장대표</v>
          </cell>
          <cell r="J313">
            <v>1</v>
          </cell>
          <cell r="K313">
            <v>-12</v>
          </cell>
          <cell r="L313">
            <v>146011146</v>
          </cell>
          <cell r="M313">
            <v>50000</v>
          </cell>
        </row>
        <row r="314">
          <cell r="A314" t="str">
            <v>A277630</v>
          </cell>
          <cell r="B314" t="str">
            <v>311</v>
          </cell>
          <cell r="C314" t="str">
            <v>277630</v>
          </cell>
          <cell r="D314" t="str">
            <v>TIGER 코스피</v>
          </cell>
          <cell r="E314">
            <v>71003.13</v>
          </cell>
          <cell r="F314">
            <v>70850</v>
          </cell>
          <cell r="G314" t="str">
            <v>2,570 ( 3.76%)</v>
          </cell>
          <cell r="H314">
            <v>48047</v>
          </cell>
          <cell r="I314" t="str">
            <v>주식-시장대표</v>
          </cell>
          <cell r="J314">
            <v>594</v>
          </cell>
          <cell r="K314">
            <v>32172</v>
          </cell>
          <cell r="L314">
            <v>13487964</v>
          </cell>
          <cell r="M314">
            <v>50000</v>
          </cell>
        </row>
        <row r="315">
          <cell r="A315" t="str">
            <v>A277640</v>
          </cell>
          <cell r="B315" t="str">
            <v>312</v>
          </cell>
          <cell r="C315" t="str">
            <v>277640</v>
          </cell>
          <cell r="D315" t="str">
            <v>TIGER 코스피대형주</v>
          </cell>
          <cell r="E315">
            <v>37493.410000000003</v>
          </cell>
          <cell r="F315">
            <v>37500</v>
          </cell>
          <cell r="G315" t="str">
            <v>1,620 ( 4.52%)</v>
          </cell>
          <cell r="H315">
            <v>25486</v>
          </cell>
          <cell r="I315" t="str">
            <v>주식-규모</v>
          </cell>
          <cell r="J315">
            <v>100</v>
          </cell>
          <cell r="K315">
            <v>9193</v>
          </cell>
          <cell r="L315">
            <v>6135916</v>
          </cell>
          <cell r="M315">
            <v>50000</v>
          </cell>
        </row>
        <row r="316">
          <cell r="A316" t="str">
            <v>A277650</v>
          </cell>
          <cell r="B316" t="str">
            <v>313</v>
          </cell>
          <cell r="C316" t="str">
            <v>277650</v>
          </cell>
          <cell r="D316" t="str">
            <v>TIGER 코스피중형주</v>
          </cell>
          <cell r="E316">
            <v>19518.88</v>
          </cell>
          <cell r="F316">
            <v>19265</v>
          </cell>
          <cell r="G316" t="str">
            <v>130 ( 0.67%)</v>
          </cell>
          <cell r="H316">
            <v>253</v>
          </cell>
          <cell r="I316" t="str">
            <v>주식-규모</v>
          </cell>
          <cell r="J316">
            <v>196</v>
          </cell>
          <cell r="K316">
            <v>41928</v>
          </cell>
          <cell r="L316">
            <v>15574767</v>
          </cell>
          <cell r="M316">
            <v>50000</v>
          </cell>
        </row>
        <row r="317">
          <cell r="A317" t="str">
            <v>A278240</v>
          </cell>
          <cell r="B317" t="str">
            <v>314</v>
          </cell>
          <cell r="C317" t="str">
            <v>278240</v>
          </cell>
          <cell r="D317" t="str">
            <v>RISE 코스닥150선물레버리지</v>
          </cell>
          <cell r="E317">
            <v>6858.23</v>
          </cell>
          <cell r="F317">
            <v>6865</v>
          </cell>
          <cell r="G317" t="str">
            <v>100 ( 1.48%)</v>
          </cell>
          <cell r="H317">
            <v>98829</v>
          </cell>
          <cell r="I317" t="str">
            <v>주식-시장대표</v>
          </cell>
          <cell r="J317">
            <v>4</v>
          </cell>
          <cell r="K317">
            <v>2582</v>
          </cell>
          <cell r="L317">
            <v>37996314</v>
          </cell>
          <cell r="M317">
            <v>10000</v>
          </cell>
        </row>
        <row r="318">
          <cell r="A318" t="str">
            <v>A278530</v>
          </cell>
          <cell r="B318" t="str">
            <v>315</v>
          </cell>
          <cell r="C318" t="str">
            <v>278530</v>
          </cell>
          <cell r="D318" t="str">
            <v>KODEX 200TR</v>
          </cell>
          <cell r="E318">
            <v>39411.410000000003</v>
          </cell>
          <cell r="F318">
            <v>39435</v>
          </cell>
          <cell r="G318" t="str">
            <v>1,790 ( 4.75%)</v>
          </cell>
          <cell r="H318">
            <v>1157961</v>
          </cell>
          <cell r="I318" t="str">
            <v>주식-시장대표</v>
          </cell>
          <cell r="J318">
            <v>200</v>
          </cell>
          <cell r="K318">
            <v>31082</v>
          </cell>
          <cell r="L318">
            <v>2010790</v>
          </cell>
          <cell r="M318">
            <v>150000</v>
          </cell>
        </row>
        <row r="319">
          <cell r="A319" t="str">
            <v>A278540</v>
          </cell>
          <cell r="B319" t="str">
            <v>316</v>
          </cell>
          <cell r="C319" t="str">
            <v>278540</v>
          </cell>
          <cell r="D319" t="str">
            <v>KODEX MSCI Korea TR</v>
          </cell>
          <cell r="E319">
            <v>38748.89</v>
          </cell>
          <cell r="F319">
            <v>38730</v>
          </cell>
          <cell r="G319" t="str">
            <v>1,820 ( 4.93%)</v>
          </cell>
          <cell r="H319">
            <v>53651</v>
          </cell>
          <cell r="I319" t="str">
            <v>주식-시장대표</v>
          </cell>
          <cell r="J319">
            <v>77</v>
          </cell>
          <cell r="K319">
            <v>15625</v>
          </cell>
          <cell r="L319">
            <v>4335146</v>
          </cell>
          <cell r="M319">
            <v>100000</v>
          </cell>
        </row>
        <row r="320">
          <cell r="A320" t="str">
            <v>A278620</v>
          </cell>
          <cell r="B320" t="str">
            <v>317</v>
          </cell>
          <cell r="C320" t="str">
            <v>278620</v>
          </cell>
          <cell r="D320" t="str">
            <v>PLUS 단기채권액티브</v>
          </cell>
          <cell r="E320">
            <v>118429.71</v>
          </cell>
          <cell r="F320">
            <v>118425</v>
          </cell>
          <cell r="G320" t="str">
            <v>15 ( 0.01%)</v>
          </cell>
          <cell r="H320">
            <v>108</v>
          </cell>
          <cell r="I320" t="str">
            <v>채권-혼합</v>
          </cell>
          <cell r="J320">
            <v>22</v>
          </cell>
          <cell r="K320">
            <v>7</v>
          </cell>
          <cell r="L320">
            <v>6553022</v>
          </cell>
          <cell r="M320">
            <v>1000</v>
          </cell>
        </row>
        <row r="321">
          <cell r="A321" t="str">
            <v>A279530</v>
          </cell>
          <cell r="B321" t="str">
            <v>318</v>
          </cell>
          <cell r="C321" t="str">
            <v>279530</v>
          </cell>
          <cell r="D321" t="str">
            <v>KODEX 고배당주</v>
          </cell>
          <cell r="E321">
            <v>17366.21</v>
          </cell>
          <cell r="F321">
            <v>17330</v>
          </cell>
          <cell r="G321" t="str">
            <v>35 ( 0.20%)</v>
          </cell>
          <cell r="H321">
            <v>167968</v>
          </cell>
          <cell r="I321" t="str">
            <v>주식-전략</v>
          </cell>
          <cell r="J321">
            <v>20</v>
          </cell>
          <cell r="K321">
            <v>57352</v>
          </cell>
          <cell r="L321">
            <v>1987269</v>
          </cell>
          <cell r="M321">
            <v>100000</v>
          </cell>
        </row>
        <row r="322">
          <cell r="A322" t="str">
            <v>A279540</v>
          </cell>
          <cell r="B322" t="str">
            <v>319</v>
          </cell>
          <cell r="C322" t="str">
            <v>279540</v>
          </cell>
          <cell r="D322" t="str">
            <v>KODEX 최소변동성</v>
          </cell>
          <cell r="E322">
            <v>20455.46</v>
          </cell>
          <cell r="F322">
            <v>20455</v>
          </cell>
          <cell r="G322" t="str">
            <v>300 ( 1.49%)</v>
          </cell>
          <cell r="H322">
            <v>4</v>
          </cell>
          <cell r="I322" t="str">
            <v>주식-전략</v>
          </cell>
          <cell r="J322">
            <v>134</v>
          </cell>
          <cell r="K322">
            <v>39431</v>
          </cell>
          <cell r="L322">
            <v>13543670</v>
          </cell>
          <cell r="M322">
            <v>100000</v>
          </cell>
        </row>
        <row r="323">
          <cell r="A323" t="str">
            <v>A280920</v>
          </cell>
          <cell r="B323" t="str">
            <v>320</v>
          </cell>
          <cell r="C323" t="str">
            <v>280920</v>
          </cell>
          <cell r="D323" t="str">
            <v>PLUS 주도업종</v>
          </cell>
          <cell r="E323">
            <v>22434.240000000002</v>
          </cell>
          <cell r="F323">
            <v>22090</v>
          </cell>
          <cell r="G323" t="str">
            <v>600 ( 2.79%)</v>
          </cell>
          <cell r="H323">
            <v>23</v>
          </cell>
          <cell r="I323" t="str">
            <v>주식-전략</v>
          </cell>
          <cell r="J323">
            <v>30</v>
          </cell>
          <cell r="K323">
            <v>4870</v>
          </cell>
          <cell r="L323">
            <v>3890069</v>
          </cell>
          <cell r="M323">
            <v>50000</v>
          </cell>
        </row>
        <row r="324">
          <cell r="A324" t="str">
            <v>A281990</v>
          </cell>
          <cell r="B324" t="str">
            <v>321</v>
          </cell>
          <cell r="C324" t="str">
            <v>281990</v>
          </cell>
          <cell r="D324" t="str">
            <v>RISE 중소형고배당</v>
          </cell>
          <cell r="E324">
            <v>17157.12</v>
          </cell>
          <cell r="F324">
            <v>17150</v>
          </cell>
          <cell r="G324" t="str">
            <v>50 ( 0.29%)</v>
          </cell>
          <cell r="H324">
            <v>654</v>
          </cell>
          <cell r="I324" t="str">
            <v>주식-전략</v>
          </cell>
          <cell r="J324">
            <v>69</v>
          </cell>
          <cell r="K324">
            <v>33898</v>
          </cell>
          <cell r="L324">
            <v>11642764</v>
          </cell>
          <cell r="M324">
            <v>50000</v>
          </cell>
        </row>
        <row r="325">
          <cell r="A325" t="str">
            <v>A282000</v>
          </cell>
          <cell r="B325" t="str">
            <v>322</v>
          </cell>
          <cell r="C325" t="str">
            <v>282000</v>
          </cell>
          <cell r="D325" t="str">
            <v>RISE 국고채3년선물인버스</v>
          </cell>
          <cell r="E325">
            <v>114780.64</v>
          </cell>
          <cell r="F325">
            <v>114760</v>
          </cell>
          <cell r="G325" t="str">
            <v>95 ( 0.08%)</v>
          </cell>
          <cell r="H325">
            <v>2</v>
          </cell>
          <cell r="I325" t="str">
            <v>채권-국공채</v>
          </cell>
          <cell r="J325">
            <v>1</v>
          </cell>
          <cell r="K325">
            <v>-1</v>
          </cell>
          <cell r="L325">
            <v>114858341</v>
          </cell>
          <cell r="M325">
            <v>1000</v>
          </cell>
        </row>
        <row r="326">
          <cell r="A326" t="str">
            <v>A284980</v>
          </cell>
          <cell r="B326" t="str">
            <v>323</v>
          </cell>
          <cell r="C326" t="str">
            <v>284980</v>
          </cell>
          <cell r="D326" t="str">
            <v>RISE 200금융</v>
          </cell>
          <cell r="E326">
            <v>22478.799999999999</v>
          </cell>
          <cell r="F326">
            <v>22475</v>
          </cell>
          <cell r="G326" t="str">
            <v>330 ( 1.49%)</v>
          </cell>
          <cell r="H326">
            <v>7008</v>
          </cell>
          <cell r="I326" t="str">
            <v>주식-업종섹터</v>
          </cell>
          <cell r="J326">
            <v>22</v>
          </cell>
          <cell r="K326">
            <v>6596</v>
          </cell>
          <cell r="L326">
            <v>70335</v>
          </cell>
          <cell r="M326">
            <v>20000</v>
          </cell>
        </row>
        <row r="327">
          <cell r="A327" t="str">
            <v>A285690</v>
          </cell>
          <cell r="B327" t="str">
            <v>324</v>
          </cell>
          <cell r="C327" t="str">
            <v>285690</v>
          </cell>
          <cell r="D327" t="str">
            <v>FOCUS ESG리더스</v>
          </cell>
          <cell r="E327">
            <v>20613.95</v>
          </cell>
          <cell r="F327">
            <v>20035</v>
          </cell>
          <cell r="G327" t="str">
            <v>0 ( 0.00%)</v>
          </cell>
          <cell r="H327">
            <v>1</v>
          </cell>
          <cell r="I327" t="str">
            <v>주식-전략</v>
          </cell>
          <cell r="J327">
            <v>149</v>
          </cell>
          <cell r="K327">
            <v>15187</v>
          </cell>
          <cell r="L327">
            <v>12461019</v>
          </cell>
          <cell r="M327">
            <v>50000</v>
          </cell>
        </row>
        <row r="328">
          <cell r="A328" t="str">
            <v>A289040</v>
          </cell>
          <cell r="B328" t="str">
            <v>325</v>
          </cell>
          <cell r="C328" t="str">
            <v>289040</v>
          </cell>
          <cell r="D328" t="str">
            <v>KODEX MSCI KOREA ESG유니버설</v>
          </cell>
          <cell r="E328">
            <v>33173.69</v>
          </cell>
          <cell r="F328">
            <v>33130</v>
          </cell>
          <cell r="G328" t="str">
            <v>20 ( 0.06%)</v>
          </cell>
          <cell r="H328">
            <v>1231</v>
          </cell>
          <cell r="I328" t="str">
            <v>주식-전략</v>
          </cell>
          <cell r="J328">
            <v>74</v>
          </cell>
          <cell r="K328">
            <v>16759</v>
          </cell>
          <cell r="L328">
            <v>-2305236</v>
          </cell>
          <cell r="M328">
            <v>100000</v>
          </cell>
        </row>
        <row r="329">
          <cell r="A329" t="str">
            <v>A289250</v>
          </cell>
          <cell r="B329" t="str">
            <v>326</v>
          </cell>
          <cell r="C329" t="str">
            <v>289250</v>
          </cell>
          <cell r="D329" t="str">
            <v>TIGER MSCI KOREA ESG유니버설</v>
          </cell>
          <cell r="E329">
            <v>34700.33</v>
          </cell>
          <cell r="F329">
            <v>34740</v>
          </cell>
          <cell r="G329" t="str">
            <v>1,745 ( 5.29%)</v>
          </cell>
          <cell r="H329">
            <v>964</v>
          </cell>
          <cell r="I329" t="str">
            <v>주식-전략</v>
          </cell>
          <cell r="J329">
            <v>74</v>
          </cell>
          <cell r="K329">
            <v>5074</v>
          </cell>
          <cell r="L329">
            <v>2221747</v>
          </cell>
          <cell r="M329">
            <v>30000</v>
          </cell>
        </row>
        <row r="330">
          <cell r="A330" t="str">
            <v>A289260</v>
          </cell>
          <cell r="B330" t="str">
            <v>327</v>
          </cell>
          <cell r="C330" t="str">
            <v>289260</v>
          </cell>
          <cell r="D330" t="str">
            <v>TIGER MSCI KOREA ESG리더스</v>
          </cell>
          <cell r="E330">
            <v>28551.26</v>
          </cell>
          <cell r="F330">
            <v>27985</v>
          </cell>
          <cell r="G330" t="str">
            <v>725 ( 2.66%)</v>
          </cell>
          <cell r="H330">
            <v>155</v>
          </cell>
          <cell r="I330" t="str">
            <v>주식-전략</v>
          </cell>
          <cell r="J330">
            <v>32</v>
          </cell>
          <cell r="K330">
            <v>3507</v>
          </cell>
          <cell r="L330">
            <v>1637854</v>
          </cell>
          <cell r="M330">
            <v>30000</v>
          </cell>
        </row>
        <row r="331">
          <cell r="A331" t="str">
            <v>A289480</v>
          </cell>
          <cell r="B331" t="str">
            <v>328</v>
          </cell>
          <cell r="C331" t="str">
            <v>289480</v>
          </cell>
          <cell r="D331" t="str">
            <v>TIGER 200커버드콜</v>
          </cell>
          <cell r="E331">
            <v>12181.47</v>
          </cell>
          <cell r="F331">
            <v>12020</v>
          </cell>
          <cell r="G331" t="str">
            <v>270 ( 2.30%)</v>
          </cell>
          <cell r="H331">
            <v>15783</v>
          </cell>
          <cell r="I331" t="str">
            <v>주식-전략</v>
          </cell>
          <cell r="J331">
            <v>203</v>
          </cell>
          <cell r="K331">
            <v>6469</v>
          </cell>
          <cell r="L331">
            <v>154474319</v>
          </cell>
          <cell r="M331">
            <v>100000</v>
          </cell>
        </row>
        <row r="332">
          <cell r="A332" t="str">
            <v>A289670</v>
          </cell>
          <cell r="B332" t="str">
            <v>329</v>
          </cell>
          <cell r="C332" t="str">
            <v>289670</v>
          </cell>
          <cell r="D332" t="str">
            <v>PLUS 국채선물10년</v>
          </cell>
          <cell r="E332">
            <v>51688</v>
          </cell>
          <cell r="F332">
            <v>51660</v>
          </cell>
          <cell r="G332" t="str">
            <v>100 ( 0.19%)</v>
          </cell>
          <cell r="H332">
            <v>252</v>
          </cell>
          <cell r="I332" t="str">
            <v>채권-국공채</v>
          </cell>
          <cell r="J332">
            <v>1</v>
          </cell>
          <cell r="K332">
            <v>2</v>
          </cell>
          <cell r="L332">
            <v>206712805</v>
          </cell>
          <cell r="M332">
            <v>4000</v>
          </cell>
        </row>
        <row r="333">
          <cell r="A333" t="str">
            <v>A290080</v>
          </cell>
          <cell r="B333" t="str">
            <v>330</v>
          </cell>
          <cell r="C333" t="str">
            <v>290080</v>
          </cell>
          <cell r="D333" t="str">
            <v>RISE 200고배당커버드콜ATM</v>
          </cell>
          <cell r="E333">
            <v>7016.86</v>
          </cell>
          <cell r="F333">
            <v>6885</v>
          </cell>
          <cell r="G333" t="str">
            <v>95 ( 1.36%)</v>
          </cell>
          <cell r="H333">
            <v>10577</v>
          </cell>
          <cell r="I333" t="str">
            <v>주식-전략</v>
          </cell>
          <cell r="J333">
            <v>52</v>
          </cell>
          <cell r="K333">
            <v>8742</v>
          </cell>
          <cell r="L333">
            <v>34064955</v>
          </cell>
          <cell r="M333">
            <v>50000</v>
          </cell>
        </row>
        <row r="334">
          <cell r="A334" t="str">
            <v>A290130</v>
          </cell>
          <cell r="B334" t="str">
            <v>331</v>
          </cell>
          <cell r="C334" t="str">
            <v>290130</v>
          </cell>
          <cell r="D334" t="str">
            <v>RISE ESG사회책임투자</v>
          </cell>
          <cell r="E334">
            <v>47783.87</v>
          </cell>
          <cell r="F334">
            <v>47800</v>
          </cell>
          <cell r="G334" t="str">
            <v>2,370 ( 5.22%)</v>
          </cell>
          <cell r="H334">
            <v>202299</v>
          </cell>
          <cell r="I334" t="str">
            <v>주식-전략</v>
          </cell>
          <cell r="J334">
            <v>126</v>
          </cell>
          <cell r="K334">
            <v>11290</v>
          </cell>
          <cell r="L334">
            <v>2602306</v>
          </cell>
          <cell r="M334">
            <v>50000</v>
          </cell>
        </row>
        <row r="335">
          <cell r="A335" t="str">
            <v>A291620</v>
          </cell>
          <cell r="B335" t="str">
            <v>332</v>
          </cell>
          <cell r="C335" t="str">
            <v>291620</v>
          </cell>
          <cell r="D335" t="str">
            <v>KIWOOM 코스닥150선물인버스</v>
          </cell>
          <cell r="E335">
            <v>5100.33</v>
          </cell>
          <cell r="F335">
            <v>5090</v>
          </cell>
          <cell r="G335" t="str">
            <v>40 ( 0.78%)</v>
          </cell>
          <cell r="H335">
            <v>15213</v>
          </cell>
          <cell r="I335" t="str">
            <v>주식-시장대표</v>
          </cell>
          <cell r="J335">
            <v>1</v>
          </cell>
          <cell r="K335">
            <v>-4</v>
          </cell>
          <cell r="L335">
            <v>51639299</v>
          </cell>
          <cell r="M335">
            <v>10000</v>
          </cell>
        </row>
        <row r="336">
          <cell r="A336" t="str">
            <v>A291630</v>
          </cell>
          <cell r="B336" t="str">
            <v>333</v>
          </cell>
          <cell r="C336" t="str">
            <v>291630</v>
          </cell>
          <cell r="D336" t="str">
            <v>KIWOOM 코스닥150선물레버리지</v>
          </cell>
          <cell r="E336">
            <v>3087.11</v>
          </cell>
          <cell r="F336">
            <v>3065</v>
          </cell>
          <cell r="G336" t="str">
            <v>35 ( 1.13%)</v>
          </cell>
          <cell r="H336">
            <v>61952</v>
          </cell>
          <cell r="I336" t="str">
            <v>주식-시장대표</v>
          </cell>
          <cell r="J336">
            <v>2</v>
          </cell>
          <cell r="K336">
            <v>1231</v>
          </cell>
          <cell r="L336">
            <v>22436712</v>
          </cell>
          <cell r="M336">
            <v>10000</v>
          </cell>
        </row>
        <row r="337">
          <cell r="A337" t="str">
            <v>A292050</v>
          </cell>
          <cell r="B337" t="str">
            <v>334</v>
          </cell>
          <cell r="C337" t="str">
            <v>292050</v>
          </cell>
          <cell r="D337" t="str">
            <v>RISE KRX300</v>
          </cell>
          <cell r="E337">
            <v>49156.18</v>
          </cell>
          <cell r="F337">
            <v>48730</v>
          </cell>
          <cell r="G337" t="str">
            <v>1,635 ( 3.47%)</v>
          </cell>
          <cell r="H337">
            <v>96</v>
          </cell>
          <cell r="I337" t="str">
            <v>주식-시장대표</v>
          </cell>
          <cell r="J337">
            <v>299</v>
          </cell>
          <cell r="K337">
            <v>14594</v>
          </cell>
          <cell r="L337">
            <v>-1427321</v>
          </cell>
          <cell r="M337">
            <v>50000</v>
          </cell>
        </row>
        <row r="338">
          <cell r="A338" t="str">
            <v>A292150</v>
          </cell>
          <cell r="B338" t="str">
            <v>335</v>
          </cell>
          <cell r="C338" t="str">
            <v>292150</v>
          </cell>
          <cell r="D338" t="str">
            <v>TIGER 코리아TOP10</v>
          </cell>
          <cell r="E338">
            <v>38375.120000000003</v>
          </cell>
          <cell r="F338">
            <v>38340</v>
          </cell>
          <cell r="G338" t="str">
            <v>1,685 ( 4.60%)</v>
          </cell>
          <cell r="H338">
            <v>1018169</v>
          </cell>
          <cell r="I338" t="str">
            <v>주식-규모</v>
          </cell>
          <cell r="J338">
            <v>10</v>
          </cell>
          <cell r="K338">
            <v>6698</v>
          </cell>
          <cell r="L338">
            <v>8375190</v>
          </cell>
          <cell r="M338">
            <v>50000</v>
          </cell>
        </row>
        <row r="339">
          <cell r="A339" t="str">
            <v>A292160</v>
          </cell>
          <cell r="B339" t="str">
            <v>336</v>
          </cell>
          <cell r="C339" t="str">
            <v>292160</v>
          </cell>
          <cell r="D339" t="str">
            <v>TIGER KRX300</v>
          </cell>
          <cell r="E339">
            <v>48048.24</v>
          </cell>
          <cell r="F339">
            <v>48100</v>
          </cell>
          <cell r="G339" t="str">
            <v>2,485 ( 5.45%)</v>
          </cell>
          <cell r="H339">
            <v>2320</v>
          </cell>
          <cell r="I339" t="str">
            <v>주식-시장대표</v>
          </cell>
          <cell r="J339">
            <v>300</v>
          </cell>
          <cell r="K339">
            <v>28389</v>
          </cell>
          <cell r="L339">
            <v>24915574</v>
          </cell>
          <cell r="M339">
            <v>100000</v>
          </cell>
        </row>
        <row r="340">
          <cell r="A340" t="str">
            <v>A292190</v>
          </cell>
          <cell r="B340" t="str">
            <v>337</v>
          </cell>
          <cell r="C340" t="str">
            <v>292190</v>
          </cell>
          <cell r="D340" t="str">
            <v>KODEX KRX300</v>
          </cell>
          <cell r="E340">
            <v>47890.89</v>
          </cell>
          <cell r="F340">
            <v>47810</v>
          </cell>
          <cell r="G340" t="str">
            <v>2,220 ( 4.87%)</v>
          </cell>
          <cell r="H340">
            <v>13787</v>
          </cell>
          <cell r="I340" t="str">
            <v>주식-시장대표</v>
          </cell>
          <cell r="J340">
            <v>300</v>
          </cell>
          <cell r="K340">
            <v>28464</v>
          </cell>
          <cell r="L340">
            <v>7660429</v>
          </cell>
          <cell r="M340">
            <v>100000</v>
          </cell>
        </row>
        <row r="341">
          <cell r="A341" t="str">
            <v>A292500</v>
          </cell>
          <cell r="B341" t="str">
            <v>338</v>
          </cell>
          <cell r="C341" t="str">
            <v>292500</v>
          </cell>
          <cell r="D341" t="str">
            <v>SOL KRX300</v>
          </cell>
          <cell r="E341">
            <v>48948.44</v>
          </cell>
          <cell r="F341">
            <v>48375</v>
          </cell>
          <cell r="G341" t="str">
            <v>1,560 ( 3.33%)</v>
          </cell>
          <cell r="H341">
            <v>106</v>
          </cell>
          <cell r="I341" t="str">
            <v>주식-시장대표</v>
          </cell>
          <cell r="J341">
            <v>300</v>
          </cell>
          <cell r="K341">
            <v>28712</v>
          </cell>
          <cell r="L341">
            <v>57917614</v>
          </cell>
          <cell r="M341">
            <v>100000</v>
          </cell>
        </row>
        <row r="342">
          <cell r="A342" t="str">
            <v>A292560</v>
          </cell>
          <cell r="B342" t="str">
            <v>339</v>
          </cell>
          <cell r="C342" t="str">
            <v>292560</v>
          </cell>
          <cell r="D342" t="str">
            <v>TIGER 일본엔선물</v>
          </cell>
          <cell r="E342">
            <v>8397.92</v>
          </cell>
          <cell r="F342">
            <v>8395</v>
          </cell>
          <cell r="G342" t="str">
            <v>45 ( 0.53%)</v>
          </cell>
          <cell r="H342">
            <v>11934</v>
          </cell>
          <cell r="I342" t="str">
            <v>통화-일본엔</v>
          </cell>
          <cell r="J342">
            <v>1</v>
          </cell>
          <cell r="K342">
            <v>92</v>
          </cell>
          <cell r="L342">
            <v>842565030</v>
          </cell>
          <cell r="M342">
            <v>100000</v>
          </cell>
        </row>
        <row r="343">
          <cell r="A343" t="str">
            <v>A292770</v>
          </cell>
          <cell r="B343" t="str">
            <v>340</v>
          </cell>
          <cell r="C343" t="str">
            <v>292770</v>
          </cell>
          <cell r="D343" t="str">
            <v>KODEX 국채선물3년인버스</v>
          </cell>
          <cell r="E343">
            <v>57749.73</v>
          </cell>
          <cell r="F343">
            <v>57760</v>
          </cell>
          <cell r="G343" t="str">
            <v>0 ( 0.00%)</v>
          </cell>
          <cell r="H343">
            <v>0</v>
          </cell>
          <cell r="I343" t="str">
            <v>채권-국공채</v>
          </cell>
          <cell r="J343">
            <v>1</v>
          </cell>
          <cell r="K343">
            <v>-3</v>
          </cell>
          <cell r="L343">
            <v>346734302</v>
          </cell>
          <cell r="M343">
            <v>6000</v>
          </cell>
        </row>
        <row r="344">
          <cell r="A344" t="str">
            <v>A293180</v>
          </cell>
          <cell r="B344" t="str">
            <v>341</v>
          </cell>
          <cell r="C344" t="str">
            <v>293180</v>
          </cell>
          <cell r="D344" t="str">
            <v>HANARO 200</v>
          </cell>
          <cell r="E344">
            <v>109274.68</v>
          </cell>
          <cell r="F344">
            <v>109360</v>
          </cell>
          <cell r="G344" t="str">
            <v>5,130 ( 4.92%)</v>
          </cell>
          <cell r="H344">
            <v>23584</v>
          </cell>
          <cell r="I344" t="str">
            <v>주식-시장대표</v>
          </cell>
          <cell r="J344">
            <v>199</v>
          </cell>
          <cell r="K344">
            <v>28659</v>
          </cell>
          <cell r="L344">
            <v>14613375</v>
          </cell>
          <cell r="M344">
            <v>50000</v>
          </cell>
        </row>
        <row r="345">
          <cell r="A345" t="str">
            <v>A294400</v>
          </cell>
          <cell r="B345" t="str">
            <v>342</v>
          </cell>
          <cell r="C345" t="str">
            <v>294400</v>
          </cell>
          <cell r="D345" t="str">
            <v>KIWOOM 200TR</v>
          </cell>
          <cell r="E345">
            <v>142770.82999999999</v>
          </cell>
          <cell r="F345">
            <v>142765</v>
          </cell>
          <cell r="G345" t="str">
            <v>6,660 ( 4.89%)</v>
          </cell>
          <cell r="H345">
            <v>102312</v>
          </cell>
          <cell r="I345" t="str">
            <v>주식-시장대표</v>
          </cell>
          <cell r="J345">
            <v>199</v>
          </cell>
          <cell r="K345">
            <v>37435</v>
          </cell>
          <cell r="L345">
            <v>15923350</v>
          </cell>
          <cell r="M345">
            <v>50000</v>
          </cell>
        </row>
        <row r="346">
          <cell r="A346" t="str">
            <v>A295000</v>
          </cell>
          <cell r="B346" t="str">
            <v>343</v>
          </cell>
          <cell r="C346" t="str">
            <v>295000</v>
          </cell>
          <cell r="D346" t="str">
            <v>RISE 국채선물10년</v>
          </cell>
          <cell r="E346">
            <v>51043.32</v>
          </cell>
          <cell r="F346">
            <v>51020</v>
          </cell>
          <cell r="G346" t="str">
            <v>40 ( 0.08%)</v>
          </cell>
          <cell r="H346">
            <v>2</v>
          </cell>
          <cell r="I346" t="str">
            <v>채권-국공채</v>
          </cell>
          <cell r="J346">
            <v>1</v>
          </cell>
          <cell r="K346">
            <v>1</v>
          </cell>
          <cell r="L346">
            <v>102067443</v>
          </cell>
          <cell r="M346">
            <v>2000</v>
          </cell>
        </row>
        <row r="347">
          <cell r="A347" t="str">
            <v>A295020</v>
          </cell>
          <cell r="B347" t="str">
            <v>344</v>
          </cell>
          <cell r="C347" t="str">
            <v>295020</v>
          </cell>
          <cell r="D347" t="str">
            <v>RISE 국채선물10년인버스</v>
          </cell>
          <cell r="E347">
            <v>60725.85</v>
          </cell>
          <cell r="F347">
            <v>60715</v>
          </cell>
          <cell r="G347" t="str">
            <v>0 ( 0.00%)</v>
          </cell>
          <cell r="H347">
            <v>23</v>
          </cell>
          <cell r="I347" t="str">
            <v>채권-국공채</v>
          </cell>
          <cell r="J347">
            <v>1</v>
          </cell>
          <cell r="K347">
            <v>-1</v>
          </cell>
          <cell r="L347">
            <v>121474696</v>
          </cell>
          <cell r="M347">
            <v>2000</v>
          </cell>
        </row>
        <row r="348">
          <cell r="A348" t="str">
            <v>A295040</v>
          </cell>
          <cell r="B348" t="str">
            <v>345</v>
          </cell>
          <cell r="C348" t="str">
            <v>295040</v>
          </cell>
          <cell r="D348" t="str">
            <v>SOL 200TR</v>
          </cell>
          <cell r="E348">
            <v>40824.26</v>
          </cell>
          <cell r="F348">
            <v>40850</v>
          </cell>
          <cell r="G348" t="str">
            <v>1,950 ( 5.01%)</v>
          </cell>
          <cell r="H348">
            <v>210284</v>
          </cell>
          <cell r="I348" t="str">
            <v>주식-시장대표</v>
          </cell>
          <cell r="J348">
            <v>200</v>
          </cell>
          <cell r="K348">
            <v>30489</v>
          </cell>
          <cell r="L348">
            <v>311126134</v>
          </cell>
          <cell r="M348">
            <v>150000</v>
          </cell>
        </row>
        <row r="349">
          <cell r="A349" t="str">
            <v>A298340</v>
          </cell>
          <cell r="B349" t="str">
            <v>346</v>
          </cell>
          <cell r="C349" t="str">
            <v>298340</v>
          </cell>
          <cell r="D349" t="str">
            <v>PLUS 국채선물3년</v>
          </cell>
          <cell r="E349">
            <v>56159.62</v>
          </cell>
          <cell r="F349">
            <v>56185</v>
          </cell>
          <cell r="G349" t="str">
            <v>80 ( 0.14%)</v>
          </cell>
          <cell r="H349">
            <v>589</v>
          </cell>
          <cell r="I349" t="str">
            <v>채권-국공채</v>
          </cell>
          <cell r="J349">
            <v>2</v>
          </cell>
          <cell r="K349">
            <v>21</v>
          </cell>
          <cell r="L349">
            <v>222387673</v>
          </cell>
          <cell r="M349">
            <v>4000</v>
          </cell>
        </row>
        <row r="350">
          <cell r="A350" t="str">
            <v>A300610</v>
          </cell>
          <cell r="B350" t="str">
            <v>347</v>
          </cell>
          <cell r="C350" t="str">
            <v>300610</v>
          </cell>
          <cell r="D350" t="str">
            <v>TIGER K게임</v>
          </cell>
          <cell r="E350">
            <v>5188.92</v>
          </cell>
          <cell r="F350">
            <v>5170</v>
          </cell>
          <cell r="G350" t="str">
            <v>35 ( 0.67%)</v>
          </cell>
          <cell r="H350">
            <v>4410</v>
          </cell>
          <cell r="I350" t="str">
            <v>주식-업종섹터</v>
          </cell>
          <cell r="J350">
            <v>13</v>
          </cell>
          <cell r="K350">
            <v>11965</v>
          </cell>
          <cell r="L350">
            <v>467653</v>
          </cell>
          <cell r="M350">
            <v>50000</v>
          </cell>
        </row>
        <row r="351">
          <cell r="A351" t="str">
            <v>A300640</v>
          </cell>
          <cell r="B351" t="str">
            <v>348</v>
          </cell>
          <cell r="C351" t="str">
            <v>300640</v>
          </cell>
          <cell r="D351" t="str">
            <v>RISE 게임테마</v>
          </cell>
          <cell r="E351">
            <v>6191.77</v>
          </cell>
          <cell r="F351">
            <v>6200</v>
          </cell>
          <cell r="G351" t="str">
            <v>110 ( 1.81%)</v>
          </cell>
          <cell r="H351">
            <v>1518</v>
          </cell>
          <cell r="I351" t="str">
            <v>주식-업종섹터</v>
          </cell>
          <cell r="J351">
            <v>23</v>
          </cell>
          <cell r="K351">
            <v>22366</v>
          </cell>
          <cell r="L351">
            <v>5048687</v>
          </cell>
          <cell r="M351">
            <v>50000</v>
          </cell>
        </row>
        <row r="352">
          <cell r="A352" t="str">
            <v>A300950</v>
          </cell>
          <cell r="B352" t="str">
            <v>349</v>
          </cell>
          <cell r="C352" t="str">
            <v>300950</v>
          </cell>
          <cell r="D352" t="str">
            <v>KODEX 게임산업</v>
          </cell>
          <cell r="E352">
            <v>5431.36</v>
          </cell>
          <cell r="F352">
            <v>5425</v>
          </cell>
          <cell r="G352" t="str">
            <v>110 ( 2.07%)</v>
          </cell>
          <cell r="H352">
            <v>97788</v>
          </cell>
          <cell r="I352" t="str">
            <v>주식-업종섹터</v>
          </cell>
          <cell r="J352">
            <v>15</v>
          </cell>
          <cell r="K352">
            <v>16095</v>
          </cell>
          <cell r="L352">
            <v>2271565</v>
          </cell>
          <cell r="M352">
            <v>100000</v>
          </cell>
        </row>
        <row r="353">
          <cell r="A353" t="str">
            <v>A301400</v>
          </cell>
          <cell r="B353" t="str">
            <v>350</v>
          </cell>
          <cell r="C353" t="str">
            <v>301400</v>
          </cell>
          <cell r="D353" t="str">
            <v>PLUS 코스닥150</v>
          </cell>
          <cell r="E353">
            <v>12829.88</v>
          </cell>
          <cell r="F353">
            <v>12870</v>
          </cell>
          <cell r="G353" t="str">
            <v>170 ( 1.34%)</v>
          </cell>
          <cell r="H353">
            <v>7657</v>
          </cell>
          <cell r="I353" t="str">
            <v>주식-시장대표</v>
          </cell>
          <cell r="J353">
            <v>150</v>
          </cell>
          <cell r="K353">
            <v>16605</v>
          </cell>
          <cell r="L353">
            <v>-2242495</v>
          </cell>
          <cell r="M353">
            <v>50000</v>
          </cell>
        </row>
        <row r="354">
          <cell r="A354" t="str">
            <v>A302190</v>
          </cell>
          <cell r="B354" t="str">
            <v>351</v>
          </cell>
          <cell r="C354" t="str">
            <v>302190</v>
          </cell>
          <cell r="D354" t="str">
            <v>TIGER 중장기국채</v>
          </cell>
          <cell r="E354">
            <v>49804.72</v>
          </cell>
          <cell r="F354">
            <v>49810</v>
          </cell>
          <cell r="G354" t="str">
            <v>10 ( 0.02%)</v>
          </cell>
          <cell r="H354">
            <v>687</v>
          </cell>
          <cell r="I354" t="str">
            <v>채권-국공채</v>
          </cell>
          <cell r="J354">
            <v>5</v>
          </cell>
          <cell r="K354">
            <v>0</v>
          </cell>
          <cell r="L354">
            <v>77540587</v>
          </cell>
          <cell r="M354">
            <v>20000</v>
          </cell>
        </row>
        <row r="355">
          <cell r="A355" t="str">
            <v>A302450</v>
          </cell>
          <cell r="B355" t="str">
            <v>352</v>
          </cell>
          <cell r="C355" t="str">
            <v>302450</v>
          </cell>
          <cell r="D355" t="str">
            <v>RISE 코스피</v>
          </cell>
          <cell r="E355">
            <v>70513.23</v>
          </cell>
          <cell r="F355">
            <v>70640</v>
          </cell>
          <cell r="G355" t="str">
            <v>2,800 ( 4.13%)</v>
          </cell>
          <cell r="H355">
            <v>19526</v>
          </cell>
          <cell r="I355" t="str">
            <v>주식-시장대표</v>
          </cell>
          <cell r="J355">
            <v>682</v>
          </cell>
          <cell r="K355">
            <v>33358</v>
          </cell>
          <cell r="L355">
            <v>830983</v>
          </cell>
          <cell r="M355">
            <v>50000</v>
          </cell>
        </row>
        <row r="356">
          <cell r="A356" t="str">
            <v>A304760</v>
          </cell>
          <cell r="B356" t="str">
            <v>353</v>
          </cell>
          <cell r="C356" t="str">
            <v>304760</v>
          </cell>
          <cell r="D356" t="str">
            <v>HANARO KRX300</v>
          </cell>
          <cell r="E356">
            <v>47128.57</v>
          </cell>
          <cell r="F356">
            <v>47175</v>
          </cell>
          <cell r="G356" t="str">
            <v>2,445 ( 5.47%)</v>
          </cell>
          <cell r="H356">
            <v>42</v>
          </cell>
          <cell r="I356" t="str">
            <v>주식-시장대표</v>
          </cell>
          <cell r="J356">
            <v>298</v>
          </cell>
          <cell r="K356">
            <v>13912</v>
          </cell>
          <cell r="L356">
            <v>12548019</v>
          </cell>
          <cell r="M356">
            <v>50000</v>
          </cell>
        </row>
        <row r="357">
          <cell r="A357" t="str">
            <v>A304770</v>
          </cell>
          <cell r="B357" t="str">
            <v>354</v>
          </cell>
          <cell r="C357" t="str">
            <v>304770</v>
          </cell>
          <cell r="D357" t="str">
            <v>HANARO 코스닥150</v>
          </cell>
          <cell r="E357">
            <v>12723.69</v>
          </cell>
          <cell r="F357">
            <v>12755</v>
          </cell>
          <cell r="G357" t="str">
            <v>120 ( 0.95%)</v>
          </cell>
          <cell r="H357">
            <v>15805</v>
          </cell>
          <cell r="I357" t="str">
            <v>주식-시장대표</v>
          </cell>
          <cell r="J357">
            <v>150</v>
          </cell>
          <cell r="K357">
            <v>6549</v>
          </cell>
          <cell r="L357">
            <v>790044</v>
          </cell>
          <cell r="M357">
            <v>20000</v>
          </cell>
        </row>
        <row r="358">
          <cell r="A358" t="str">
            <v>A304780</v>
          </cell>
          <cell r="B358" t="str">
            <v>355</v>
          </cell>
          <cell r="C358" t="str">
            <v>304780</v>
          </cell>
          <cell r="D358" t="str">
            <v>HANARO 200선물레버리지</v>
          </cell>
          <cell r="E358">
            <v>135707.17000000001</v>
          </cell>
          <cell r="F358">
            <v>135680</v>
          </cell>
          <cell r="G358" t="str">
            <v>12,460 (10.11%)</v>
          </cell>
          <cell r="H358">
            <v>7550</v>
          </cell>
          <cell r="I358" t="str">
            <v>주식-시장대표</v>
          </cell>
          <cell r="J358">
            <v>4</v>
          </cell>
          <cell r="K358">
            <v>20726</v>
          </cell>
          <cell r="L358">
            <v>4008973884</v>
          </cell>
          <cell r="M358">
            <v>50000</v>
          </cell>
        </row>
        <row r="359">
          <cell r="A359" t="str">
            <v>A305050</v>
          </cell>
          <cell r="B359" t="str">
            <v>356</v>
          </cell>
          <cell r="C359" t="str">
            <v>305050</v>
          </cell>
          <cell r="D359" t="str">
            <v>ACE 코스피</v>
          </cell>
          <cell r="E359">
            <v>70623.95</v>
          </cell>
          <cell r="F359">
            <v>70565</v>
          </cell>
          <cell r="G359" t="str">
            <v>2,755 ( 4.06%)</v>
          </cell>
          <cell r="H359">
            <v>4006</v>
          </cell>
          <cell r="I359" t="str">
            <v>주식-시장대표</v>
          </cell>
          <cell r="J359">
            <v>748</v>
          </cell>
          <cell r="K359">
            <v>34781</v>
          </cell>
          <cell r="L359">
            <v>13410665</v>
          </cell>
          <cell r="M359">
            <v>50000</v>
          </cell>
        </row>
        <row r="360">
          <cell r="A360" t="str">
            <v>A305540</v>
          </cell>
          <cell r="B360" t="str">
            <v>357</v>
          </cell>
          <cell r="C360" t="str">
            <v>305540</v>
          </cell>
          <cell r="D360" t="str">
            <v>TIGER 2차전지테마</v>
          </cell>
          <cell r="E360">
            <v>16123.73</v>
          </cell>
          <cell r="F360">
            <v>16125</v>
          </cell>
          <cell r="G360" t="str">
            <v>215 ( 1.35%)</v>
          </cell>
          <cell r="H360">
            <v>186514</v>
          </cell>
          <cell r="I360" t="str">
            <v>주식-업종섹터</v>
          </cell>
          <cell r="J360">
            <v>29</v>
          </cell>
          <cell r="K360">
            <v>7585</v>
          </cell>
          <cell r="L360">
            <v>4145316</v>
          </cell>
          <cell r="M360">
            <v>50000</v>
          </cell>
        </row>
        <row r="361">
          <cell r="A361" t="str">
            <v>A305720</v>
          </cell>
          <cell r="B361" t="str">
            <v>358</v>
          </cell>
          <cell r="C361" t="str">
            <v>305720</v>
          </cell>
          <cell r="D361" t="str">
            <v>KODEX 2차전지산업</v>
          </cell>
          <cell r="E361">
            <v>12740.05</v>
          </cell>
          <cell r="F361">
            <v>12740</v>
          </cell>
          <cell r="G361" t="str">
            <v>25 ( 0.20%)</v>
          </cell>
          <cell r="H361">
            <v>1162059</v>
          </cell>
          <cell r="I361" t="str">
            <v>주식-업종섹터</v>
          </cell>
          <cell r="J361">
            <v>25</v>
          </cell>
          <cell r="K361">
            <v>10680</v>
          </cell>
          <cell r="L361">
            <v>2115747</v>
          </cell>
          <cell r="M361">
            <v>100000</v>
          </cell>
        </row>
        <row r="362">
          <cell r="A362" t="str">
            <v>A306520</v>
          </cell>
          <cell r="B362" t="str">
            <v>359</v>
          </cell>
          <cell r="C362" t="str">
            <v>306520</v>
          </cell>
          <cell r="D362" t="str">
            <v>HANARO 200선물인버스</v>
          </cell>
          <cell r="E362">
            <v>2584.4499999999998</v>
          </cell>
          <cell r="F362">
            <v>2570</v>
          </cell>
          <cell r="G362" t="str">
            <v>145 ( 5.34%)</v>
          </cell>
          <cell r="H362">
            <v>9168</v>
          </cell>
          <cell r="I362" t="str">
            <v>주식-시장대표</v>
          </cell>
          <cell r="J362">
            <v>1</v>
          </cell>
          <cell r="K362">
            <v>-1</v>
          </cell>
          <cell r="L362">
            <v>136034966</v>
          </cell>
          <cell r="M362">
            <v>50000</v>
          </cell>
        </row>
        <row r="363">
          <cell r="A363" t="str">
            <v>A306530</v>
          </cell>
          <cell r="B363" t="str">
            <v>360</v>
          </cell>
          <cell r="C363" t="str">
            <v>306530</v>
          </cell>
          <cell r="D363" t="str">
            <v>HANARO 코스닥150선물레버리지</v>
          </cell>
          <cell r="E363">
            <v>6143.77</v>
          </cell>
          <cell r="F363">
            <v>6130</v>
          </cell>
          <cell r="G363" t="str">
            <v>75 ( 1.24%)</v>
          </cell>
          <cell r="H363">
            <v>17481</v>
          </cell>
          <cell r="I363" t="str">
            <v>주식-시장대표</v>
          </cell>
          <cell r="J363">
            <v>3</v>
          </cell>
          <cell r="K363">
            <v>2172</v>
          </cell>
          <cell r="L363">
            <v>95318620</v>
          </cell>
          <cell r="M363">
            <v>20000</v>
          </cell>
        </row>
        <row r="364">
          <cell r="A364" t="str">
            <v>A306950</v>
          </cell>
          <cell r="B364" t="str">
            <v>361</v>
          </cell>
          <cell r="C364" t="str">
            <v>306950</v>
          </cell>
          <cell r="D364" t="str">
            <v>KODEX KRX300레버리지</v>
          </cell>
          <cell r="E364">
            <v>83670.740000000005</v>
          </cell>
          <cell r="F364">
            <v>83320</v>
          </cell>
          <cell r="G364" t="str">
            <v>6,455 ( 8.40%)</v>
          </cell>
          <cell r="H364">
            <v>7897</v>
          </cell>
          <cell r="I364" t="str">
            <v>주식-시장대표</v>
          </cell>
          <cell r="J364">
            <v>302</v>
          </cell>
          <cell r="K364">
            <v>84491</v>
          </cell>
          <cell r="L364">
            <v>-692877456</v>
          </cell>
          <cell r="M364">
            <v>100000</v>
          </cell>
        </row>
        <row r="365">
          <cell r="A365" t="str">
            <v>A307510</v>
          </cell>
          <cell r="B365" t="str">
            <v>362</v>
          </cell>
          <cell r="C365" t="str">
            <v>307510</v>
          </cell>
          <cell r="D365" t="str">
            <v>TIGER 의료기기</v>
          </cell>
          <cell r="E365">
            <v>12791.59</v>
          </cell>
          <cell r="F365">
            <v>12750</v>
          </cell>
          <cell r="G365" t="str">
            <v>85 ( 0.67%)</v>
          </cell>
          <cell r="H365">
            <v>2089</v>
          </cell>
          <cell r="I365" t="str">
            <v>주식-업종섹터</v>
          </cell>
          <cell r="J365">
            <v>49</v>
          </cell>
          <cell r="K365">
            <v>38508</v>
          </cell>
          <cell r="L365">
            <v>9973116</v>
          </cell>
          <cell r="M365">
            <v>50000</v>
          </cell>
        </row>
        <row r="366">
          <cell r="A366" t="str">
            <v>A307520</v>
          </cell>
          <cell r="B366" t="str">
            <v>363</v>
          </cell>
          <cell r="C366" t="str">
            <v>307520</v>
          </cell>
          <cell r="D366" t="str">
            <v>TIGER 지주회사</v>
          </cell>
          <cell r="E366">
            <v>19964.68</v>
          </cell>
          <cell r="F366">
            <v>19915</v>
          </cell>
          <cell r="G366" t="str">
            <v>365 ( 1.87%)</v>
          </cell>
          <cell r="H366">
            <v>530532</v>
          </cell>
          <cell r="I366" t="str">
            <v>주식-업종섹터</v>
          </cell>
          <cell r="J366">
            <v>30</v>
          </cell>
          <cell r="K366">
            <v>9849</v>
          </cell>
          <cell r="L366">
            <v>2750270</v>
          </cell>
          <cell r="M366">
            <v>50000</v>
          </cell>
        </row>
        <row r="367">
          <cell r="A367" t="str">
            <v>A310960</v>
          </cell>
          <cell r="B367" t="str">
            <v>364</v>
          </cell>
          <cell r="C367" t="str">
            <v>310960</v>
          </cell>
          <cell r="D367" t="str">
            <v>TIGER 200TR</v>
          </cell>
          <cell r="E367">
            <v>63378.71</v>
          </cell>
          <cell r="F367">
            <v>63355</v>
          </cell>
          <cell r="G367" t="str">
            <v>2,615 ( 4.31%)</v>
          </cell>
          <cell r="H367">
            <v>55880</v>
          </cell>
          <cell r="I367" t="str">
            <v>주식-시장대표</v>
          </cell>
          <cell r="J367">
            <v>200</v>
          </cell>
          <cell r="K367">
            <v>31719</v>
          </cell>
          <cell r="L367">
            <v>309382854</v>
          </cell>
          <cell r="M367">
            <v>100000</v>
          </cell>
        </row>
        <row r="368">
          <cell r="A368" t="str">
            <v>A310970</v>
          </cell>
          <cell r="B368" t="str">
            <v>365</v>
          </cell>
          <cell r="C368" t="str">
            <v>310970</v>
          </cell>
          <cell r="D368" t="str">
            <v>TIGER MSCI Korea TR</v>
          </cell>
          <cell r="E368">
            <v>48671.75</v>
          </cell>
          <cell r="F368">
            <v>48600</v>
          </cell>
          <cell r="G368" t="str">
            <v>2,270 ( 4.90%)</v>
          </cell>
          <cell r="H368">
            <v>19066</v>
          </cell>
          <cell r="I368" t="str">
            <v>주식-시장대표</v>
          </cell>
          <cell r="J368">
            <v>77</v>
          </cell>
          <cell r="K368">
            <v>19636</v>
          </cell>
          <cell r="L368">
            <v>5680564</v>
          </cell>
          <cell r="M368">
            <v>100000</v>
          </cell>
        </row>
        <row r="369">
          <cell r="A369" t="str">
            <v>A314700</v>
          </cell>
          <cell r="B369" t="str">
            <v>366</v>
          </cell>
          <cell r="C369" t="str">
            <v>314700</v>
          </cell>
          <cell r="D369" t="str">
            <v>HANARO 농업융복합산업</v>
          </cell>
          <cell r="E369">
            <v>10224.040000000001</v>
          </cell>
          <cell r="F369">
            <v>10190</v>
          </cell>
          <cell r="G369" t="str">
            <v>110 ( 1.09%)</v>
          </cell>
          <cell r="H369">
            <v>381</v>
          </cell>
          <cell r="I369" t="str">
            <v>주식-업종섹터</v>
          </cell>
          <cell r="J369">
            <v>12</v>
          </cell>
          <cell r="K369">
            <v>13800</v>
          </cell>
          <cell r="L369">
            <v>2763583</v>
          </cell>
          <cell r="M369">
            <v>50000</v>
          </cell>
        </row>
        <row r="370">
          <cell r="A370" t="str">
            <v>A315270</v>
          </cell>
          <cell r="B370" t="str">
            <v>367</v>
          </cell>
          <cell r="C370" t="str">
            <v>315270</v>
          </cell>
          <cell r="D370" t="str">
            <v>TIGER 200커뮤니케이션서비스</v>
          </cell>
          <cell r="E370">
            <v>19434.419999999998</v>
          </cell>
          <cell r="F370">
            <v>19400</v>
          </cell>
          <cell r="G370" t="str">
            <v>450 ( 2.37%)</v>
          </cell>
          <cell r="H370">
            <v>14081</v>
          </cell>
          <cell r="I370" t="str">
            <v>주식-업종섹터</v>
          </cell>
          <cell r="J370">
            <v>10</v>
          </cell>
          <cell r="K370">
            <v>6407</v>
          </cell>
          <cell r="L370">
            <v>2634965</v>
          </cell>
          <cell r="M370">
            <v>20000</v>
          </cell>
        </row>
        <row r="371">
          <cell r="A371" t="str">
            <v>A315930</v>
          </cell>
          <cell r="B371" t="str">
            <v>368</v>
          </cell>
          <cell r="C371" t="str">
            <v>315930</v>
          </cell>
          <cell r="D371" t="str">
            <v>KODEX Top5PlusTR</v>
          </cell>
          <cell r="E371">
            <v>81983.210000000006</v>
          </cell>
          <cell r="F371">
            <v>81975</v>
          </cell>
          <cell r="G371" t="str">
            <v>3,370 ( 4.29%)</v>
          </cell>
          <cell r="H371">
            <v>37290</v>
          </cell>
          <cell r="I371" t="str">
            <v>주식-전략</v>
          </cell>
          <cell r="J371">
            <v>10</v>
          </cell>
          <cell r="K371">
            <v>31456</v>
          </cell>
          <cell r="L371">
            <v>-66013982</v>
          </cell>
          <cell r="M371">
            <v>100000</v>
          </cell>
        </row>
        <row r="372">
          <cell r="A372" t="str">
            <v>A315960</v>
          </cell>
          <cell r="B372" t="str">
            <v>369</v>
          </cell>
          <cell r="C372" t="str">
            <v>315960</v>
          </cell>
          <cell r="D372" t="str">
            <v>RISE 대형고배당10TR</v>
          </cell>
          <cell r="E372">
            <v>79636.27</v>
          </cell>
          <cell r="F372">
            <v>79560</v>
          </cell>
          <cell r="G372" t="str">
            <v>3,060 ( 4.00%)</v>
          </cell>
          <cell r="H372">
            <v>163122</v>
          </cell>
          <cell r="I372" t="str">
            <v>주식-전략</v>
          </cell>
          <cell r="J372">
            <v>10</v>
          </cell>
          <cell r="K372">
            <v>17148</v>
          </cell>
          <cell r="L372">
            <v>-1396230</v>
          </cell>
          <cell r="M372">
            <v>50000</v>
          </cell>
        </row>
        <row r="373">
          <cell r="A373" t="str">
            <v>A316670</v>
          </cell>
          <cell r="B373" t="str">
            <v>370</v>
          </cell>
          <cell r="C373" t="str">
            <v>316670</v>
          </cell>
          <cell r="D373" t="str">
            <v>KIWOOM 코스닥150</v>
          </cell>
          <cell r="E373">
            <v>6337.43</v>
          </cell>
          <cell r="F373">
            <v>6335</v>
          </cell>
          <cell r="G373" t="str">
            <v>30 ( 0.48%)</v>
          </cell>
          <cell r="H373">
            <v>78211</v>
          </cell>
          <cell r="I373" t="str">
            <v>주식-시장대표</v>
          </cell>
          <cell r="J373">
            <v>150</v>
          </cell>
          <cell r="K373">
            <v>3254</v>
          </cell>
          <cell r="L373">
            <v>53387</v>
          </cell>
          <cell r="M373">
            <v>20000</v>
          </cell>
        </row>
        <row r="374">
          <cell r="A374" t="str">
            <v>A322400</v>
          </cell>
          <cell r="B374" t="str">
            <v>371</v>
          </cell>
          <cell r="C374" t="str">
            <v>322400</v>
          </cell>
          <cell r="D374" t="str">
            <v>HANARO e커머스</v>
          </cell>
          <cell r="E374">
            <v>10140.49</v>
          </cell>
          <cell r="F374">
            <v>10080</v>
          </cell>
          <cell r="G374" t="str">
            <v>220 ( 2.23%)</v>
          </cell>
          <cell r="H374">
            <v>1230</v>
          </cell>
          <cell r="I374" t="str">
            <v>주식-업종섹터</v>
          </cell>
          <cell r="J374">
            <v>16</v>
          </cell>
          <cell r="K374">
            <v>13675</v>
          </cell>
          <cell r="L374">
            <v>1826488</v>
          </cell>
          <cell r="M374">
            <v>50000</v>
          </cell>
        </row>
        <row r="375">
          <cell r="A375" t="str">
            <v>A322410</v>
          </cell>
          <cell r="B375" t="str">
            <v>372</v>
          </cell>
          <cell r="C375" t="str">
            <v>322410</v>
          </cell>
          <cell r="D375" t="str">
            <v>HANARO K고배당</v>
          </cell>
          <cell r="E375">
            <v>22292.9</v>
          </cell>
          <cell r="F375">
            <v>22305</v>
          </cell>
          <cell r="G375" t="str">
            <v>35 ( 0.16%)</v>
          </cell>
          <cell r="H375">
            <v>2944</v>
          </cell>
          <cell r="I375" t="str">
            <v>주식-전략</v>
          </cell>
          <cell r="J375">
            <v>40</v>
          </cell>
          <cell r="K375">
            <v>40986</v>
          </cell>
          <cell r="L375">
            <v>5838799</v>
          </cell>
          <cell r="M375">
            <v>50000</v>
          </cell>
        </row>
        <row r="376">
          <cell r="A376" t="str">
            <v>A325010</v>
          </cell>
          <cell r="B376" t="str">
            <v>373</v>
          </cell>
          <cell r="C376" t="str">
            <v>325010</v>
          </cell>
          <cell r="D376" t="str">
            <v>KODEX 성장주</v>
          </cell>
          <cell r="E376">
            <v>42502.91</v>
          </cell>
          <cell r="F376">
            <v>42520</v>
          </cell>
          <cell r="G376" t="str">
            <v>1,970 ( 4.86%)</v>
          </cell>
          <cell r="H376">
            <v>19145</v>
          </cell>
          <cell r="I376" t="str">
            <v>주식-전략</v>
          </cell>
          <cell r="J376">
            <v>314</v>
          </cell>
          <cell r="K376">
            <v>28462</v>
          </cell>
          <cell r="L376">
            <v>4322472</v>
          </cell>
          <cell r="M376">
            <v>100000</v>
          </cell>
        </row>
        <row r="377">
          <cell r="A377" t="str">
            <v>A325020</v>
          </cell>
          <cell r="B377" t="str">
            <v>374</v>
          </cell>
          <cell r="C377" t="str">
            <v>325020</v>
          </cell>
          <cell r="D377" t="str">
            <v>KODEX 배당가치</v>
          </cell>
          <cell r="E377">
            <v>28969.040000000001</v>
          </cell>
          <cell r="F377">
            <v>28940</v>
          </cell>
          <cell r="G377" t="str">
            <v>525 ( 1.85%)</v>
          </cell>
          <cell r="H377">
            <v>2683</v>
          </cell>
          <cell r="I377" t="str">
            <v>주식-전략</v>
          </cell>
          <cell r="J377">
            <v>149</v>
          </cell>
          <cell r="K377">
            <v>39838</v>
          </cell>
          <cell r="L377">
            <v>1711269</v>
          </cell>
          <cell r="M377">
            <v>100000</v>
          </cell>
        </row>
        <row r="378">
          <cell r="A378" t="str">
            <v>A326230</v>
          </cell>
          <cell r="B378" t="str">
            <v>375</v>
          </cell>
          <cell r="C378" t="str">
            <v>326230</v>
          </cell>
          <cell r="D378" t="str">
            <v>RISE 내수주플러스</v>
          </cell>
          <cell r="E378">
            <v>10811.92</v>
          </cell>
          <cell r="F378">
            <v>10795</v>
          </cell>
          <cell r="G378" t="str">
            <v>30 ( 0.28%)</v>
          </cell>
          <cell r="H378">
            <v>88</v>
          </cell>
          <cell r="I378" t="str">
            <v>주식-전략</v>
          </cell>
          <cell r="J378">
            <v>60</v>
          </cell>
          <cell r="K378">
            <v>3171</v>
          </cell>
          <cell r="L378">
            <v>2565753</v>
          </cell>
          <cell r="M378">
            <v>20000</v>
          </cell>
        </row>
        <row r="379">
          <cell r="A379" t="str">
            <v>A326240</v>
          </cell>
          <cell r="B379" t="str">
            <v>376</v>
          </cell>
          <cell r="C379" t="str">
            <v>326240</v>
          </cell>
          <cell r="D379" t="str">
            <v>RISE IT플러스</v>
          </cell>
          <cell r="E379">
            <v>42610.03</v>
          </cell>
          <cell r="F379">
            <v>42625</v>
          </cell>
          <cell r="G379" t="str">
            <v>1,945 ( 4.78%)</v>
          </cell>
          <cell r="H379">
            <v>8966</v>
          </cell>
          <cell r="I379" t="str">
            <v>주식-전략</v>
          </cell>
          <cell r="J379">
            <v>124</v>
          </cell>
          <cell r="K379">
            <v>6691</v>
          </cell>
          <cell r="L379">
            <v>27495</v>
          </cell>
          <cell r="M379">
            <v>20000</v>
          </cell>
        </row>
        <row r="380">
          <cell r="A380" t="str">
            <v>A328370</v>
          </cell>
          <cell r="B380" t="str">
            <v>377</v>
          </cell>
          <cell r="C380" t="str">
            <v>328370</v>
          </cell>
          <cell r="D380" t="str">
            <v>PLUS 코스피TR</v>
          </cell>
          <cell r="E380">
            <v>38245.94</v>
          </cell>
          <cell r="F380">
            <v>38245</v>
          </cell>
          <cell r="G380" t="str">
            <v>1,500 ( 4.08%)</v>
          </cell>
          <cell r="H380">
            <v>2245</v>
          </cell>
          <cell r="I380" t="str">
            <v>주식-시장대표</v>
          </cell>
          <cell r="J380">
            <v>677</v>
          </cell>
          <cell r="K380">
            <v>18200</v>
          </cell>
          <cell r="L380">
            <v>3562749</v>
          </cell>
          <cell r="M380">
            <v>50000</v>
          </cell>
        </row>
        <row r="381">
          <cell r="A381" t="str">
            <v>A329200</v>
          </cell>
          <cell r="B381" t="str">
            <v>378</v>
          </cell>
          <cell r="C381" t="str">
            <v>329200</v>
          </cell>
          <cell r="D381" t="str">
            <v>TIGER 리츠부동산인프라</v>
          </cell>
          <cell r="E381">
            <v>4001.97</v>
          </cell>
          <cell r="F381">
            <v>4010</v>
          </cell>
          <cell r="G381" t="str">
            <v>0 ( 0.00%)</v>
          </cell>
          <cell r="H381">
            <v>2225424</v>
          </cell>
          <cell r="I381" t="str">
            <v>부동산</v>
          </cell>
          <cell r="J381">
            <v>14</v>
          </cell>
          <cell r="K381">
            <v>37527</v>
          </cell>
          <cell r="L381">
            <v>6647517</v>
          </cell>
          <cell r="M381">
            <v>50000</v>
          </cell>
        </row>
        <row r="382">
          <cell r="A382" t="str">
            <v>A332500</v>
          </cell>
          <cell r="B382" t="str">
            <v>379</v>
          </cell>
          <cell r="C382" t="str">
            <v>332500</v>
          </cell>
          <cell r="D382" t="str">
            <v>ACE 200TR</v>
          </cell>
          <cell r="E382">
            <v>73177.37</v>
          </cell>
          <cell r="F382">
            <v>73175</v>
          </cell>
          <cell r="G382" t="str">
            <v>3,380 ( 4.84%)</v>
          </cell>
          <cell r="H382">
            <v>35486</v>
          </cell>
          <cell r="I382" t="str">
            <v>주식-시장대표</v>
          </cell>
          <cell r="J382">
            <v>200</v>
          </cell>
          <cell r="K382">
            <v>37713</v>
          </cell>
          <cell r="L382">
            <v>41016347</v>
          </cell>
          <cell r="M382">
            <v>100000</v>
          </cell>
        </row>
        <row r="383">
          <cell r="A383" t="str">
            <v>A332930</v>
          </cell>
          <cell r="B383" t="str">
            <v>380</v>
          </cell>
          <cell r="C383" t="str">
            <v>332930</v>
          </cell>
          <cell r="D383" t="str">
            <v>HANARO 200TR</v>
          </cell>
          <cell r="E383">
            <v>142857.82999999999</v>
          </cell>
          <cell r="F383">
            <v>142985</v>
          </cell>
          <cell r="G383" t="str">
            <v>7,100 ( 5.23%)</v>
          </cell>
          <cell r="H383">
            <v>3158</v>
          </cell>
          <cell r="I383" t="str">
            <v>주식-시장대표</v>
          </cell>
          <cell r="J383">
            <v>199</v>
          </cell>
          <cell r="K383">
            <v>37467</v>
          </cell>
          <cell r="L383">
            <v>17230102</v>
          </cell>
          <cell r="M383">
            <v>50000</v>
          </cell>
        </row>
        <row r="384">
          <cell r="A384" t="str">
            <v>A332940</v>
          </cell>
          <cell r="B384" t="str">
            <v>381</v>
          </cell>
          <cell r="C384" t="str">
            <v>332940</v>
          </cell>
          <cell r="D384" t="str">
            <v>HANARO MSCI Korea TR</v>
          </cell>
          <cell r="E384">
            <v>48500.42</v>
          </cell>
          <cell r="F384">
            <v>48535</v>
          </cell>
          <cell r="G384" t="str">
            <v>2,460 ( 5.34%)</v>
          </cell>
          <cell r="H384">
            <v>483</v>
          </cell>
          <cell r="I384" t="str">
            <v>주식-시장대표</v>
          </cell>
          <cell r="J384">
            <v>77</v>
          </cell>
          <cell r="K384">
            <v>19554</v>
          </cell>
          <cell r="L384">
            <v>8704015</v>
          </cell>
          <cell r="M384">
            <v>100000</v>
          </cell>
        </row>
        <row r="385">
          <cell r="A385" t="str">
            <v>A336160</v>
          </cell>
          <cell r="B385" t="str">
            <v>382</v>
          </cell>
          <cell r="C385" t="str">
            <v>336160</v>
          </cell>
          <cell r="D385" t="str">
            <v>RISE 금융채액티브</v>
          </cell>
          <cell r="E385">
            <v>100084.11</v>
          </cell>
          <cell r="F385">
            <v>100060</v>
          </cell>
          <cell r="G385" t="str">
            <v>15 ( 0.01%)</v>
          </cell>
          <cell r="H385">
            <v>60</v>
          </cell>
          <cell r="I385" t="str">
            <v>채권-회사채</v>
          </cell>
          <cell r="J385">
            <v>10</v>
          </cell>
          <cell r="K385">
            <v>0</v>
          </cell>
          <cell r="L385">
            <v>1022410</v>
          </cell>
          <cell r="M385">
            <v>1000</v>
          </cell>
        </row>
        <row r="386">
          <cell r="A386" t="str">
            <v>A337120</v>
          </cell>
          <cell r="B386" t="str">
            <v>383</v>
          </cell>
          <cell r="C386" t="str">
            <v>337120</v>
          </cell>
          <cell r="D386" t="str">
            <v>KODEX 멀티팩터</v>
          </cell>
          <cell r="E386">
            <v>34656.839999999997</v>
          </cell>
          <cell r="F386">
            <v>33525</v>
          </cell>
          <cell r="G386" t="str">
            <v>360 ( 1.09%)</v>
          </cell>
          <cell r="H386">
            <v>6</v>
          </cell>
          <cell r="I386" t="str">
            <v>주식-전략</v>
          </cell>
          <cell r="J386">
            <v>239</v>
          </cell>
          <cell r="K386">
            <v>47656</v>
          </cell>
          <cell r="L386">
            <v>6831639</v>
          </cell>
          <cell r="M386">
            <v>100000</v>
          </cell>
        </row>
        <row r="387">
          <cell r="A387" t="str">
            <v>A337140</v>
          </cell>
          <cell r="B387" t="str">
            <v>384</v>
          </cell>
          <cell r="C387" t="str">
            <v>337140</v>
          </cell>
          <cell r="D387" t="str">
            <v>KODEX 코스피대형주</v>
          </cell>
          <cell r="E387">
            <v>36287.89</v>
          </cell>
          <cell r="F387">
            <v>36255</v>
          </cell>
          <cell r="G387" t="str">
            <v>1,485 ( 4.27%)</v>
          </cell>
          <cell r="H387">
            <v>143656</v>
          </cell>
          <cell r="I387" t="str">
            <v>주식-규모</v>
          </cell>
          <cell r="J387">
            <v>100</v>
          </cell>
          <cell r="K387">
            <v>17784</v>
          </cell>
          <cell r="L387">
            <v>2391839</v>
          </cell>
          <cell r="M387">
            <v>100000</v>
          </cell>
        </row>
        <row r="388">
          <cell r="A388" t="str">
            <v>A337150</v>
          </cell>
          <cell r="B388" t="str">
            <v>385</v>
          </cell>
          <cell r="C388" t="str">
            <v>337150</v>
          </cell>
          <cell r="D388" t="str">
            <v>KODEX 200exTOP</v>
          </cell>
          <cell r="E388">
            <v>24540.5</v>
          </cell>
          <cell r="F388">
            <v>24510</v>
          </cell>
          <cell r="G388" t="str">
            <v>555 ( 2.32%)</v>
          </cell>
          <cell r="H388">
            <v>77</v>
          </cell>
          <cell r="I388" t="str">
            <v>주식-규모</v>
          </cell>
          <cell r="J388">
            <v>197</v>
          </cell>
          <cell r="K388">
            <v>24554</v>
          </cell>
          <cell r="L388">
            <v>7667050</v>
          </cell>
          <cell r="M388">
            <v>100000</v>
          </cell>
        </row>
        <row r="389">
          <cell r="A389" t="str">
            <v>A337160</v>
          </cell>
          <cell r="B389" t="str">
            <v>386</v>
          </cell>
          <cell r="C389" t="str">
            <v>337160</v>
          </cell>
          <cell r="D389" t="str">
            <v>KODEX 200ESG</v>
          </cell>
          <cell r="E389">
            <v>47995.199999999997</v>
          </cell>
          <cell r="F389">
            <v>48020</v>
          </cell>
          <cell r="G389" t="str">
            <v>2,085 ( 4.54%)</v>
          </cell>
          <cell r="H389">
            <v>23534</v>
          </cell>
          <cell r="I389" t="str">
            <v>주식-전략</v>
          </cell>
          <cell r="J389">
            <v>112</v>
          </cell>
          <cell r="K389">
            <v>26211</v>
          </cell>
          <cell r="L389">
            <v>7187612</v>
          </cell>
          <cell r="M389">
            <v>100000</v>
          </cell>
        </row>
        <row r="390">
          <cell r="A390" t="str">
            <v>A341850</v>
          </cell>
          <cell r="B390" t="str">
            <v>387</v>
          </cell>
          <cell r="C390" t="str">
            <v>341850</v>
          </cell>
          <cell r="D390" t="str">
            <v>TIGER 리츠부동산인프라채권</v>
          </cell>
          <cell r="E390">
            <v>4519.7</v>
          </cell>
          <cell r="F390">
            <v>4520</v>
          </cell>
          <cell r="G390" t="str">
            <v>10 ( 0.22%)</v>
          </cell>
          <cell r="H390">
            <v>3555</v>
          </cell>
          <cell r="I390" t="str">
            <v>혼합-주식채권</v>
          </cell>
          <cell r="J390">
            <v>15</v>
          </cell>
          <cell r="K390">
            <v>32301</v>
          </cell>
          <cell r="L390">
            <v>10302060</v>
          </cell>
          <cell r="M390">
            <v>50000</v>
          </cell>
        </row>
        <row r="391">
          <cell r="A391" t="str">
            <v>A354500</v>
          </cell>
          <cell r="B391" t="str">
            <v>388</v>
          </cell>
          <cell r="C391" t="str">
            <v>354500</v>
          </cell>
          <cell r="D391" t="str">
            <v>ACE 코스닥150</v>
          </cell>
          <cell r="E391">
            <v>12830.51</v>
          </cell>
          <cell r="F391">
            <v>12820</v>
          </cell>
          <cell r="G391" t="str">
            <v>45 ( 0.35%)</v>
          </cell>
          <cell r="H391">
            <v>153789</v>
          </cell>
          <cell r="I391" t="str">
            <v>주식-시장대표</v>
          </cell>
          <cell r="J391">
            <v>152</v>
          </cell>
          <cell r="K391">
            <v>33407</v>
          </cell>
          <cell r="L391">
            <v>5588244</v>
          </cell>
          <cell r="M391">
            <v>100000</v>
          </cell>
        </row>
        <row r="392">
          <cell r="A392" t="str">
            <v>A356540</v>
          </cell>
          <cell r="B392" t="str">
            <v>389</v>
          </cell>
          <cell r="C392" t="str">
            <v>356540</v>
          </cell>
          <cell r="D392" t="str">
            <v>ACE 종합채권(AA-이상)액티브</v>
          </cell>
          <cell r="E392">
            <v>100809.95</v>
          </cell>
          <cell r="F392">
            <v>100810</v>
          </cell>
          <cell r="G392" t="str">
            <v>10 ( 0.01%)</v>
          </cell>
          <cell r="H392">
            <v>273</v>
          </cell>
          <cell r="I392" t="str">
            <v>채권-혼합</v>
          </cell>
          <cell r="J392">
            <v>114</v>
          </cell>
          <cell r="K392">
            <v>0</v>
          </cell>
          <cell r="L392">
            <v>5056171</v>
          </cell>
          <cell r="M392">
            <v>1000</v>
          </cell>
        </row>
        <row r="393">
          <cell r="A393" t="str">
            <v>A357870</v>
          </cell>
          <cell r="B393" t="str">
            <v>390</v>
          </cell>
          <cell r="C393" t="str">
            <v>357870</v>
          </cell>
          <cell r="D393" t="str">
            <v>TIGER CD금리투자KIS(합성)</v>
          </cell>
          <cell r="E393">
            <v>57784.95</v>
          </cell>
          <cell r="F393">
            <v>57780</v>
          </cell>
          <cell r="G393" t="str">
            <v>5 ( 0.01%)</v>
          </cell>
          <cell r="H393">
            <v>134166</v>
          </cell>
          <cell r="I393" t="str">
            <v>기타</v>
          </cell>
          <cell r="J393">
            <v>6</v>
          </cell>
          <cell r="K393">
            <v>66539988</v>
          </cell>
          <cell r="L393">
            <v>49011499</v>
          </cell>
          <cell r="M393">
            <v>2000</v>
          </cell>
        </row>
        <row r="394">
          <cell r="A394" t="str">
            <v>A359210</v>
          </cell>
          <cell r="B394" t="str">
            <v>391</v>
          </cell>
          <cell r="C394" t="str">
            <v>359210</v>
          </cell>
          <cell r="D394" t="str">
            <v>KODEX 코스피TR</v>
          </cell>
          <cell r="E394">
            <v>35275.19</v>
          </cell>
          <cell r="F394">
            <v>35250</v>
          </cell>
          <cell r="G394" t="str">
            <v>1,350 ( 3.98%)</v>
          </cell>
          <cell r="H394">
            <v>10777</v>
          </cell>
          <cell r="I394" t="str">
            <v>주식-시장대표</v>
          </cell>
          <cell r="J394">
            <v>782</v>
          </cell>
          <cell r="K394">
            <v>36586</v>
          </cell>
          <cell r="L394">
            <v>-833895</v>
          </cell>
          <cell r="M394">
            <v>100000</v>
          </cell>
        </row>
        <row r="395">
          <cell r="A395" t="str">
            <v>A360140</v>
          </cell>
          <cell r="B395" t="str">
            <v>392</v>
          </cell>
          <cell r="C395" t="str">
            <v>360140</v>
          </cell>
          <cell r="D395" t="str">
            <v>KODEX 200롱코스닥150숏선물</v>
          </cell>
          <cell r="E395">
            <v>25498.99</v>
          </cell>
          <cell r="F395">
            <v>25525</v>
          </cell>
          <cell r="G395" t="str">
            <v>1,080 ( 4.42%)</v>
          </cell>
          <cell r="H395">
            <v>183511</v>
          </cell>
          <cell r="I395" t="str">
            <v>주식-전략</v>
          </cell>
          <cell r="J395">
            <v>206</v>
          </cell>
          <cell r="K395">
            <v>90163</v>
          </cell>
          <cell r="L395">
            <v>898474637</v>
          </cell>
          <cell r="M395">
            <v>100000</v>
          </cell>
        </row>
        <row r="396">
          <cell r="A396" t="str">
            <v>A360150</v>
          </cell>
          <cell r="B396" t="str">
            <v>393</v>
          </cell>
          <cell r="C396" t="str">
            <v>360150</v>
          </cell>
          <cell r="D396" t="str">
            <v>KODEX 코스닥150롱코스피200숏선물</v>
          </cell>
          <cell r="E396">
            <v>2878.15</v>
          </cell>
          <cell r="F396">
            <v>2880</v>
          </cell>
          <cell r="G396" t="str">
            <v>130 ( 4.32%)</v>
          </cell>
          <cell r="H396">
            <v>23732</v>
          </cell>
          <cell r="I396" t="str">
            <v>주식-전략</v>
          </cell>
          <cell r="J396">
            <v>4</v>
          </cell>
          <cell r="K396">
            <v>31114</v>
          </cell>
          <cell r="L396">
            <v>215386857</v>
          </cell>
          <cell r="M396">
            <v>100000</v>
          </cell>
        </row>
        <row r="397">
          <cell r="A397" t="str">
            <v>A361580</v>
          </cell>
          <cell r="B397" t="str">
            <v>394</v>
          </cell>
          <cell r="C397" t="str">
            <v>361580</v>
          </cell>
          <cell r="D397" t="str">
            <v>RISE 200TR</v>
          </cell>
          <cell r="E397">
            <v>61830.41</v>
          </cell>
          <cell r="F397">
            <v>61950</v>
          </cell>
          <cell r="G397" t="str">
            <v>2,975 ( 5.04%)</v>
          </cell>
          <cell r="H397">
            <v>121141</v>
          </cell>
          <cell r="I397" t="str">
            <v>주식-시장대표</v>
          </cell>
          <cell r="J397">
            <v>199</v>
          </cell>
          <cell r="K397">
            <v>16262</v>
          </cell>
          <cell r="L397">
            <v>-1182313</v>
          </cell>
          <cell r="M397">
            <v>50000</v>
          </cell>
        </row>
        <row r="398">
          <cell r="A398" t="str">
            <v>A363510</v>
          </cell>
          <cell r="B398" t="str">
            <v>395</v>
          </cell>
          <cell r="C398" t="str">
            <v>363510</v>
          </cell>
          <cell r="D398" t="str">
            <v>SOL KIS단기통안채</v>
          </cell>
          <cell r="E398">
            <v>111840.73</v>
          </cell>
          <cell r="F398">
            <v>111820</v>
          </cell>
          <cell r="G398" t="str">
            <v>0 ( 0.00%)</v>
          </cell>
          <cell r="H398">
            <v>0</v>
          </cell>
          <cell r="I398" t="str">
            <v>채권-국공채</v>
          </cell>
          <cell r="J398">
            <v>1</v>
          </cell>
          <cell r="K398">
            <v>0</v>
          </cell>
          <cell r="L398">
            <v>21869107</v>
          </cell>
          <cell r="M398">
            <v>1000</v>
          </cell>
        </row>
        <row r="399">
          <cell r="A399" t="str">
            <v>A363570</v>
          </cell>
          <cell r="B399" t="str">
            <v>396</v>
          </cell>
          <cell r="C399" t="str">
            <v>363570</v>
          </cell>
          <cell r="D399" t="str">
            <v>KODEX 장기종합채권(AA-이상)액티브</v>
          </cell>
          <cell r="E399">
            <v>86155.93</v>
          </cell>
          <cell r="F399">
            <v>86050</v>
          </cell>
          <cell r="G399" t="str">
            <v>360 ( 0.42%)</v>
          </cell>
          <cell r="H399">
            <v>54</v>
          </cell>
          <cell r="I399" t="str">
            <v>채권-혼합</v>
          </cell>
          <cell r="J399">
            <v>39</v>
          </cell>
          <cell r="K399">
            <v>0</v>
          </cell>
          <cell r="L399">
            <v>-18921571</v>
          </cell>
          <cell r="M399">
            <v>1000</v>
          </cell>
        </row>
        <row r="400">
          <cell r="A400" t="str">
            <v>A363580</v>
          </cell>
          <cell r="B400" t="str">
            <v>397</v>
          </cell>
          <cell r="C400" t="str">
            <v>363580</v>
          </cell>
          <cell r="D400" t="str">
            <v>KODEX 200IT TR</v>
          </cell>
          <cell r="E400">
            <v>55910</v>
          </cell>
          <cell r="F400">
            <v>55890</v>
          </cell>
          <cell r="G400" t="str">
            <v>2,645 ( 4.97%)</v>
          </cell>
          <cell r="H400">
            <v>173325</v>
          </cell>
          <cell r="I400" t="str">
            <v>주식-업종섹터</v>
          </cell>
          <cell r="J400">
            <v>16</v>
          </cell>
          <cell r="K400">
            <v>16342</v>
          </cell>
          <cell r="L400">
            <v>4764550</v>
          </cell>
          <cell r="M400">
            <v>100000</v>
          </cell>
        </row>
        <row r="401">
          <cell r="A401" t="str">
            <v>A364690</v>
          </cell>
          <cell r="B401" t="str">
            <v>398</v>
          </cell>
          <cell r="C401" t="str">
            <v>364690</v>
          </cell>
          <cell r="D401" t="str">
            <v>KODEX 혁신기술테마액티브</v>
          </cell>
          <cell r="E401">
            <v>38831.18</v>
          </cell>
          <cell r="F401">
            <v>38775</v>
          </cell>
          <cell r="G401" t="str">
            <v>1,745 ( 4.71%)</v>
          </cell>
          <cell r="H401">
            <v>2633</v>
          </cell>
          <cell r="I401" t="str">
            <v>주식-시장대표</v>
          </cell>
          <cell r="J401">
            <v>187</v>
          </cell>
          <cell r="K401">
            <v>22187</v>
          </cell>
          <cell r="L401">
            <v>43620317</v>
          </cell>
          <cell r="M401">
            <v>100000</v>
          </cell>
        </row>
        <row r="402">
          <cell r="A402" t="str">
            <v>A364960</v>
          </cell>
          <cell r="B402" t="str">
            <v>399</v>
          </cell>
          <cell r="C402" t="str">
            <v>364960</v>
          </cell>
          <cell r="D402" t="str">
            <v>TIGER BBIG</v>
          </cell>
          <cell r="E402">
            <v>5929.82</v>
          </cell>
          <cell r="F402">
            <v>5915</v>
          </cell>
          <cell r="G402" t="str">
            <v>95 ( 1.63%)</v>
          </cell>
          <cell r="H402">
            <v>26675</v>
          </cell>
          <cell r="I402" t="str">
            <v>주식-업종섹터</v>
          </cell>
          <cell r="J402">
            <v>12</v>
          </cell>
          <cell r="K402">
            <v>2417</v>
          </cell>
          <cell r="L402">
            <v>89643</v>
          </cell>
          <cell r="M402">
            <v>50000</v>
          </cell>
        </row>
        <row r="403">
          <cell r="A403" t="str">
            <v>A364970</v>
          </cell>
          <cell r="B403" t="str">
            <v>400</v>
          </cell>
          <cell r="C403" t="str">
            <v>364970</v>
          </cell>
          <cell r="D403" t="str">
            <v>TIGER 바이오TOP10</v>
          </cell>
          <cell r="E403">
            <v>6311.69</v>
          </cell>
          <cell r="F403">
            <v>6295</v>
          </cell>
          <cell r="G403" t="str">
            <v>80 ( 1.29%)</v>
          </cell>
          <cell r="H403">
            <v>556330</v>
          </cell>
          <cell r="I403" t="str">
            <v>주식-업종섹터</v>
          </cell>
          <cell r="J403">
            <v>10</v>
          </cell>
          <cell r="K403">
            <v>1737</v>
          </cell>
          <cell r="L403">
            <v>686515</v>
          </cell>
          <cell r="M403">
            <v>50000</v>
          </cell>
        </row>
        <row r="404">
          <cell r="A404" t="str">
            <v>A364980</v>
          </cell>
          <cell r="B404" t="str">
            <v>401</v>
          </cell>
          <cell r="C404" t="str">
            <v>364980</v>
          </cell>
          <cell r="D404" t="str">
            <v>TIGER 2차전지TOP10</v>
          </cell>
          <cell r="E404">
            <v>8772.0400000000009</v>
          </cell>
          <cell r="F404">
            <v>8780</v>
          </cell>
          <cell r="G404" t="str">
            <v>105 ( 1.21%)</v>
          </cell>
          <cell r="H404">
            <v>1062767</v>
          </cell>
          <cell r="I404" t="str">
            <v>주식-업종섹터</v>
          </cell>
          <cell r="J404">
            <v>10</v>
          </cell>
          <cell r="K404">
            <v>1790</v>
          </cell>
          <cell r="L404">
            <v>-500646</v>
          </cell>
          <cell r="M404">
            <v>50000</v>
          </cell>
        </row>
        <row r="405">
          <cell r="A405" t="str">
            <v>A364990</v>
          </cell>
          <cell r="B405" t="str">
            <v>402</v>
          </cell>
          <cell r="C405" t="str">
            <v>364990</v>
          </cell>
          <cell r="D405" t="str">
            <v>TIGER 게임TOP10</v>
          </cell>
          <cell r="E405">
            <v>4607.01</v>
          </cell>
          <cell r="F405">
            <v>4595</v>
          </cell>
          <cell r="G405" t="str">
            <v>65 ( 1.43%)</v>
          </cell>
          <cell r="H405">
            <v>73844</v>
          </cell>
          <cell r="I405" t="str">
            <v>주식-업종섹터</v>
          </cell>
          <cell r="J405">
            <v>10</v>
          </cell>
          <cell r="K405">
            <v>3948</v>
          </cell>
          <cell r="L405">
            <v>487992</v>
          </cell>
          <cell r="M405">
            <v>50000</v>
          </cell>
        </row>
        <row r="406">
          <cell r="A406" t="str">
            <v>A365000</v>
          </cell>
          <cell r="B406" t="str">
            <v>403</v>
          </cell>
          <cell r="C406" t="str">
            <v>365000</v>
          </cell>
          <cell r="D406" t="str">
            <v>TIGER 인터넷TOP10</v>
          </cell>
          <cell r="E406">
            <v>3476.2</v>
          </cell>
          <cell r="F406">
            <v>3475</v>
          </cell>
          <cell r="G406" t="str">
            <v>60 ( 1.76%)</v>
          </cell>
          <cell r="H406">
            <v>121098</v>
          </cell>
          <cell r="I406" t="str">
            <v>주식-업종섹터</v>
          </cell>
          <cell r="J406">
            <v>10</v>
          </cell>
          <cell r="K406">
            <v>4249</v>
          </cell>
          <cell r="L406">
            <v>923306</v>
          </cell>
          <cell r="M406">
            <v>50000</v>
          </cell>
        </row>
        <row r="407">
          <cell r="A407" t="str">
            <v>A365040</v>
          </cell>
          <cell r="B407" t="str">
            <v>404</v>
          </cell>
          <cell r="C407" t="str">
            <v>365040</v>
          </cell>
          <cell r="D407" t="str">
            <v>TIGER AI코리아그로스액티브</v>
          </cell>
          <cell r="E407">
            <v>35597.9</v>
          </cell>
          <cell r="F407">
            <v>35605</v>
          </cell>
          <cell r="G407" t="str">
            <v>1,405 ( 4.11%)</v>
          </cell>
          <cell r="H407">
            <v>7473</v>
          </cell>
          <cell r="I407" t="str">
            <v>주식-시장대표</v>
          </cell>
          <cell r="J407">
            <v>182</v>
          </cell>
          <cell r="K407">
            <v>29222</v>
          </cell>
          <cell r="L407">
            <v>-11850830</v>
          </cell>
          <cell r="M407">
            <v>100000</v>
          </cell>
        </row>
        <row r="408">
          <cell r="A408" t="str">
            <v>A365780</v>
          </cell>
          <cell r="B408" t="str">
            <v>405</v>
          </cell>
          <cell r="C408" t="str">
            <v>365780</v>
          </cell>
          <cell r="D408" t="str">
            <v>ACE 국고채10년</v>
          </cell>
          <cell r="E408">
            <v>81993.63</v>
          </cell>
          <cell r="F408">
            <v>82000</v>
          </cell>
          <cell r="G408" t="str">
            <v>45 ( 0.05%)</v>
          </cell>
          <cell r="H408">
            <v>5072</v>
          </cell>
          <cell r="I408" t="str">
            <v>채권-국공채</v>
          </cell>
          <cell r="J408">
            <v>3</v>
          </cell>
          <cell r="K408">
            <v>0</v>
          </cell>
          <cell r="L408">
            <v>2931795</v>
          </cell>
          <cell r="M408">
            <v>1000</v>
          </cell>
        </row>
        <row r="409">
          <cell r="A409" t="str">
            <v>A367740</v>
          </cell>
          <cell r="B409" t="str">
            <v>406</v>
          </cell>
          <cell r="C409" t="str">
            <v>367740</v>
          </cell>
          <cell r="D409" t="str">
            <v>HANARO Fn5G산업</v>
          </cell>
          <cell r="E409">
            <v>40186.44</v>
          </cell>
          <cell r="F409">
            <v>40125</v>
          </cell>
          <cell r="G409" t="str">
            <v>770 ( 1.96%)</v>
          </cell>
          <cell r="H409">
            <v>1517</v>
          </cell>
          <cell r="I409" t="str">
            <v>주식-업종섹터</v>
          </cell>
          <cell r="J409">
            <v>30</v>
          </cell>
          <cell r="K409">
            <v>30885</v>
          </cell>
          <cell r="L409">
            <v>10087333</v>
          </cell>
          <cell r="M409">
            <v>50000</v>
          </cell>
        </row>
        <row r="410">
          <cell r="A410" t="str">
            <v>A367760</v>
          </cell>
          <cell r="B410" t="str">
            <v>407</v>
          </cell>
          <cell r="C410" t="str">
            <v>367760</v>
          </cell>
          <cell r="D410" t="str">
            <v>RISE 네트워크인프라</v>
          </cell>
          <cell r="E410">
            <v>57601.96</v>
          </cell>
          <cell r="F410">
            <v>57555</v>
          </cell>
          <cell r="G410" t="str">
            <v>2,350 ( 4.26%)</v>
          </cell>
          <cell r="H410">
            <v>257353</v>
          </cell>
          <cell r="I410" t="str">
            <v>주식-업종섹터</v>
          </cell>
          <cell r="J410">
            <v>23</v>
          </cell>
          <cell r="K410">
            <v>26107</v>
          </cell>
          <cell r="L410">
            <v>4449600</v>
          </cell>
          <cell r="M410">
            <v>50000</v>
          </cell>
        </row>
        <row r="411">
          <cell r="A411" t="str">
            <v>A367770</v>
          </cell>
          <cell r="B411" t="str">
            <v>408</v>
          </cell>
          <cell r="C411" t="str">
            <v>367770</v>
          </cell>
          <cell r="D411" t="str">
            <v>RISE 수소경제테마</v>
          </cell>
          <cell r="E411">
            <v>20688.59</v>
          </cell>
          <cell r="F411">
            <v>20635</v>
          </cell>
          <cell r="G411" t="str">
            <v>340 ( 1.68%)</v>
          </cell>
          <cell r="H411">
            <v>100337</v>
          </cell>
          <cell r="I411" t="str">
            <v>주식-업종섹터</v>
          </cell>
          <cell r="J411">
            <v>32</v>
          </cell>
          <cell r="K411">
            <v>9984</v>
          </cell>
          <cell r="L411">
            <v>7438008</v>
          </cell>
          <cell r="M411">
            <v>50000</v>
          </cell>
        </row>
        <row r="412">
          <cell r="A412" t="str">
            <v>A368190</v>
          </cell>
          <cell r="B412" t="str">
            <v>409</v>
          </cell>
          <cell r="C412" t="str">
            <v>368190</v>
          </cell>
          <cell r="D412" t="str">
            <v>HANARO Fn K-뉴딜디지털플러스</v>
          </cell>
          <cell r="E412">
            <v>7098.15</v>
          </cell>
          <cell r="F412">
            <v>6910</v>
          </cell>
          <cell r="G412" t="str">
            <v>75 ( 1.07%)</v>
          </cell>
          <cell r="H412">
            <v>983</v>
          </cell>
          <cell r="I412" t="str">
            <v>주식-업종섹터</v>
          </cell>
          <cell r="J412">
            <v>20</v>
          </cell>
          <cell r="K412">
            <v>2537</v>
          </cell>
          <cell r="L412">
            <v>1882771</v>
          </cell>
          <cell r="M412">
            <v>50000</v>
          </cell>
        </row>
        <row r="413">
          <cell r="A413" t="str">
            <v>A368680</v>
          </cell>
          <cell r="B413" t="str">
            <v>410</v>
          </cell>
          <cell r="C413" t="str">
            <v>368680</v>
          </cell>
          <cell r="D413" t="str">
            <v>KODEX K-뉴딜디지털플러스</v>
          </cell>
          <cell r="E413">
            <v>7155.37</v>
          </cell>
          <cell r="F413">
            <v>7115</v>
          </cell>
          <cell r="G413" t="str">
            <v>120 ( 1.72%)</v>
          </cell>
          <cell r="H413">
            <v>229</v>
          </cell>
          <cell r="I413" t="str">
            <v>주식-업종섹터</v>
          </cell>
          <cell r="J413">
            <v>20</v>
          </cell>
          <cell r="K413">
            <v>5141</v>
          </cell>
          <cell r="L413">
            <v>26363</v>
          </cell>
          <cell r="M413">
            <v>100000</v>
          </cell>
        </row>
        <row r="414">
          <cell r="A414" t="str">
            <v>A373490</v>
          </cell>
          <cell r="B414" t="str">
            <v>411</v>
          </cell>
          <cell r="C414" t="str">
            <v>373490</v>
          </cell>
          <cell r="D414" t="str">
            <v>KODEX 코리아혁신성장액티브</v>
          </cell>
          <cell r="E414">
            <v>24070.35</v>
          </cell>
          <cell r="F414">
            <v>24065</v>
          </cell>
          <cell r="G414" t="str">
            <v>910 ( 3.93%)</v>
          </cell>
          <cell r="H414">
            <v>558</v>
          </cell>
          <cell r="I414" t="str">
            <v>주식-전략</v>
          </cell>
          <cell r="J414">
            <v>51</v>
          </cell>
          <cell r="K414">
            <v>19489</v>
          </cell>
          <cell r="L414">
            <v>24330187</v>
          </cell>
          <cell r="M414">
            <v>50000</v>
          </cell>
        </row>
        <row r="415">
          <cell r="A415" t="str">
            <v>A375760</v>
          </cell>
          <cell r="B415" t="str">
            <v>412</v>
          </cell>
          <cell r="C415" t="str">
            <v>375760</v>
          </cell>
          <cell r="D415" t="str">
            <v>HANARO 탄소효율그린뉴딜</v>
          </cell>
          <cell r="E415">
            <v>24103.06</v>
          </cell>
          <cell r="F415">
            <v>24140</v>
          </cell>
          <cell r="G415" t="str">
            <v>1,165 ( 5.07%)</v>
          </cell>
          <cell r="H415">
            <v>263</v>
          </cell>
          <cell r="I415" t="str">
            <v>주식-전략</v>
          </cell>
          <cell r="J415">
            <v>330</v>
          </cell>
          <cell r="K415">
            <v>17571</v>
          </cell>
          <cell r="L415">
            <v>19378766</v>
          </cell>
          <cell r="M415">
            <v>100000</v>
          </cell>
        </row>
        <row r="416">
          <cell r="A416" t="str">
            <v>A375770</v>
          </cell>
          <cell r="B416" t="str">
            <v>413</v>
          </cell>
          <cell r="C416" t="str">
            <v>375770</v>
          </cell>
          <cell r="D416" t="str">
            <v>KODEX 탄소효율그린뉴딜</v>
          </cell>
          <cell r="E416">
            <v>24413.13</v>
          </cell>
          <cell r="F416">
            <v>24460</v>
          </cell>
          <cell r="G416" t="str">
            <v>1,055 ( 4.51%)</v>
          </cell>
          <cell r="H416">
            <v>814</v>
          </cell>
          <cell r="I416" t="str">
            <v>주식-전략</v>
          </cell>
          <cell r="J416">
            <v>514</v>
          </cell>
          <cell r="K416">
            <v>21425</v>
          </cell>
          <cell r="L416">
            <v>1801529</v>
          </cell>
          <cell r="M416">
            <v>100000</v>
          </cell>
        </row>
        <row r="417">
          <cell r="A417" t="str">
            <v>A376410</v>
          </cell>
          <cell r="B417" t="str">
            <v>414</v>
          </cell>
          <cell r="C417" t="str">
            <v>376410</v>
          </cell>
          <cell r="D417" t="str">
            <v>TIGER 탄소효율그린뉴딜</v>
          </cell>
          <cell r="E417">
            <v>24156.95</v>
          </cell>
          <cell r="F417">
            <v>24145</v>
          </cell>
          <cell r="G417" t="str">
            <v>1,005 ( 4.34%)</v>
          </cell>
          <cell r="H417">
            <v>1500</v>
          </cell>
          <cell r="I417" t="str">
            <v>주식-전략</v>
          </cell>
          <cell r="J417">
            <v>633</v>
          </cell>
          <cell r="K417">
            <v>22631</v>
          </cell>
          <cell r="L417">
            <v>10168806</v>
          </cell>
          <cell r="M417">
            <v>100000</v>
          </cell>
        </row>
        <row r="418">
          <cell r="A418" t="str">
            <v>A377990</v>
          </cell>
          <cell r="B418" t="str">
            <v>415</v>
          </cell>
          <cell r="C418" t="str">
            <v>377990</v>
          </cell>
          <cell r="D418" t="str">
            <v>TIGER Fn신재생에너지</v>
          </cell>
          <cell r="E418">
            <v>21851.5</v>
          </cell>
          <cell r="F418">
            <v>21810</v>
          </cell>
          <cell r="G418" t="str">
            <v>350 ( 1.63%)</v>
          </cell>
          <cell r="H418">
            <v>95986</v>
          </cell>
          <cell r="I418" t="str">
            <v>주식-업종섹터</v>
          </cell>
          <cell r="J418">
            <v>21</v>
          </cell>
          <cell r="K418">
            <v>19091</v>
          </cell>
          <cell r="L418">
            <v>7229535</v>
          </cell>
          <cell r="M418">
            <v>50000</v>
          </cell>
        </row>
        <row r="419">
          <cell r="A419" t="str">
            <v>A380340</v>
          </cell>
          <cell r="B419" t="str">
            <v>416</v>
          </cell>
          <cell r="C419" t="str">
            <v>380340</v>
          </cell>
          <cell r="D419" t="str">
            <v>ACE 코리아AI테크핵심산업</v>
          </cell>
          <cell r="E419">
            <v>26417.14</v>
          </cell>
          <cell r="F419">
            <v>26335</v>
          </cell>
          <cell r="G419" t="str">
            <v>1,015 ( 4.01%)</v>
          </cell>
          <cell r="H419">
            <v>74164</v>
          </cell>
          <cell r="I419" t="str">
            <v>주식-업종섹터</v>
          </cell>
          <cell r="J419">
            <v>15</v>
          </cell>
          <cell r="K419">
            <v>16330</v>
          </cell>
          <cell r="L419">
            <v>19684728</v>
          </cell>
          <cell r="M419">
            <v>100000</v>
          </cell>
        </row>
        <row r="420">
          <cell r="A420" t="str">
            <v>A381560</v>
          </cell>
          <cell r="B420" t="str">
            <v>417</v>
          </cell>
          <cell r="C420" t="str">
            <v>381560</v>
          </cell>
          <cell r="D420" t="str">
            <v>HANARO Fn전기&amp;수소차</v>
          </cell>
          <cell r="E420">
            <v>16668.88</v>
          </cell>
          <cell r="F420">
            <v>16650</v>
          </cell>
          <cell r="G420" t="str">
            <v>225 ( 1.37%)</v>
          </cell>
          <cell r="H420">
            <v>12022</v>
          </cell>
          <cell r="I420" t="str">
            <v>주식-업종섹터</v>
          </cell>
          <cell r="J420">
            <v>30</v>
          </cell>
          <cell r="K420">
            <v>5351</v>
          </cell>
          <cell r="L420">
            <v>3972540</v>
          </cell>
          <cell r="M420">
            <v>50000</v>
          </cell>
        </row>
        <row r="421">
          <cell r="A421" t="str">
            <v>A381570</v>
          </cell>
          <cell r="B421" t="str">
            <v>418</v>
          </cell>
          <cell r="C421" t="str">
            <v>381570</v>
          </cell>
          <cell r="D421" t="str">
            <v>HANARO Fn친환경에너지</v>
          </cell>
          <cell r="E421">
            <v>8969.56</v>
          </cell>
          <cell r="F421">
            <v>8960</v>
          </cell>
          <cell r="G421" t="str">
            <v>20 ( 0.22%)</v>
          </cell>
          <cell r="H421">
            <v>2259</v>
          </cell>
          <cell r="I421" t="str">
            <v>주식-업종섹터</v>
          </cell>
          <cell r="J421">
            <v>20</v>
          </cell>
          <cell r="K421">
            <v>7389</v>
          </cell>
          <cell r="L421">
            <v>3732740</v>
          </cell>
          <cell r="M421">
            <v>50000</v>
          </cell>
        </row>
        <row r="422">
          <cell r="A422" t="str">
            <v>A385510</v>
          </cell>
          <cell r="B422" t="str">
            <v>419</v>
          </cell>
          <cell r="C422" t="str">
            <v>385510</v>
          </cell>
          <cell r="D422" t="str">
            <v>KODEX 신재생에너지액티브</v>
          </cell>
          <cell r="E422">
            <v>33486.86</v>
          </cell>
          <cell r="F422">
            <v>33550</v>
          </cell>
          <cell r="G422" t="str">
            <v>715 ( 2.18%)</v>
          </cell>
          <cell r="H422">
            <v>51016</v>
          </cell>
          <cell r="I422" t="str">
            <v>주식-전략</v>
          </cell>
          <cell r="J422">
            <v>79</v>
          </cell>
          <cell r="K422">
            <v>47438</v>
          </cell>
          <cell r="L422">
            <v>19185976</v>
          </cell>
          <cell r="M422">
            <v>50000</v>
          </cell>
        </row>
        <row r="423">
          <cell r="A423" t="str">
            <v>A385520</v>
          </cell>
          <cell r="B423" t="str">
            <v>420</v>
          </cell>
          <cell r="C423" t="str">
            <v>385520</v>
          </cell>
          <cell r="D423" t="str">
            <v>KODEX 자율주행액티브</v>
          </cell>
          <cell r="E423">
            <v>15320.85</v>
          </cell>
          <cell r="F423">
            <v>15290</v>
          </cell>
          <cell r="G423" t="str">
            <v>305 ( 2.04%)</v>
          </cell>
          <cell r="H423">
            <v>4389</v>
          </cell>
          <cell r="I423" t="str">
            <v>주식-전략</v>
          </cell>
          <cell r="J423">
            <v>41</v>
          </cell>
          <cell r="K423">
            <v>9852</v>
          </cell>
          <cell r="L423">
            <v>49852931</v>
          </cell>
          <cell r="M423">
            <v>50000</v>
          </cell>
        </row>
        <row r="424">
          <cell r="A424" t="str">
            <v>A385540</v>
          </cell>
          <cell r="B424" t="str">
            <v>421</v>
          </cell>
          <cell r="C424" t="str">
            <v>385540</v>
          </cell>
          <cell r="D424" t="str">
            <v>RISE 종합채권(A-이상)액티브</v>
          </cell>
          <cell r="E424">
            <v>102482.79</v>
          </cell>
          <cell r="F424">
            <v>102435</v>
          </cell>
          <cell r="G424" t="str">
            <v>110 ( 0.11%)</v>
          </cell>
          <cell r="H424">
            <v>888</v>
          </cell>
          <cell r="I424" t="str">
            <v>채권-혼합</v>
          </cell>
          <cell r="J424">
            <v>296</v>
          </cell>
          <cell r="K424">
            <v>0</v>
          </cell>
          <cell r="L424">
            <v>-19761000</v>
          </cell>
          <cell r="M424">
            <v>1000</v>
          </cell>
        </row>
        <row r="425">
          <cell r="A425" t="str">
            <v>A385550</v>
          </cell>
          <cell r="B425" t="str">
            <v>422</v>
          </cell>
          <cell r="C425" t="str">
            <v>385550</v>
          </cell>
          <cell r="D425" t="str">
            <v>RISE 단기채권알파액티브</v>
          </cell>
          <cell r="E425">
            <v>113649.72</v>
          </cell>
          <cell r="F425">
            <v>113650</v>
          </cell>
          <cell r="G425" t="str">
            <v>25 ( 0.02%)</v>
          </cell>
          <cell r="H425">
            <v>926</v>
          </cell>
          <cell r="I425" t="str">
            <v>채권-혼합</v>
          </cell>
          <cell r="J425">
            <v>47</v>
          </cell>
          <cell r="K425">
            <v>0</v>
          </cell>
          <cell r="L425">
            <v>-17750554</v>
          </cell>
          <cell r="M425">
            <v>1000</v>
          </cell>
        </row>
        <row r="426">
          <cell r="A426" t="str">
            <v>A385560</v>
          </cell>
          <cell r="B426" t="str">
            <v>423</v>
          </cell>
          <cell r="C426" t="str">
            <v>385560</v>
          </cell>
          <cell r="D426" t="str">
            <v>RISE KIS국고채30년Enhanced</v>
          </cell>
          <cell r="E426">
            <v>51859.85</v>
          </cell>
          <cell r="F426">
            <v>51830</v>
          </cell>
          <cell r="G426" t="str">
            <v>330 ( 0.63%)</v>
          </cell>
          <cell r="H426">
            <v>25258</v>
          </cell>
          <cell r="I426" t="str">
            <v>채권-국공채</v>
          </cell>
          <cell r="J426">
            <v>4</v>
          </cell>
          <cell r="K426">
            <v>0</v>
          </cell>
          <cell r="L426">
            <v>-16385581</v>
          </cell>
          <cell r="M426">
            <v>1000</v>
          </cell>
        </row>
        <row r="427">
          <cell r="A427" t="str">
            <v>A385590</v>
          </cell>
          <cell r="B427" t="str">
            <v>424</v>
          </cell>
          <cell r="C427" t="str">
            <v>385590</v>
          </cell>
          <cell r="D427" t="str">
            <v>ACE ESG액티브</v>
          </cell>
          <cell r="E427">
            <v>23506.18</v>
          </cell>
          <cell r="F427">
            <v>23495</v>
          </cell>
          <cell r="G427" t="str">
            <v>1,105 ( 4.94%)</v>
          </cell>
          <cell r="H427">
            <v>194</v>
          </cell>
          <cell r="I427" t="str">
            <v>주식-전략</v>
          </cell>
          <cell r="J427">
            <v>25</v>
          </cell>
          <cell r="K427">
            <v>8723</v>
          </cell>
          <cell r="L427">
            <v>70057936</v>
          </cell>
          <cell r="M427">
            <v>100000</v>
          </cell>
        </row>
        <row r="428">
          <cell r="A428" t="str">
            <v>A385600</v>
          </cell>
          <cell r="B428" t="str">
            <v>425</v>
          </cell>
          <cell r="C428" t="str">
            <v>385600</v>
          </cell>
          <cell r="D428" t="str">
            <v>ACE 2차전지&amp;친환경차액티브</v>
          </cell>
          <cell r="E428">
            <v>11087.75</v>
          </cell>
          <cell r="F428">
            <v>11080</v>
          </cell>
          <cell r="G428" t="str">
            <v>105 ( 0.96%)</v>
          </cell>
          <cell r="H428">
            <v>9811</v>
          </cell>
          <cell r="I428" t="str">
            <v>주식-전략</v>
          </cell>
          <cell r="J428">
            <v>50</v>
          </cell>
          <cell r="K428">
            <v>10839</v>
          </cell>
          <cell r="L428">
            <v>14572881</v>
          </cell>
          <cell r="M428">
            <v>100000</v>
          </cell>
        </row>
        <row r="429">
          <cell r="A429" t="str">
            <v>A385710</v>
          </cell>
          <cell r="B429" t="str">
            <v>426</v>
          </cell>
          <cell r="C429" t="str">
            <v>385710</v>
          </cell>
          <cell r="D429" t="str">
            <v>TIME K이노베이션액티브</v>
          </cell>
          <cell r="E429">
            <v>10345.49</v>
          </cell>
          <cell r="F429">
            <v>10320</v>
          </cell>
          <cell r="G429" t="str">
            <v>215 ( 2.13%)</v>
          </cell>
          <cell r="H429">
            <v>658</v>
          </cell>
          <cell r="I429" t="str">
            <v>주식-업종섹터</v>
          </cell>
          <cell r="J429">
            <v>28</v>
          </cell>
          <cell r="K429">
            <v>6013</v>
          </cell>
          <cell r="L429">
            <v>16593268</v>
          </cell>
          <cell r="M429">
            <v>100000</v>
          </cell>
        </row>
        <row r="430">
          <cell r="A430" t="str">
            <v>A385720</v>
          </cell>
          <cell r="B430" t="str">
            <v>427</v>
          </cell>
          <cell r="C430" t="str">
            <v>385720</v>
          </cell>
          <cell r="D430" t="str">
            <v>TIME 코스피액티브</v>
          </cell>
          <cell r="E430">
            <v>25722.03</v>
          </cell>
          <cell r="F430">
            <v>25700</v>
          </cell>
          <cell r="G430" t="str">
            <v>1,085 ( 4.41%)</v>
          </cell>
          <cell r="H430">
            <v>214965</v>
          </cell>
          <cell r="I430" t="str">
            <v>주식-시장대표</v>
          </cell>
          <cell r="J430">
            <v>33</v>
          </cell>
          <cell r="K430">
            <v>8202</v>
          </cell>
          <cell r="L430">
            <v>15223243</v>
          </cell>
          <cell r="M430">
            <v>100000</v>
          </cell>
        </row>
        <row r="431">
          <cell r="A431" t="str">
            <v>A387280</v>
          </cell>
          <cell r="B431" t="str">
            <v>428</v>
          </cell>
          <cell r="C431" t="str">
            <v>387280</v>
          </cell>
          <cell r="D431" t="str">
            <v>TIGER 퓨처모빌리티액티브</v>
          </cell>
          <cell r="E431">
            <v>10577.61</v>
          </cell>
          <cell r="F431">
            <v>10560</v>
          </cell>
          <cell r="G431" t="str">
            <v>280 ( 2.72%)</v>
          </cell>
          <cell r="H431">
            <v>1162</v>
          </cell>
          <cell r="I431" t="str">
            <v>주식-업종섹터</v>
          </cell>
          <cell r="J431">
            <v>43</v>
          </cell>
          <cell r="K431">
            <v>818</v>
          </cell>
          <cell r="L431">
            <v>492336</v>
          </cell>
          <cell r="M431">
            <v>10000</v>
          </cell>
        </row>
        <row r="432">
          <cell r="A432" t="str">
            <v>A388280</v>
          </cell>
          <cell r="B432" t="str">
            <v>429</v>
          </cell>
          <cell r="C432" t="str">
            <v>388280</v>
          </cell>
          <cell r="D432" t="str">
            <v>RISE K엔터&amp;여행레저</v>
          </cell>
          <cell r="E432">
            <v>7548.91</v>
          </cell>
          <cell r="F432">
            <v>7540</v>
          </cell>
          <cell r="G432" t="str">
            <v>65 ( 0.87%)</v>
          </cell>
          <cell r="H432">
            <v>1403</v>
          </cell>
          <cell r="I432" t="str">
            <v>주식-업종섹터</v>
          </cell>
          <cell r="J432">
            <v>25</v>
          </cell>
          <cell r="K432">
            <v>4502</v>
          </cell>
          <cell r="L432">
            <v>1079851</v>
          </cell>
          <cell r="M432">
            <v>20000</v>
          </cell>
        </row>
        <row r="433">
          <cell r="A433" t="str">
            <v>A388420</v>
          </cell>
          <cell r="B433" t="str">
            <v>430</v>
          </cell>
          <cell r="C433" t="str">
            <v>388420</v>
          </cell>
          <cell r="D433" t="str">
            <v>RISE 비메모리반도체액티브</v>
          </cell>
          <cell r="E433">
            <v>28664.99</v>
          </cell>
          <cell r="F433">
            <v>28690</v>
          </cell>
          <cell r="G433" t="str">
            <v>1,070 ( 3.87%)</v>
          </cell>
          <cell r="H433">
            <v>417088</v>
          </cell>
          <cell r="I433" t="str">
            <v>주식-업종섹터</v>
          </cell>
          <cell r="J433">
            <v>16</v>
          </cell>
          <cell r="K433">
            <v>4875</v>
          </cell>
          <cell r="L433">
            <v>-6663084</v>
          </cell>
          <cell r="M433">
            <v>20000</v>
          </cell>
        </row>
        <row r="434">
          <cell r="A434" t="str">
            <v>A391670</v>
          </cell>
          <cell r="B434" t="str">
            <v>431</v>
          </cell>
          <cell r="C434" t="str">
            <v>391670</v>
          </cell>
          <cell r="D434" t="str">
            <v>HK 베스트일레븐액티브</v>
          </cell>
          <cell r="E434">
            <v>28280.9</v>
          </cell>
          <cell r="F434">
            <v>28195</v>
          </cell>
          <cell r="G434" t="str">
            <v>1,055 ( 3.89%)</v>
          </cell>
          <cell r="H434">
            <v>654</v>
          </cell>
          <cell r="I434" t="str">
            <v>주식-시장대표</v>
          </cell>
          <cell r="J434">
            <v>11</v>
          </cell>
          <cell r="K434">
            <v>7974</v>
          </cell>
          <cell r="L434">
            <v>69262971</v>
          </cell>
          <cell r="M434">
            <v>50000</v>
          </cell>
        </row>
        <row r="435">
          <cell r="A435" t="str">
            <v>A395150</v>
          </cell>
          <cell r="B435" t="str">
            <v>432</v>
          </cell>
          <cell r="C435" t="str">
            <v>395150</v>
          </cell>
          <cell r="D435" t="str">
            <v>KODEX 웹툰&amp;드라마</v>
          </cell>
          <cell r="E435">
            <v>1747.58</v>
          </cell>
          <cell r="F435">
            <v>1743</v>
          </cell>
          <cell r="G435" t="str">
            <v>24 ( 1.40%)</v>
          </cell>
          <cell r="H435">
            <v>32433</v>
          </cell>
          <cell r="I435" t="str">
            <v>주식-업종섹터</v>
          </cell>
          <cell r="J435">
            <v>16</v>
          </cell>
          <cell r="K435">
            <v>18499</v>
          </cell>
          <cell r="L435">
            <v>623035</v>
          </cell>
          <cell r="M435">
            <v>100000</v>
          </cell>
        </row>
        <row r="436">
          <cell r="A436" t="str">
            <v>A395160</v>
          </cell>
          <cell r="B436" t="str">
            <v>433</v>
          </cell>
          <cell r="C436" t="str">
            <v>395160</v>
          </cell>
          <cell r="D436" t="str">
            <v>KODEX AI반도체TOP2플러스</v>
          </cell>
          <cell r="E436">
            <v>41383.379999999997</v>
          </cell>
          <cell r="F436">
            <v>41325</v>
          </cell>
          <cell r="G436" t="str">
            <v>1,975 ( 5.02%)</v>
          </cell>
          <cell r="H436">
            <v>5299038</v>
          </cell>
          <cell r="I436" t="str">
            <v>주식-업종섹터</v>
          </cell>
          <cell r="J436">
            <v>15</v>
          </cell>
          <cell r="K436">
            <v>9523</v>
          </cell>
          <cell r="L436">
            <v>16173869</v>
          </cell>
          <cell r="M436">
            <v>100000</v>
          </cell>
        </row>
        <row r="437">
          <cell r="A437" t="str">
            <v>A395170</v>
          </cell>
          <cell r="B437" t="str">
            <v>434</v>
          </cell>
          <cell r="C437" t="str">
            <v>395170</v>
          </cell>
          <cell r="D437" t="str">
            <v>KODEX Top10동일가중</v>
          </cell>
          <cell r="E437">
            <v>15667.59</v>
          </cell>
          <cell r="F437">
            <v>15650</v>
          </cell>
          <cell r="G437" t="str">
            <v>485 ( 3.20%)</v>
          </cell>
          <cell r="H437">
            <v>10433</v>
          </cell>
          <cell r="I437" t="str">
            <v>주식-규모</v>
          </cell>
          <cell r="J437">
            <v>10</v>
          </cell>
          <cell r="K437">
            <v>3397</v>
          </cell>
          <cell r="L437">
            <v>7084222</v>
          </cell>
          <cell r="M437">
            <v>100000</v>
          </cell>
        </row>
        <row r="438">
          <cell r="A438" t="str">
            <v>A395270</v>
          </cell>
          <cell r="B438" t="str">
            <v>435</v>
          </cell>
          <cell r="C438" t="str">
            <v>395270</v>
          </cell>
          <cell r="D438" t="str">
            <v>HANARO Fn K-반도체</v>
          </cell>
          <cell r="E438">
            <v>58498.5</v>
          </cell>
          <cell r="F438">
            <v>58405</v>
          </cell>
          <cell r="G438" t="str">
            <v>2,675 ( 4.80%)</v>
          </cell>
          <cell r="H438">
            <v>1808030</v>
          </cell>
          <cell r="I438" t="str">
            <v>주식-업종섹터</v>
          </cell>
          <cell r="J438">
            <v>20</v>
          </cell>
          <cell r="K438">
            <v>6829</v>
          </cell>
          <cell r="L438">
            <v>23593240</v>
          </cell>
          <cell r="M438">
            <v>50000</v>
          </cell>
        </row>
        <row r="439">
          <cell r="A439" t="str">
            <v>A395280</v>
          </cell>
          <cell r="B439" t="str">
            <v>436</v>
          </cell>
          <cell r="C439" t="str">
            <v>395280</v>
          </cell>
          <cell r="D439" t="str">
            <v>HANARO Fn K-게임</v>
          </cell>
          <cell r="E439">
            <v>3416.7</v>
          </cell>
          <cell r="F439">
            <v>3410</v>
          </cell>
          <cell r="G439" t="str">
            <v>75 ( 2.25%)</v>
          </cell>
          <cell r="H439">
            <v>139</v>
          </cell>
          <cell r="I439" t="str">
            <v>주식-업종섹터</v>
          </cell>
          <cell r="J439">
            <v>13</v>
          </cell>
          <cell r="K439">
            <v>3529</v>
          </cell>
          <cell r="L439">
            <v>593243</v>
          </cell>
          <cell r="M439">
            <v>50000</v>
          </cell>
        </row>
        <row r="440">
          <cell r="A440" t="str">
            <v>A395290</v>
          </cell>
          <cell r="B440" t="str">
            <v>437</v>
          </cell>
          <cell r="C440" t="str">
            <v>395290</v>
          </cell>
          <cell r="D440" t="str">
            <v>HANARO Fn K-POP&amp;미디어</v>
          </cell>
          <cell r="E440">
            <v>5049.3</v>
          </cell>
          <cell r="F440">
            <v>5050</v>
          </cell>
          <cell r="G440" t="str">
            <v>5 ( 0.10%)</v>
          </cell>
          <cell r="H440">
            <v>46614</v>
          </cell>
          <cell r="I440" t="str">
            <v>주식-업종섹터</v>
          </cell>
          <cell r="J440">
            <v>12</v>
          </cell>
          <cell r="K440">
            <v>8987</v>
          </cell>
          <cell r="L440">
            <v>1841092</v>
          </cell>
          <cell r="M440">
            <v>50000</v>
          </cell>
        </row>
        <row r="441">
          <cell r="A441" t="str">
            <v>A395750</v>
          </cell>
          <cell r="B441" t="str">
            <v>438</v>
          </cell>
          <cell r="C441" t="str">
            <v>395750</v>
          </cell>
          <cell r="D441" t="str">
            <v>PLUS ESG가치주액티브</v>
          </cell>
          <cell r="E441">
            <v>20451.97</v>
          </cell>
          <cell r="F441">
            <v>20450</v>
          </cell>
          <cell r="G441" t="str">
            <v>795 ( 4.04%)</v>
          </cell>
          <cell r="H441">
            <v>1</v>
          </cell>
          <cell r="I441" t="str">
            <v>주식-전략</v>
          </cell>
          <cell r="J441">
            <v>193</v>
          </cell>
          <cell r="K441">
            <v>7700</v>
          </cell>
          <cell r="L441">
            <v>602703</v>
          </cell>
          <cell r="M441">
            <v>50000</v>
          </cell>
        </row>
        <row r="442">
          <cell r="A442" t="str">
            <v>A395760</v>
          </cell>
          <cell r="B442" t="str">
            <v>439</v>
          </cell>
          <cell r="C442" t="str">
            <v>395760</v>
          </cell>
          <cell r="D442" t="str">
            <v>PLUS ESG성장주액티브</v>
          </cell>
          <cell r="E442">
            <v>20869.57</v>
          </cell>
          <cell r="F442">
            <v>20720</v>
          </cell>
          <cell r="G442" t="str">
            <v>690 ( 3.44%)</v>
          </cell>
          <cell r="H442">
            <v>221</v>
          </cell>
          <cell r="I442" t="str">
            <v>주식-전략</v>
          </cell>
          <cell r="J442">
            <v>163</v>
          </cell>
          <cell r="K442">
            <v>7070</v>
          </cell>
          <cell r="L442">
            <v>1755189</v>
          </cell>
          <cell r="M442">
            <v>50000</v>
          </cell>
        </row>
        <row r="443">
          <cell r="A443" t="str">
            <v>A396500</v>
          </cell>
          <cell r="B443" t="str">
            <v>440</v>
          </cell>
          <cell r="C443" t="str">
            <v>396500</v>
          </cell>
          <cell r="D443" t="str">
            <v>TIGER 반도체TOP10</v>
          </cell>
          <cell r="E443">
            <v>37227.32</v>
          </cell>
          <cell r="F443">
            <v>37205</v>
          </cell>
          <cell r="G443" t="str">
            <v>1,920 ( 5.44%)</v>
          </cell>
          <cell r="H443">
            <v>11630933</v>
          </cell>
          <cell r="I443" t="str">
            <v>주식-업종섹터</v>
          </cell>
          <cell r="J443">
            <v>10</v>
          </cell>
          <cell r="K443">
            <v>5814</v>
          </cell>
          <cell r="L443">
            <v>1215195</v>
          </cell>
          <cell r="M443">
            <v>50000</v>
          </cell>
        </row>
        <row r="444">
          <cell r="A444" t="str">
            <v>A397420</v>
          </cell>
          <cell r="B444" t="str">
            <v>441</v>
          </cell>
          <cell r="C444" t="str">
            <v>397420</v>
          </cell>
          <cell r="D444" t="str">
            <v>RISE 국채선물5년추종</v>
          </cell>
          <cell r="E444">
            <v>50317.22</v>
          </cell>
          <cell r="F444">
            <v>50315</v>
          </cell>
          <cell r="G444" t="str">
            <v>0 ( 0.00%)</v>
          </cell>
          <cell r="H444">
            <v>0</v>
          </cell>
          <cell r="I444" t="str">
            <v>채권-국공채</v>
          </cell>
          <cell r="J444">
            <v>2</v>
          </cell>
          <cell r="K444">
            <v>3</v>
          </cell>
          <cell r="L444">
            <v>301746147</v>
          </cell>
          <cell r="M444">
            <v>6000</v>
          </cell>
        </row>
        <row r="445">
          <cell r="A445" t="str">
            <v>A400970</v>
          </cell>
          <cell r="B445" t="str">
            <v>442</v>
          </cell>
          <cell r="C445" t="str">
            <v>400970</v>
          </cell>
          <cell r="D445" t="str">
            <v>TIGER Fn메타버스</v>
          </cell>
          <cell r="E445">
            <v>7492.02</v>
          </cell>
          <cell r="F445">
            <v>7500</v>
          </cell>
          <cell r="G445" t="str">
            <v>145 ( 1.97%)</v>
          </cell>
          <cell r="H445">
            <v>19401</v>
          </cell>
          <cell r="I445" t="str">
            <v>주식-업종섹터</v>
          </cell>
          <cell r="J445">
            <v>20</v>
          </cell>
          <cell r="K445">
            <v>10533</v>
          </cell>
          <cell r="L445">
            <v>1432224</v>
          </cell>
          <cell r="M445">
            <v>50000</v>
          </cell>
        </row>
        <row r="446">
          <cell r="A446" t="str">
            <v>A401170</v>
          </cell>
          <cell r="B446" t="str">
            <v>443</v>
          </cell>
          <cell r="C446" t="str">
            <v>401170</v>
          </cell>
          <cell r="D446" t="str">
            <v>RISE 메타버스</v>
          </cell>
          <cell r="E446">
            <v>11001.28</v>
          </cell>
          <cell r="F446">
            <v>10990</v>
          </cell>
          <cell r="G446" t="str">
            <v>165 ( 1.52%)</v>
          </cell>
          <cell r="H446">
            <v>5087</v>
          </cell>
          <cell r="I446" t="str">
            <v>주식-업종섹터</v>
          </cell>
          <cell r="J446">
            <v>20</v>
          </cell>
          <cell r="K446">
            <v>4556</v>
          </cell>
          <cell r="L446">
            <v>1072852</v>
          </cell>
          <cell r="M446">
            <v>20000</v>
          </cell>
        </row>
        <row r="447">
          <cell r="A447" t="str">
            <v>A401470</v>
          </cell>
          <cell r="B447" t="str">
            <v>444</v>
          </cell>
          <cell r="C447" t="str">
            <v>401470</v>
          </cell>
          <cell r="D447" t="str">
            <v>KODEX 메타버스액티브</v>
          </cell>
          <cell r="E447">
            <v>9169.7999999999993</v>
          </cell>
          <cell r="F447">
            <v>9160</v>
          </cell>
          <cell r="G447" t="str">
            <v>125 ( 1.38%)</v>
          </cell>
          <cell r="H447">
            <v>6488</v>
          </cell>
          <cell r="I447" t="str">
            <v>주식-업종섹터</v>
          </cell>
          <cell r="J447">
            <v>29</v>
          </cell>
          <cell r="K447">
            <v>14917</v>
          </cell>
          <cell r="L447">
            <v>15784318</v>
          </cell>
          <cell r="M447">
            <v>50000</v>
          </cell>
        </row>
        <row r="448">
          <cell r="A448" t="str">
            <v>A402460</v>
          </cell>
          <cell r="B448" t="str">
            <v>445</v>
          </cell>
          <cell r="C448" t="str">
            <v>402460</v>
          </cell>
          <cell r="D448" t="str">
            <v>HANARO Fn K-메타버스MZ</v>
          </cell>
          <cell r="E448">
            <v>14243.88</v>
          </cell>
          <cell r="F448">
            <v>14195</v>
          </cell>
          <cell r="G448" t="str">
            <v>185 ( 1.32%)</v>
          </cell>
          <cell r="H448">
            <v>411</v>
          </cell>
          <cell r="I448" t="str">
            <v>주식-업종섹터</v>
          </cell>
          <cell r="J448">
            <v>30</v>
          </cell>
          <cell r="K448">
            <v>14070</v>
          </cell>
          <cell r="L448">
            <v>5350542</v>
          </cell>
          <cell r="M448">
            <v>50000</v>
          </cell>
        </row>
        <row r="449">
          <cell r="A449" t="str">
            <v>A403790</v>
          </cell>
          <cell r="B449" t="str">
            <v>446</v>
          </cell>
          <cell r="C449" t="str">
            <v>403790</v>
          </cell>
          <cell r="D449" t="str">
            <v>MIDAS 코스피액티브</v>
          </cell>
          <cell r="E449">
            <v>57443.56</v>
          </cell>
          <cell r="F449">
            <v>57490</v>
          </cell>
          <cell r="G449" t="str">
            <v>2,475 ( 4.50%)</v>
          </cell>
          <cell r="H449">
            <v>3948</v>
          </cell>
          <cell r="I449" t="str">
            <v>주식-시장대표</v>
          </cell>
          <cell r="J449">
            <v>333</v>
          </cell>
          <cell r="K449">
            <v>63553</v>
          </cell>
          <cell r="L449">
            <v>65032719</v>
          </cell>
          <cell r="M449">
            <v>75000</v>
          </cell>
        </row>
        <row r="450">
          <cell r="A450" t="str">
            <v>A404120</v>
          </cell>
          <cell r="B450" t="str">
            <v>447</v>
          </cell>
          <cell r="C450" t="str">
            <v>404120</v>
          </cell>
          <cell r="D450" t="str">
            <v>TIME K신재생에너지액티브</v>
          </cell>
          <cell r="E450">
            <v>23251.64</v>
          </cell>
          <cell r="F450">
            <v>23180</v>
          </cell>
          <cell r="G450" t="str">
            <v>410 ( 1.80%)</v>
          </cell>
          <cell r="H450">
            <v>2884</v>
          </cell>
          <cell r="I450" t="str">
            <v>주식-전략</v>
          </cell>
          <cell r="J450">
            <v>24</v>
          </cell>
          <cell r="K450">
            <v>31966</v>
          </cell>
          <cell r="L450">
            <v>16869473</v>
          </cell>
          <cell r="M450">
            <v>100000</v>
          </cell>
        </row>
        <row r="451">
          <cell r="A451" t="str">
            <v>A404260</v>
          </cell>
          <cell r="B451" t="str">
            <v>448</v>
          </cell>
          <cell r="C451" t="str">
            <v>404260</v>
          </cell>
          <cell r="D451" t="str">
            <v>KODEX 기후변화솔루션</v>
          </cell>
          <cell r="E451">
            <v>22015.38</v>
          </cell>
          <cell r="F451">
            <v>22060</v>
          </cell>
          <cell r="G451" t="str">
            <v>435 ( 2.01%)</v>
          </cell>
          <cell r="H451">
            <v>391</v>
          </cell>
          <cell r="I451" t="str">
            <v>주식-전략</v>
          </cell>
          <cell r="J451">
            <v>27</v>
          </cell>
          <cell r="K451">
            <v>39324</v>
          </cell>
          <cell r="L451">
            <v>16710179</v>
          </cell>
          <cell r="M451">
            <v>100000</v>
          </cell>
        </row>
        <row r="452">
          <cell r="A452" t="str">
            <v>A404540</v>
          </cell>
          <cell r="B452" t="str">
            <v>449</v>
          </cell>
          <cell r="C452" t="str">
            <v>404540</v>
          </cell>
          <cell r="D452" t="str">
            <v>TIGER KRX기후변화솔루션</v>
          </cell>
          <cell r="E452">
            <v>22180.57</v>
          </cell>
          <cell r="F452">
            <v>22155</v>
          </cell>
          <cell r="G452" t="str">
            <v>600 ( 2.78%)</v>
          </cell>
          <cell r="H452">
            <v>6544</v>
          </cell>
          <cell r="I452" t="str">
            <v>주식-전략</v>
          </cell>
          <cell r="J452">
            <v>27</v>
          </cell>
          <cell r="K452">
            <v>19812</v>
          </cell>
          <cell r="L452">
            <v>5719717</v>
          </cell>
          <cell r="M452">
            <v>50000</v>
          </cell>
        </row>
        <row r="453">
          <cell r="A453" t="str">
            <v>A404650</v>
          </cell>
          <cell r="B453" t="str">
            <v>450</v>
          </cell>
          <cell r="C453" t="str">
            <v>404650</v>
          </cell>
          <cell r="D453" t="str">
            <v>SOL KRX기후변화솔루션</v>
          </cell>
          <cell r="E453">
            <v>22077.29</v>
          </cell>
          <cell r="F453">
            <v>22110</v>
          </cell>
          <cell r="G453" t="str">
            <v>515 ( 2.38%)</v>
          </cell>
          <cell r="H453">
            <v>36</v>
          </cell>
          <cell r="I453" t="str">
            <v>주식-전략</v>
          </cell>
          <cell r="J453">
            <v>27</v>
          </cell>
          <cell r="K453">
            <v>39420</v>
          </cell>
          <cell r="L453">
            <v>16805895</v>
          </cell>
          <cell r="M453">
            <v>100000</v>
          </cell>
        </row>
        <row r="454">
          <cell r="A454" t="str">
            <v>A407300</v>
          </cell>
          <cell r="B454" t="str">
            <v>451</v>
          </cell>
          <cell r="C454" t="str">
            <v>407300</v>
          </cell>
          <cell r="D454" t="str">
            <v>HANARO Fn골프테마</v>
          </cell>
          <cell r="E454">
            <v>10746.27</v>
          </cell>
          <cell r="F454">
            <v>10395</v>
          </cell>
          <cell r="G454" t="str">
            <v>70 ( 0.67%)</v>
          </cell>
          <cell r="H454">
            <v>2</v>
          </cell>
          <cell r="I454" t="str">
            <v>주식-업종섹터</v>
          </cell>
          <cell r="J454">
            <v>15</v>
          </cell>
          <cell r="K454">
            <v>11647</v>
          </cell>
          <cell r="L454">
            <v>1637855</v>
          </cell>
          <cell r="M454">
            <v>50000</v>
          </cell>
        </row>
        <row r="455">
          <cell r="A455" t="str">
            <v>A407310</v>
          </cell>
          <cell r="B455" t="str">
            <v>452</v>
          </cell>
          <cell r="C455" t="str">
            <v>407310</v>
          </cell>
          <cell r="D455" t="str">
            <v>HANARO 200 TOP10</v>
          </cell>
          <cell r="E455">
            <v>16368.46</v>
          </cell>
          <cell r="F455">
            <v>16385</v>
          </cell>
          <cell r="G455" t="str">
            <v>550 ( 3.47%)</v>
          </cell>
          <cell r="H455">
            <v>2339</v>
          </cell>
          <cell r="I455" t="str">
            <v>주식-규모</v>
          </cell>
          <cell r="J455">
            <v>10</v>
          </cell>
          <cell r="K455">
            <v>2823</v>
          </cell>
          <cell r="L455">
            <v>3462263</v>
          </cell>
          <cell r="M455">
            <v>50000</v>
          </cell>
        </row>
        <row r="456">
          <cell r="A456" t="str">
            <v>A407820</v>
          </cell>
          <cell r="B456" t="str">
            <v>453</v>
          </cell>
          <cell r="C456" t="str">
            <v>407820</v>
          </cell>
          <cell r="D456" t="str">
            <v>에셋플러스 코리아플랫폼액티브</v>
          </cell>
          <cell r="E456">
            <v>6264.19</v>
          </cell>
          <cell r="F456">
            <v>6265</v>
          </cell>
          <cell r="G456" t="str">
            <v>125 ( 2.04%)</v>
          </cell>
          <cell r="H456">
            <v>61</v>
          </cell>
          <cell r="I456" t="str">
            <v>주식-전략</v>
          </cell>
          <cell r="J456">
            <v>25</v>
          </cell>
          <cell r="K456">
            <v>8259</v>
          </cell>
          <cell r="L456">
            <v>36177231</v>
          </cell>
          <cell r="M456">
            <v>100000</v>
          </cell>
        </row>
        <row r="457">
          <cell r="A457" t="str">
            <v>A410870</v>
          </cell>
          <cell r="B457" t="str">
            <v>454</v>
          </cell>
          <cell r="C457" t="str">
            <v>410870</v>
          </cell>
          <cell r="D457" t="str">
            <v>TIME K컬처액티브</v>
          </cell>
          <cell r="E457">
            <v>9483.2099999999991</v>
          </cell>
          <cell r="F457">
            <v>9455</v>
          </cell>
          <cell r="G457" t="str">
            <v>240 ( 2.60%)</v>
          </cell>
          <cell r="H457">
            <v>1840</v>
          </cell>
          <cell r="I457" t="str">
            <v>주식-전략</v>
          </cell>
          <cell r="J457">
            <v>25</v>
          </cell>
          <cell r="K457">
            <v>13140</v>
          </cell>
          <cell r="L457">
            <v>19383589</v>
          </cell>
          <cell r="M457">
            <v>100000</v>
          </cell>
        </row>
        <row r="458">
          <cell r="A458" t="str">
            <v>A411060</v>
          </cell>
          <cell r="B458" t="str">
            <v>455</v>
          </cell>
          <cell r="C458" t="str">
            <v>411060</v>
          </cell>
          <cell r="D458" t="str">
            <v>ACE KRX금현물</v>
          </cell>
          <cell r="E458">
            <v>26670.15</v>
          </cell>
          <cell r="F458">
            <v>26430</v>
          </cell>
          <cell r="G458" t="str">
            <v>140 ( 0.53%)</v>
          </cell>
          <cell r="H458">
            <v>401322</v>
          </cell>
          <cell r="I458" t="str">
            <v>원자재-금속</v>
          </cell>
          <cell r="J458">
            <v>1</v>
          </cell>
          <cell r="K458">
            <v>13960</v>
          </cell>
          <cell r="L458">
            <v>236031</v>
          </cell>
          <cell r="M458">
            <v>100000</v>
          </cell>
        </row>
        <row r="459">
          <cell r="A459" t="str">
            <v>A411540</v>
          </cell>
          <cell r="B459" t="str">
            <v>456</v>
          </cell>
          <cell r="C459" t="str">
            <v>411540</v>
          </cell>
          <cell r="D459" t="str">
            <v>SOL 200 Top10</v>
          </cell>
          <cell r="E459">
            <v>16726.13</v>
          </cell>
          <cell r="F459">
            <v>16700</v>
          </cell>
          <cell r="G459" t="str">
            <v>520 ( 3.21%)</v>
          </cell>
          <cell r="H459">
            <v>6196</v>
          </cell>
          <cell r="I459" t="str">
            <v>주식-규모</v>
          </cell>
          <cell r="J459">
            <v>10</v>
          </cell>
          <cell r="K459">
            <v>5789</v>
          </cell>
          <cell r="L459">
            <v>1019531</v>
          </cell>
          <cell r="M459">
            <v>100000</v>
          </cell>
        </row>
        <row r="460">
          <cell r="A460" t="str">
            <v>A412560</v>
          </cell>
          <cell r="B460" t="str">
            <v>457</v>
          </cell>
          <cell r="C460" t="str">
            <v>412560</v>
          </cell>
          <cell r="D460" t="str">
            <v>TIGER BBIG레버리지</v>
          </cell>
          <cell r="E460">
            <v>1498.31</v>
          </cell>
          <cell r="F460">
            <v>1500</v>
          </cell>
          <cell r="G460" t="str">
            <v>39 ( 2.67%)</v>
          </cell>
          <cell r="H460">
            <v>20441</v>
          </cell>
          <cell r="I460" t="str">
            <v>주식-업종섹터</v>
          </cell>
          <cell r="J460">
            <v>14</v>
          </cell>
          <cell r="K460">
            <v>1283</v>
          </cell>
          <cell r="L460">
            <v>8833039</v>
          </cell>
          <cell r="M460">
            <v>50000</v>
          </cell>
        </row>
        <row r="461">
          <cell r="A461" t="str">
            <v>A412570</v>
          </cell>
          <cell r="B461" t="str">
            <v>458</v>
          </cell>
          <cell r="C461" t="str">
            <v>412570</v>
          </cell>
          <cell r="D461" t="str">
            <v>TIGER 2차전지TOP10레버리지</v>
          </cell>
          <cell r="E461">
            <v>963.3</v>
          </cell>
          <cell r="F461">
            <v>967</v>
          </cell>
          <cell r="G461" t="str">
            <v>3 ( 0.31%)</v>
          </cell>
          <cell r="H461">
            <v>3871474</v>
          </cell>
          <cell r="I461" t="str">
            <v>주식-업종섹터</v>
          </cell>
          <cell r="J461">
            <v>12</v>
          </cell>
          <cell r="K461">
            <v>1276</v>
          </cell>
          <cell r="L461">
            <v>9403323</v>
          </cell>
          <cell r="M461">
            <v>50000</v>
          </cell>
        </row>
        <row r="462">
          <cell r="A462" t="str">
            <v>A413930</v>
          </cell>
          <cell r="B462" t="str">
            <v>459</v>
          </cell>
          <cell r="C462" t="str">
            <v>413930</v>
          </cell>
          <cell r="D462" t="str">
            <v>WON AI ESG액티브</v>
          </cell>
          <cell r="E462">
            <v>27876.19</v>
          </cell>
          <cell r="F462">
            <v>27835</v>
          </cell>
          <cell r="G462" t="str">
            <v>1,220 ( 4.58%)</v>
          </cell>
          <cell r="H462">
            <v>1112</v>
          </cell>
          <cell r="I462" t="str">
            <v>주식-전략</v>
          </cell>
          <cell r="J462">
            <v>61</v>
          </cell>
          <cell r="K462">
            <v>6851</v>
          </cell>
          <cell r="L462">
            <v>59121820</v>
          </cell>
          <cell r="M462">
            <v>50000</v>
          </cell>
        </row>
        <row r="463">
          <cell r="A463" t="str">
            <v>A417630</v>
          </cell>
          <cell r="B463" t="str">
            <v>460</v>
          </cell>
          <cell r="C463" t="str">
            <v>417630</v>
          </cell>
          <cell r="D463" t="str">
            <v>TIGER KEDI혁신기업ESG30</v>
          </cell>
          <cell r="E463">
            <v>17782.48</v>
          </cell>
          <cell r="F463">
            <v>17765</v>
          </cell>
          <cell r="G463" t="str">
            <v>445 ( 2.57%)</v>
          </cell>
          <cell r="H463">
            <v>1462</v>
          </cell>
          <cell r="I463" t="str">
            <v>주식-업종섹터</v>
          </cell>
          <cell r="J463">
            <v>30</v>
          </cell>
          <cell r="K463">
            <v>7409</v>
          </cell>
          <cell r="L463">
            <v>1957579</v>
          </cell>
          <cell r="M463">
            <v>50000</v>
          </cell>
        </row>
        <row r="464">
          <cell r="A464" t="str">
            <v>A419890</v>
          </cell>
          <cell r="B464" t="str">
            <v>461</v>
          </cell>
          <cell r="C464" t="str">
            <v>419890</v>
          </cell>
          <cell r="D464" t="str">
            <v>KIWOOM 단기채권ESG액티브</v>
          </cell>
          <cell r="E464">
            <v>107042.1</v>
          </cell>
          <cell r="F464">
            <v>107025</v>
          </cell>
          <cell r="G464" t="str">
            <v>65 ( 0.06%)</v>
          </cell>
          <cell r="H464">
            <v>2001</v>
          </cell>
          <cell r="I464" t="str">
            <v>채권-혼합</v>
          </cell>
          <cell r="J464">
            <v>8</v>
          </cell>
          <cell r="K464">
            <v>0</v>
          </cell>
          <cell r="L464">
            <v>-54540772</v>
          </cell>
          <cell r="M464">
            <v>10000</v>
          </cell>
        </row>
        <row r="465">
          <cell r="A465" t="str">
            <v>A421320</v>
          </cell>
          <cell r="B465" t="str">
            <v>462</v>
          </cell>
          <cell r="C465" t="str">
            <v>421320</v>
          </cell>
          <cell r="D465" t="str">
            <v>PLUS 우주항공</v>
          </cell>
          <cell r="E465">
            <v>24920.62</v>
          </cell>
          <cell r="F465">
            <v>24890</v>
          </cell>
          <cell r="G465" t="str">
            <v>55 ( 0.22%)</v>
          </cell>
          <cell r="H465">
            <v>60366</v>
          </cell>
          <cell r="I465" t="str">
            <v>주식-업종섹터</v>
          </cell>
          <cell r="J465">
            <v>15</v>
          </cell>
          <cell r="K465">
            <v>40763</v>
          </cell>
          <cell r="L465">
            <v>1834525</v>
          </cell>
          <cell r="M465">
            <v>50000</v>
          </cell>
        </row>
        <row r="466">
          <cell r="A466" t="str">
            <v>A422420</v>
          </cell>
          <cell r="B466" t="str">
            <v>463</v>
          </cell>
          <cell r="C466" t="str">
            <v>422420</v>
          </cell>
          <cell r="D466" t="str">
            <v>RISE 2차전지액티브</v>
          </cell>
          <cell r="E466">
            <v>5724.24</v>
          </cell>
          <cell r="F466">
            <v>5710</v>
          </cell>
          <cell r="G466" t="str">
            <v>25 ( 0.44%)</v>
          </cell>
          <cell r="H466">
            <v>113518</v>
          </cell>
          <cell r="I466" t="str">
            <v>주식-업종섹터</v>
          </cell>
          <cell r="J466">
            <v>17</v>
          </cell>
          <cell r="K466">
            <v>1401</v>
          </cell>
          <cell r="L466">
            <v>-613500</v>
          </cell>
          <cell r="M466">
            <v>20000</v>
          </cell>
        </row>
        <row r="467">
          <cell r="A467" t="str">
            <v>A423160</v>
          </cell>
          <cell r="B467" t="str">
            <v>464</v>
          </cell>
          <cell r="C467" t="str">
            <v>423160</v>
          </cell>
          <cell r="D467" t="str">
            <v>KODEX KOFR금리액티브(합성)</v>
          </cell>
          <cell r="E467">
            <v>110804.61</v>
          </cell>
          <cell r="F467">
            <v>110815</v>
          </cell>
          <cell r="G467" t="str">
            <v>5 ( 0.00%)</v>
          </cell>
          <cell r="H467">
            <v>44157</v>
          </cell>
          <cell r="I467" t="str">
            <v>기타</v>
          </cell>
          <cell r="J467">
            <v>8</v>
          </cell>
          <cell r="K467">
            <v>72848235</v>
          </cell>
          <cell r="L467">
            <v>37945604</v>
          </cell>
          <cell r="M467">
            <v>1000</v>
          </cell>
        </row>
        <row r="468">
          <cell r="A468" t="str">
            <v>A426150</v>
          </cell>
          <cell r="B468" t="str">
            <v>465</v>
          </cell>
          <cell r="C468" t="str">
            <v>426150</v>
          </cell>
          <cell r="D468" t="str">
            <v>WON 대한민국국고채액티브</v>
          </cell>
          <cell r="E468">
            <v>51061.7</v>
          </cell>
          <cell r="F468">
            <v>50990</v>
          </cell>
          <cell r="G468" t="str">
            <v>150 ( 0.29%)</v>
          </cell>
          <cell r="H468">
            <v>134</v>
          </cell>
          <cell r="I468" t="str">
            <v>채권-국공채</v>
          </cell>
          <cell r="J468">
            <v>23</v>
          </cell>
          <cell r="K468">
            <v>0</v>
          </cell>
          <cell r="L468">
            <v>-17950552</v>
          </cell>
          <cell r="M468">
            <v>2000</v>
          </cell>
        </row>
        <row r="469">
          <cell r="A469" t="str">
            <v>A427120</v>
          </cell>
          <cell r="B469" t="str">
            <v>466</v>
          </cell>
          <cell r="C469" t="str">
            <v>427120</v>
          </cell>
          <cell r="D469" t="str">
            <v>RISE AI플랫폼</v>
          </cell>
          <cell r="E469">
            <v>4635.55</v>
          </cell>
          <cell r="F469">
            <v>4635</v>
          </cell>
          <cell r="G469" t="str">
            <v>90 ( 1.98%)</v>
          </cell>
          <cell r="H469">
            <v>1372</v>
          </cell>
          <cell r="I469" t="str">
            <v>주식-전략</v>
          </cell>
          <cell r="J469">
            <v>21</v>
          </cell>
          <cell r="K469">
            <v>6586</v>
          </cell>
          <cell r="L469">
            <v>1118119</v>
          </cell>
          <cell r="M469">
            <v>20000</v>
          </cell>
        </row>
        <row r="470">
          <cell r="A470" t="str">
            <v>A429740</v>
          </cell>
          <cell r="B470" t="str">
            <v>467</v>
          </cell>
          <cell r="C470" t="str">
            <v>429740</v>
          </cell>
          <cell r="D470" t="str">
            <v>PLUS K리츠</v>
          </cell>
          <cell r="E470">
            <v>5937.66</v>
          </cell>
          <cell r="F470">
            <v>5920</v>
          </cell>
          <cell r="G470" t="str">
            <v>5 ( 0.08%)</v>
          </cell>
          <cell r="H470">
            <v>3595</v>
          </cell>
          <cell r="I470" t="str">
            <v>부동산-리츠</v>
          </cell>
          <cell r="J470">
            <v>14</v>
          </cell>
          <cell r="K470">
            <v>79611</v>
          </cell>
          <cell r="L470">
            <v>-482189</v>
          </cell>
          <cell r="M470">
            <v>50000</v>
          </cell>
        </row>
        <row r="471">
          <cell r="A471" t="str">
            <v>A430500</v>
          </cell>
          <cell r="B471" t="str">
            <v>468</v>
          </cell>
          <cell r="C471" t="str">
            <v>430500</v>
          </cell>
          <cell r="D471" t="str">
            <v>KIWOOM 물가채KIS</v>
          </cell>
          <cell r="E471">
            <v>112103.71</v>
          </cell>
          <cell r="F471">
            <v>112120</v>
          </cell>
          <cell r="G471" t="str">
            <v>100 ( 0.09%)</v>
          </cell>
          <cell r="H471">
            <v>364</v>
          </cell>
          <cell r="I471" t="str">
            <v>채권-국공채</v>
          </cell>
          <cell r="J471">
            <v>3</v>
          </cell>
          <cell r="K471">
            <v>0</v>
          </cell>
          <cell r="L471">
            <v>83487338</v>
          </cell>
          <cell r="M471">
            <v>10000</v>
          </cell>
        </row>
        <row r="472">
          <cell r="A472" t="str">
            <v>A432600</v>
          </cell>
          <cell r="B472" t="str">
            <v>469</v>
          </cell>
          <cell r="C472" t="str">
            <v>432600</v>
          </cell>
          <cell r="D472" t="str">
            <v>RISE 국채선물3년</v>
          </cell>
          <cell r="E472">
            <v>55004.3</v>
          </cell>
          <cell r="F472">
            <v>54990</v>
          </cell>
          <cell r="G472" t="str">
            <v>5 ( 0.01%)</v>
          </cell>
          <cell r="H472">
            <v>2</v>
          </cell>
          <cell r="I472" t="str">
            <v>채권-국공채</v>
          </cell>
          <cell r="J472">
            <v>1</v>
          </cell>
          <cell r="K472">
            <v>1</v>
          </cell>
          <cell r="L472">
            <v>109934390</v>
          </cell>
          <cell r="M472">
            <v>2000</v>
          </cell>
        </row>
        <row r="473">
          <cell r="A473" t="str">
            <v>A433250</v>
          </cell>
          <cell r="B473" t="str">
            <v>470</v>
          </cell>
          <cell r="C473" t="str">
            <v>433250</v>
          </cell>
          <cell r="D473" t="str">
            <v>UNICORN R&amp;D 액티브</v>
          </cell>
          <cell r="E473">
            <v>22833.26</v>
          </cell>
          <cell r="F473">
            <v>22290</v>
          </cell>
          <cell r="G473" t="str">
            <v>180 ( 0.81%)</v>
          </cell>
          <cell r="H473">
            <v>46</v>
          </cell>
          <cell r="I473" t="str">
            <v>주식-시장대표</v>
          </cell>
          <cell r="J473">
            <v>39</v>
          </cell>
          <cell r="K473">
            <v>6993</v>
          </cell>
          <cell r="L473">
            <v>89721965</v>
          </cell>
          <cell r="M473">
            <v>50000</v>
          </cell>
        </row>
        <row r="474">
          <cell r="A474" t="str">
            <v>A433500</v>
          </cell>
          <cell r="B474" t="str">
            <v>471</v>
          </cell>
          <cell r="C474" t="str">
            <v>433500</v>
          </cell>
          <cell r="D474" t="str">
            <v>ACE 원자력TOP10</v>
          </cell>
          <cell r="E474">
            <v>46159.76</v>
          </cell>
          <cell r="F474">
            <v>46070</v>
          </cell>
          <cell r="G474" t="str">
            <v>1,470 ( 3.30%)</v>
          </cell>
          <cell r="H474">
            <v>101184</v>
          </cell>
          <cell r="I474" t="str">
            <v>주식-업종섹터</v>
          </cell>
          <cell r="J474">
            <v>10</v>
          </cell>
          <cell r="K474">
            <v>113486</v>
          </cell>
          <cell r="L474">
            <v>44680549</v>
          </cell>
          <cell r="M474">
            <v>100000</v>
          </cell>
        </row>
        <row r="475">
          <cell r="A475" t="str">
            <v>A434730</v>
          </cell>
          <cell r="B475" t="str">
            <v>472</v>
          </cell>
          <cell r="C475" t="str">
            <v>434730</v>
          </cell>
          <cell r="D475" t="str">
            <v>HANARO 원자력iSelect</v>
          </cell>
          <cell r="E475">
            <v>52936.480000000003</v>
          </cell>
          <cell r="F475">
            <v>52860</v>
          </cell>
          <cell r="G475" t="str">
            <v>1,960 ( 3.85%)</v>
          </cell>
          <cell r="H475">
            <v>191975</v>
          </cell>
          <cell r="I475" t="str">
            <v>주식-업종섹터</v>
          </cell>
          <cell r="J475">
            <v>15</v>
          </cell>
          <cell r="K475">
            <v>35319</v>
          </cell>
          <cell r="L475">
            <v>13982987</v>
          </cell>
          <cell r="M475">
            <v>50000</v>
          </cell>
        </row>
        <row r="476">
          <cell r="A476" t="str">
            <v>A434960</v>
          </cell>
          <cell r="B476" t="str">
            <v>473</v>
          </cell>
          <cell r="C476" t="str">
            <v>434960</v>
          </cell>
          <cell r="D476" t="str">
            <v>DAISHIN343 K200</v>
          </cell>
          <cell r="E476">
            <v>109648.43</v>
          </cell>
          <cell r="F476">
            <v>109935</v>
          </cell>
          <cell r="G476" t="str">
            <v>5,295 ( 5.06%)</v>
          </cell>
          <cell r="H476">
            <v>1802</v>
          </cell>
          <cell r="I476" t="str">
            <v>주식-시장대표</v>
          </cell>
          <cell r="J476">
            <v>199</v>
          </cell>
          <cell r="K476">
            <v>28810</v>
          </cell>
          <cell r="L476">
            <v>-3100971</v>
          </cell>
          <cell r="M476">
            <v>50000</v>
          </cell>
        </row>
        <row r="477">
          <cell r="A477" t="str">
            <v>A436140</v>
          </cell>
          <cell r="B477" t="str">
            <v>474</v>
          </cell>
          <cell r="C477" t="str">
            <v>436140</v>
          </cell>
          <cell r="D477" t="str">
            <v>SOL 종합채권(AA-이상)액티브</v>
          </cell>
          <cell r="E477">
            <v>105780.05</v>
          </cell>
          <cell r="F477">
            <v>105780</v>
          </cell>
          <cell r="G477" t="str">
            <v>15 ( 0.01%)</v>
          </cell>
          <cell r="H477">
            <v>31</v>
          </cell>
          <cell r="I477" t="str">
            <v>채권-혼합</v>
          </cell>
          <cell r="J477">
            <v>272</v>
          </cell>
          <cell r="K477">
            <v>0</v>
          </cell>
          <cell r="L477">
            <v>-13092163</v>
          </cell>
          <cell r="M477">
            <v>1000</v>
          </cell>
        </row>
        <row r="478">
          <cell r="A478" t="str">
            <v>A438330</v>
          </cell>
          <cell r="B478" t="str">
            <v>475</v>
          </cell>
          <cell r="C478" t="str">
            <v>438330</v>
          </cell>
          <cell r="D478" t="str">
            <v>TIGER 우량회사채액티브</v>
          </cell>
          <cell r="E478">
            <v>114874.59</v>
          </cell>
          <cell r="F478">
            <v>114815</v>
          </cell>
          <cell r="G478" t="str">
            <v>95 ( 0.08%)</v>
          </cell>
          <cell r="H478">
            <v>4471</v>
          </cell>
          <cell r="I478" t="str">
            <v>채권-회사채</v>
          </cell>
          <cell r="J478">
            <v>77</v>
          </cell>
          <cell r="K478">
            <v>85</v>
          </cell>
          <cell r="L478">
            <v>-46245011</v>
          </cell>
          <cell r="M478">
            <v>1000</v>
          </cell>
        </row>
        <row r="479">
          <cell r="A479" t="str">
            <v>A438560</v>
          </cell>
          <cell r="B479" t="str">
            <v>476</v>
          </cell>
          <cell r="C479" t="str">
            <v>438560</v>
          </cell>
          <cell r="D479" t="str">
            <v>SOL 국고채3년</v>
          </cell>
          <cell r="E479">
            <v>99899.05</v>
          </cell>
          <cell r="F479">
            <v>99875</v>
          </cell>
          <cell r="G479" t="str">
            <v>115 ( 0.12%)</v>
          </cell>
          <cell r="H479">
            <v>566</v>
          </cell>
          <cell r="I479" t="str">
            <v>채권-국공채</v>
          </cell>
          <cell r="J479">
            <v>6</v>
          </cell>
          <cell r="K479">
            <v>0</v>
          </cell>
          <cell r="L479">
            <v>5106075</v>
          </cell>
          <cell r="M479">
            <v>1000</v>
          </cell>
        </row>
        <row r="480">
          <cell r="A480" t="str">
            <v>A438570</v>
          </cell>
          <cell r="B480" t="str">
            <v>477</v>
          </cell>
          <cell r="C480" t="str">
            <v>438570</v>
          </cell>
          <cell r="D480" t="str">
            <v>SOL 국고채10년</v>
          </cell>
          <cell r="E480">
            <v>97656.27</v>
          </cell>
          <cell r="F480">
            <v>97435</v>
          </cell>
          <cell r="G480" t="str">
            <v>320 ( 0.33%)</v>
          </cell>
          <cell r="H480">
            <v>17</v>
          </cell>
          <cell r="I480" t="str">
            <v>채권-국공채</v>
          </cell>
          <cell r="J480">
            <v>8</v>
          </cell>
          <cell r="K480">
            <v>0</v>
          </cell>
          <cell r="L480">
            <v>849252</v>
          </cell>
          <cell r="M480">
            <v>1000</v>
          </cell>
        </row>
        <row r="481">
          <cell r="A481" t="str">
            <v>A438740</v>
          </cell>
          <cell r="B481" t="str">
            <v>478</v>
          </cell>
          <cell r="C481" t="str">
            <v>438740</v>
          </cell>
          <cell r="D481" t="str">
            <v>MIDAS 중소형액티브</v>
          </cell>
          <cell r="E481">
            <v>32638.52</v>
          </cell>
          <cell r="F481">
            <v>32375</v>
          </cell>
          <cell r="G481" t="str">
            <v>205 ( 0.64%)</v>
          </cell>
          <cell r="H481">
            <v>16</v>
          </cell>
          <cell r="I481" t="str">
            <v>주식-규모</v>
          </cell>
          <cell r="J481">
            <v>177</v>
          </cell>
          <cell r="K481">
            <v>61754</v>
          </cell>
          <cell r="L481">
            <v>228097837</v>
          </cell>
          <cell r="M481">
            <v>75000</v>
          </cell>
        </row>
        <row r="482">
          <cell r="A482" t="str">
            <v>A438900</v>
          </cell>
          <cell r="B482" t="str">
            <v>479</v>
          </cell>
          <cell r="C482" t="str">
            <v>438900</v>
          </cell>
          <cell r="D482" t="str">
            <v>HANARO Fn K-푸드</v>
          </cell>
          <cell r="E482">
            <v>10484.469999999999</v>
          </cell>
          <cell r="F482">
            <v>10445</v>
          </cell>
          <cell r="G482" t="str">
            <v>80 ( 0.77%)</v>
          </cell>
          <cell r="H482">
            <v>6579</v>
          </cell>
          <cell r="I482" t="str">
            <v>주식-업종섹터</v>
          </cell>
          <cell r="J482">
            <v>15</v>
          </cell>
          <cell r="K482">
            <v>9647</v>
          </cell>
          <cell r="L482">
            <v>3164919</v>
          </cell>
          <cell r="M482">
            <v>50000</v>
          </cell>
        </row>
        <row r="483">
          <cell r="A483" t="str">
            <v>A439860</v>
          </cell>
          <cell r="B483" t="str">
            <v>480</v>
          </cell>
          <cell r="C483" t="str">
            <v>439860</v>
          </cell>
          <cell r="D483" t="str">
            <v>KODEX ESG종합채권(A-이상)액티브</v>
          </cell>
          <cell r="E483">
            <v>112919.81</v>
          </cell>
          <cell r="F483">
            <v>112935</v>
          </cell>
          <cell r="G483" t="str">
            <v>45 ( 0.04%)</v>
          </cell>
          <cell r="H483">
            <v>1</v>
          </cell>
          <cell r="I483" t="str">
            <v>채권-혼합</v>
          </cell>
          <cell r="J483">
            <v>51</v>
          </cell>
          <cell r="K483">
            <v>0</v>
          </cell>
          <cell r="L483">
            <v>-29479780</v>
          </cell>
          <cell r="M483">
            <v>1000</v>
          </cell>
        </row>
        <row r="484">
          <cell r="A484" t="str">
            <v>A439870</v>
          </cell>
          <cell r="B484" t="str">
            <v>481</v>
          </cell>
          <cell r="C484" t="str">
            <v>439870</v>
          </cell>
          <cell r="D484" t="str">
            <v>KODEX 국고채30년액티브</v>
          </cell>
          <cell r="E484">
            <v>87407.82</v>
          </cell>
          <cell r="F484">
            <v>87180</v>
          </cell>
          <cell r="G484" t="str">
            <v>645 ( 0.73%)</v>
          </cell>
          <cell r="H484">
            <v>5657</v>
          </cell>
          <cell r="I484" t="str">
            <v>채권-국공채</v>
          </cell>
          <cell r="J484">
            <v>20</v>
          </cell>
          <cell r="K484">
            <v>0</v>
          </cell>
          <cell r="L484">
            <v>-21363051</v>
          </cell>
          <cell r="M484">
            <v>1000</v>
          </cell>
        </row>
        <row r="485">
          <cell r="A485" t="str">
            <v>A440640</v>
          </cell>
          <cell r="B485" t="str">
            <v>482</v>
          </cell>
          <cell r="C485" t="str">
            <v>440640</v>
          </cell>
          <cell r="D485" t="str">
            <v>ACE 단기채권알파액티브</v>
          </cell>
          <cell r="E485">
            <v>112232.07</v>
          </cell>
          <cell r="F485">
            <v>112230</v>
          </cell>
          <cell r="G485" t="str">
            <v>30 ( 0.03%)</v>
          </cell>
          <cell r="H485">
            <v>1954</v>
          </cell>
          <cell r="I485" t="str">
            <v>채권-혼합</v>
          </cell>
          <cell r="J485">
            <v>7</v>
          </cell>
          <cell r="K485">
            <v>0</v>
          </cell>
          <cell r="L485">
            <v>31378402</v>
          </cell>
          <cell r="M485">
            <v>1000</v>
          </cell>
        </row>
        <row r="486">
          <cell r="A486" t="str">
            <v>A441540</v>
          </cell>
          <cell r="B486" t="str">
            <v>483</v>
          </cell>
          <cell r="C486" t="str">
            <v>441540</v>
          </cell>
          <cell r="D486" t="str">
            <v>HANARO Fn조선해운</v>
          </cell>
          <cell r="E486">
            <v>25520.880000000001</v>
          </cell>
          <cell r="F486">
            <v>25510</v>
          </cell>
          <cell r="G486" t="str">
            <v>140 ( 0.55%)</v>
          </cell>
          <cell r="H486">
            <v>10511</v>
          </cell>
          <cell r="I486" t="str">
            <v>주식-업종섹터</v>
          </cell>
          <cell r="J486">
            <v>15</v>
          </cell>
          <cell r="K486">
            <v>41357</v>
          </cell>
          <cell r="L486">
            <v>8020957</v>
          </cell>
          <cell r="M486">
            <v>50000</v>
          </cell>
        </row>
        <row r="487">
          <cell r="A487" t="str">
            <v>A441800</v>
          </cell>
          <cell r="B487" t="str">
            <v>484</v>
          </cell>
          <cell r="C487" t="str">
            <v>441800</v>
          </cell>
          <cell r="D487" t="str">
            <v>TIME Korea플러스배당액티브</v>
          </cell>
          <cell r="E487">
            <v>29608.65</v>
          </cell>
          <cell r="F487">
            <v>29525</v>
          </cell>
          <cell r="G487" t="str">
            <v>820 ( 2.86%)</v>
          </cell>
          <cell r="H487">
            <v>209780</v>
          </cell>
          <cell r="I487" t="str">
            <v>주식-시장대표</v>
          </cell>
          <cell r="J487">
            <v>34</v>
          </cell>
          <cell r="K487">
            <v>8164</v>
          </cell>
          <cell r="L487">
            <v>8035990</v>
          </cell>
          <cell r="M487">
            <v>20000</v>
          </cell>
        </row>
        <row r="488">
          <cell r="A488" t="str">
            <v>A442090</v>
          </cell>
          <cell r="B488" t="str">
            <v>485</v>
          </cell>
          <cell r="C488" t="str">
            <v>442090</v>
          </cell>
          <cell r="D488" t="str">
            <v>에셋플러스 코리아대장장이액티브</v>
          </cell>
          <cell r="E488">
            <v>28371.31</v>
          </cell>
          <cell r="F488">
            <v>28350</v>
          </cell>
          <cell r="G488" t="str">
            <v>300 ( 1.07%)</v>
          </cell>
          <cell r="H488">
            <v>826</v>
          </cell>
          <cell r="I488" t="str">
            <v>주식-전략</v>
          </cell>
          <cell r="J488">
            <v>29</v>
          </cell>
          <cell r="K488">
            <v>36099</v>
          </cell>
          <cell r="L488">
            <v>224521408</v>
          </cell>
          <cell r="M488">
            <v>100000</v>
          </cell>
        </row>
        <row r="489">
          <cell r="A489" t="str">
            <v>A442260</v>
          </cell>
          <cell r="B489" t="str">
            <v>486</v>
          </cell>
          <cell r="C489" t="str">
            <v>442260</v>
          </cell>
          <cell r="D489" t="str">
            <v>마이티 다이나믹퀀트액티브</v>
          </cell>
          <cell r="E489">
            <v>38189.360000000001</v>
          </cell>
          <cell r="F489">
            <v>38170</v>
          </cell>
          <cell r="G489" t="str">
            <v>1,655 ( 4.53%)</v>
          </cell>
          <cell r="H489">
            <v>7281</v>
          </cell>
          <cell r="I489" t="str">
            <v>주식-시장대표</v>
          </cell>
          <cell r="J489">
            <v>71</v>
          </cell>
          <cell r="K489">
            <v>13613</v>
          </cell>
          <cell r="L489">
            <v>886620</v>
          </cell>
          <cell r="M489">
            <v>40000</v>
          </cell>
        </row>
        <row r="490">
          <cell r="A490" t="str">
            <v>A444200</v>
          </cell>
          <cell r="B490" t="str">
            <v>487</v>
          </cell>
          <cell r="C490" t="str">
            <v>444200</v>
          </cell>
          <cell r="D490" t="str">
            <v>SOL 코리아메가테크액티브</v>
          </cell>
          <cell r="E490">
            <v>44968.91</v>
          </cell>
          <cell r="F490">
            <v>44930</v>
          </cell>
          <cell r="G490" t="str">
            <v>1,680 ( 3.88%)</v>
          </cell>
          <cell r="H490">
            <v>309572</v>
          </cell>
          <cell r="I490" t="str">
            <v>주식-업종섹터</v>
          </cell>
          <cell r="J490">
            <v>31</v>
          </cell>
          <cell r="K490">
            <v>11780</v>
          </cell>
          <cell r="L490">
            <v>-8905821</v>
          </cell>
          <cell r="M490">
            <v>50000</v>
          </cell>
        </row>
        <row r="491">
          <cell r="A491" t="str">
            <v>A445150</v>
          </cell>
          <cell r="B491" t="str">
            <v>488</v>
          </cell>
          <cell r="C491" t="str">
            <v>445150</v>
          </cell>
          <cell r="D491" t="str">
            <v>KODEX 친환경조선해운액티브</v>
          </cell>
          <cell r="E491">
            <v>26784.639999999999</v>
          </cell>
          <cell r="F491">
            <v>26750</v>
          </cell>
          <cell r="G491" t="str">
            <v>130 ( 0.49%)</v>
          </cell>
          <cell r="H491">
            <v>5387</v>
          </cell>
          <cell r="I491" t="str">
            <v>주식-업종섹터</v>
          </cell>
          <cell r="J491">
            <v>23</v>
          </cell>
          <cell r="K491">
            <v>70708</v>
          </cell>
          <cell r="L491">
            <v>10561172</v>
          </cell>
          <cell r="M491">
            <v>50000</v>
          </cell>
        </row>
        <row r="492">
          <cell r="A492" t="str">
            <v>A445290</v>
          </cell>
          <cell r="B492" t="str">
            <v>489</v>
          </cell>
          <cell r="C492" t="str">
            <v>445290</v>
          </cell>
          <cell r="D492" t="str">
            <v>KODEX 로봇액티브</v>
          </cell>
          <cell r="E492">
            <v>28371.35</v>
          </cell>
          <cell r="F492">
            <v>28320</v>
          </cell>
          <cell r="G492" t="str">
            <v>1,160 ( 4.27%)</v>
          </cell>
          <cell r="H492">
            <v>311240</v>
          </cell>
          <cell r="I492" t="str">
            <v>주식-업종섹터</v>
          </cell>
          <cell r="J492">
            <v>32</v>
          </cell>
          <cell r="K492">
            <v>16751</v>
          </cell>
          <cell r="L492">
            <v>43884803</v>
          </cell>
          <cell r="M492">
            <v>50000</v>
          </cell>
        </row>
        <row r="493">
          <cell r="A493" t="str">
            <v>A445690</v>
          </cell>
          <cell r="B493" t="str">
            <v>490</v>
          </cell>
          <cell r="C493" t="str">
            <v>445690</v>
          </cell>
          <cell r="D493" t="str">
            <v>BNK 주주가치액티브</v>
          </cell>
          <cell r="E493">
            <v>30053.200000000001</v>
          </cell>
          <cell r="F493">
            <v>30140</v>
          </cell>
          <cell r="G493" t="str">
            <v>945 ( 3.24%)</v>
          </cell>
          <cell r="H493">
            <v>46</v>
          </cell>
          <cell r="I493" t="str">
            <v>주식-전략</v>
          </cell>
          <cell r="J493">
            <v>52</v>
          </cell>
          <cell r="K493">
            <v>35942</v>
          </cell>
          <cell r="L493">
            <v>38890634</v>
          </cell>
          <cell r="M493">
            <v>50000</v>
          </cell>
        </row>
        <row r="494">
          <cell r="A494" t="str">
            <v>A445910</v>
          </cell>
          <cell r="B494" t="str">
            <v>491</v>
          </cell>
          <cell r="C494" t="str">
            <v>445910</v>
          </cell>
          <cell r="D494" t="str">
            <v>TIGER MKF배당귀족</v>
          </cell>
          <cell r="E494">
            <v>19935.38</v>
          </cell>
          <cell r="F494">
            <v>19855</v>
          </cell>
          <cell r="G494" t="str">
            <v>355 ( 1.82%)</v>
          </cell>
          <cell r="H494">
            <v>2305</v>
          </cell>
          <cell r="I494" t="str">
            <v>주식-전략</v>
          </cell>
          <cell r="J494">
            <v>30</v>
          </cell>
          <cell r="K494">
            <v>21321</v>
          </cell>
          <cell r="L494">
            <v>2929486</v>
          </cell>
          <cell r="M494">
            <v>50000</v>
          </cell>
        </row>
        <row r="495">
          <cell r="A495" t="str">
            <v>A446700</v>
          </cell>
          <cell r="B495" t="str">
            <v>492</v>
          </cell>
          <cell r="C495" t="str">
            <v>446700</v>
          </cell>
          <cell r="D495" t="str">
            <v>RISE 배터리 리사이클링</v>
          </cell>
          <cell r="E495">
            <v>8937</v>
          </cell>
          <cell r="F495">
            <v>8915</v>
          </cell>
          <cell r="G495" t="str">
            <v>30 ( 0.34%)</v>
          </cell>
          <cell r="H495">
            <v>5721</v>
          </cell>
          <cell r="I495" t="str">
            <v>주식-업종섹터</v>
          </cell>
          <cell r="J495">
            <v>21</v>
          </cell>
          <cell r="K495">
            <v>10236</v>
          </cell>
          <cell r="L495">
            <v>5303614</v>
          </cell>
          <cell r="M495">
            <v>20000</v>
          </cell>
        </row>
        <row r="496">
          <cell r="A496" t="str">
            <v>A447430</v>
          </cell>
          <cell r="B496" t="str">
            <v>493</v>
          </cell>
          <cell r="C496" t="str">
            <v>447430</v>
          </cell>
          <cell r="D496" t="str">
            <v>ACE 주주환원가치주액티브</v>
          </cell>
          <cell r="E496">
            <v>15722.08</v>
          </cell>
          <cell r="F496">
            <v>15695</v>
          </cell>
          <cell r="G496" t="str">
            <v>40 ( 0.26%)</v>
          </cell>
          <cell r="H496">
            <v>72402</v>
          </cell>
          <cell r="I496" t="str">
            <v>주식-전략</v>
          </cell>
          <cell r="J496">
            <v>27</v>
          </cell>
          <cell r="K496">
            <v>59065</v>
          </cell>
          <cell r="L496">
            <v>103175138</v>
          </cell>
          <cell r="M496">
            <v>50000</v>
          </cell>
        </row>
        <row r="497">
          <cell r="A497" t="str">
            <v>A448100</v>
          </cell>
          <cell r="B497" t="str">
            <v>494</v>
          </cell>
          <cell r="C497" t="str">
            <v>448100</v>
          </cell>
          <cell r="D497" t="str">
            <v>WON 200</v>
          </cell>
          <cell r="E497">
            <v>112065.19</v>
          </cell>
          <cell r="F497">
            <v>112310</v>
          </cell>
          <cell r="G497" t="str">
            <v>5,380 ( 5.03%)</v>
          </cell>
          <cell r="H497">
            <v>26866</v>
          </cell>
          <cell r="I497" t="str">
            <v>주식-시장대표</v>
          </cell>
          <cell r="J497">
            <v>196</v>
          </cell>
          <cell r="K497">
            <v>14674</v>
          </cell>
          <cell r="L497">
            <v>11241794</v>
          </cell>
          <cell r="M497">
            <v>25000</v>
          </cell>
        </row>
        <row r="498">
          <cell r="A498" t="str">
            <v>A448330</v>
          </cell>
          <cell r="B498" t="str">
            <v>495</v>
          </cell>
          <cell r="C498" t="str">
            <v>448330</v>
          </cell>
          <cell r="D498" t="str">
            <v>KODEX 삼성전자채권혼합</v>
          </cell>
          <cell r="E498">
            <v>17139.439999999999</v>
          </cell>
          <cell r="F498">
            <v>17010</v>
          </cell>
          <cell r="G498" t="str">
            <v>325 ( 1.95%)</v>
          </cell>
          <cell r="H498">
            <v>519081</v>
          </cell>
          <cell r="I498" t="str">
            <v>혼합-주식채권</v>
          </cell>
          <cell r="J498">
            <v>10</v>
          </cell>
          <cell r="K498">
            <v>6252</v>
          </cell>
          <cell r="L498">
            <v>39983332</v>
          </cell>
          <cell r="M498">
            <v>100000</v>
          </cell>
        </row>
        <row r="499">
          <cell r="A499" t="str">
            <v>A448490</v>
          </cell>
          <cell r="B499" t="str">
            <v>496</v>
          </cell>
          <cell r="C499" t="str">
            <v>448490</v>
          </cell>
          <cell r="D499" t="str">
            <v>HANARO 32-10 국고채액티브</v>
          </cell>
          <cell r="E499">
            <v>52550.17</v>
          </cell>
          <cell r="F499">
            <v>52470</v>
          </cell>
          <cell r="G499" t="str">
            <v>145 ( 0.28%)</v>
          </cell>
          <cell r="H499">
            <v>373</v>
          </cell>
          <cell r="I499" t="str">
            <v>채권-국공채</v>
          </cell>
          <cell r="J499">
            <v>4</v>
          </cell>
          <cell r="K499">
            <v>0</v>
          </cell>
          <cell r="L499">
            <v>11200760</v>
          </cell>
          <cell r="M499">
            <v>2000</v>
          </cell>
        </row>
        <row r="500">
          <cell r="A500" t="str">
            <v>A448570</v>
          </cell>
          <cell r="B500" t="str">
            <v>497</v>
          </cell>
          <cell r="C500" t="str">
            <v>448570</v>
          </cell>
          <cell r="D500" t="str">
            <v>FOCUS AI코리아액티브</v>
          </cell>
          <cell r="E500">
            <v>29781.4</v>
          </cell>
          <cell r="F500">
            <v>29750</v>
          </cell>
          <cell r="G500" t="str">
            <v>970 ( 3.37%)</v>
          </cell>
          <cell r="H500">
            <v>166</v>
          </cell>
          <cell r="I500" t="str">
            <v>주식-시장대표</v>
          </cell>
          <cell r="J500">
            <v>19</v>
          </cell>
          <cell r="K500">
            <v>9142</v>
          </cell>
          <cell r="L500">
            <v>61214541</v>
          </cell>
          <cell r="M500">
            <v>50000</v>
          </cell>
        </row>
        <row r="501">
          <cell r="A501" t="str">
            <v>A448630</v>
          </cell>
          <cell r="B501" t="str">
            <v>498</v>
          </cell>
          <cell r="C501" t="str">
            <v>448630</v>
          </cell>
          <cell r="D501" t="str">
            <v>RISE 삼성그룹Top3채권혼합</v>
          </cell>
          <cell r="E501">
            <v>14700.7</v>
          </cell>
          <cell r="F501">
            <v>14670</v>
          </cell>
          <cell r="G501" t="str">
            <v>250 ( 1.73%)</v>
          </cell>
          <cell r="H501">
            <v>116892</v>
          </cell>
          <cell r="I501" t="str">
            <v>혼합-주식채권</v>
          </cell>
          <cell r="J501">
            <v>12</v>
          </cell>
          <cell r="K501">
            <v>1201</v>
          </cell>
          <cell r="L501">
            <v>286840790</v>
          </cell>
          <cell r="M501">
            <v>100000</v>
          </cell>
        </row>
        <row r="502">
          <cell r="A502" t="str">
            <v>A449170</v>
          </cell>
          <cell r="B502" t="str">
            <v>499</v>
          </cell>
          <cell r="C502" t="str">
            <v>449170</v>
          </cell>
          <cell r="D502" t="str">
            <v>TIGER KOFR금리액티브(합성)</v>
          </cell>
          <cell r="E502">
            <v>111388.7</v>
          </cell>
          <cell r="F502">
            <v>111390</v>
          </cell>
          <cell r="G502" t="str">
            <v>10 ( 0.01%)</v>
          </cell>
          <cell r="H502">
            <v>50141</v>
          </cell>
          <cell r="I502" t="str">
            <v>기타</v>
          </cell>
          <cell r="J502">
            <v>3</v>
          </cell>
          <cell r="K502">
            <v>2405024</v>
          </cell>
          <cell r="L502">
            <v>108967201</v>
          </cell>
          <cell r="M502">
            <v>1000</v>
          </cell>
        </row>
        <row r="503">
          <cell r="A503" t="str">
            <v>A449450</v>
          </cell>
          <cell r="B503" t="str">
            <v>500</v>
          </cell>
          <cell r="C503" t="str">
            <v>449450</v>
          </cell>
          <cell r="D503" t="str">
            <v>PLUS K방산</v>
          </cell>
          <cell r="E503">
            <v>51321.49</v>
          </cell>
          <cell r="F503">
            <v>51260</v>
          </cell>
          <cell r="G503" t="str">
            <v>260 ( 0.51%)</v>
          </cell>
          <cell r="H503">
            <v>278311</v>
          </cell>
          <cell r="I503" t="str">
            <v>주식-업종섹터</v>
          </cell>
          <cell r="J503">
            <v>10</v>
          </cell>
          <cell r="K503">
            <v>7243</v>
          </cell>
          <cell r="L503">
            <v>792549</v>
          </cell>
          <cell r="M503">
            <v>20000</v>
          </cell>
        </row>
        <row r="504">
          <cell r="A504" t="str">
            <v>A450910</v>
          </cell>
          <cell r="B504" t="str">
            <v>501</v>
          </cell>
          <cell r="C504" t="str">
            <v>450910</v>
          </cell>
          <cell r="D504" t="str">
            <v>SOL 코스닥150</v>
          </cell>
          <cell r="E504">
            <v>12438.37</v>
          </cell>
          <cell r="F504">
            <v>12420</v>
          </cell>
          <cell r="G504" t="str">
            <v>80 ( 0.65%)</v>
          </cell>
          <cell r="H504">
            <v>23847</v>
          </cell>
          <cell r="I504" t="str">
            <v>주식-시장대표</v>
          </cell>
          <cell r="J504">
            <v>150</v>
          </cell>
          <cell r="K504">
            <v>6417</v>
          </cell>
          <cell r="L504">
            <v>8321</v>
          </cell>
          <cell r="M504">
            <v>20000</v>
          </cell>
        </row>
        <row r="505">
          <cell r="A505" t="str">
            <v>A451000</v>
          </cell>
          <cell r="B505" t="str">
            <v>502</v>
          </cell>
          <cell r="C505" t="str">
            <v>451000</v>
          </cell>
          <cell r="D505" t="str">
            <v>PLUS 종합채권(AA-이상)액티브</v>
          </cell>
          <cell r="E505">
            <v>106793.83</v>
          </cell>
          <cell r="F505">
            <v>106825</v>
          </cell>
          <cell r="G505" t="str">
            <v>115 ( 0.11%)</v>
          </cell>
          <cell r="H505">
            <v>5</v>
          </cell>
          <cell r="I505" t="str">
            <v>채권-혼합</v>
          </cell>
          <cell r="J505">
            <v>99</v>
          </cell>
          <cell r="K505">
            <v>61</v>
          </cell>
          <cell r="L505">
            <v>-28939796</v>
          </cell>
          <cell r="M505">
            <v>1000</v>
          </cell>
        </row>
        <row r="506">
          <cell r="A506" t="str">
            <v>A451060</v>
          </cell>
          <cell r="B506" t="str">
            <v>503</v>
          </cell>
          <cell r="C506" t="str">
            <v>451060</v>
          </cell>
          <cell r="D506" t="str">
            <v>1Q 200액티브</v>
          </cell>
          <cell r="E506">
            <v>34876.22</v>
          </cell>
          <cell r="F506">
            <v>34875</v>
          </cell>
          <cell r="G506" t="str">
            <v>1,585 ( 4.76%)</v>
          </cell>
          <cell r="H506">
            <v>107044</v>
          </cell>
          <cell r="I506" t="str">
            <v>주식-시장대표</v>
          </cell>
          <cell r="J506">
            <v>199</v>
          </cell>
          <cell r="K506">
            <v>27551</v>
          </cell>
          <cell r="L506">
            <v>-6256673</v>
          </cell>
          <cell r="M506">
            <v>150000</v>
          </cell>
        </row>
        <row r="507">
          <cell r="A507" t="str">
            <v>A451530</v>
          </cell>
          <cell r="B507" t="str">
            <v>504</v>
          </cell>
          <cell r="C507" t="str">
            <v>451530</v>
          </cell>
          <cell r="D507" t="str">
            <v>TIGER 국고채30년스트립액티브</v>
          </cell>
          <cell r="E507">
            <v>35451.17</v>
          </cell>
          <cell r="F507">
            <v>35340</v>
          </cell>
          <cell r="G507" t="str">
            <v>400 ( 1.12%)</v>
          </cell>
          <cell r="H507">
            <v>23144</v>
          </cell>
          <cell r="I507" t="str">
            <v>채권-국공채</v>
          </cell>
          <cell r="J507">
            <v>3</v>
          </cell>
          <cell r="K507">
            <v>0</v>
          </cell>
          <cell r="L507">
            <v>1732448</v>
          </cell>
          <cell r="M507">
            <v>2000</v>
          </cell>
        </row>
        <row r="508">
          <cell r="A508" t="str">
            <v>A451540</v>
          </cell>
          <cell r="B508" t="str">
            <v>505</v>
          </cell>
          <cell r="C508" t="str">
            <v>451540</v>
          </cell>
          <cell r="D508" t="str">
            <v>TIGER 종합채권(AA-이상)액티브</v>
          </cell>
          <cell r="E508">
            <v>52611.98</v>
          </cell>
          <cell r="F508">
            <v>52575</v>
          </cell>
          <cell r="G508" t="str">
            <v>60 ( 0.11%)</v>
          </cell>
          <cell r="H508">
            <v>10632</v>
          </cell>
          <cell r="I508" t="str">
            <v>채권-혼합</v>
          </cell>
          <cell r="J508">
            <v>156</v>
          </cell>
          <cell r="K508">
            <v>0</v>
          </cell>
          <cell r="L508">
            <v>-19444421</v>
          </cell>
          <cell r="M508">
            <v>2000</v>
          </cell>
        </row>
        <row r="509">
          <cell r="A509" t="str">
            <v>A451600</v>
          </cell>
          <cell r="B509" t="str">
            <v>506</v>
          </cell>
          <cell r="C509" t="str">
            <v>451600</v>
          </cell>
          <cell r="D509" t="str">
            <v>PLUS 국고채30년액티브</v>
          </cell>
          <cell r="E509">
            <v>84269.38</v>
          </cell>
          <cell r="F509">
            <v>84285</v>
          </cell>
          <cell r="G509" t="str">
            <v>380 ( 0.45%)</v>
          </cell>
          <cell r="H509">
            <v>28</v>
          </cell>
          <cell r="I509" t="str">
            <v>채권-국공채</v>
          </cell>
          <cell r="J509">
            <v>4</v>
          </cell>
          <cell r="K509">
            <v>0</v>
          </cell>
          <cell r="L509">
            <v>980509</v>
          </cell>
          <cell r="M509">
            <v>1000</v>
          </cell>
        </row>
        <row r="510">
          <cell r="A510" t="str">
            <v>A451670</v>
          </cell>
          <cell r="B510" t="str">
            <v>507</v>
          </cell>
          <cell r="C510" t="str">
            <v>451670</v>
          </cell>
          <cell r="D510" t="str">
            <v>RISE 국채30년레버리지(합성)</v>
          </cell>
          <cell r="E510">
            <v>12295.21</v>
          </cell>
          <cell r="F510">
            <v>12220</v>
          </cell>
          <cell r="G510" t="str">
            <v>155 ( 1.25%)</v>
          </cell>
          <cell r="H510">
            <v>263</v>
          </cell>
          <cell r="I510" t="str">
            <v>채권-국공채</v>
          </cell>
          <cell r="J510">
            <v>1</v>
          </cell>
          <cell r="K510">
            <v>-42243966</v>
          </cell>
          <cell r="L510">
            <v>349909118</v>
          </cell>
          <cell r="M510">
            <v>25000</v>
          </cell>
        </row>
        <row r="511">
          <cell r="A511" t="str">
            <v>A453010</v>
          </cell>
          <cell r="B511" t="str">
            <v>508</v>
          </cell>
          <cell r="C511" t="str">
            <v>453010</v>
          </cell>
          <cell r="D511" t="str">
            <v>PLUS KOFR금리</v>
          </cell>
          <cell r="E511">
            <v>109514.03</v>
          </cell>
          <cell r="F511">
            <v>109510</v>
          </cell>
          <cell r="G511" t="str">
            <v>10 ( 0.01%)</v>
          </cell>
          <cell r="H511">
            <v>911</v>
          </cell>
          <cell r="I511" t="str">
            <v>기타</v>
          </cell>
          <cell r="J511">
            <v>1</v>
          </cell>
          <cell r="K511">
            <v>103896103</v>
          </cell>
          <cell r="L511">
            <v>5617928</v>
          </cell>
          <cell r="M511">
            <v>1000</v>
          </cell>
        </row>
        <row r="512">
          <cell r="A512" t="str">
            <v>A453060</v>
          </cell>
          <cell r="B512" t="str">
            <v>509</v>
          </cell>
          <cell r="C512" t="str">
            <v>453060</v>
          </cell>
          <cell r="D512" t="str">
            <v>HANARO KOFR금리액티브(합성)</v>
          </cell>
          <cell r="E512">
            <v>111053.91</v>
          </cell>
          <cell r="F512">
            <v>111045</v>
          </cell>
          <cell r="G512" t="str">
            <v>10 ( 0.01%)</v>
          </cell>
          <cell r="H512">
            <v>144</v>
          </cell>
          <cell r="I512" t="str">
            <v>기타</v>
          </cell>
          <cell r="J512">
            <v>2</v>
          </cell>
          <cell r="K512">
            <v>110865065</v>
          </cell>
          <cell r="L512">
            <v>180651</v>
          </cell>
          <cell r="M512">
            <v>1000</v>
          </cell>
        </row>
        <row r="513">
          <cell r="A513" t="str">
            <v>A454320</v>
          </cell>
          <cell r="B513" t="str">
            <v>510</v>
          </cell>
          <cell r="C513" t="str">
            <v>454320</v>
          </cell>
          <cell r="D513" t="str">
            <v>HANARO CAPEX설비투자iSelect</v>
          </cell>
          <cell r="E513">
            <v>38067.660000000003</v>
          </cell>
          <cell r="F513">
            <v>38000</v>
          </cell>
          <cell r="G513" t="str">
            <v>940 ( 2.54%)</v>
          </cell>
          <cell r="H513">
            <v>2497</v>
          </cell>
          <cell r="I513" t="str">
            <v>주식-업종섹터</v>
          </cell>
          <cell r="J513">
            <v>19</v>
          </cell>
          <cell r="K513">
            <v>25427</v>
          </cell>
          <cell r="L513">
            <v>10147533</v>
          </cell>
          <cell r="M513">
            <v>50000</v>
          </cell>
        </row>
        <row r="514">
          <cell r="A514" t="str">
            <v>A454780</v>
          </cell>
          <cell r="B514" t="str">
            <v>511</v>
          </cell>
          <cell r="C514" t="str">
            <v>454780</v>
          </cell>
          <cell r="D514" t="str">
            <v>KIWOOM 종합채권(AA-이상)액티브</v>
          </cell>
          <cell r="E514">
            <v>99100.54</v>
          </cell>
          <cell r="F514">
            <v>99070</v>
          </cell>
          <cell r="G514" t="str">
            <v>120 ( 0.12%)</v>
          </cell>
          <cell r="H514">
            <v>1</v>
          </cell>
          <cell r="I514" t="str">
            <v>채권-혼합</v>
          </cell>
          <cell r="J514">
            <v>55</v>
          </cell>
          <cell r="K514">
            <v>138</v>
          </cell>
          <cell r="L514">
            <v>-42838396</v>
          </cell>
          <cell r="M514">
            <v>1000</v>
          </cell>
        </row>
        <row r="515">
          <cell r="A515" t="str">
            <v>A455850</v>
          </cell>
          <cell r="B515" t="str">
            <v>512</v>
          </cell>
          <cell r="C515" t="str">
            <v>455850</v>
          </cell>
          <cell r="D515" t="str">
            <v>SOL AI반도체소부장</v>
          </cell>
          <cell r="E515">
            <v>23645.29</v>
          </cell>
          <cell r="F515">
            <v>23585</v>
          </cell>
          <cell r="G515" t="str">
            <v>0 ( 0.00%)</v>
          </cell>
          <cell r="H515">
            <v>1703654</v>
          </cell>
          <cell r="I515" t="str">
            <v>주식-업종섹터</v>
          </cell>
          <cell r="J515">
            <v>20</v>
          </cell>
          <cell r="K515">
            <v>11113</v>
          </cell>
          <cell r="L515">
            <v>6523379</v>
          </cell>
          <cell r="M515">
            <v>50000</v>
          </cell>
        </row>
        <row r="516">
          <cell r="A516" t="str">
            <v>A455860</v>
          </cell>
          <cell r="B516" t="str">
            <v>513</v>
          </cell>
          <cell r="C516" t="str">
            <v>455860</v>
          </cell>
          <cell r="D516" t="str">
            <v>SOL 2차전지소부장Fn</v>
          </cell>
          <cell r="E516">
            <v>3988.58</v>
          </cell>
          <cell r="F516">
            <v>3980</v>
          </cell>
          <cell r="G516" t="str">
            <v>5 ( 0.13%)</v>
          </cell>
          <cell r="H516">
            <v>561295</v>
          </cell>
          <cell r="I516" t="str">
            <v>주식-업종섹터</v>
          </cell>
          <cell r="J516">
            <v>20</v>
          </cell>
          <cell r="K516">
            <v>2304</v>
          </cell>
          <cell r="L516">
            <v>562383</v>
          </cell>
          <cell r="M516">
            <v>50000</v>
          </cell>
        </row>
        <row r="517">
          <cell r="A517" t="str">
            <v>A455890</v>
          </cell>
          <cell r="B517" t="str">
            <v>514</v>
          </cell>
          <cell r="C517" t="str">
            <v>455890</v>
          </cell>
          <cell r="D517" t="str">
            <v>RISE 머니마켓액티브</v>
          </cell>
          <cell r="E517">
            <v>55256.19</v>
          </cell>
          <cell r="F517">
            <v>55255</v>
          </cell>
          <cell r="G517" t="str">
            <v>0 ( 0.00%)</v>
          </cell>
          <cell r="H517">
            <v>110379</v>
          </cell>
          <cell r="I517" t="str">
            <v>채권-혼합</v>
          </cell>
          <cell r="J517">
            <v>368</v>
          </cell>
          <cell r="K517">
            <v>0</v>
          </cell>
          <cell r="L517">
            <v>-1007</v>
          </cell>
          <cell r="M517">
            <v>2000</v>
          </cell>
        </row>
        <row r="518">
          <cell r="A518" t="str">
            <v>A457690</v>
          </cell>
          <cell r="B518" t="str">
            <v>515</v>
          </cell>
          <cell r="C518" t="str">
            <v>457690</v>
          </cell>
          <cell r="D518" t="str">
            <v>KODEX 33-06 국고채액티브</v>
          </cell>
          <cell r="E518">
            <v>10420.219999999999</v>
          </cell>
          <cell r="F518">
            <v>10425</v>
          </cell>
          <cell r="G518" t="str">
            <v>5 ( 0.05%)</v>
          </cell>
          <cell r="H518">
            <v>70521</v>
          </cell>
          <cell r="I518" t="str">
            <v>채권-국공채</v>
          </cell>
          <cell r="J518">
            <v>2</v>
          </cell>
          <cell r="K518">
            <v>0</v>
          </cell>
          <cell r="L518">
            <v>363087</v>
          </cell>
          <cell r="M518">
            <v>10000</v>
          </cell>
        </row>
        <row r="519">
          <cell r="A519" t="str">
            <v>A457700</v>
          </cell>
          <cell r="B519" t="str">
            <v>516</v>
          </cell>
          <cell r="C519" t="str">
            <v>457700</v>
          </cell>
          <cell r="D519" t="str">
            <v>KODEX 53-09 국고채액티브</v>
          </cell>
          <cell r="E519">
            <v>9149.1299999999992</v>
          </cell>
          <cell r="F519">
            <v>9120</v>
          </cell>
          <cell r="G519" t="str">
            <v>55 ( 0.60%)</v>
          </cell>
          <cell r="H519">
            <v>409</v>
          </cell>
          <cell r="I519" t="str">
            <v>채권-국공채</v>
          </cell>
          <cell r="J519">
            <v>1</v>
          </cell>
          <cell r="K519">
            <v>0</v>
          </cell>
          <cell r="L519">
            <v>824128</v>
          </cell>
          <cell r="M519">
            <v>10000</v>
          </cell>
        </row>
        <row r="520">
          <cell r="A520" t="str">
            <v>A457930</v>
          </cell>
          <cell r="B520" t="str">
            <v>517</v>
          </cell>
          <cell r="C520" t="str">
            <v>457930</v>
          </cell>
          <cell r="D520" t="str">
            <v>BNK 미래전략기술액티브</v>
          </cell>
          <cell r="E520">
            <v>25858.43</v>
          </cell>
          <cell r="F520">
            <v>25685</v>
          </cell>
          <cell r="G520" t="str">
            <v>560 ( 2.23%)</v>
          </cell>
          <cell r="H520">
            <v>278</v>
          </cell>
          <cell r="I520" t="str">
            <v>주식-업종섹터</v>
          </cell>
          <cell r="J520">
            <v>42</v>
          </cell>
          <cell r="K520">
            <v>19208</v>
          </cell>
          <cell r="L520">
            <v>5327224</v>
          </cell>
          <cell r="M520">
            <v>50000</v>
          </cell>
        </row>
        <row r="521">
          <cell r="A521" t="str">
            <v>A457990</v>
          </cell>
          <cell r="B521" t="str">
            <v>518</v>
          </cell>
          <cell r="C521" t="str">
            <v>457990</v>
          </cell>
          <cell r="D521" t="str">
            <v>PLUS 태양광&amp;ESS</v>
          </cell>
          <cell r="E521">
            <v>32204.52</v>
          </cell>
          <cell r="F521">
            <v>32175</v>
          </cell>
          <cell r="G521" t="str">
            <v>790 ( 2.52%)</v>
          </cell>
          <cell r="H521">
            <v>112844</v>
          </cell>
          <cell r="I521" t="str">
            <v>주식-업종섹터</v>
          </cell>
          <cell r="J521">
            <v>10</v>
          </cell>
          <cell r="K521">
            <v>27616</v>
          </cell>
          <cell r="L521">
            <v>454491</v>
          </cell>
          <cell r="M521">
            <v>50000</v>
          </cell>
        </row>
        <row r="522">
          <cell r="A522" t="str">
            <v>A458030</v>
          </cell>
          <cell r="B522" t="str">
            <v>519</v>
          </cell>
          <cell r="C522" t="str">
            <v>458030</v>
          </cell>
          <cell r="D522" t="str">
            <v>WON 국공채머니마켓액티브</v>
          </cell>
          <cell r="E522">
            <v>54852.17</v>
          </cell>
          <cell r="F522">
            <v>54850</v>
          </cell>
          <cell r="G522" t="str">
            <v>10 ( 0.02%)</v>
          </cell>
          <cell r="H522">
            <v>413</v>
          </cell>
          <cell r="I522" t="str">
            <v>채권-국공채</v>
          </cell>
          <cell r="J522">
            <v>43</v>
          </cell>
          <cell r="K522">
            <v>0</v>
          </cell>
          <cell r="L522">
            <v>-5840327</v>
          </cell>
          <cell r="M522">
            <v>2000</v>
          </cell>
        </row>
        <row r="523">
          <cell r="A523" t="str">
            <v>A458210</v>
          </cell>
          <cell r="B523" t="str">
            <v>520</v>
          </cell>
          <cell r="C523" t="str">
            <v>458210</v>
          </cell>
          <cell r="D523" t="str">
            <v>KIWOOM CD금리액티브(합성)</v>
          </cell>
          <cell r="E523">
            <v>110210.48</v>
          </cell>
          <cell r="F523">
            <v>110230</v>
          </cell>
          <cell r="G523" t="str">
            <v>30 ( 0.03%)</v>
          </cell>
          <cell r="H523">
            <v>859</v>
          </cell>
          <cell r="I523" t="str">
            <v>기타</v>
          </cell>
          <cell r="J523">
            <v>3</v>
          </cell>
          <cell r="K523">
            <v>106372193</v>
          </cell>
          <cell r="L523">
            <v>3838292</v>
          </cell>
          <cell r="M523">
            <v>1000</v>
          </cell>
        </row>
        <row r="524">
          <cell r="A524" t="str">
            <v>A459580</v>
          </cell>
          <cell r="B524" t="str">
            <v>521</v>
          </cell>
          <cell r="C524" t="str">
            <v>459580</v>
          </cell>
          <cell r="D524" t="str">
            <v>KODEX CD금리액티브(합성)</v>
          </cell>
          <cell r="E524">
            <v>1075204.3799999999</v>
          </cell>
          <cell r="F524">
            <v>1075180</v>
          </cell>
          <cell r="G524" t="str">
            <v>80 ( 0.01%)</v>
          </cell>
          <cell r="H524">
            <v>287562</v>
          </cell>
          <cell r="I524" t="str">
            <v>기타</v>
          </cell>
          <cell r="J524">
            <v>29</v>
          </cell>
          <cell r="K524">
            <v>29039220</v>
          </cell>
          <cell r="L524">
            <v>50401708</v>
          </cell>
          <cell r="M524">
            <v>100</v>
          </cell>
        </row>
        <row r="525">
          <cell r="A525" t="str">
            <v>A461450</v>
          </cell>
          <cell r="B525" t="str">
            <v>522</v>
          </cell>
          <cell r="C525" t="str">
            <v>461450</v>
          </cell>
          <cell r="D525" t="str">
            <v>KODEX 코스닥글로벌</v>
          </cell>
          <cell r="E525">
            <v>13884.97</v>
          </cell>
          <cell r="F525">
            <v>13895</v>
          </cell>
          <cell r="G525" t="str">
            <v>135 ( 0.98%)</v>
          </cell>
          <cell r="H525">
            <v>11021</v>
          </cell>
          <cell r="I525" t="str">
            <v>주식-시장대표</v>
          </cell>
          <cell r="J525">
            <v>50</v>
          </cell>
          <cell r="K525">
            <v>22424</v>
          </cell>
          <cell r="L525">
            <v>1675791</v>
          </cell>
          <cell r="M525">
            <v>100000</v>
          </cell>
        </row>
        <row r="526">
          <cell r="A526" t="str">
            <v>A461460</v>
          </cell>
          <cell r="B526" t="str">
            <v>523</v>
          </cell>
          <cell r="C526" t="str">
            <v>461460</v>
          </cell>
          <cell r="D526" t="str">
            <v>PLUS 국고채10년액티브</v>
          </cell>
          <cell r="E526">
            <v>51048.37</v>
          </cell>
          <cell r="F526">
            <v>51045</v>
          </cell>
          <cell r="G526" t="str">
            <v>35 ( 0.07%)</v>
          </cell>
          <cell r="H526">
            <v>538</v>
          </cell>
          <cell r="I526" t="str">
            <v>채권-국공채</v>
          </cell>
          <cell r="J526">
            <v>5</v>
          </cell>
          <cell r="K526">
            <v>39</v>
          </cell>
          <cell r="L526">
            <v>-1422517</v>
          </cell>
          <cell r="M526">
            <v>2000</v>
          </cell>
        </row>
        <row r="527">
          <cell r="A527" t="str">
            <v>A461500</v>
          </cell>
          <cell r="B527" t="str">
            <v>524</v>
          </cell>
          <cell r="C527" t="str">
            <v>461500</v>
          </cell>
          <cell r="D527" t="str">
            <v>HANARO 종합채권(AA-이상)액티브</v>
          </cell>
          <cell r="E527">
            <v>104656.8</v>
          </cell>
          <cell r="F527">
            <v>104620</v>
          </cell>
          <cell r="G527" t="str">
            <v>60 ( 0.06%)</v>
          </cell>
          <cell r="H527">
            <v>12</v>
          </cell>
          <cell r="I527" t="str">
            <v>채권-혼합</v>
          </cell>
          <cell r="J527">
            <v>60</v>
          </cell>
          <cell r="K527">
            <v>0</v>
          </cell>
          <cell r="L527">
            <v>-15594552</v>
          </cell>
          <cell r="M527">
            <v>1000</v>
          </cell>
        </row>
        <row r="528">
          <cell r="A528" t="str">
            <v>A461580</v>
          </cell>
          <cell r="B528" t="str">
            <v>525</v>
          </cell>
          <cell r="C528" t="str">
            <v>461580</v>
          </cell>
          <cell r="D528" t="str">
            <v>TIGER 코스닥글로벌</v>
          </cell>
          <cell r="E528">
            <v>14186.73</v>
          </cell>
          <cell r="F528">
            <v>14180</v>
          </cell>
          <cell r="G528" t="str">
            <v>185 ( 1.32%)</v>
          </cell>
          <cell r="H528">
            <v>1007</v>
          </cell>
          <cell r="I528" t="str">
            <v>주식-시장대표</v>
          </cell>
          <cell r="J528">
            <v>50</v>
          </cell>
          <cell r="K528">
            <v>11307</v>
          </cell>
          <cell r="L528">
            <v>6231858</v>
          </cell>
          <cell r="M528">
            <v>50000</v>
          </cell>
        </row>
        <row r="529">
          <cell r="A529" t="str">
            <v>A461950</v>
          </cell>
          <cell r="B529" t="str">
            <v>526</v>
          </cell>
          <cell r="C529" t="str">
            <v>461950</v>
          </cell>
          <cell r="D529" t="str">
            <v>KODEX 2차전지핵심소재10</v>
          </cell>
          <cell r="E529">
            <v>4277.87</v>
          </cell>
          <cell r="F529">
            <v>4265</v>
          </cell>
          <cell r="G529" t="str">
            <v>5 ( 0.12%)</v>
          </cell>
          <cell r="H529">
            <v>277393</v>
          </cell>
          <cell r="I529" t="str">
            <v>주식-업종섹터</v>
          </cell>
          <cell r="J529">
            <v>10</v>
          </cell>
          <cell r="K529">
            <v>1938</v>
          </cell>
          <cell r="L529">
            <v>-381533</v>
          </cell>
          <cell r="M529">
            <v>50000</v>
          </cell>
        </row>
        <row r="530">
          <cell r="A530" t="str">
            <v>A462010</v>
          </cell>
          <cell r="B530" t="str">
            <v>527</v>
          </cell>
          <cell r="C530" t="str">
            <v>462010</v>
          </cell>
          <cell r="D530" t="str">
            <v>TIGER 2차전지소재Fn</v>
          </cell>
          <cell r="E530">
            <v>4259.16</v>
          </cell>
          <cell r="F530">
            <v>4255</v>
          </cell>
          <cell r="G530" t="str">
            <v>45 ( 1.07%)</v>
          </cell>
          <cell r="H530">
            <v>2339599</v>
          </cell>
          <cell r="I530" t="str">
            <v>주식-업종섹터</v>
          </cell>
          <cell r="J530">
            <v>20</v>
          </cell>
          <cell r="K530">
            <v>2208</v>
          </cell>
          <cell r="L530">
            <v>1007597</v>
          </cell>
          <cell r="M530">
            <v>50000</v>
          </cell>
        </row>
        <row r="531">
          <cell r="A531" t="str">
            <v>A462330</v>
          </cell>
          <cell r="B531" t="str">
            <v>528</v>
          </cell>
          <cell r="C531" t="str">
            <v>462330</v>
          </cell>
          <cell r="D531" t="str">
            <v>KODEX 2차전지산업레버리지</v>
          </cell>
          <cell r="E531">
            <v>830.36</v>
          </cell>
          <cell r="F531">
            <v>831</v>
          </cell>
          <cell r="G531" t="str">
            <v>8 ( 0.97%)</v>
          </cell>
          <cell r="H531">
            <v>35480563</v>
          </cell>
          <cell r="I531" t="str">
            <v>주식-업종섹터</v>
          </cell>
          <cell r="J531">
            <v>38</v>
          </cell>
          <cell r="K531">
            <v>2666</v>
          </cell>
          <cell r="L531">
            <v>-24047919</v>
          </cell>
          <cell r="M531">
            <v>100000</v>
          </cell>
        </row>
        <row r="532">
          <cell r="A532" t="str">
            <v>A462900</v>
          </cell>
          <cell r="B532" t="str">
            <v>529</v>
          </cell>
          <cell r="C532" t="str">
            <v>462900</v>
          </cell>
          <cell r="D532" t="str">
            <v>KoAct 바이오헬스케어액티브</v>
          </cell>
          <cell r="E532">
            <v>12952.31</v>
          </cell>
          <cell r="F532">
            <v>12925</v>
          </cell>
          <cell r="G532" t="str">
            <v>315 ( 2.38%)</v>
          </cell>
          <cell r="H532">
            <v>4138109</v>
          </cell>
          <cell r="I532" t="str">
            <v>주식-업종섹터</v>
          </cell>
          <cell r="J532">
            <v>24</v>
          </cell>
          <cell r="K532">
            <v>11599</v>
          </cell>
          <cell r="L532">
            <v>1855896</v>
          </cell>
          <cell r="M532">
            <v>50000</v>
          </cell>
        </row>
        <row r="533">
          <cell r="A533" t="str">
            <v>A463050</v>
          </cell>
          <cell r="B533" t="str">
            <v>530</v>
          </cell>
          <cell r="C533" t="str">
            <v>463050</v>
          </cell>
          <cell r="D533" t="str">
            <v>TIME K바이오액티브</v>
          </cell>
          <cell r="E533">
            <v>11711.01</v>
          </cell>
          <cell r="F533">
            <v>11670</v>
          </cell>
          <cell r="G533" t="str">
            <v>135 ( 1.14%)</v>
          </cell>
          <cell r="H533">
            <v>726359</v>
          </cell>
          <cell r="I533" t="str">
            <v>주식-업종섹터</v>
          </cell>
          <cell r="J533">
            <v>35</v>
          </cell>
          <cell r="K533">
            <v>7681</v>
          </cell>
          <cell r="L533">
            <v>6580091</v>
          </cell>
          <cell r="M533">
            <v>50000</v>
          </cell>
        </row>
        <row r="534">
          <cell r="A534" t="str">
            <v>A463250</v>
          </cell>
          <cell r="B534" t="str">
            <v>531</v>
          </cell>
          <cell r="C534" t="str">
            <v>463250</v>
          </cell>
          <cell r="D534" t="str">
            <v>TIGER K방산&amp;우주</v>
          </cell>
          <cell r="E534">
            <v>32910.9</v>
          </cell>
          <cell r="F534">
            <v>32845</v>
          </cell>
          <cell r="G534" t="str">
            <v>395 ( 1.22%)</v>
          </cell>
          <cell r="H534">
            <v>1271167</v>
          </cell>
          <cell r="I534" t="str">
            <v>주식-업종섹터</v>
          </cell>
          <cell r="J534">
            <v>10</v>
          </cell>
          <cell r="K534">
            <v>11116</v>
          </cell>
          <cell r="L534">
            <v>9512512</v>
          </cell>
          <cell r="M534">
            <v>50000</v>
          </cell>
        </row>
        <row r="535">
          <cell r="A535" t="str">
            <v>A463290</v>
          </cell>
          <cell r="B535" t="str">
            <v>532</v>
          </cell>
          <cell r="C535" t="str">
            <v>463290</v>
          </cell>
          <cell r="D535" t="str">
            <v>1Q 단기금융채액티브</v>
          </cell>
          <cell r="E535">
            <v>108837.07</v>
          </cell>
          <cell r="F535">
            <v>108840</v>
          </cell>
          <cell r="G535" t="str">
            <v>20 ( 0.02%)</v>
          </cell>
          <cell r="H535">
            <v>8328</v>
          </cell>
          <cell r="I535" t="str">
            <v>채권-혼합</v>
          </cell>
          <cell r="J535">
            <v>10</v>
          </cell>
          <cell r="K535">
            <v>0</v>
          </cell>
          <cell r="L535">
            <v>53359857</v>
          </cell>
          <cell r="M535">
            <v>1000</v>
          </cell>
        </row>
        <row r="536">
          <cell r="A536" t="str">
            <v>A464240</v>
          </cell>
          <cell r="B536" t="str">
            <v>533</v>
          </cell>
          <cell r="C536" t="str">
            <v>464240</v>
          </cell>
          <cell r="D536" t="str">
            <v>KIWOOM 26-09회사채(AA-이상)액티브</v>
          </cell>
          <cell r="E536">
            <v>52242.03</v>
          </cell>
          <cell r="F536">
            <v>52225</v>
          </cell>
          <cell r="G536" t="str">
            <v>10 ( 0.02%)</v>
          </cell>
          <cell r="H536">
            <v>16</v>
          </cell>
          <cell r="I536" t="str">
            <v>채권-회사채</v>
          </cell>
          <cell r="J536">
            <v>16</v>
          </cell>
          <cell r="K536">
            <v>0</v>
          </cell>
          <cell r="L536">
            <v>18578044</v>
          </cell>
          <cell r="M536">
            <v>10000</v>
          </cell>
        </row>
        <row r="537">
          <cell r="A537" t="str">
            <v>A464600</v>
          </cell>
          <cell r="B537" t="str">
            <v>534</v>
          </cell>
          <cell r="C537" t="str">
            <v>464600</v>
          </cell>
          <cell r="D537" t="str">
            <v>SOL 자동차소부장Fn</v>
          </cell>
          <cell r="E537">
            <v>21602.33</v>
          </cell>
          <cell r="F537">
            <v>21650</v>
          </cell>
          <cell r="G537" t="str">
            <v>745 ( 3.56%)</v>
          </cell>
          <cell r="H537">
            <v>18265</v>
          </cell>
          <cell r="I537" t="str">
            <v>주식-업종섹터</v>
          </cell>
          <cell r="J537">
            <v>20</v>
          </cell>
          <cell r="K537">
            <v>37157</v>
          </cell>
          <cell r="L537">
            <v>9778891</v>
          </cell>
          <cell r="M537">
            <v>50000</v>
          </cell>
        </row>
        <row r="538">
          <cell r="A538" t="str">
            <v>A464610</v>
          </cell>
          <cell r="B538" t="str">
            <v>535</v>
          </cell>
          <cell r="C538" t="str">
            <v>464610</v>
          </cell>
          <cell r="D538" t="str">
            <v>SOL 의료기기소부장Fn</v>
          </cell>
          <cell r="E538">
            <v>7518.93</v>
          </cell>
          <cell r="F538">
            <v>7505</v>
          </cell>
          <cell r="G538" t="str">
            <v>135 ( 1.83%)</v>
          </cell>
          <cell r="H538">
            <v>9157</v>
          </cell>
          <cell r="I538" t="str">
            <v>주식-업종섹터</v>
          </cell>
          <cell r="J538">
            <v>14</v>
          </cell>
          <cell r="K538">
            <v>16324</v>
          </cell>
          <cell r="L538">
            <v>167441</v>
          </cell>
          <cell r="M538">
            <v>50000</v>
          </cell>
        </row>
        <row r="539">
          <cell r="A539" t="str">
            <v>A465330</v>
          </cell>
          <cell r="B539" t="str">
            <v>536</v>
          </cell>
          <cell r="C539" t="str">
            <v>465330</v>
          </cell>
          <cell r="D539" t="str">
            <v>RISE 2차전지TOP10</v>
          </cell>
          <cell r="E539">
            <v>9730.42</v>
          </cell>
          <cell r="F539">
            <v>9710</v>
          </cell>
          <cell r="G539" t="str">
            <v>40 ( 0.41%)</v>
          </cell>
          <cell r="H539">
            <v>110261</v>
          </cell>
          <cell r="I539" t="str">
            <v>주식-업종섹터</v>
          </cell>
          <cell r="J539">
            <v>10</v>
          </cell>
          <cell r="K539">
            <v>1683</v>
          </cell>
          <cell r="L539">
            <v>3608310</v>
          </cell>
          <cell r="M539">
            <v>25000</v>
          </cell>
        </row>
        <row r="540">
          <cell r="A540" t="str">
            <v>A465350</v>
          </cell>
          <cell r="B540" t="str">
            <v>537</v>
          </cell>
          <cell r="C540" t="str">
            <v>465350</v>
          </cell>
          <cell r="D540" t="str">
            <v>RISE 2차전지TOP10인버스(합성)</v>
          </cell>
          <cell r="E540">
            <v>20281.830000000002</v>
          </cell>
          <cell r="F540">
            <v>20075</v>
          </cell>
          <cell r="G540" t="str">
            <v>225 ( 1.11%)</v>
          </cell>
          <cell r="H540">
            <v>44965</v>
          </cell>
          <cell r="I540" t="str">
            <v>주식-업종섹터</v>
          </cell>
          <cell r="J540">
            <v>3</v>
          </cell>
          <cell r="K540">
            <v>-624276</v>
          </cell>
          <cell r="L540">
            <v>511947534</v>
          </cell>
          <cell r="M540">
            <v>25000</v>
          </cell>
        </row>
        <row r="541">
          <cell r="A541" t="str">
            <v>A465780</v>
          </cell>
          <cell r="B541" t="str">
            <v>538</v>
          </cell>
          <cell r="C541" t="str">
            <v>465780</v>
          </cell>
          <cell r="D541" t="str">
            <v>마이티 26-09 특수채(AAA)액티브</v>
          </cell>
          <cell r="E541">
            <v>106058.39</v>
          </cell>
          <cell r="F541">
            <v>106050</v>
          </cell>
          <cell r="G541" t="str">
            <v>0 ( 0.00%)</v>
          </cell>
          <cell r="H541">
            <v>0</v>
          </cell>
          <cell r="I541" t="str">
            <v>채권-국공채</v>
          </cell>
          <cell r="J541">
            <v>10</v>
          </cell>
          <cell r="K541">
            <v>0</v>
          </cell>
          <cell r="L541">
            <v>4015622</v>
          </cell>
          <cell r="M541">
            <v>1000</v>
          </cell>
        </row>
        <row r="542">
          <cell r="A542" t="str">
            <v>A466810</v>
          </cell>
          <cell r="B542" t="str">
            <v>539</v>
          </cell>
          <cell r="C542" t="str">
            <v>466810</v>
          </cell>
          <cell r="D542" t="str">
            <v>BNK 2차전지양극재</v>
          </cell>
          <cell r="E542">
            <v>5031.74</v>
          </cell>
          <cell r="F542">
            <v>5035</v>
          </cell>
          <cell r="G542" t="str">
            <v>5 ( 0.10%)</v>
          </cell>
          <cell r="H542">
            <v>1199</v>
          </cell>
          <cell r="I542" t="str">
            <v>주식-업종섹터</v>
          </cell>
          <cell r="J542">
            <v>12</v>
          </cell>
          <cell r="K542">
            <v>4622</v>
          </cell>
          <cell r="L542">
            <v>2222853</v>
          </cell>
          <cell r="M542">
            <v>50000</v>
          </cell>
        </row>
        <row r="543">
          <cell r="A543" t="str">
            <v>A466920</v>
          </cell>
          <cell r="B543" t="str">
            <v>540</v>
          </cell>
          <cell r="C543" t="str">
            <v>466920</v>
          </cell>
          <cell r="D543" t="str">
            <v>SOL 조선TOP3플러스</v>
          </cell>
          <cell r="E543">
            <v>26987.63</v>
          </cell>
          <cell r="F543">
            <v>26975</v>
          </cell>
          <cell r="G543" t="str">
            <v>15 ( 0.06%)</v>
          </cell>
          <cell r="H543">
            <v>825353</v>
          </cell>
          <cell r="I543" t="str">
            <v>주식-업종섹터</v>
          </cell>
          <cell r="J543">
            <v>13</v>
          </cell>
          <cell r="K543">
            <v>24559</v>
          </cell>
          <cell r="L543">
            <v>10391596</v>
          </cell>
          <cell r="M543">
            <v>50000</v>
          </cell>
        </row>
        <row r="544">
          <cell r="A544" t="str">
            <v>A466930</v>
          </cell>
          <cell r="B544" t="str">
            <v>541</v>
          </cell>
          <cell r="C544" t="str">
            <v>466930</v>
          </cell>
          <cell r="D544" t="str">
            <v>SOL 자동차TOP3플러스</v>
          </cell>
          <cell r="E544">
            <v>26491.77</v>
          </cell>
          <cell r="F544">
            <v>26410</v>
          </cell>
          <cell r="G544" t="str">
            <v>635 ( 2.46%)</v>
          </cell>
          <cell r="H544">
            <v>514225</v>
          </cell>
          <cell r="I544" t="str">
            <v>주식-업종섹터</v>
          </cell>
          <cell r="J544">
            <v>13</v>
          </cell>
          <cell r="K544">
            <v>6718</v>
          </cell>
          <cell r="L544">
            <v>2066664</v>
          </cell>
          <cell r="M544">
            <v>50000</v>
          </cell>
        </row>
        <row r="545">
          <cell r="A545" t="str">
            <v>A466940</v>
          </cell>
          <cell r="B545" t="str">
            <v>542</v>
          </cell>
          <cell r="C545" t="str">
            <v>466940</v>
          </cell>
          <cell r="D545" t="str">
            <v>TIGER 은행고배당플러스TOP10</v>
          </cell>
          <cell r="E545">
            <v>26286.41</v>
          </cell>
          <cell r="F545">
            <v>26255</v>
          </cell>
          <cell r="G545" t="str">
            <v>125 ( 0.48%)</v>
          </cell>
          <cell r="H545">
            <v>372957</v>
          </cell>
          <cell r="I545" t="str">
            <v>주식-전략</v>
          </cell>
          <cell r="J545">
            <v>10</v>
          </cell>
          <cell r="K545">
            <v>29418</v>
          </cell>
          <cell r="L545">
            <v>10094493</v>
          </cell>
          <cell r="M545">
            <v>50000</v>
          </cell>
        </row>
        <row r="546">
          <cell r="A546" t="str">
            <v>A469070</v>
          </cell>
          <cell r="B546" t="str">
            <v>543</v>
          </cell>
          <cell r="C546" t="str">
            <v>469070</v>
          </cell>
          <cell r="D546" t="str">
            <v>RISE AI&amp;로봇</v>
          </cell>
          <cell r="E546">
            <v>9651.84</v>
          </cell>
          <cell r="F546">
            <v>9670</v>
          </cell>
          <cell r="G546" t="str">
            <v>490 ( 5.34%)</v>
          </cell>
          <cell r="H546">
            <v>174723</v>
          </cell>
          <cell r="I546" t="str">
            <v>주식-업종섹터</v>
          </cell>
          <cell r="J546">
            <v>35</v>
          </cell>
          <cell r="K546">
            <v>20160</v>
          </cell>
          <cell r="L546">
            <v>3529779</v>
          </cell>
          <cell r="M546">
            <v>50000</v>
          </cell>
        </row>
        <row r="547">
          <cell r="A547" t="str">
            <v>A469150</v>
          </cell>
          <cell r="B547" t="str">
            <v>544</v>
          </cell>
          <cell r="C547" t="str">
            <v>469150</v>
          </cell>
          <cell r="D547" t="str">
            <v>ACE AI반도체TOP3+</v>
          </cell>
          <cell r="E547">
            <v>58673.55</v>
          </cell>
          <cell r="F547">
            <v>58505</v>
          </cell>
          <cell r="G547" t="str">
            <v>2,185 ( 3.88%)</v>
          </cell>
          <cell r="H547">
            <v>905563</v>
          </cell>
          <cell r="I547" t="str">
            <v>주식-업종섹터</v>
          </cell>
          <cell r="J547">
            <v>20</v>
          </cell>
          <cell r="K547">
            <v>13773</v>
          </cell>
          <cell r="L547">
            <v>1941048</v>
          </cell>
          <cell r="M547">
            <v>50000</v>
          </cell>
        </row>
        <row r="548">
          <cell r="A548" t="str">
            <v>A469170</v>
          </cell>
          <cell r="B548" t="str">
            <v>545</v>
          </cell>
          <cell r="C548" t="str">
            <v>469170</v>
          </cell>
          <cell r="D548" t="str">
            <v>ACE 포스코그룹포커스</v>
          </cell>
          <cell r="E548">
            <v>5108.72</v>
          </cell>
          <cell r="F548">
            <v>5095</v>
          </cell>
          <cell r="G548" t="str">
            <v>85 ( 1.70%)</v>
          </cell>
          <cell r="H548">
            <v>652472</v>
          </cell>
          <cell r="I548" t="str">
            <v>주식-전략</v>
          </cell>
          <cell r="J548">
            <v>10</v>
          </cell>
          <cell r="K548">
            <v>5777</v>
          </cell>
          <cell r="L548">
            <v>466186</v>
          </cell>
          <cell r="M548">
            <v>50000</v>
          </cell>
        </row>
        <row r="549">
          <cell r="A549" t="str">
            <v>A469530</v>
          </cell>
          <cell r="B549" t="str">
            <v>546</v>
          </cell>
          <cell r="C549" t="str">
            <v>469530</v>
          </cell>
          <cell r="D549" t="str">
            <v>RISE 미국달러선물인버스</v>
          </cell>
          <cell r="E549">
            <v>8795.0400000000009</v>
          </cell>
          <cell r="F549">
            <v>8820</v>
          </cell>
          <cell r="G549" t="str">
            <v>30 ( 0.34%)</v>
          </cell>
          <cell r="H549">
            <v>147</v>
          </cell>
          <cell r="I549" t="str">
            <v>통화-미국달러</v>
          </cell>
          <cell r="J549">
            <v>1</v>
          </cell>
          <cell r="K549">
            <v>-6</v>
          </cell>
          <cell r="L549">
            <v>87712840</v>
          </cell>
          <cell r="M549">
            <v>10000</v>
          </cell>
        </row>
        <row r="550">
          <cell r="A550" t="str">
            <v>A469790</v>
          </cell>
          <cell r="B550" t="str">
            <v>547</v>
          </cell>
          <cell r="C550" t="str">
            <v>469790</v>
          </cell>
          <cell r="D550" t="str">
            <v>KIWOOM 코리아테크TOP10</v>
          </cell>
          <cell r="E550">
            <v>42950.09</v>
          </cell>
          <cell r="F550">
            <v>42850</v>
          </cell>
          <cell r="G550" t="str">
            <v>2,255 ( 5.55%)</v>
          </cell>
          <cell r="H550">
            <v>3425</v>
          </cell>
          <cell r="I550" t="str">
            <v>주식-업종섹터</v>
          </cell>
          <cell r="J550">
            <v>10</v>
          </cell>
          <cell r="K550">
            <v>17758</v>
          </cell>
          <cell r="L550">
            <v>5175665</v>
          </cell>
          <cell r="M550">
            <v>100000</v>
          </cell>
        </row>
        <row r="551">
          <cell r="A551" t="str">
            <v>A469830</v>
          </cell>
          <cell r="B551" t="str">
            <v>548</v>
          </cell>
          <cell r="C551" t="str">
            <v>469830</v>
          </cell>
          <cell r="D551" t="str">
            <v>SOL 초단기채권액티브</v>
          </cell>
          <cell r="E551">
            <v>54153.29</v>
          </cell>
          <cell r="F551">
            <v>54155</v>
          </cell>
          <cell r="G551" t="str">
            <v>5 ( 0.01%)</v>
          </cell>
          <cell r="H551">
            <v>126100</v>
          </cell>
          <cell r="I551" t="str">
            <v>채권-혼합</v>
          </cell>
          <cell r="J551">
            <v>149</v>
          </cell>
          <cell r="K551">
            <v>0</v>
          </cell>
          <cell r="L551">
            <v>-11892386</v>
          </cell>
          <cell r="M551">
            <v>2000</v>
          </cell>
        </row>
        <row r="552">
          <cell r="A552" t="str">
            <v>A470310</v>
          </cell>
          <cell r="B552" t="str">
            <v>549</v>
          </cell>
          <cell r="C552" t="str">
            <v>470310</v>
          </cell>
          <cell r="D552" t="str">
            <v>UNICORN 생성형AI강소기업액티브</v>
          </cell>
          <cell r="E552">
            <v>15610.69</v>
          </cell>
          <cell r="F552">
            <v>15450</v>
          </cell>
          <cell r="G552" t="str">
            <v>275 ( 1.81%)</v>
          </cell>
          <cell r="H552">
            <v>31</v>
          </cell>
          <cell r="I552" t="str">
            <v>주식-업종섹터</v>
          </cell>
          <cell r="J552">
            <v>18</v>
          </cell>
          <cell r="K552">
            <v>27542</v>
          </cell>
          <cell r="L552">
            <v>86230097</v>
          </cell>
          <cell r="M552">
            <v>50000</v>
          </cell>
        </row>
        <row r="553">
          <cell r="A553" t="str">
            <v>A471230</v>
          </cell>
          <cell r="B553" t="str">
            <v>550</v>
          </cell>
          <cell r="C553" t="str">
            <v>471230</v>
          </cell>
          <cell r="D553" t="str">
            <v>KODEX 국고채10년액티브</v>
          </cell>
          <cell r="E553">
            <v>103239.92</v>
          </cell>
          <cell r="F553">
            <v>103225</v>
          </cell>
          <cell r="G553" t="str">
            <v>40 ( 0.04%)</v>
          </cell>
          <cell r="H553">
            <v>4022</v>
          </cell>
          <cell r="I553" t="str">
            <v>채권-국공채</v>
          </cell>
          <cell r="J553">
            <v>2</v>
          </cell>
          <cell r="K553">
            <v>0</v>
          </cell>
          <cell r="L553">
            <v>6445</v>
          </cell>
          <cell r="M553">
            <v>1000</v>
          </cell>
        </row>
        <row r="554">
          <cell r="A554" t="str">
            <v>A471460</v>
          </cell>
          <cell r="B554" t="str">
            <v>551</v>
          </cell>
          <cell r="C554" t="str">
            <v>471460</v>
          </cell>
          <cell r="D554" t="str">
            <v>KIWOOM 국고채30년액티브</v>
          </cell>
          <cell r="E554">
            <v>45668.74</v>
          </cell>
          <cell r="F554">
            <v>45630</v>
          </cell>
          <cell r="G554" t="str">
            <v>345 ( 0.75%)</v>
          </cell>
          <cell r="H554">
            <v>3754</v>
          </cell>
          <cell r="I554" t="str">
            <v>채권-국공채</v>
          </cell>
          <cell r="J554">
            <v>4</v>
          </cell>
          <cell r="K554">
            <v>1200</v>
          </cell>
          <cell r="L554">
            <v>-245595324</v>
          </cell>
          <cell r="M554">
            <v>20000</v>
          </cell>
        </row>
        <row r="555">
          <cell r="A555" t="str">
            <v>A471760</v>
          </cell>
          <cell r="B555" t="str">
            <v>552</v>
          </cell>
          <cell r="C555" t="str">
            <v>471760</v>
          </cell>
          <cell r="D555" t="str">
            <v>TIGER AI반도체핵심공정</v>
          </cell>
          <cell r="E555">
            <v>13686.55</v>
          </cell>
          <cell r="F555">
            <v>13665</v>
          </cell>
          <cell r="G555" t="str">
            <v>210 ( 1.56%)</v>
          </cell>
          <cell r="H555">
            <v>1549366</v>
          </cell>
          <cell r="I555" t="str">
            <v>주식-업종섹터</v>
          </cell>
          <cell r="J555">
            <v>18</v>
          </cell>
          <cell r="K555">
            <v>5295</v>
          </cell>
          <cell r="L555">
            <v>4719817</v>
          </cell>
          <cell r="M555">
            <v>50000</v>
          </cell>
        </row>
        <row r="556">
          <cell r="A556" t="str">
            <v>A471780</v>
          </cell>
          <cell r="B556" t="str">
            <v>553</v>
          </cell>
          <cell r="C556" t="str">
            <v>471780</v>
          </cell>
          <cell r="D556" t="str">
            <v>TIGER 코리아테크액티브</v>
          </cell>
          <cell r="E556">
            <v>36233.85</v>
          </cell>
          <cell r="F556">
            <v>36200</v>
          </cell>
          <cell r="G556" t="str">
            <v>1,300 ( 3.72%)</v>
          </cell>
          <cell r="H556">
            <v>120950</v>
          </cell>
          <cell r="I556" t="str">
            <v>주식-업종섹터</v>
          </cell>
          <cell r="J556">
            <v>20</v>
          </cell>
          <cell r="K556">
            <v>1761</v>
          </cell>
          <cell r="L556">
            <v>1851215</v>
          </cell>
          <cell r="M556">
            <v>10000</v>
          </cell>
        </row>
        <row r="557">
          <cell r="A557" t="str">
            <v>A471990</v>
          </cell>
          <cell r="B557" t="str">
            <v>554</v>
          </cell>
          <cell r="C557" t="str">
            <v>471990</v>
          </cell>
          <cell r="D557" t="str">
            <v>KODEX AI반도체핵심장비</v>
          </cell>
          <cell r="E557">
            <v>22431.27</v>
          </cell>
          <cell r="F557">
            <v>22380</v>
          </cell>
          <cell r="G557" t="str">
            <v>185 ( 0.83%)</v>
          </cell>
          <cell r="H557">
            <v>1988287</v>
          </cell>
          <cell r="I557" t="str">
            <v>주식-업종섹터</v>
          </cell>
          <cell r="J557">
            <v>18</v>
          </cell>
          <cell r="K557">
            <v>9754</v>
          </cell>
          <cell r="L557">
            <v>2607108</v>
          </cell>
          <cell r="M557">
            <v>50000</v>
          </cell>
        </row>
        <row r="558">
          <cell r="A558" t="str">
            <v>A472150</v>
          </cell>
          <cell r="B558" t="str">
            <v>555</v>
          </cell>
          <cell r="C558" t="str">
            <v>472150</v>
          </cell>
          <cell r="D558" t="str">
            <v>TIGER 배당커버드콜액티브</v>
          </cell>
          <cell r="E558">
            <v>21198.34</v>
          </cell>
          <cell r="F558">
            <v>21200</v>
          </cell>
          <cell r="G558" t="str">
            <v>910 ( 4.48%)</v>
          </cell>
          <cell r="H558">
            <v>3531270</v>
          </cell>
          <cell r="I558" t="str">
            <v>주식-전략</v>
          </cell>
          <cell r="J558">
            <v>91</v>
          </cell>
          <cell r="K558">
            <v>1281</v>
          </cell>
          <cell r="L558">
            <v>3005209</v>
          </cell>
          <cell r="M558">
            <v>10000</v>
          </cell>
        </row>
        <row r="559">
          <cell r="A559" t="str">
            <v>A472720</v>
          </cell>
          <cell r="B559" t="str">
            <v>556</v>
          </cell>
          <cell r="C559" t="str">
            <v>472720</v>
          </cell>
          <cell r="D559" t="str">
            <v>TRUSTON 주주가치액티브</v>
          </cell>
          <cell r="E559">
            <v>25399.43</v>
          </cell>
          <cell r="F559">
            <v>25405</v>
          </cell>
          <cell r="G559" t="str">
            <v>710 ( 2.88%)</v>
          </cell>
          <cell r="H559">
            <v>325</v>
          </cell>
          <cell r="I559" t="str">
            <v>주식-시장대표</v>
          </cell>
          <cell r="J559">
            <v>40</v>
          </cell>
          <cell r="K559">
            <v>6061</v>
          </cell>
          <cell r="L559">
            <v>12924825</v>
          </cell>
          <cell r="M559">
            <v>20000</v>
          </cell>
        </row>
        <row r="560">
          <cell r="A560" t="str">
            <v>A472840</v>
          </cell>
          <cell r="B560" t="str">
            <v>557</v>
          </cell>
          <cell r="C560" t="str">
            <v>472840</v>
          </cell>
          <cell r="D560" t="str">
            <v>IBK 200</v>
          </cell>
          <cell r="E560">
            <v>108404.03</v>
          </cell>
          <cell r="F560">
            <v>108245</v>
          </cell>
          <cell r="G560" t="str">
            <v>4,805 ( 4.65%)</v>
          </cell>
          <cell r="H560">
            <v>801</v>
          </cell>
          <cell r="I560" t="str">
            <v>주식-시장대표</v>
          </cell>
          <cell r="J560">
            <v>199</v>
          </cell>
          <cell r="K560">
            <v>14193</v>
          </cell>
          <cell r="L560">
            <v>11496828</v>
          </cell>
          <cell r="M560">
            <v>25000</v>
          </cell>
        </row>
        <row r="561">
          <cell r="A561" t="str">
            <v>A472920</v>
          </cell>
          <cell r="B561" t="str">
            <v>558</v>
          </cell>
          <cell r="C561" t="str">
            <v>472920</v>
          </cell>
          <cell r="D561" t="str">
            <v>HK 종합채권(AA-이상)액티브</v>
          </cell>
          <cell r="E561">
            <v>97718.09</v>
          </cell>
          <cell r="F561">
            <v>97700</v>
          </cell>
          <cell r="G561" t="str">
            <v>105 ( 0.11%)</v>
          </cell>
          <cell r="H561">
            <v>1</v>
          </cell>
          <cell r="I561" t="str">
            <v>채권-혼합</v>
          </cell>
          <cell r="J561">
            <v>38</v>
          </cell>
          <cell r="K561">
            <v>0</v>
          </cell>
          <cell r="L561">
            <v>-15352072</v>
          </cell>
          <cell r="M561">
            <v>1000</v>
          </cell>
        </row>
        <row r="562">
          <cell r="A562" t="str">
            <v>A473290</v>
          </cell>
          <cell r="B562" t="str">
            <v>559</v>
          </cell>
          <cell r="C562" t="str">
            <v>473290</v>
          </cell>
          <cell r="D562" t="str">
            <v>KODEX 26-12 회사채(AA-이상)액티브</v>
          </cell>
          <cell r="E562">
            <v>10837.77</v>
          </cell>
          <cell r="F562">
            <v>10845</v>
          </cell>
          <cell r="G562" t="str">
            <v>0 ( 0.00%)</v>
          </cell>
          <cell r="H562">
            <v>102959</v>
          </cell>
          <cell r="I562" t="str">
            <v>채권-회사채</v>
          </cell>
          <cell r="J562">
            <v>49</v>
          </cell>
          <cell r="K562">
            <v>0</v>
          </cell>
          <cell r="L562">
            <v>-3628692</v>
          </cell>
          <cell r="M562">
            <v>10000</v>
          </cell>
        </row>
        <row r="563">
          <cell r="A563" t="str">
            <v>A473440</v>
          </cell>
          <cell r="B563" t="str">
            <v>560</v>
          </cell>
          <cell r="C563" t="str">
            <v>473440</v>
          </cell>
          <cell r="D563" t="str">
            <v>ACE 11월만기자동연장회사채AA-이상액티브</v>
          </cell>
          <cell r="E563">
            <v>10805.65</v>
          </cell>
          <cell r="F563">
            <v>10810</v>
          </cell>
          <cell r="G563" t="str">
            <v>5 ( 0.05%)</v>
          </cell>
          <cell r="H563">
            <v>1917</v>
          </cell>
          <cell r="I563" t="str">
            <v>채권-회사채</v>
          </cell>
          <cell r="J563">
            <v>8</v>
          </cell>
          <cell r="K563">
            <v>0</v>
          </cell>
          <cell r="L563">
            <v>46837768</v>
          </cell>
          <cell r="M563">
            <v>10000</v>
          </cell>
        </row>
        <row r="564">
          <cell r="A564" t="str">
            <v>A474390</v>
          </cell>
          <cell r="B564" t="str">
            <v>561</v>
          </cell>
          <cell r="C564" t="str">
            <v>474390</v>
          </cell>
          <cell r="D564" t="str">
            <v>SOL 국고채30년액티브</v>
          </cell>
          <cell r="E564">
            <v>40618.35</v>
          </cell>
          <cell r="F564">
            <v>40350</v>
          </cell>
          <cell r="G564" t="str">
            <v>330 ( 0.81%)</v>
          </cell>
          <cell r="H564">
            <v>45</v>
          </cell>
          <cell r="I564" t="str">
            <v>채권-국공채</v>
          </cell>
          <cell r="J564">
            <v>3</v>
          </cell>
          <cell r="K564">
            <v>0</v>
          </cell>
          <cell r="L564">
            <v>-4022745</v>
          </cell>
          <cell r="M564">
            <v>2000</v>
          </cell>
        </row>
        <row r="565">
          <cell r="A565" t="str">
            <v>A474590</v>
          </cell>
          <cell r="B565" t="str">
            <v>562</v>
          </cell>
          <cell r="C565" t="str">
            <v>474590</v>
          </cell>
          <cell r="D565" t="str">
            <v>WON 반도체밸류체인액티브</v>
          </cell>
          <cell r="E565">
            <v>45117.19</v>
          </cell>
          <cell r="F565">
            <v>45050</v>
          </cell>
          <cell r="G565" t="str">
            <v>1,225 ( 2.80%)</v>
          </cell>
          <cell r="H565">
            <v>181263</v>
          </cell>
          <cell r="I565" t="str">
            <v>주식-업종섹터</v>
          </cell>
          <cell r="J565">
            <v>21</v>
          </cell>
          <cell r="K565">
            <v>18712</v>
          </cell>
          <cell r="L565">
            <v>49632899</v>
          </cell>
          <cell r="M565">
            <v>50000</v>
          </cell>
        </row>
        <row r="566">
          <cell r="A566" t="str">
            <v>A475050</v>
          </cell>
          <cell r="B566" t="str">
            <v>563</v>
          </cell>
          <cell r="C566" t="str">
            <v>475050</v>
          </cell>
          <cell r="D566" t="str">
            <v>ACE KPOP포커스</v>
          </cell>
          <cell r="E566">
            <v>6934.31</v>
          </cell>
          <cell r="F566">
            <v>6940</v>
          </cell>
          <cell r="G566" t="str">
            <v>10 ( 0.14%)</v>
          </cell>
          <cell r="H566">
            <v>221140</v>
          </cell>
          <cell r="I566" t="str">
            <v>주식-업종섹터</v>
          </cell>
          <cell r="J566">
            <v>10</v>
          </cell>
          <cell r="K566">
            <v>11491</v>
          </cell>
          <cell r="L566">
            <v>486200</v>
          </cell>
          <cell r="M566">
            <v>50000</v>
          </cell>
        </row>
        <row r="567">
          <cell r="A567" t="str">
            <v>A475260</v>
          </cell>
          <cell r="B567" t="str">
            <v>564</v>
          </cell>
          <cell r="C567" t="str">
            <v>475260</v>
          </cell>
          <cell r="D567" t="str">
            <v>ACE 2월만기자동연장회사채AA-이상액티브</v>
          </cell>
          <cell r="E567">
            <v>10700.03</v>
          </cell>
          <cell r="F567">
            <v>10700</v>
          </cell>
          <cell r="G567" t="str">
            <v>5 ( 0.05%)</v>
          </cell>
          <cell r="H567">
            <v>23</v>
          </cell>
          <cell r="I567" t="str">
            <v>채권-회사채</v>
          </cell>
          <cell r="J567">
            <v>4</v>
          </cell>
          <cell r="K567">
            <v>0</v>
          </cell>
          <cell r="L567">
            <v>45232870</v>
          </cell>
          <cell r="M567">
            <v>10000</v>
          </cell>
        </row>
        <row r="568">
          <cell r="A568" t="str">
            <v>A475270</v>
          </cell>
          <cell r="B568" t="str">
            <v>565</v>
          </cell>
          <cell r="C568" t="str">
            <v>475270</v>
          </cell>
          <cell r="D568" t="str">
            <v>ACE 5월만기자동연장회사채AA-이상액티브</v>
          </cell>
          <cell r="E568">
            <v>10685.35</v>
          </cell>
          <cell r="F568">
            <v>10690</v>
          </cell>
          <cell r="G568" t="str">
            <v>5 ( 0.05%)</v>
          </cell>
          <cell r="H568">
            <v>51</v>
          </cell>
          <cell r="I568" t="str">
            <v>채권-회사채</v>
          </cell>
          <cell r="J568">
            <v>7</v>
          </cell>
          <cell r="K568">
            <v>0</v>
          </cell>
          <cell r="L568">
            <v>-17803014</v>
          </cell>
          <cell r="M568">
            <v>10000</v>
          </cell>
        </row>
        <row r="569">
          <cell r="A569" t="str">
            <v>A475280</v>
          </cell>
          <cell r="B569" t="str">
            <v>566</v>
          </cell>
          <cell r="C569" t="str">
            <v>475280</v>
          </cell>
          <cell r="D569" t="str">
            <v>ACE 8월만기자동연장회사채AA-이상액티브</v>
          </cell>
          <cell r="E569">
            <v>10698.45</v>
          </cell>
          <cell r="F569">
            <v>10700</v>
          </cell>
          <cell r="G569" t="str">
            <v>10 ( 0.09%)</v>
          </cell>
          <cell r="H569">
            <v>2</v>
          </cell>
          <cell r="I569" t="str">
            <v>채권-회사채</v>
          </cell>
          <cell r="J569">
            <v>6</v>
          </cell>
          <cell r="K569">
            <v>0</v>
          </cell>
          <cell r="L569">
            <v>53807867</v>
          </cell>
          <cell r="M569">
            <v>10000</v>
          </cell>
        </row>
        <row r="570">
          <cell r="A570" t="str">
            <v>A475300</v>
          </cell>
          <cell r="B570" t="str">
            <v>567</v>
          </cell>
          <cell r="C570" t="str">
            <v>475300</v>
          </cell>
          <cell r="D570" t="str">
            <v>SOL 반도체전공정</v>
          </cell>
          <cell r="E570">
            <v>22074.85</v>
          </cell>
          <cell r="F570">
            <v>22025</v>
          </cell>
          <cell r="G570" t="str">
            <v>125 ( 0.56%)</v>
          </cell>
          <cell r="H570">
            <v>2001061</v>
          </cell>
          <cell r="I570" t="str">
            <v>주식-업종섹터</v>
          </cell>
          <cell r="J570">
            <v>10</v>
          </cell>
          <cell r="K570">
            <v>9528</v>
          </cell>
          <cell r="L570">
            <v>5314974</v>
          </cell>
          <cell r="M570">
            <v>50000</v>
          </cell>
        </row>
        <row r="571">
          <cell r="A571" t="str">
            <v>A475310</v>
          </cell>
          <cell r="B571" t="str">
            <v>568</v>
          </cell>
          <cell r="C571" t="str">
            <v>475310</v>
          </cell>
          <cell r="D571" t="str">
            <v>SOL 반도체후공정</v>
          </cell>
          <cell r="E571">
            <v>25201.19</v>
          </cell>
          <cell r="F571">
            <v>25180</v>
          </cell>
          <cell r="G571" t="str">
            <v>150 ( 0.60%)</v>
          </cell>
          <cell r="H571">
            <v>189452</v>
          </cell>
          <cell r="I571" t="str">
            <v>주식-업종섹터</v>
          </cell>
          <cell r="J571">
            <v>10</v>
          </cell>
          <cell r="K571">
            <v>12832</v>
          </cell>
          <cell r="L571">
            <v>10130600</v>
          </cell>
          <cell r="M571">
            <v>50000</v>
          </cell>
        </row>
        <row r="572">
          <cell r="A572" t="str">
            <v>A475630</v>
          </cell>
          <cell r="B572" t="str">
            <v>569</v>
          </cell>
          <cell r="C572" t="str">
            <v>475630</v>
          </cell>
          <cell r="D572" t="str">
            <v>TIGER CD1년금리액티브(합성)</v>
          </cell>
          <cell r="E572">
            <v>1072032.83</v>
          </cell>
          <cell r="F572">
            <v>1072035</v>
          </cell>
          <cell r="G572" t="str">
            <v>80 ( 0.01%)</v>
          </cell>
          <cell r="H572">
            <v>16884</v>
          </cell>
          <cell r="I572" t="str">
            <v>기타</v>
          </cell>
          <cell r="J572">
            <v>3</v>
          </cell>
          <cell r="K572">
            <v>4061896</v>
          </cell>
          <cell r="L572">
            <v>103123533</v>
          </cell>
          <cell r="M572">
            <v>100</v>
          </cell>
        </row>
        <row r="573">
          <cell r="A573" t="str">
            <v>A475720</v>
          </cell>
          <cell r="B573" t="str">
            <v>570</v>
          </cell>
          <cell r="C573" t="str">
            <v>475720</v>
          </cell>
          <cell r="D573" t="str">
            <v>RISE 200위클리커버드콜</v>
          </cell>
          <cell r="E573">
            <v>13435.95</v>
          </cell>
          <cell r="F573">
            <v>13390</v>
          </cell>
          <cell r="G573" t="str">
            <v>425 ( 3.28%)</v>
          </cell>
          <cell r="H573">
            <v>503481</v>
          </cell>
          <cell r="I573" t="str">
            <v>주식-전략</v>
          </cell>
          <cell r="J573">
            <v>199</v>
          </cell>
          <cell r="K573">
            <v>3435</v>
          </cell>
          <cell r="L573">
            <v>61160139</v>
          </cell>
          <cell r="M573">
            <v>50000</v>
          </cell>
        </row>
        <row r="574">
          <cell r="A574" t="str">
            <v>A476000</v>
          </cell>
          <cell r="B574" t="str">
            <v>571</v>
          </cell>
          <cell r="C574" t="str">
            <v>476000</v>
          </cell>
          <cell r="D574" t="str">
            <v>UNICORN 포스트IPO액티브</v>
          </cell>
          <cell r="E574">
            <v>5166.5600000000004</v>
          </cell>
          <cell r="F574">
            <v>5165</v>
          </cell>
          <cell r="G574" t="str">
            <v>60 ( 1.18%)</v>
          </cell>
          <cell r="H574">
            <v>5008</v>
          </cell>
          <cell r="I574" t="str">
            <v>주식-전략</v>
          </cell>
          <cell r="J574">
            <v>16</v>
          </cell>
          <cell r="K574">
            <v>24757</v>
          </cell>
          <cell r="L574">
            <v>10048291</v>
          </cell>
          <cell r="M574">
            <v>50000</v>
          </cell>
        </row>
        <row r="575">
          <cell r="A575" t="str">
            <v>A476260</v>
          </cell>
          <cell r="B575" t="str">
            <v>572</v>
          </cell>
          <cell r="C575" t="str">
            <v>476260</v>
          </cell>
          <cell r="D575" t="str">
            <v>HANARO 반도체핵심공정주도주</v>
          </cell>
          <cell r="E575">
            <v>13790.1</v>
          </cell>
          <cell r="F575">
            <v>13775</v>
          </cell>
          <cell r="G575" t="str">
            <v>35 ( 0.25%)</v>
          </cell>
          <cell r="H575">
            <v>540077</v>
          </cell>
          <cell r="I575" t="str">
            <v>주식-업종섹터</v>
          </cell>
          <cell r="J575">
            <v>20</v>
          </cell>
          <cell r="K575">
            <v>9425</v>
          </cell>
          <cell r="L575">
            <v>4198562</v>
          </cell>
          <cell r="M575">
            <v>50000</v>
          </cell>
        </row>
        <row r="576">
          <cell r="A576" t="str">
            <v>A476450</v>
          </cell>
          <cell r="B576" t="str">
            <v>573</v>
          </cell>
          <cell r="C576" t="str">
            <v>476450</v>
          </cell>
          <cell r="D576" t="str">
            <v>KIWOOM 머니마켓액티브</v>
          </cell>
          <cell r="E576">
            <v>52560.7</v>
          </cell>
          <cell r="F576">
            <v>52565</v>
          </cell>
          <cell r="G576" t="str">
            <v>20 ( 0.04%)</v>
          </cell>
          <cell r="H576">
            <v>5148</v>
          </cell>
          <cell r="I576" t="str">
            <v>채권-혼합</v>
          </cell>
          <cell r="J576">
            <v>28</v>
          </cell>
          <cell r="K576">
            <v>125</v>
          </cell>
          <cell r="L576">
            <v>-21978189</v>
          </cell>
          <cell r="M576">
            <v>2000</v>
          </cell>
        </row>
        <row r="577">
          <cell r="A577" t="str">
            <v>A476800</v>
          </cell>
          <cell r="B577" t="str">
            <v>574</v>
          </cell>
          <cell r="C577" t="str">
            <v>476800</v>
          </cell>
          <cell r="D577" t="str">
            <v>KODEX 한국부동산리츠인프라</v>
          </cell>
          <cell r="E577">
            <v>4205.83</v>
          </cell>
          <cell r="F577">
            <v>4200</v>
          </cell>
          <cell r="G577" t="str">
            <v>5 ( 0.12%)</v>
          </cell>
          <cell r="H577">
            <v>287344</v>
          </cell>
          <cell r="I577" t="str">
            <v>부동산-리츠</v>
          </cell>
          <cell r="J577">
            <v>17</v>
          </cell>
          <cell r="K577">
            <v>44119</v>
          </cell>
          <cell r="L577">
            <v>4883707</v>
          </cell>
          <cell r="M577">
            <v>50000</v>
          </cell>
        </row>
        <row r="578">
          <cell r="A578" t="str">
            <v>A476850</v>
          </cell>
          <cell r="B578" t="str">
            <v>575</v>
          </cell>
          <cell r="C578" t="str">
            <v>476850</v>
          </cell>
          <cell r="D578" t="str">
            <v>KoAct 배당성장액티브</v>
          </cell>
          <cell r="E578">
            <v>21467.1</v>
          </cell>
          <cell r="F578">
            <v>21425</v>
          </cell>
          <cell r="G578" t="str">
            <v>745 ( 3.60%)</v>
          </cell>
          <cell r="H578">
            <v>74912</v>
          </cell>
          <cell r="I578" t="str">
            <v>주식-시장대표</v>
          </cell>
          <cell r="J578">
            <v>59</v>
          </cell>
          <cell r="K578">
            <v>16729</v>
          </cell>
          <cell r="L578">
            <v>9927191</v>
          </cell>
          <cell r="M578">
            <v>50000</v>
          </cell>
        </row>
        <row r="579">
          <cell r="A579" t="str">
            <v>A477050</v>
          </cell>
          <cell r="B579" t="str">
            <v>576</v>
          </cell>
          <cell r="C579" t="str">
            <v>477050</v>
          </cell>
          <cell r="D579" t="str">
            <v>PLUS 머니마켓액티브</v>
          </cell>
          <cell r="E579">
            <v>53286.33</v>
          </cell>
          <cell r="F579">
            <v>53285</v>
          </cell>
          <cell r="G579" t="str">
            <v>5 ( 0.01%)</v>
          </cell>
          <cell r="H579">
            <v>3652</v>
          </cell>
          <cell r="I579" t="str">
            <v>채권-혼합</v>
          </cell>
          <cell r="J579">
            <v>61</v>
          </cell>
          <cell r="K579">
            <v>0</v>
          </cell>
          <cell r="L579">
            <v>-18296629</v>
          </cell>
          <cell r="M579">
            <v>2000</v>
          </cell>
        </row>
        <row r="580">
          <cell r="A580" t="str">
            <v>A477080</v>
          </cell>
          <cell r="B580" t="str">
            <v>577</v>
          </cell>
          <cell r="C580" t="str">
            <v>477080</v>
          </cell>
          <cell r="D580" t="str">
            <v>RISE CD금리액티브(합성)</v>
          </cell>
          <cell r="E580">
            <v>107098.95</v>
          </cell>
          <cell r="F580">
            <v>107100</v>
          </cell>
          <cell r="G580" t="str">
            <v>5 ( 0.00%)</v>
          </cell>
          <cell r="H580">
            <v>873</v>
          </cell>
          <cell r="I580" t="str">
            <v>기타</v>
          </cell>
          <cell r="J580">
            <v>4</v>
          </cell>
          <cell r="K580">
            <v>69049680</v>
          </cell>
          <cell r="L580">
            <v>38032211</v>
          </cell>
          <cell r="M580">
            <v>1000</v>
          </cell>
        </row>
        <row r="581">
          <cell r="A581" t="str">
            <v>A479080</v>
          </cell>
          <cell r="B581" t="str">
            <v>578</v>
          </cell>
          <cell r="C581" t="str">
            <v>479080</v>
          </cell>
          <cell r="D581" t="str">
            <v>1Q 머니마켓액티브</v>
          </cell>
          <cell r="E581">
            <v>53540.73</v>
          </cell>
          <cell r="F581">
            <v>53542</v>
          </cell>
          <cell r="G581" t="str">
            <v>7 ( 0.01%)</v>
          </cell>
          <cell r="H581">
            <v>15519</v>
          </cell>
          <cell r="I581" t="str">
            <v>채권-혼합</v>
          </cell>
          <cell r="J581">
            <v>98</v>
          </cell>
          <cell r="K581">
            <v>0</v>
          </cell>
          <cell r="L581">
            <v>15189190</v>
          </cell>
          <cell r="M581">
            <v>2000</v>
          </cell>
        </row>
        <row r="582">
          <cell r="A582" t="str">
            <v>A479520</v>
          </cell>
          <cell r="B582" t="str">
            <v>579</v>
          </cell>
          <cell r="C582" t="str">
            <v>479520</v>
          </cell>
          <cell r="D582" t="str">
            <v>RISE KOFR금리액티브(합성)</v>
          </cell>
          <cell r="E582">
            <v>106027.12</v>
          </cell>
          <cell r="F582">
            <v>106025</v>
          </cell>
          <cell r="G582" t="str">
            <v>20 ( 0.02%)</v>
          </cell>
          <cell r="H582">
            <v>1204</v>
          </cell>
          <cell r="I582" t="str">
            <v>기타</v>
          </cell>
          <cell r="J582">
            <v>10</v>
          </cell>
          <cell r="K582">
            <v>899194</v>
          </cell>
          <cell r="L582">
            <v>57935667</v>
          </cell>
          <cell r="M582">
            <v>1000</v>
          </cell>
        </row>
        <row r="583">
          <cell r="A583" t="str">
            <v>A479850</v>
          </cell>
          <cell r="B583" t="str">
            <v>580</v>
          </cell>
          <cell r="C583" t="str">
            <v>479850</v>
          </cell>
          <cell r="D583" t="str">
            <v>HANARO K-뷰티</v>
          </cell>
          <cell r="E583">
            <v>16109.15</v>
          </cell>
          <cell r="F583">
            <v>16115</v>
          </cell>
          <cell r="G583" t="str">
            <v>355 ( 2.25%)</v>
          </cell>
          <cell r="H583">
            <v>29271</v>
          </cell>
          <cell r="I583" t="str">
            <v>주식-업종섹터</v>
          </cell>
          <cell r="J583">
            <v>20</v>
          </cell>
          <cell r="K583">
            <v>9388</v>
          </cell>
          <cell r="L583">
            <v>2541773</v>
          </cell>
          <cell r="M583">
            <v>50000</v>
          </cell>
        </row>
        <row r="584">
          <cell r="A584" t="str">
            <v>A480260</v>
          </cell>
          <cell r="B584" t="str">
            <v>581</v>
          </cell>
          <cell r="C584" t="str">
            <v>480260</v>
          </cell>
          <cell r="D584" t="str">
            <v>TIGER 27-04회사채(A+이상)액티브</v>
          </cell>
          <cell r="E584">
            <v>53564.06</v>
          </cell>
          <cell r="F584">
            <v>53565</v>
          </cell>
          <cell r="G584" t="str">
            <v>15 ( 0.03%)</v>
          </cell>
          <cell r="H584">
            <v>3456</v>
          </cell>
          <cell r="I584" t="str">
            <v>채권-회사채</v>
          </cell>
          <cell r="J584">
            <v>41</v>
          </cell>
          <cell r="K584">
            <v>98</v>
          </cell>
          <cell r="L584">
            <v>7135825</v>
          </cell>
          <cell r="M584">
            <v>2000</v>
          </cell>
        </row>
        <row r="585">
          <cell r="A585" t="str">
            <v>A480460</v>
          </cell>
          <cell r="B585" t="str">
            <v>582</v>
          </cell>
          <cell r="C585" t="str">
            <v>480460</v>
          </cell>
          <cell r="D585" t="str">
            <v>WON 한국부동산TOP3플러스</v>
          </cell>
          <cell r="E585">
            <v>9079.58</v>
          </cell>
          <cell r="F585">
            <v>9095</v>
          </cell>
          <cell r="G585" t="str">
            <v>55 ( 0.60%)</v>
          </cell>
          <cell r="H585">
            <v>629</v>
          </cell>
          <cell r="I585" t="str">
            <v>부동산</v>
          </cell>
          <cell r="J585">
            <v>12</v>
          </cell>
          <cell r="K585">
            <v>90091</v>
          </cell>
          <cell r="L585">
            <v>10226566</v>
          </cell>
          <cell r="M585">
            <v>50000</v>
          </cell>
        </row>
        <row r="586">
          <cell r="A586" t="str">
            <v>A481050</v>
          </cell>
          <cell r="B586" t="str">
            <v>583</v>
          </cell>
          <cell r="C586" t="str">
            <v>481050</v>
          </cell>
          <cell r="D586" t="str">
            <v>KODEX CD1년금리플러스액티브(합성)</v>
          </cell>
          <cell r="E586">
            <v>1023302.97</v>
          </cell>
          <cell r="F586">
            <v>1023290</v>
          </cell>
          <cell r="G586" t="str">
            <v>85 ( 0.01%)</v>
          </cell>
          <cell r="H586">
            <v>10043</v>
          </cell>
          <cell r="I586" t="str">
            <v>기타</v>
          </cell>
          <cell r="J586">
            <v>23</v>
          </cell>
          <cell r="K586">
            <v>34926272</v>
          </cell>
          <cell r="L586">
            <v>50865371</v>
          </cell>
          <cell r="M586">
            <v>100</v>
          </cell>
        </row>
        <row r="587">
          <cell r="A587" t="str">
            <v>A481430</v>
          </cell>
          <cell r="B587" t="str">
            <v>584</v>
          </cell>
          <cell r="C587" t="str">
            <v>481430</v>
          </cell>
          <cell r="D587" t="str">
            <v>RISE 국고채10년액티브</v>
          </cell>
          <cell r="E587">
            <v>97624.71</v>
          </cell>
          <cell r="F587">
            <v>97640</v>
          </cell>
          <cell r="G587" t="str">
            <v>10 ( 0.01%)</v>
          </cell>
          <cell r="H587">
            <v>249</v>
          </cell>
          <cell r="I587" t="str">
            <v>채권-국공채</v>
          </cell>
          <cell r="J587">
            <v>5</v>
          </cell>
          <cell r="K587">
            <v>44</v>
          </cell>
          <cell r="L587">
            <v>2109506</v>
          </cell>
          <cell r="M587">
            <v>1000</v>
          </cell>
        </row>
        <row r="588">
          <cell r="A588" t="str">
            <v>A482030</v>
          </cell>
          <cell r="B588" t="str">
            <v>585</v>
          </cell>
          <cell r="C588" t="str">
            <v>482030</v>
          </cell>
          <cell r="D588" t="str">
            <v>KoAct 반도체&amp;2차전지핵심소재액티브</v>
          </cell>
          <cell r="E588">
            <v>8349.91</v>
          </cell>
          <cell r="F588">
            <v>8345</v>
          </cell>
          <cell r="G588" t="str">
            <v>40 ( 0.48%)</v>
          </cell>
          <cell r="H588">
            <v>1507</v>
          </cell>
          <cell r="I588" t="str">
            <v>주식-업종섹터</v>
          </cell>
          <cell r="J588">
            <v>39</v>
          </cell>
          <cell r="K588">
            <v>9296</v>
          </cell>
          <cell r="L588">
            <v>7926448</v>
          </cell>
          <cell r="M588">
            <v>50000</v>
          </cell>
        </row>
        <row r="589">
          <cell r="A589" t="str">
            <v>A483020</v>
          </cell>
          <cell r="B589" t="str">
            <v>586</v>
          </cell>
          <cell r="C589" t="str">
            <v>483020</v>
          </cell>
          <cell r="D589" t="str">
            <v>KIWOOM 의료AI</v>
          </cell>
          <cell r="E589">
            <v>8997.8799999999992</v>
          </cell>
          <cell r="F589">
            <v>9010</v>
          </cell>
          <cell r="G589" t="str">
            <v>130 ( 1.46%)</v>
          </cell>
          <cell r="H589">
            <v>2531</v>
          </cell>
          <cell r="I589" t="str">
            <v>주식-업종섹터</v>
          </cell>
          <cell r="J589">
            <v>25</v>
          </cell>
          <cell r="K589">
            <v>15969</v>
          </cell>
          <cell r="L589">
            <v>1908998</v>
          </cell>
          <cell r="M589">
            <v>50000</v>
          </cell>
        </row>
        <row r="590">
          <cell r="A590" t="str">
            <v>A484880</v>
          </cell>
          <cell r="B590" t="str">
            <v>587</v>
          </cell>
          <cell r="C590" t="str">
            <v>484880</v>
          </cell>
          <cell r="D590" t="str">
            <v>SOL 금융지주플러스고배당</v>
          </cell>
          <cell r="E590">
            <v>22454.62</v>
          </cell>
          <cell r="F590">
            <v>22420</v>
          </cell>
          <cell r="G590" t="str">
            <v>275 ( 1.24%)</v>
          </cell>
          <cell r="H590">
            <v>496998</v>
          </cell>
          <cell r="I590" t="str">
            <v>주식-전략</v>
          </cell>
          <cell r="J590">
            <v>10</v>
          </cell>
          <cell r="K590">
            <v>17934</v>
          </cell>
          <cell r="L590">
            <v>-2662481</v>
          </cell>
          <cell r="M590">
            <v>50000</v>
          </cell>
        </row>
        <row r="591">
          <cell r="A591" t="str">
            <v>A484890</v>
          </cell>
          <cell r="B591" t="str">
            <v>588</v>
          </cell>
          <cell r="C591" t="str">
            <v>484890</v>
          </cell>
          <cell r="D591" t="str">
            <v>SOL 머니마켓액티브</v>
          </cell>
          <cell r="E591">
            <v>52366.03</v>
          </cell>
          <cell r="F591">
            <v>52370</v>
          </cell>
          <cell r="G591" t="str">
            <v>10 ( 0.02%)</v>
          </cell>
          <cell r="H591">
            <v>9945</v>
          </cell>
          <cell r="I591" t="str">
            <v>채권-혼합</v>
          </cell>
          <cell r="J591">
            <v>8</v>
          </cell>
          <cell r="K591">
            <v>0</v>
          </cell>
          <cell r="L591">
            <v>20415014</v>
          </cell>
          <cell r="M591">
            <v>2000</v>
          </cell>
        </row>
        <row r="592">
          <cell r="A592" t="str">
            <v>A486240</v>
          </cell>
          <cell r="B592" t="str">
            <v>589</v>
          </cell>
          <cell r="C592" t="str">
            <v>486240</v>
          </cell>
          <cell r="D592" t="str">
            <v>DAISHIN343 AI반도체&amp;인프라액티브</v>
          </cell>
          <cell r="E592">
            <v>28898.48</v>
          </cell>
          <cell r="F592">
            <v>29015</v>
          </cell>
          <cell r="G592" t="str">
            <v>935 ( 3.33%)</v>
          </cell>
          <cell r="H592">
            <v>881</v>
          </cell>
          <cell r="I592" t="str">
            <v>주식-업종섹터</v>
          </cell>
          <cell r="J592">
            <v>26</v>
          </cell>
          <cell r="K592">
            <v>24852</v>
          </cell>
          <cell r="L592">
            <v>28341582</v>
          </cell>
          <cell r="M592">
            <v>100000</v>
          </cell>
        </row>
        <row r="593">
          <cell r="A593" t="str">
            <v>A486830</v>
          </cell>
          <cell r="B593" t="str">
            <v>590</v>
          </cell>
          <cell r="C593" t="str">
            <v>486830</v>
          </cell>
          <cell r="D593" t="str">
            <v>HANARO 머니마켓액티브</v>
          </cell>
          <cell r="E593">
            <v>53069.23</v>
          </cell>
          <cell r="F593">
            <v>53060</v>
          </cell>
          <cell r="G593" t="str">
            <v>10 ( 0.02%)</v>
          </cell>
          <cell r="H593">
            <v>1696</v>
          </cell>
          <cell r="I593" t="str">
            <v>채권-혼합</v>
          </cell>
          <cell r="J593">
            <v>12</v>
          </cell>
          <cell r="K593">
            <v>0</v>
          </cell>
          <cell r="L593">
            <v>5997085</v>
          </cell>
          <cell r="M593">
            <v>2000</v>
          </cell>
        </row>
        <row r="594">
          <cell r="A594" t="str">
            <v>A487130</v>
          </cell>
          <cell r="B594" t="str">
            <v>591</v>
          </cell>
          <cell r="C594" t="str">
            <v>487130</v>
          </cell>
          <cell r="D594" t="str">
            <v>KoAct AI인프라액티브</v>
          </cell>
          <cell r="E594">
            <v>27627.42</v>
          </cell>
          <cell r="F594">
            <v>27585</v>
          </cell>
          <cell r="G594" t="str">
            <v>960 ( 3.61%)</v>
          </cell>
          <cell r="H594">
            <v>9313</v>
          </cell>
          <cell r="I594" t="str">
            <v>주식-업종섹터</v>
          </cell>
          <cell r="J594">
            <v>33</v>
          </cell>
          <cell r="K594">
            <v>10938</v>
          </cell>
          <cell r="L594">
            <v>15108744</v>
          </cell>
          <cell r="M594">
            <v>50000</v>
          </cell>
        </row>
        <row r="595">
          <cell r="A595" t="str">
            <v>A487240</v>
          </cell>
          <cell r="B595" t="str">
            <v>592</v>
          </cell>
          <cell r="C595" t="str">
            <v>487240</v>
          </cell>
          <cell r="D595" t="str">
            <v>KODEX AI전력핵심설비</v>
          </cell>
          <cell r="E595">
            <v>33336.660000000003</v>
          </cell>
          <cell r="F595">
            <v>33290</v>
          </cell>
          <cell r="G595" t="str">
            <v>1,385 ( 4.34%)</v>
          </cell>
          <cell r="H595">
            <v>1785002</v>
          </cell>
          <cell r="I595" t="str">
            <v>주식-업종섹터</v>
          </cell>
          <cell r="J595">
            <v>12</v>
          </cell>
          <cell r="K595">
            <v>29054</v>
          </cell>
          <cell r="L595">
            <v>13070221</v>
          </cell>
          <cell r="M595">
            <v>100000</v>
          </cell>
        </row>
        <row r="596">
          <cell r="A596" t="str">
            <v>A487340</v>
          </cell>
          <cell r="B596" t="str">
            <v>593</v>
          </cell>
          <cell r="C596" t="str">
            <v>487340</v>
          </cell>
          <cell r="D596" t="str">
            <v>ACE 머니마켓액티브</v>
          </cell>
          <cell r="E596">
            <v>105419.79</v>
          </cell>
          <cell r="F596">
            <v>105415</v>
          </cell>
          <cell r="G596" t="str">
            <v>0 ( 0.00%)</v>
          </cell>
          <cell r="H596">
            <v>27247</v>
          </cell>
          <cell r="I596" t="str">
            <v>채권-회사채</v>
          </cell>
          <cell r="J596">
            <v>119</v>
          </cell>
          <cell r="K596">
            <v>0</v>
          </cell>
          <cell r="L596">
            <v>-28640697</v>
          </cell>
          <cell r="M596">
            <v>1000</v>
          </cell>
        </row>
        <row r="597">
          <cell r="A597" t="str">
            <v>A487750</v>
          </cell>
          <cell r="B597" t="str">
            <v>594</v>
          </cell>
          <cell r="C597" t="str">
            <v>487750</v>
          </cell>
          <cell r="D597" t="str">
            <v>BNK 온디바이스AI</v>
          </cell>
          <cell r="E597">
            <v>30218.58</v>
          </cell>
          <cell r="F597">
            <v>30185</v>
          </cell>
          <cell r="G597" t="str">
            <v>1,185 ( 4.09%)</v>
          </cell>
          <cell r="H597">
            <v>1496</v>
          </cell>
          <cell r="I597" t="str">
            <v>주식-업종섹터</v>
          </cell>
          <cell r="J597">
            <v>20</v>
          </cell>
          <cell r="K597">
            <v>30406</v>
          </cell>
          <cell r="L597">
            <v>3240145</v>
          </cell>
          <cell r="M597">
            <v>50000</v>
          </cell>
        </row>
        <row r="598">
          <cell r="A598" t="str">
            <v>A488080</v>
          </cell>
          <cell r="B598" t="str">
            <v>595</v>
          </cell>
          <cell r="C598" t="str">
            <v>488080</v>
          </cell>
          <cell r="D598" t="str">
            <v>TIGER 반도체TOP10레버리지</v>
          </cell>
          <cell r="E598">
            <v>41335.980000000003</v>
          </cell>
          <cell r="F598">
            <v>41210</v>
          </cell>
          <cell r="G598" t="str">
            <v>3,530 ( 9.37%)</v>
          </cell>
          <cell r="H598">
            <v>1119374</v>
          </cell>
          <cell r="I598" t="str">
            <v>주식-업종섹터</v>
          </cell>
          <cell r="J598">
            <v>20</v>
          </cell>
          <cell r="K598">
            <v>26003</v>
          </cell>
          <cell r="L598">
            <v>-946529579</v>
          </cell>
          <cell r="M598">
            <v>50000</v>
          </cell>
        </row>
        <row r="599">
          <cell r="A599" t="str">
            <v>A488200</v>
          </cell>
          <cell r="B599" t="str">
            <v>596</v>
          </cell>
          <cell r="C599" t="str">
            <v>488200</v>
          </cell>
          <cell r="D599" t="str">
            <v>KIWOOM K-2차전지북미공급망</v>
          </cell>
          <cell r="E599">
            <v>10914.18</v>
          </cell>
          <cell r="F599">
            <v>10900</v>
          </cell>
          <cell r="G599" t="str">
            <v>355 ( 3.37%)</v>
          </cell>
          <cell r="H599">
            <v>1668</v>
          </cell>
          <cell r="I599" t="str">
            <v>주식-업종섹터</v>
          </cell>
          <cell r="J599">
            <v>15</v>
          </cell>
          <cell r="K599">
            <v>4196</v>
          </cell>
          <cell r="L599">
            <v>2221650</v>
          </cell>
          <cell r="M599">
            <v>50000</v>
          </cell>
        </row>
        <row r="600">
          <cell r="A600" t="str">
            <v>A488210</v>
          </cell>
          <cell r="B600" t="str">
            <v>597</v>
          </cell>
          <cell r="C600" t="str">
            <v>488210</v>
          </cell>
          <cell r="D600" t="str">
            <v>KIWOOM K-반도체북미공급망</v>
          </cell>
          <cell r="E600">
            <v>21925.73</v>
          </cell>
          <cell r="F600">
            <v>21930</v>
          </cell>
          <cell r="G600" t="str">
            <v>920 ( 4.38%)</v>
          </cell>
          <cell r="H600">
            <v>3278</v>
          </cell>
          <cell r="I600" t="str">
            <v>주식-업종섹터</v>
          </cell>
          <cell r="J600">
            <v>15</v>
          </cell>
          <cell r="K600">
            <v>21482</v>
          </cell>
          <cell r="L600">
            <v>-4791921</v>
          </cell>
          <cell r="M600">
            <v>50000</v>
          </cell>
        </row>
        <row r="601">
          <cell r="A601" t="str">
            <v>A488720</v>
          </cell>
          <cell r="B601" t="str">
            <v>598</v>
          </cell>
          <cell r="C601" t="str">
            <v>488720</v>
          </cell>
          <cell r="D601" t="str">
            <v>WON 종합채권(AA-이상)액티브</v>
          </cell>
          <cell r="E601">
            <v>48419.19</v>
          </cell>
          <cell r="F601">
            <v>48410</v>
          </cell>
          <cell r="G601" t="str">
            <v>40 ( 0.08%)</v>
          </cell>
          <cell r="H601">
            <v>5</v>
          </cell>
          <cell r="I601" t="str">
            <v>채권-혼합</v>
          </cell>
          <cell r="J601">
            <v>35</v>
          </cell>
          <cell r="K601">
            <v>0</v>
          </cell>
          <cell r="L601">
            <v>12257111</v>
          </cell>
          <cell r="M601">
            <v>2000</v>
          </cell>
        </row>
        <row r="602">
          <cell r="A602" t="str">
            <v>A488770</v>
          </cell>
          <cell r="B602" t="str">
            <v>599</v>
          </cell>
          <cell r="C602" t="str">
            <v>488770</v>
          </cell>
          <cell r="D602" t="str">
            <v>KODEX 머니마켓액티브</v>
          </cell>
          <cell r="E602">
            <v>104990.61</v>
          </cell>
          <cell r="F602">
            <v>104985</v>
          </cell>
          <cell r="G602" t="str">
            <v>10 ( 0.01%)</v>
          </cell>
          <cell r="H602">
            <v>445239</v>
          </cell>
          <cell r="I602" t="str">
            <v>채권-혼합</v>
          </cell>
          <cell r="J602">
            <v>482</v>
          </cell>
          <cell r="K602">
            <v>0</v>
          </cell>
          <cell r="L602">
            <v>27803855</v>
          </cell>
          <cell r="M602">
            <v>1000</v>
          </cell>
        </row>
        <row r="603">
          <cell r="A603" t="str">
            <v>A488980</v>
          </cell>
          <cell r="B603" t="str">
            <v>600</v>
          </cell>
          <cell r="C603" t="str">
            <v>488980</v>
          </cell>
          <cell r="D603" t="str">
            <v>SOL 26-12 회사채(AA-이상)액티브</v>
          </cell>
          <cell r="E603">
            <v>51921.85</v>
          </cell>
          <cell r="F603">
            <v>51915</v>
          </cell>
          <cell r="G603" t="str">
            <v>0 ( 0.00%)</v>
          </cell>
          <cell r="H603">
            <v>184</v>
          </cell>
          <cell r="I603" t="str">
            <v>채권-혼합</v>
          </cell>
          <cell r="J603">
            <v>30</v>
          </cell>
          <cell r="K603">
            <v>0</v>
          </cell>
          <cell r="L603">
            <v>-16261544</v>
          </cell>
          <cell r="M603">
            <v>2000</v>
          </cell>
        </row>
        <row r="604">
          <cell r="A604" t="str">
            <v>A489030</v>
          </cell>
          <cell r="B604" t="str">
            <v>601</v>
          </cell>
          <cell r="C604" t="str">
            <v>489030</v>
          </cell>
          <cell r="D604" t="str">
            <v>PLUS 고배당주위클리커버드콜</v>
          </cell>
          <cell r="E604">
            <v>6673.27</v>
          </cell>
          <cell r="F604">
            <v>6705</v>
          </cell>
          <cell r="G604" t="str">
            <v>75 ( 1.11%)</v>
          </cell>
          <cell r="H604">
            <v>355555</v>
          </cell>
          <cell r="I604" t="str">
            <v>주식-전략</v>
          </cell>
          <cell r="J604">
            <v>32</v>
          </cell>
          <cell r="K604">
            <v>7739</v>
          </cell>
          <cell r="L604">
            <v>44040731</v>
          </cell>
          <cell r="M604">
            <v>50000</v>
          </cell>
        </row>
        <row r="605">
          <cell r="A605" t="str">
            <v>A490480</v>
          </cell>
          <cell r="B605" t="str">
            <v>602</v>
          </cell>
          <cell r="C605" t="str">
            <v>490480</v>
          </cell>
          <cell r="D605" t="str">
            <v>SOL K방산</v>
          </cell>
          <cell r="E605">
            <v>27109.13</v>
          </cell>
          <cell r="F605">
            <v>27090</v>
          </cell>
          <cell r="G605" t="str">
            <v>350 ( 1.31%)</v>
          </cell>
          <cell r="H605">
            <v>46882</v>
          </cell>
          <cell r="I605" t="str">
            <v>주식-업종섹터</v>
          </cell>
          <cell r="J605">
            <v>10</v>
          </cell>
          <cell r="K605">
            <v>8074</v>
          </cell>
          <cell r="L605">
            <v>829060</v>
          </cell>
          <cell r="M605">
            <v>50000</v>
          </cell>
        </row>
        <row r="606">
          <cell r="A606" t="str">
            <v>A491220</v>
          </cell>
          <cell r="B606" t="str">
            <v>603</v>
          </cell>
          <cell r="C606" t="str">
            <v>491220</v>
          </cell>
          <cell r="D606" t="str">
            <v>PLUS 200TR</v>
          </cell>
          <cell r="E606">
            <v>129108.01</v>
          </cell>
          <cell r="F606">
            <v>129305</v>
          </cell>
          <cell r="G606" t="str">
            <v>6,125 ( 4.97%)</v>
          </cell>
          <cell r="H606">
            <v>19076</v>
          </cell>
          <cell r="I606" t="str">
            <v>주식-시장대표</v>
          </cell>
          <cell r="J606">
            <v>199</v>
          </cell>
          <cell r="K606">
            <v>34011</v>
          </cell>
          <cell r="L606">
            <v>-8418621</v>
          </cell>
          <cell r="M606">
            <v>50000</v>
          </cell>
        </row>
        <row r="607">
          <cell r="A607" t="str">
            <v>A491230</v>
          </cell>
          <cell r="B607" t="str">
            <v>604</v>
          </cell>
          <cell r="C607" t="str">
            <v>491230</v>
          </cell>
          <cell r="D607" t="str">
            <v>PLUS 국공채머니마켓액티브</v>
          </cell>
          <cell r="E607">
            <v>52307.59</v>
          </cell>
          <cell r="F607">
            <v>52315</v>
          </cell>
          <cell r="G607" t="str">
            <v>15 ( 0.03%)</v>
          </cell>
          <cell r="H607">
            <v>918</v>
          </cell>
          <cell r="I607" t="str">
            <v>채권-혼합</v>
          </cell>
          <cell r="J607">
            <v>8</v>
          </cell>
          <cell r="K607">
            <v>0</v>
          </cell>
          <cell r="L607">
            <v>34641472</v>
          </cell>
          <cell r="M607">
            <v>2000</v>
          </cell>
        </row>
        <row r="608">
          <cell r="A608" t="str">
            <v>A491510</v>
          </cell>
          <cell r="B608" t="str">
            <v>605</v>
          </cell>
          <cell r="C608" t="str">
            <v>491510</v>
          </cell>
          <cell r="D608" t="str">
            <v>파워 K-주주가치액티브</v>
          </cell>
          <cell r="E608">
            <v>17617.990000000002</v>
          </cell>
          <cell r="F608">
            <v>17565</v>
          </cell>
          <cell r="G608" t="str">
            <v>280 ( 1.62%)</v>
          </cell>
          <cell r="H608">
            <v>42</v>
          </cell>
          <cell r="I608" t="str">
            <v>주식-전략</v>
          </cell>
          <cell r="J608">
            <v>65</v>
          </cell>
          <cell r="K608">
            <v>28386</v>
          </cell>
          <cell r="L608">
            <v>4748043</v>
          </cell>
          <cell r="M608">
            <v>50000</v>
          </cell>
        </row>
        <row r="609">
          <cell r="A609" t="str">
            <v>A491610</v>
          </cell>
          <cell r="B609" t="str">
            <v>606</v>
          </cell>
          <cell r="C609" t="str">
            <v>491610</v>
          </cell>
          <cell r="D609" t="str">
            <v>1Q CD금리액티브(합성)</v>
          </cell>
          <cell r="E609">
            <v>104447.72</v>
          </cell>
          <cell r="F609">
            <v>104500</v>
          </cell>
          <cell r="G609" t="str">
            <v>20 ( 0.02%)</v>
          </cell>
          <cell r="H609">
            <v>4255</v>
          </cell>
          <cell r="I609" t="str">
            <v>기타</v>
          </cell>
          <cell r="J609">
            <v>6</v>
          </cell>
          <cell r="K609">
            <v>4312723</v>
          </cell>
          <cell r="L609">
            <v>61435561</v>
          </cell>
          <cell r="M609">
            <v>1000</v>
          </cell>
        </row>
        <row r="610">
          <cell r="A610" t="str">
            <v>A491700</v>
          </cell>
          <cell r="B610" t="str">
            <v>607</v>
          </cell>
          <cell r="C610" t="str">
            <v>491700</v>
          </cell>
          <cell r="D610" t="str">
            <v>HK 200</v>
          </cell>
          <cell r="E610">
            <v>109666.85</v>
          </cell>
          <cell r="F610">
            <v>105640</v>
          </cell>
          <cell r="G610" t="str">
            <v>905 ( 0.86%)</v>
          </cell>
          <cell r="H610">
            <v>383</v>
          </cell>
          <cell r="I610" t="str">
            <v>주식-시장대표</v>
          </cell>
          <cell r="J610">
            <v>199</v>
          </cell>
          <cell r="K610">
            <v>28355</v>
          </cell>
          <cell r="L610">
            <v>73426439</v>
          </cell>
          <cell r="M610">
            <v>50000</v>
          </cell>
        </row>
        <row r="611">
          <cell r="A611" t="str">
            <v>A491820</v>
          </cell>
          <cell r="B611" t="str">
            <v>608</v>
          </cell>
          <cell r="C611" t="str">
            <v>491820</v>
          </cell>
          <cell r="D611" t="str">
            <v>HANARO 전력설비투자</v>
          </cell>
          <cell r="E611">
            <v>39903.949999999997</v>
          </cell>
          <cell r="F611">
            <v>39845</v>
          </cell>
          <cell r="G611" t="str">
            <v>1,495 ( 3.90%)</v>
          </cell>
          <cell r="H611">
            <v>111239</v>
          </cell>
          <cell r="I611" t="str">
            <v>주식-업종섹터</v>
          </cell>
          <cell r="J611">
            <v>13</v>
          </cell>
          <cell r="K611">
            <v>18901</v>
          </cell>
          <cell r="L611">
            <v>15584316</v>
          </cell>
          <cell r="M611">
            <v>50000</v>
          </cell>
        </row>
        <row r="612">
          <cell r="A612" t="str">
            <v>A492500</v>
          </cell>
          <cell r="B612" t="str">
            <v>609</v>
          </cell>
          <cell r="C612" t="str">
            <v>492500</v>
          </cell>
          <cell r="D612" t="str">
            <v>1Q 현대차그룹채권(A+이상)&amp;국고통안</v>
          </cell>
          <cell r="E612">
            <v>51081.59</v>
          </cell>
          <cell r="F612">
            <v>51085</v>
          </cell>
          <cell r="G612" t="str">
            <v>25 ( 0.05%)</v>
          </cell>
          <cell r="H612">
            <v>35</v>
          </cell>
          <cell r="I612" t="str">
            <v>채권-혼합</v>
          </cell>
          <cell r="J612">
            <v>9</v>
          </cell>
          <cell r="K612">
            <v>0</v>
          </cell>
          <cell r="L612">
            <v>-963354</v>
          </cell>
          <cell r="M612">
            <v>2000</v>
          </cell>
        </row>
        <row r="613">
          <cell r="A613" t="str">
            <v>A494220</v>
          </cell>
          <cell r="B613" t="str">
            <v>610</v>
          </cell>
          <cell r="C613" t="str">
            <v>494220</v>
          </cell>
          <cell r="D613" t="str">
            <v>UNICORN SK하이닉스밸류체인액티브</v>
          </cell>
          <cell r="E613">
            <v>49028.73</v>
          </cell>
          <cell r="F613">
            <v>48927</v>
          </cell>
          <cell r="G613" t="str">
            <v>1,232 ( 2.58%)</v>
          </cell>
          <cell r="H613">
            <v>217487</v>
          </cell>
          <cell r="I613" t="str">
            <v>주식-업종섹터</v>
          </cell>
          <cell r="J613">
            <v>22</v>
          </cell>
          <cell r="K613">
            <v>22190</v>
          </cell>
          <cell r="L613">
            <v>40715138</v>
          </cell>
          <cell r="M613">
            <v>50000</v>
          </cell>
        </row>
        <row r="614">
          <cell r="A614" t="str">
            <v>A494310</v>
          </cell>
          <cell r="B614" t="str">
            <v>611</v>
          </cell>
          <cell r="C614" t="str">
            <v>494310</v>
          </cell>
          <cell r="D614" t="str">
            <v>KODEX 반도체레버리지</v>
          </cell>
          <cell r="E614">
            <v>91260.95</v>
          </cell>
          <cell r="F614">
            <v>90935</v>
          </cell>
          <cell r="G614" t="str">
            <v>6,160 ( 7.27%)</v>
          </cell>
          <cell r="H614">
            <v>873018</v>
          </cell>
          <cell r="I614" t="str">
            <v>주식-업종섹터</v>
          </cell>
          <cell r="J614">
            <v>47</v>
          </cell>
          <cell r="K614">
            <v>42391</v>
          </cell>
          <cell r="L614">
            <v>-1833531503</v>
          </cell>
          <cell r="M614">
            <v>50000</v>
          </cell>
        </row>
        <row r="615">
          <cell r="A615" t="str">
            <v>A494330</v>
          </cell>
          <cell r="B615" t="str">
            <v>612</v>
          </cell>
          <cell r="C615" t="str">
            <v>494330</v>
          </cell>
          <cell r="D615" t="str">
            <v>ACE 라이프자산주주가치액티브</v>
          </cell>
          <cell r="E615">
            <v>31085.91</v>
          </cell>
          <cell r="F615">
            <v>31035</v>
          </cell>
          <cell r="G615" t="str">
            <v>180 ( 0.58%)</v>
          </cell>
          <cell r="H615">
            <v>13168</v>
          </cell>
          <cell r="I615" t="str">
            <v>주식-전략</v>
          </cell>
          <cell r="J615">
            <v>31</v>
          </cell>
          <cell r="K615">
            <v>32331</v>
          </cell>
          <cell r="L615">
            <v>491817212</v>
          </cell>
          <cell r="M615">
            <v>50000</v>
          </cell>
        </row>
        <row r="616">
          <cell r="A616" t="str">
            <v>A494670</v>
          </cell>
          <cell r="B616" t="str">
            <v>613</v>
          </cell>
          <cell r="C616" t="str">
            <v>494670</v>
          </cell>
          <cell r="D616" t="str">
            <v>TIGER 조선TOP10</v>
          </cell>
          <cell r="E616">
            <v>21076.45</v>
          </cell>
          <cell r="F616">
            <v>21065</v>
          </cell>
          <cell r="G616" t="str">
            <v>5 ( 0.02%)</v>
          </cell>
          <cell r="H616">
            <v>549718</v>
          </cell>
          <cell r="I616" t="str">
            <v>주식-업종섹터</v>
          </cell>
          <cell r="J616">
            <v>10</v>
          </cell>
          <cell r="K616">
            <v>15464</v>
          </cell>
          <cell r="L616">
            <v>7474683</v>
          </cell>
          <cell r="M616">
            <v>50000</v>
          </cell>
        </row>
        <row r="617">
          <cell r="A617" t="str">
            <v>A494890</v>
          </cell>
          <cell r="B617" t="str">
            <v>614</v>
          </cell>
          <cell r="C617" t="str">
            <v>494890</v>
          </cell>
          <cell r="D617" t="str">
            <v>KODEX 200액티브</v>
          </cell>
          <cell r="E617">
            <v>31437.59</v>
          </cell>
          <cell r="F617">
            <v>31430</v>
          </cell>
          <cell r="G617" t="str">
            <v>1,470 ( 4.91%)</v>
          </cell>
          <cell r="H617">
            <v>670053</v>
          </cell>
          <cell r="I617" t="str">
            <v>주식-시장대표</v>
          </cell>
          <cell r="J617">
            <v>189</v>
          </cell>
          <cell r="K617">
            <v>16373</v>
          </cell>
          <cell r="L617">
            <v>-18412551</v>
          </cell>
          <cell r="M617">
            <v>100000</v>
          </cell>
        </row>
        <row r="618">
          <cell r="A618" t="str">
            <v>A495040</v>
          </cell>
          <cell r="B618" t="str">
            <v>615</v>
          </cell>
          <cell r="C618" t="str">
            <v>495040</v>
          </cell>
          <cell r="D618" t="str">
            <v>PLUS 코리아밸류업</v>
          </cell>
          <cell r="E618">
            <v>32347.65</v>
          </cell>
          <cell r="F618">
            <v>32290</v>
          </cell>
          <cell r="G618" t="str">
            <v>1,140 ( 3.66%)</v>
          </cell>
          <cell r="H618">
            <v>3295</v>
          </cell>
          <cell r="I618" t="str">
            <v>주식-시장대표</v>
          </cell>
          <cell r="J618">
            <v>100</v>
          </cell>
          <cell r="K618">
            <v>9216</v>
          </cell>
          <cell r="L618">
            <v>3196519</v>
          </cell>
          <cell r="M618">
            <v>50000</v>
          </cell>
        </row>
        <row r="619">
          <cell r="A619" t="str">
            <v>A495050</v>
          </cell>
          <cell r="B619" t="str">
            <v>616</v>
          </cell>
          <cell r="C619" t="str">
            <v>495050</v>
          </cell>
          <cell r="D619" t="str">
            <v>RISE 코리아밸류업</v>
          </cell>
          <cell r="E619">
            <v>32821.71</v>
          </cell>
          <cell r="F619">
            <v>32780</v>
          </cell>
          <cell r="G619" t="str">
            <v>1,160 ( 3.67%)</v>
          </cell>
          <cell r="H619">
            <v>243124</v>
          </cell>
          <cell r="I619" t="str">
            <v>주식-시장대표</v>
          </cell>
          <cell r="J619">
            <v>100</v>
          </cell>
          <cell r="K619">
            <v>9381</v>
          </cell>
          <cell r="L619">
            <v>-1216088</v>
          </cell>
          <cell r="M619">
            <v>50000</v>
          </cell>
        </row>
        <row r="620">
          <cell r="A620" t="str">
            <v>A495060</v>
          </cell>
          <cell r="B620" t="str">
            <v>617</v>
          </cell>
          <cell r="C620" t="str">
            <v>495060</v>
          </cell>
          <cell r="D620" t="str">
            <v>TIME 코리아밸류업액티브</v>
          </cell>
          <cell r="E620">
            <v>30286.28</v>
          </cell>
          <cell r="F620">
            <v>30200</v>
          </cell>
          <cell r="G620" t="str">
            <v>1,025 ( 3.51%)</v>
          </cell>
          <cell r="H620">
            <v>128769</v>
          </cell>
          <cell r="I620" t="str">
            <v>주식-시장대표</v>
          </cell>
          <cell r="J620">
            <v>30</v>
          </cell>
          <cell r="K620">
            <v>5894</v>
          </cell>
          <cell r="L620">
            <v>12635182</v>
          </cell>
          <cell r="M620">
            <v>50000</v>
          </cell>
        </row>
        <row r="621">
          <cell r="A621" t="str">
            <v>A495230</v>
          </cell>
          <cell r="B621" t="str">
            <v>618</v>
          </cell>
          <cell r="C621" t="str">
            <v>495230</v>
          </cell>
          <cell r="D621" t="str">
            <v>KoAct 코리아밸류업액티브</v>
          </cell>
          <cell r="E621">
            <v>31736.61</v>
          </cell>
          <cell r="F621">
            <v>31680</v>
          </cell>
          <cell r="G621" t="str">
            <v>1,015 ( 3.31%)</v>
          </cell>
          <cell r="H621">
            <v>84653</v>
          </cell>
          <cell r="I621" t="str">
            <v>주식-시장대표</v>
          </cell>
          <cell r="J621">
            <v>59</v>
          </cell>
          <cell r="K621">
            <v>9772</v>
          </cell>
          <cell r="L621">
            <v>10134926</v>
          </cell>
          <cell r="M621">
            <v>50000</v>
          </cell>
        </row>
        <row r="622">
          <cell r="A622" t="str">
            <v>A495330</v>
          </cell>
          <cell r="B622" t="str">
            <v>619</v>
          </cell>
          <cell r="C622" t="str">
            <v>495330</v>
          </cell>
          <cell r="D622" t="str">
            <v>1Q 코리아밸류업</v>
          </cell>
          <cell r="E622">
            <v>32444.9</v>
          </cell>
          <cell r="F622">
            <v>32390</v>
          </cell>
          <cell r="G622" t="str">
            <v>1,045 ( 3.33%)</v>
          </cell>
          <cell r="H622">
            <v>20063</v>
          </cell>
          <cell r="I622" t="str">
            <v>주식-시장대표</v>
          </cell>
          <cell r="J622">
            <v>100</v>
          </cell>
          <cell r="K622">
            <v>18549</v>
          </cell>
          <cell r="L622">
            <v>626738</v>
          </cell>
          <cell r="M622">
            <v>100000</v>
          </cell>
        </row>
        <row r="623">
          <cell r="A623" t="str">
            <v>A495550</v>
          </cell>
          <cell r="B623" t="str">
            <v>620</v>
          </cell>
          <cell r="C623" t="str">
            <v>495550</v>
          </cell>
          <cell r="D623" t="str">
            <v>SOL 코리아밸류업TR</v>
          </cell>
          <cell r="E623">
            <v>33310.26</v>
          </cell>
          <cell r="F623">
            <v>33215</v>
          </cell>
          <cell r="G623" t="str">
            <v>1,060 ( 3.30%)</v>
          </cell>
          <cell r="H623">
            <v>19508</v>
          </cell>
          <cell r="I623" t="str">
            <v>주식-시장대표</v>
          </cell>
          <cell r="J623">
            <v>100</v>
          </cell>
          <cell r="K623">
            <v>9520</v>
          </cell>
          <cell r="L623">
            <v>-1764093</v>
          </cell>
          <cell r="M623">
            <v>50000</v>
          </cell>
        </row>
        <row r="624">
          <cell r="A624" t="str">
            <v>A495750</v>
          </cell>
          <cell r="B624" t="str">
            <v>621</v>
          </cell>
          <cell r="C624" t="str">
            <v>495750</v>
          </cell>
          <cell r="D624" t="str">
            <v>HANARO 코리아밸류업</v>
          </cell>
          <cell r="E624">
            <v>32624.78</v>
          </cell>
          <cell r="F624">
            <v>32630</v>
          </cell>
          <cell r="G624" t="str">
            <v>1,315 ( 4.20%)</v>
          </cell>
          <cell r="H624">
            <v>1923</v>
          </cell>
          <cell r="I624" t="str">
            <v>주식-시장대표</v>
          </cell>
          <cell r="J624">
            <v>100</v>
          </cell>
          <cell r="K624">
            <v>9272</v>
          </cell>
          <cell r="L624">
            <v>7888553</v>
          </cell>
          <cell r="M624">
            <v>50000</v>
          </cell>
        </row>
        <row r="625">
          <cell r="A625" t="str">
            <v>A495850</v>
          </cell>
          <cell r="B625" t="str">
            <v>622</v>
          </cell>
          <cell r="C625" t="str">
            <v>495850</v>
          </cell>
          <cell r="D625" t="str">
            <v>KODEX 코리아밸류업</v>
          </cell>
          <cell r="E625">
            <v>32629.64</v>
          </cell>
          <cell r="F625">
            <v>32565</v>
          </cell>
          <cell r="G625" t="str">
            <v>1,130 ( 3.59%)</v>
          </cell>
          <cell r="H625">
            <v>146615</v>
          </cell>
          <cell r="I625" t="str">
            <v>주식-시장대표</v>
          </cell>
          <cell r="J625">
            <v>100</v>
          </cell>
          <cell r="K625">
            <v>9304</v>
          </cell>
          <cell r="L625">
            <v>1626408</v>
          </cell>
          <cell r="M625">
            <v>50000</v>
          </cell>
        </row>
        <row r="626">
          <cell r="A626" t="str">
            <v>A496020</v>
          </cell>
          <cell r="B626" t="str">
            <v>623</v>
          </cell>
          <cell r="C626" t="str">
            <v>496020</v>
          </cell>
          <cell r="D626" t="str">
            <v>WON 전단채플러스액티브</v>
          </cell>
          <cell r="E626">
            <v>52240.31</v>
          </cell>
          <cell r="F626">
            <v>52240</v>
          </cell>
          <cell r="G626" t="str">
            <v>5 ( 0.01%)</v>
          </cell>
          <cell r="H626">
            <v>1271</v>
          </cell>
          <cell r="I626" t="str">
            <v>채권-혼합</v>
          </cell>
          <cell r="J626">
            <v>45</v>
          </cell>
          <cell r="K626">
            <v>0</v>
          </cell>
          <cell r="L626">
            <v>1993536</v>
          </cell>
          <cell r="M626">
            <v>2000</v>
          </cell>
        </row>
        <row r="627">
          <cell r="A627" t="str">
            <v>A496080</v>
          </cell>
          <cell r="B627" t="str">
            <v>624</v>
          </cell>
          <cell r="C627" t="str">
            <v>496080</v>
          </cell>
          <cell r="D627" t="str">
            <v>TIGER 코리아밸류업</v>
          </cell>
          <cell r="E627">
            <v>32664.17</v>
          </cell>
          <cell r="F627">
            <v>32645</v>
          </cell>
          <cell r="G627" t="str">
            <v>1,145 ( 3.63%)</v>
          </cell>
          <cell r="H627">
            <v>217792</v>
          </cell>
          <cell r="I627" t="str">
            <v>주식-시장대표</v>
          </cell>
          <cell r="J627">
            <v>100</v>
          </cell>
          <cell r="K627">
            <v>9235</v>
          </cell>
          <cell r="L627">
            <v>15947576</v>
          </cell>
          <cell r="M627">
            <v>50000</v>
          </cell>
        </row>
        <row r="628">
          <cell r="A628" t="str">
            <v>A496090</v>
          </cell>
          <cell r="B628" t="str">
            <v>625</v>
          </cell>
          <cell r="C628" t="str">
            <v>496090</v>
          </cell>
          <cell r="D628" t="str">
            <v>KIWOOM 코리아밸류업</v>
          </cell>
          <cell r="E628">
            <v>32659.96</v>
          </cell>
          <cell r="F628">
            <v>32680</v>
          </cell>
          <cell r="G628" t="str">
            <v>1,145 ( 3.63%)</v>
          </cell>
          <cell r="H628">
            <v>1683</v>
          </cell>
          <cell r="I628" t="str">
            <v>주식-시장대표</v>
          </cell>
          <cell r="J628">
            <v>100</v>
          </cell>
          <cell r="K628">
            <v>9296</v>
          </cell>
          <cell r="L628">
            <v>3821568</v>
          </cell>
          <cell r="M628">
            <v>50000</v>
          </cell>
        </row>
        <row r="629">
          <cell r="A629" t="str">
            <v>A496120</v>
          </cell>
          <cell r="B629" t="str">
            <v>626</v>
          </cell>
          <cell r="C629" t="str">
            <v>496120</v>
          </cell>
          <cell r="D629" t="str">
            <v>ACE 코리아밸류업</v>
          </cell>
          <cell r="E629">
            <v>33908.47</v>
          </cell>
          <cell r="F629">
            <v>33860</v>
          </cell>
          <cell r="G629" t="str">
            <v>1,115 ( 3.41%)</v>
          </cell>
          <cell r="H629">
            <v>2993</v>
          </cell>
          <cell r="I629" t="str">
            <v>주식-시장대표</v>
          </cell>
          <cell r="J629">
            <v>100</v>
          </cell>
          <cell r="K629">
            <v>9663</v>
          </cell>
          <cell r="L629">
            <v>1673918</v>
          </cell>
          <cell r="M629">
            <v>50000</v>
          </cell>
        </row>
        <row r="630">
          <cell r="A630" t="str">
            <v>A496130</v>
          </cell>
          <cell r="B630" t="str">
            <v>627</v>
          </cell>
          <cell r="C630" t="str">
            <v>496130</v>
          </cell>
          <cell r="D630" t="str">
            <v>TRUSTON 코리아밸류업액티브</v>
          </cell>
          <cell r="E630">
            <v>25683.78</v>
          </cell>
          <cell r="F630">
            <v>25735</v>
          </cell>
          <cell r="G630" t="str">
            <v>1,245 ( 5.08%)</v>
          </cell>
          <cell r="H630">
            <v>292</v>
          </cell>
          <cell r="I630" t="str">
            <v>주식-시장대표</v>
          </cell>
          <cell r="J630">
            <v>38</v>
          </cell>
          <cell r="K630">
            <v>3322</v>
          </cell>
          <cell r="L630">
            <v>9215019</v>
          </cell>
          <cell r="M630">
            <v>20000</v>
          </cell>
        </row>
        <row r="631">
          <cell r="A631" t="str">
            <v>A497880</v>
          </cell>
          <cell r="B631" t="str">
            <v>628</v>
          </cell>
          <cell r="C631" t="str">
            <v>497880</v>
          </cell>
          <cell r="D631" t="str">
            <v>SOL CD금리&amp;머니마켓액티브</v>
          </cell>
          <cell r="E631">
            <v>50116.82</v>
          </cell>
          <cell r="F631">
            <v>50120</v>
          </cell>
          <cell r="G631" t="str">
            <v>5 ( 0.01%)</v>
          </cell>
          <cell r="H631">
            <v>82815</v>
          </cell>
          <cell r="I631" t="str">
            <v>채권-혼합</v>
          </cell>
          <cell r="J631">
            <v>39</v>
          </cell>
          <cell r="K631">
            <v>0</v>
          </cell>
          <cell r="L631">
            <v>-3418899</v>
          </cell>
          <cell r="M631">
            <v>2000</v>
          </cell>
        </row>
        <row r="632">
          <cell r="A632" t="str">
            <v>A498050</v>
          </cell>
          <cell r="B632" t="str">
            <v>629</v>
          </cell>
          <cell r="C632" t="str">
            <v>498050</v>
          </cell>
          <cell r="D632" t="str">
            <v>HANARO 바이오코리아액티브</v>
          </cell>
          <cell r="E632">
            <v>10270.91</v>
          </cell>
          <cell r="F632">
            <v>10285</v>
          </cell>
          <cell r="G632" t="str">
            <v>5 ( 0.05%)</v>
          </cell>
          <cell r="H632">
            <v>2167</v>
          </cell>
          <cell r="I632" t="str">
            <v>주식-업종섹터</v>
          </cell>
          <cell r="J632">
            <v>26</v>
          </cell>
          <cell r="K632">
            <v>7612</v>
          </cell>
          <cell r="L632">
            <v>30097387</v>
          </cell>
          <cell r="M632">
            <v>50000</v>
          </cell>
        </row>
        <row r="633">
          <cell r="A633" t="str">
            <v>A498180</v>
          </cell>
          <cell r="B633" t="str">
            <v>630</v>
          </cell>
          <cell r="C633" t="str">
            <v>498180</v>
          </cell>
          <cell r="D633" t="str">
            <v>파워 종합채권(AA-이상)액티브</v>
          </cell>
          <cell r="E633">
            <v>92980.52</v>
          </cell>
          <cell r="F633">
            <v>92975</v>
          </cell>
          <cell r="G633" t="str">
            <v>20 ( 0.02%)</v>
          </cell>
          <cell r="H633">
            <v>1</v>
          </cell>
          <cell r="I633" t="str">
            <v>채권-혼합</v>
          </cell>
          <cell r="J633">
            <v>59</v>
          </cell>
          <cell r="K633">
            <v>0</v>
          </cell>
          <cell r="L633">
            <v>-8525659</v>
          </cell>
          <cell r="M633">
            <v>1000</v>
          </cell>
        </row>
        <row r="634">
          <cell r="A634" t="str">
            <v>A498400</v>
          </cell>
          <cell r="B634" t="str">
            <v>631</v>
          </cell>
          <cell r="C634" t="str">
            <v>498400</v>
          </cell>
          <cell r="D634" t="str">
            <v>KODEX 200타겟위클리커버드콜</v>
          </cell>
          <cell r="E634">
            <v>20912.97</v>
          </cell>
          <cell r="F634">
            <v>20880</v>
          </cell>
          <cell r="G634" t="str">
            <v>900 ( 4.50%)</v>
          </cell>
          <cell r="H634">
            <v>6994157</v>
          </cell>
          <cell r="I634" t="str">
            <v>주식-전략</v>
          </cell>
          <cell r="J634">
            <v>200</v>
          </cell>
          <cell r="K634">
            <v>12185</v>
          </cell>
          <cell r="L634">
            <v>11893821</v>
          </cell>
          <cell r="M634">
            <v>100000</v>
          </cell>
        </row>
        <row r="635">
          <cell r="A635" t="str">
            <v>A498410</v>
          </cell>
          <cell r="B635" t="str">
            <v>632</v>
          </cell>
          <cell r="C635" t="str">
            <v>498410</v>
          </cell>
          <cell r="D635" t="str">
            <v>KODEX 금융고배당TOP10타겟위클리커버드콜</v>
          </cell>
          <cell r="E635">
            <v>12172.67</v>
          </cell>
          <cell r="F635">
            <v>12175</v>
          </cell>
          <cell r="G635" t="str">
            <v>60 ( 0.50%)</v>
          </cell>
          <cell r="H635">
            <v>898285</v>
          </cell>
          <cell r="I635" t="str">
            <v>주식-전략</v>
          </cell>
          <cell r="J635">
            <v>13</v>
          </cell>
          <cell r="K635">
            <v>23841</v>
          </cell>
          <cell r="L635">
            <v>20148668</v>
          </cell>
          <cell r="M635">
            <v>100000</v>
          </cell>
        </row>
        <row r="636">
          <cell r="A636" t="str">
            <v>A498860</v>
          </cell>
          <cell r="B636" t="str">
            <v>633</v>
          </cell>
          <cell r="C636" t="str">
            <v>498860</v>
          </cell>
          <cell r="D636" t="str">
            <v>RISE 코리아금융고배당</v>
          </cell>
          <cell r="E636">
            <v>17314.27</v>
          </cell>
          <cell r="F636">
            <v>17300</v>
          </cell>
          <cell r="G636" t="str">
            <v>250 ( 1.47%)</v>
          </cell>
          <cell r="H636">
            <v>7223</v>
          </cell>
          <cell r="I636" t="str">
            <v>주식-전략</v>
          </cell>
          <cell r="J636">
            <v>13</v>
          </cell>
          <cell r="K636">
            <v>24790</v>
          </cell>
          <cell r="L636">
            <v>-6580960</v>
          </cell>
          <cell r="M636">
            <v>50000</v>
          </cell>
        </row>
        <row r="637">
          <cell r="A637" t="str">
            <v>A499660</v>
          </cell>
          <cell r="B637" t="str">
            <v>634</v>
          </cell>
          <cell r="C637" t="str">
            <v>499660</v>
          </cell>
          <cell r="D637" t="str">
            <v>TIGER CD금리플러스액티브(합성)</v>
          </cell>
          <cell r="E637">
            <v>1001861.39</v>
          </cell>
          <cell r="F637">
            <v>1001862</v>
          </cell>
          <cell r="G637" t="str">
            <v>77 ( 0.01%)</v>
          </cell>
          <cell r="H637">
            <v>8403</v>
          </cell>
          <cell r="I637" t="str">
            <v>기타</v>
          </cell>
          <cell r="J637">
            <v>3</v>
          </cell>
          <cell r="K637">
            <v>27234722</v>
          </cell>
          <cell r="L637">
            <v>72934897</v>
          </cell>
          <cell r="M637">
            <v>100</v>
          </cell>
        </row>
        <row r="638">
          <cell r="A638" t="str">
            <v>A</v>
          </cell>
          <cell r="E638"/>
          <cell r="F638"/>
          <cell r="H638"/>
          <cell r="K638"/>
          <cell r="L638"/>
          <cell r="M638"/>
        </row>
        <row r="639">
          <cell r="A639" t="str">
            <v>A</v>
          </cell>
          <cell r="E639"/>
          <cell r="F639"/>
          <cell r="H639"/>
          <cell r="K639"/>
          <cell r="L639"/>
          <cell r="M639"/>
        </row>
        <row r="640">
          <cell r="A640" t="str">
            <v>A</v>
          </cell>
          <cell r="E640"/>
          <cell r="F640"/>
          <cell r="H640"/>
          <cell r="K640"/>
          <cell r="L640"/>
          <cell r="M640"/>
        </row>
        <row r="641">
          <cell r="A641" t="str">
            <v>A</v>
          </cell>
          <cell r="E641"/>
          <cell r="F641"/>
          <cell r="H641"/>
          <cell r="K641"/>
          <cell r="L641"/>
          <cell r="M641"/>
        </row>
        <row r="642">
          <cell r="A642" t="str">
            <v>A</v>
          </cell>
          <cell r="E642"/>
          <cell r="F642"/>
          <cell r="H642"/>
          <cell r="K642"/>
          <cell r="L642"/>
          <cell r="M642"/>
        </row>
        <row r="643">
          <cell r="A643" t="str">
            <v>A</v>
          </cell>
          <cell r="E643"/>
          <cell r="F643"/>
          <cell r="H643"/>
          <cell r="K643"/>
          <cell r="L643"/>
          <cell r="M643"/>
        </row>
        <row r="644">
          <cell r="A644" t="str">
            <v>A</v>
          </cell>
          <cell r="E644"/>
          <cell r="F644"/>
          <cell r="H644"/>
          <cell r="K644"/>
          <cell r="L644"/>
          <cell r="M644"/>
        </row>
        <row r="645">
          <cell r="A645" t="str">
            <v>A</v>
          </cell>
          <cell r="E645"/>
          <cell r="F645"/>
          <cell r="H645"/>
          <cell r="K645"/>
          <cell r="L645"/>
          <cell r="M645"/>
        </row>
        <row r="646">
          <cell r="A646" t="str">
            <v>A</v>
          </cell>
          <cell r="E646"/>
          <cell r="F646"/>
          <cell r="H646"/>
          <cell r="K646"/>
          <cell r="L646"/>
          <cell r="M646"/>
        </row>
        <row r="647">
          <cell r="A647" t="str">
            <v>A</v>
          </cell>
          <cell r="E647"/>
          <cell r="F647"/>
          <cell r="H647"/>
          <cell r="K647"/>
          <cell r="L647"/>
          <cell r="M647"/>
        </row>
        <row r="648">
          <cell r="A648" t="str">
            <v>A</v>
          </cell>
          <cell r="E648"/>
          <cell r="F648"/>
          <cell r="H648"/>
          <cell r="K648"/>
          <cell r="L648"/>
          <cell r="M648"/>
        </row>
        <row r="649">
          <cell r="A649" t="str">
            <v>A</v>
          </cell>
          <cell r="E649"/>
          <cell r="F649"/>
          <cell r="H649"/>
          <cell r="K649"/>
          <cell r="L649"/>
          <cell r="M649"/>
        </row>
        <row r="650">
          <cell r="A650" t="str">
            <v>A</v>
          </cell>
          <cell r="E650"/>
          <cell r="F650"/>
          <cell r="H650"/>
          <cell r="K650"/>
          <cell r="L650"/>
          <cell r="M650"/>
        </row>
        <row r="651">
          <cell r="A651" t="str">
            <v>A</v>
          </cell>
          <cell r="E651"/>
          <cell r="F651"/>
          <cell r="H651"/>
          <cell r="K651"/>
          <cell r="L651"/>
          <cell r="M651"/>
        </row>
        <row r="652">
          <cell r="A652" t="str">
            <v>A</v>
          </cell>
          <cell r="E652"/>
          <cell r="F652"/>
          <cell r="H652"/>
          <cell r="K652"/>
          <cell r="L652"/>
          <cell r="M652"/>
        </row>
        <row r="653">
          <cell r="A653" t="str">
            <v>A</v>
          </cell>
          <cell r="E653"/>
          <cell r="F653"/>
          <cell r="H653"/>
          <cell r="K653"/>
          <cell r="L653"/>
          <cell r="M653"/>
        </row>
        <row r="654">
          <cell r="A654" t="str">
            <v>A</v>
          </cell>
          <cell r="E654"/>
          <cell r="F654"/>
          <cell r="H654"/>
          <cell r="K654"/>
          <cell r="L654"/>
          <cell r="M654"/>
        </row>
        <row r="655">
          <cell r="A655" t="str">
            <v>A</v>
          </cell>
          <cell r="E655"/>
          <cell r="F655"/>
          <cell r="H655"/>
          <cell r="K655"/>
          <cell r="L655"/>
          <cell r="M655"/>
        </row>
        <row r="656">
          <cell r="A656" t="str">
            <v>A</v>
          </cell>
          <cell r="E656"/>
          <cell r="F656"/>
          <cell r="H656"/>
          <cell r="K656"/>
          <cell r="L656"/>
          <cell r="M656"/>
        </row>
        <row r="657">
          <cell r="A657" t="str">
            <v>A</v>
          </cell>
          <cell r="E657"/>
          <cell r="F657"/>
          <cell r="H657"/>
          <cell r="K657"/>
          <cell r="L657"/>
          <cell r="M657"/>
        </row>
        <row r="658">
          <cell r="A658" t="str">
            <v>A</v>
          </cell>
          <cell r="E658"/>
          <cell r="F658"/>
          <cell r="H658"/>
          <cell r="K658"/>
          <cell r="L658"/>
          <cell r="M658"/>
        </row>
        <row r="659">
          <cell r="A659" t="str">
            <v>A</v>
          </cell>
          <cell r="E659"/>
          <cell r="F659"/>
          <cell r="H659"/>
          <cell r="K659"/>
          <cell r="L659"/>
          <cell r="M659"/>
        </row>
        <row r="660">
          <cell r="A660" t="str">
            <v>A</v>
          </cell>
          <cell r="E660"/>
          <cell r="F660"/>
          <cell r="H660"/>
          <cell r="K660"/>
          <cell r="L660"/>
          <cell r="M660"/>
        </row>
        <row r="661">
          <cell r="A661" t="str">
            <v>A</v>
          </cell>
          <cell r="E661"/>
          <cell r="F661"/>
          <cell r="H661"/>
          <cell r="K661"/>
          <cell r="L661"/>
          <cell r="M661"/>
        </row>
        <row r="662">
          <cell r="A662" t="str">
            <v>A</v>
          </cell>
          <cell r="E662"/>
          <cell r="F662"/>
          <cell r="H662"/>
          <cell r="K662"/>
          <cell r="L662"/>
          <cell r="M662"/>
        </row>
        <row r="663">
          <cell r="A663" t="str">
            <v>A</v>
          </cell>
          <cell r="E663"/>
          <cell r="F663"/>
          <cell r="H663"/>
          <cell r="K663"/>
          <cell r="L663"/>
          <cell r="M663"/>
        </row>
        <row r="664">
          <cell r="A664" t="str">
            <v>A</v>
          </cell>
          <cell r="E664"/>
          <cell r="F664"/>
          <cell r="H664"/>
          <cell r="K664"/>
          <cell r="L664"/>
          <cell r="M664"/>
        </row>
        <row r="665">
          <cell r="A665" t="str">
            <v>A</v>
          </cell>
          <cell r="E665"/>
          <cell r="F665"/>
          <cell r="H665"/>
          <cell r="K665"/>
          <cell r="L665"/>
          <cell r="M665"/>
        </row>
        <row r="666">
          <cell r="A666" t="str">
            <v>A</v>
          </cell>
          <cell r="E666"/>
          <cell r="F666"/>
          <cell r="H666"/>
          <cell r="K666"/>
          <cell r="L666"/>
          <cell r="M666"/>
        </row>
        <row r="667">
          <cell r="A667" t="str">
            <v>A</v>
          </cell>
          <cell r="E667"/>
          <cell r="F667"/>
          <cell r="H667"/>
          <cell r="K667"/>
          <cell r="L667"/>
          <cell r="M667"/>
        </row>
        <row r="668">
          <cell r="A668" t="str">
            <v>A</v>
          </cell>
          <cell r="E668"/>
          <cell r="F668"/>
          <cell r="H668"/>
          <cell r="K668"/>
          <cell r="L668"/>
          <cell r="M668"/>
        </row>
        <row r="669">
          <cell r="A669" t="str">
            <v>A</v>
          </cell>
          <cell r="E669"/>
          <cell r="F669"/>
          <cell r="H669"/>
          <cell r="K669"/>
          <cell r="L669"/>
          <cell r="M669"/>
        </row>
        <row r="670">
          <cell r="A670" t="str">
            <v>A</v>
          </cell>
          <cell r="E670"/>
          <cell r="F670"/>
          <cell r="K670"/>
          <cell r="L670"/>
          <cell r="M670"/>
        </row>
        <row r="671">
          <cell r="A671" t="str">
            <v>A</v>
          </cell>
          <cell r="E671"/>
          <cell r="F671"/>
          <cell r="K671"/>
          <cell r="L671"/>
          <cell r="M671"/>
        </row>
        <row r="672">
          <cell r="A672" t="str">
            <v>A</v>
          </cell>
          <cell r="E672"/>
          <cell r="F672"/>
          <cell r="H672"/>
          <cell r="L672"/>
          <cell r="M672"/>
        </row>
        <row r="673">
          <cell r="A673" t="str">
            <v>A</v>
          </cell>
          <cell r="E673"/>
          <cell r="F673"/>
          <cell r="H673"/>
          <cell r="K673"/>
          <cell r="L673"/>
          <cell r="M673"/>
        </row>
        <row r="674">
          <cell r="A674" t="str">
            <v>A</v>
          </cell>
          <cell r="E674"/>
          <cell r="F674"/>
          <cell r="H674"/>
          <cell r="K674"/>
          <cell r="L674"/>
          <cell r="M674"/>
        </row>
        <row r="675">
          <cell r="A675" t="str">
            <v>A</v>
          </cell>
          <cell r="E675"/>
          <cell r="F675"/>
          <cell r="H675"/>
          <cell r="K675"/>
          <cell r="L675"/>
          <cell r="M675"/>
        </row>
        <row r="676">
          <cell r="A676" t="str">
            <v>A</v>
          </cell>
          <cell r="E676"/>
          <cell r="F676"/>
          <cell r="H676"/>
          <cell r="K676"/>
          <cell r="L676"/>
          <cell r="M676"/>
        </row>
        <row r="677">
          <cell r="A677" t="str">
            <v>A</v>
          </cell>
          <cell r="E677"/>
          <cell r="F677"/>
          <cell r="H677"/>
          <cell r="K677"/>
          <cell r="L677"/>
          <cell r="M677"/>
        </row>
        <row r="678">
          <cell r="A678" t="str">
            <v>A</v>
          </cell>
          <cell r="E678"/>
          <cell r="F678"/>
          <cell r="H678"/>
          <cell r="K678"/>
          <cell r="L678"/>
          <cell r="M678"/>
        </row>
        <row r="679">
          <cell r="A679" t="str">
            <v>A</v>
          </cell>
          <cell r="E679"/>
          <cell r="F679"/>
          <cell r="H679"/>
          <cell r="K679"/>
          <cell r="L679"/>
          <cell r="M679"/>
        </row>
        <row r="680">
          <cell r="A680" t="str">
            <v>A</v>
          </cell>
          <cell r="E680"/>
          <cell r="F680"/>
          <cell r="H680"/>
          <cell r="K680"/>
          <cell r="L680"/>
          <cell r="M680"/>
        </row>
        <row r="681">
          <cell r="A681" t="str">
            <v>A</v>
          </cell>
          <cell r="E681"/>
          <cell r="F681"/>
          <cell r="H681"/>
          <cell r="K681"/>
          <cell r="L681"/>
          <cell r="M681"/>
        </row>
        <row r="682">
          <cell r="A682" t="str">
            <v>A</v>
          </cell>
          <cell r="E682"/>
          <cell r="F682"/>
          <cell r="H682"/>
          <cell r="K682"/>
          <cell r="L682"/>
          <cell r="M682"/>
        </row>
        <row r="683">
          <cell r="A683" t="str">
            <v>A</v>
          </cell>
          <cell r="E683"/>
          <cell r="F683"/>
          <cell r="H683"/>
          <cell r="K683"/>
          <cell r="L683"/>
          <cell r="M683"/>
        </row>
        <row r="684">
          <cell r="A684" t="str">
            <v>A</v>
          </cell>
          <cell r="E684"/>
          <cell r="F684"/>
          <cell r="K684"/>
          <cell r="L684"/>
          <cell r="M684"/>
        </row>
        <row r="685">
          <cell r="A685" t="str">
            <v>A</v>
          </cell>
          <cell r="E685"/>
          <cell r="F685"/>
          <cell r="H685"/>
          <cell r="K685"/>
          <cell r="L685"/>
          <cell r="M685"/>
        </row>
        <row r="686">
          <cell r="A686" t="str">
            <v>A</v>
          </cell>
          <cell r="E686"/>
          <cell r="F686"/>
          <cell r="H686"/>
          <cell r="K686"/>
          <cell r="L686"/>
          <cell r="M686"/>
        </row>
        <row r="687">
          <cell r="A687" t="str">
            <v>A</v>
          </cell>
          <cell r="E687"/>
          <cell r="F687"/>
          <cell r="H687"/>
          <cell r="K687"/>
          <cell r="L687"/>
          <cell r="M687"/>
        </row>
        <row r="688">
          <cell r="A688" t="str">
            <v>A</v>
          </cell>
          <cell r="E688"/>
          <cell r="F688"/>
          <cell r="H688"/>
          <cell r="K688"/>
          <cell r="L688"/>
          <cell r="M688"/>
        </row>
        <row r="689">
          <cell r="A689" t="str">
            <v>A</v>
          </cell>
          <cell r="E689"/>
          <cell r="F689"/>
          <cell r="H689"/>
          <cell r="K689"/>
          <cell r="L689"/>
          <cell r="M689"/>
        </row>
        <row r="690">
          <cell r="A690" t="str">
            <v>A</v>
          </cell>
          <cell r="E690"/>
          <cell r="F690"/>
          <cell r="H690"/>
          <cell r="K690"/>
          <cell r="L690"/>
          <cell r="M690"/>
        </row>
        <row r="691">
          <cell r="A691" t="str">
            <v>A</v>
          </cell>
          <cell r="E691"/>
          <cell r="F691"/>
          <cell r="H691"/>
          <cell r="K691"/>
          <cell r="L691"/>
          <cell r="M691"/>
        </row>
        <row r="692">
          <cell r="A692" t="str">
            <v>A</v>
          </cell>
          <cell r="E692"/>
          <cell r="F692"/>
          <cell r="H692"/>
          <cell r="K692"/>
          <cell r="L692"/>
          <cell r="M692"/>
        </row>
        <row r="693">
          <cell r="A693" t="str">
            <v>A</v>
          </cell>
          <cell r="E693"/>
          <cell r="F693"/>
          <cell r="H693"/>
          <cell r="K693"/>
          <cell r="L693"/>
          <cell r="M693"/>
        </row>
        <row r="694">
          <cell r="A694" t="str">
            <v>A</v>
          </cell>
          <cell r="E694"/>
          <cell r="F694"/>
          <cell r="H694"/>
          <cell r="K694"/>
          <cell r="L694"/>
          <cell r="M694"/>
        </row>
        <row r="695">
          <cell r="A695" t="str">
            <v>A</v>
          </cell>
          <cell r="E695"/>
          <cell r="F695"/>
          <cell r="H695"/>
          <cell r="K695"/>
          <cell r="L695"/>
          <cell r="M695"/>
        </row>
        <row r="696">
          <cell r="A696" t="str">
            <v>A</v>
          </cell>
          <cell r="E696"/>
          <cell r="F696"/>
          <cell r="H696"/>
          <cell r="K696"/>
          <cell r="L696"/>
          <cell r="M696"/>
        </row>
        <row r="697">
          <cell r="A697" t="str">
            <v>A</v>
          </cell>
          <cell r="E697"/>
          <cell r="F697"/>
          <cell r="H697"/>
          <cell r="K697"/>
          <cell r="L697"/>
          <cell r="M697"/>
        </row>
        <row r="698">
          <cell r="A698" t="str">
            <v>A</v>
          </cell>
          <cell r="E698"/>
          <cell r="F698"/>
          <cell r="H698"/>
          <cell r="K698"/>
          <cell r="L698"/>
          <cell r="M698"/>
        </row>
        <row r="699">
          <cell r="A699" t="str">
            <v>A</v>
          </cell>
          <cell r="E699"/>
          <cell r="F699"/>
          <cell r="H699"/>
          <cell r="K699"/>
          <cell r="L699"/>
          <cell r="M699"/>
        </row>
        <row r="700">
          <cell r="A700" t="str">
            <v>A</v>
          </cell>
          <cell r="E700"/>
          <cell r="F700"/>
          <cell r="H700"/>
          <cell r="K700"/>
          <cell r="L700"/>
          <cell r="M700"/>
        </row>
        <row r="701">
          <cell r="A701" t="str">
            <v>A</v>
          </cell>
          <cell r="E701"/>
          <cell r="F701"/>
          <cell r="H701"/>
          <cell r="K701"/>
          <cell r="L701"/>
          <cell r="M701"/>
        </row>
        <row r="702">
          <cell r="A702" t="str">
            <v>A</v>
          </cell>
          <cell r="E702"/>
          <cell r="F702"/>
          <cell r="K702"/>
          <cell r="L702"/>
          <cell r="M702"/>
        </row>
        <row r="703">
          <cell r="A703" t="str">
            <v>A</v>
          </cell>
          <cell r="E703"/>
          <cell r="F703"/>
          <cell r="H703"/>
          <cell r="K703"/>
          <cell r="L703"/>
          <cell r="M703"/>
        </row>
        <row r="704">
          <cell r="A704" t="str">
            <v>A</v>
          </cell>
          <cell r="E704"/>
          <cell r="F704"/>
          <cell r="H704"/>
          <cell r="K704"/>
          <cell r="L704"/>
          <cell r="M704"/>
        </row>
        <row r="705">
          <cell r="A705" t="str">
            <v>A</v>
          </cell>
          <cell r="E705"/>
          <cell r="F705"/>
          <cell r="H705"/>
          <cell r="K705"/>
          <cell r="L705"/>
          <cell r="M705"/>
        </row>
        <row r="706">
          <cell r="A706" t="str">
            <v>A</v>
          </cell>
          <cell r="E706"/>
          <cell r="F706"/>
          <cell r="H706"/>
          <cell r="K706"/>
          <cell r="L706"/>
          <cell r="M706"/>
        </row>
        <row r="707">
          <cell r="A707" t="str">
            <v>A</v>
          </cell>
          <cell r="E707"/>
          <cell r="F707"/>
          <cell r="H707"/>
          <cell r="K707"/>
          <cell r="L707"/>
          <cell r="M707"/>
        </row>
        <row r="708">
          <cell r="A708" t="str">
            <v>A</v>
          </cell>
          <cell r="E708"/>
          <cell r="F708"/>
          <cell r="H708"/>
          <cell r="K708"/>
          <cell r="L708"/>
          <cell r="M708"/>
        </row>
        <row r="709">
          <cell r="A709" t="str">
            <v>A</v>
          </cell>
          <cell r="E709"/>
          <cell r="F709"/>
          <cell r="H709"/>
          <cell r="K709"/>
          <cell r="L709"/>
          <cell r="M709"/>
        </row>
        <row r="710">
          <cell r="A710" t="str">
            <v>A</v>
          </cell>
          <cell r="E710"/>
          <cell r="F710"/>
          <cell r="H710"/>
          <cell r="K710"/>
          <cell r="L710"/>
          <cell r="M710"/>
        </row>
        <row r="711">
          <cell r="A711" t="str">
            <v>A</v>
          </cell>
          <cell r="E711"/>
          <cell r="F711"/>
          <cell r="H711"/>
          <cell r="K711"/>
          <cell r="L711"/>
          <cell r="M711"/>
        </row>
        <row r="712">
          <cell r="A712" t="str">
            <v>A</v>
          </cell>
          <cell r="E712"/>
          <cell r="F712"/>
          <cell r="H712"/>
          <cell r="K712"/>
          <cell r="L712"/>
          <cell r="M712"/>
        </row>
        <row r="713">
          <cell r="A713" t="str">
            <v>A</v>
          </cell>
          <cell r="E713"/>
          <cell r="F713"/>
          <cell r="K713"/>
          <cell r="L713"/>
          <cell r="M713"/>
        </row>
        <row r="714">
          <cell r="A714" t="str">
            <v>A</v>
          </cell>
          <cell r="E714"/>
          <cell r="F714"/>
          <cell r="K714"/>
          <cell r="L714"/>
          <cell r="M714"/>
        </row>
        <row r="715">
          <cell r="A715" t="str">
            <v>A</v>
          </cell>
          <cell r="E715"/>
          <cell r="F715"/>
          <cell r="H715"/>
          <cell r="K715"/>
          <cell r="L715"/>
          <cell r="M715"/>
        </row>
        <row r="716">
          <cell r="A716" t="str">
            <v>A</v>
          </cell>
          <cell r="E716"/>
          <cell r="F716"/>
          <cell r="H716"/>
          <cell r="K716"/>
          <cell r="L716"/>
          <cell r="M716"/>
        </row>
        <row r="717">
          <cell r="A717" t="str">
            <v>A</v>
          </cell>
          <cell r="E717"/>
          <cell r="F717"/>
          <cell r="H717"/>
          <cell r="K717"/>
          <cell r="L717"/>
          <cell r="M717"/>
        </row>
        <row r="718">
          <cell r="A718" t="str">
            <v>A</v>
          </cell>
          <cell r="E718"/>
          <cell r="F718"/>
          <cell r="H718"/>
          <cell r="K718"/>
          <cell r="L718"/>
          <cell r="M718"/>
        </row>
        <row r="719">
          <cell r="A719" t="str">
            <v>A</v>
          </cell>
          <cell r="E719"/>
          <cell r="F719"/>
          <cell r="H719"/>
          <cell r="K719"/>
          <cell r="L719"/>
          <cell r="M719"/>
        </row>
        <row r="720">
          <cell r="A720" t="str">
            <v>A</v>
          </cell>
          <cell r="E720"/>
          <cell r="F720"/>
          <cell r="H720"/>
          <cell r="K720"/>
          <cell r="L720"/>
          <cell r="M720"/>
        </row>
        <row r="721">
          <cell r="A721" t="str">
            <v>A</v>
          </cell>
          <cell r="E721"/>
          <cell r="F721"/>
          <cell r="H721"/>
          <cell r="K721"/>
          <cell r="L721"/>
          <cell r="M721"/>
        </row>
        <row r="722">
          <cell r="A722" t="str">
            <v>A</v>
          </cell>
          <cell r="E722"/>
          <cell r="F722"/>
          <cell r="H722"/>
          <cell r="K722"/>
          <cell r="L722"/>
          <cell r="M722"/>
        </row>
        <row r="723">
          <cell r="A723" t="str">
            <v>A</v>
          </cell>
          <cell r="E723"/>
          <cell r="F723"/>
          <cell r="H723"/>
          <cell r="K723"/>
          <cell r="L723"/>
          <cell r="M723"/>
        </row>
        <row r="724">
          <cell r="A724" t="str">
            <v>A</v>
          </cell>
          <cell r="E724"/>
          <cell r="F724"/>
          <cell r="H724"/>
          <cell r="K724"/>
          <cell r="L724"/>
          <cell r="M724"/>
        </row>
        <row r="725">
          <cell r="A725" t="str">
            <v>A</v>
          </cell>
          <cell r="E725"/>
          <cell r="F725"/>
          <cell r="H725"/>
          <cell r="K725"/>
          <cell r="L725"/>
          <cell r="M725"/>
        </row>
        <row r="726">
          <cell r="A726" t="str">
            <v>A</v>
          </cell>
          <cell r="E726"/>
          <cell r="F726"/>
          <cell r="H726"/>
          <cell r="K726"/>
          <cell r="L726"/>
          <cell r="M726"/>
        </row>
        <row r="727">
          <cell r="A727" t="str">
            <v>A</v>
          </cell>
          <cell r="E727"/>
          <cell r="F727"/>
          <cell r="H727"/>
          <cell r="K727"/>
          <cell r="L727"/>
          <cell r="M727"/>
        </row>
        <row r="728">
          <cell r="A728" t="str">
            <v>A</v>
          </cell>
          <cell r="E728"/>
          <cell r="F728"/>
          <cell r="H728"/>
          <cell r="K728"/>
          <cell r="L728"/>
          <cell r="M728"/>
        </row>
        <row r="729">
          <cell r="A729" t="str">
            <v>A</v>
          </cell>
          <cell r="E729"/>
          <cell r="F729"/>
          <cell r="H729"/>
          <cell r="K729"/>
          <cell r="L729"/>
          <cell r="M729"/>
        </row>
        <row r="730">
          <cell r="A730" t="str">
            <v>A</v>
          </cell>
          <cell r="E730"/>
          <cell r="F730"/>
          <cell r="H730"/>
          <cell r="K730"/>
          <cell r="L730"/>
          <cell r="M730"/>
        </row>
        <row r="731">
          <cell r="A731" t="str">
            <v>A</v>
          </cell>
          <cell r="E731"/>
          <cell r="F731"/>
          <cell r="H731"/>
          <cell r="K731"/>
          <cell r="L731"/>
          <cell r="M731"/>
        </row>
        <row r="732">
          <cell r="A732" t="str">
            <v>A</v>
          </cell>
          <cell r="E732"/>
          <cell r="F732"/>
          <cell r="H732"/>
          <cell r="K732"/>
          <cell r="L732"/>
          <cell r="M732"/>
        </row>
        <row r="733">
          <cell r="A733" t="str">
            <v>A</v>
          </cell>
          <cell r="E733"/>
          <cell r="F733"/>
          <cell r="H733"/>
          <cell r="K733"/>
          <cell r="L733"/>
          <cell r="M733"/>
        </row>
        <row r="734">
          <cell r="A734" t="str">
            <v>A</v>
          </cell>
          <cell r="E734"/>
          <cell r="F734"/>
          <cell r="H734"/>
          <cell r="K734"/>
          <cell r="L734"/>
          <cell r="M734"/>
        </row>
        <row r="735">
          <cell r="A735" t="str">
            <v>A</v>
          </cell>
          <cell r="E735"/>
          <cell r="F735"/>
          <cell r="H735"/>
          <cell r="K735"/>
          <cell r="L735"/>
          <cell r="M735"/>
        </row>
        <row r="736">
          <cell r="A736" t="str">
            <v>A</v>
          </cell>
          <cell r="E736"/>
          <cell r="F736"/>
          <cell r="H736"/>
          <cell r="K736"/>
          <cell r="L736"/>
          <cell r="M736"/>
        </row>
        <row r="737">
          <cell r="A737" t="str">
            <v>A</v>
          </cell>
          <cell r="E737"/>
          <cell r="F737"/>
          <cell r="H737"/>
          <cell r="K737"/>
          <cell r="L737"/>
          <cell r="M737"/>
        </row>
        <row r="738">
          <cell r="A738" t="str">
            <v>A</v>
          </cell>
          <cell r="E738"/>
          <cell r="F738"/>
          <cell r="H738"/>
          <cell r="K738"/>
          <cell r="L738"/>
          <cell r="M738"/>
        </row>
        <row r="739">
          <cell r="A739" t="str">
            <v>A</v>
          </cell>
          <cell r="E739"/>
          <cell r="F739"/>
          <cell r="H739"/>
          <cell r="K739"/>
          <cell r="L739"/>
          <cell r="M739"/>
        </row>
        <row r="740">
          <cell r="A740" t="str">
            <v>A</v>
          </cell>
          <cell r="E740"/>
          <cell r="F740"/>
          <cell r="H740"/>
          <cell r="K740"/>
          <cell r="L740"/>
          <cell r="M740"/>
        </row>
        <row r="741">
          <cell r="A741" t="str">
            <v>A</v>
          </cell>
          <cell r="E741"/>
          <cell r="F741"/>
          <cell r="H741"/>
          <cell r="K741"/>
          <cell r="L741"/>
          <cell r="M741"/>
        </row>
        <row r="742">
          <cell r="A742" t="str">
            <v>A</v>
          </cell>
          <cell r="E742"/>
          <cell r="F742"/>
          <cell r="H742"/>
          <cell r="K742"/>
          <cell r="L742"/>
          <cell r="M742"/>
        </row>
        <row r="743">
          <cell r="A743" t="str">
            <v>A</v>
          </cell>
          <cell r="E743"/>
          <cell r="F743"/>
          <cell r="H743"/>
          <cell r="K743"/>
          <cell r="L743"/>
          <cell r="M743"/>
        </row>
        <row r="744">
          <cell r="A744" t="str">
            <v>A</v>
          </cell>
          <cell r="E744"/>
          <cell r="F744"/>
          <cell r="H744"/>
          <cell r="K744"/>
          <cell r="L744"/>
          <cell r="M744"/>
        </row>
        <row r="745">
          <cell r="A745" t="str">
            <v>A</v>
          </cell>
          <cell r="E745"/>
          <cell r="F745"/>
          <cell r="H745"/>
          <cell r="K745"/>
          <cell r="L745"/>
          <cell r="M745"/>
        </row>
        <row r="746">
          <cell r="A746" t="str">
            <v>A</v>
          </cell>
          <cell r="E746"/>
          <cell r="F746"/>
          <cell r="H746"/>
          <cell r="K746"/>
          <cell r="L746"/>
          <cell r="M746"/>
        </row>
        <row r="747">
          <cell r="A747" t="str">
            <v>A</v>
          </cell>
          <cell r="E747"/>
          <cell r="F747"/>
          <cell r="H747"/>
          <cell r="K747"/>
          <cell r="L747"/>
          <cell r="M747"/>
        </row>
        <row r="748">
          <cell r="A748" t="str">
            <v>A</v>
          </cell>
          <cell r="E748"/>
          <cell r="F748"/>
          <cell r="H748"/>
          <cell r="K748"/>
          <cell r="L748"/>
          <cell r="M748"/>
        </row>
        <row r="749">
          <cell r="A749" t="str">
            <v>A</v>
          </cell>
          <cell r="E749"/>
          <cell r="F749"/>
          <cell r="H749"/>
          <cell r="K749"/>
          <cell r="L749"/>
          <cell r="M749"/>
        </row>
        <row r="750">
          <cell r="A750" t="str">
            <v>A</v>
          </cell>
          <cell r="E750"/>
          <cell r="F750"/>
          <cell r="H750"/>
          <cell r="K750"/>
          <cell r="L750"/>
          <cell r="M750"/>
        </row>
        <row r="751">
          <cell r="A751" t="str">
            <v>A</v>
          </cell>
          <cell r="E751"/>
          <cell r="F751"/>
          <cell r="H751"/>
          <cell r="K751"/>
          <cell r="L751"/>
          <cell r="M751"/>
        </row>
        <row r="752">
          <cell r="A752" t="str">
            <v>A</v>
          </cell>
          <cell r="E752"/>
          <cell r="F752"/>
          <cell r="K752"/>
          <cell r="L752"/>
          <cell r="M752"/>
        </row>
        <row r="753">
          <cell r="A753" t="str">
            <v>A</v>
          </cell>
          <cell r="E753"/>
          <cell r="F753"/>
          <cell r="H753"/>
          <cell r="K753"/>
          <cell r="L753"/>
          <cell r="M753"/>
        </row>
        <row r="754">
          <cell r="A754" t="str">
            <v>A</v>
          </cell>
          <cell r="E754"/>
          <cell r="F754"/>
          <cell r="K754"/>
          <cell r="L754"/>
          <cell r="M754"/>
        </row>
        <row r="755">
          <cell r="A755" t="str">
            <v>A</v>
          </cell>
          <cell r="E755"/>
          <cell r="F755"/>
          <cell r="H755"/>
          <cell r="K755"/>
          <cell r="L755"/>
          <cell r="M755"/>
        </row>
        <row r="756">
          <cell r="A756" t="str">
            <v>A</v>
          </cell>
          <cell r="E756"/>
          <cell r="F756"/>
          <cell r="H756"/>
          <cell r="K756"/>
          <cell r="L756"/>
          <cell r="M756"/>
        </row>
        <row r="757">
          <cell r="A757" t="str">
            <v>A</v>
          </cell>
          <cell r="E757"/>
          <cell r="F757"/>
          <cell r="H757"/>
          <cell r="K757"/>
          <cell r="L757"/>
          <cell r="M757"/>
        </row>
        <row r="758">
          <cell r="A758" t="str">
            <v>A</v>
          </cell>
          <cell r="E758"/>
          <cell r="F758"/>
          <cell r="H758"/>
          <cell r="L758"/>
          <cell r="M758"/>
        </row>
        <row r="759">
          <cell r="A759" t="str">
            <v>A</v>
          </cell>
          <cell r="E759"/>
          <cell r="F759"/>
          <cell r="H759"/>
          <cell r="K759"/>
          <cell r="L759"/>
          <cell r="M759"/>
        </row>
        <row r="760">
          <cell r="A760" t="str">
            <v>A</v>
          </cell>
          <cell r="E760"/>
          <cell r="F760"/>
          <cell r="H760"/>
          <cell r="K760"/>
          <cell r="L760"/>
          <cell r="M760"/>
        </row>
        <row r="761">
          <cell r="A761" t="str">
            <v>A</v>
          </cell>
          <cell r="E761"/>
          <cell r="F761"/>
          <cell r="H761"/>
          <cell r="K761"/>
          <cell r="L761"/>
          <cell r="M761"/>
        </row>
        <row r="762">
          <cell r="A762" t="str">
            <v>A</v>
          </cell>
          <cell r="E762"/>
          <cell r="F762"/>
          <cell r="H762"/>
          <cell r="K762"/>
          <cell r="L762"/>
          <cell r="M762"/>
        </row>
        <row r="763">
          <cell r="A763" t="str">
            <v>A</v>
          </cell>
          <cell r="E763"/>
          <cell r="F763"/>
          <cell r="H763"/>
          <cell r="K763"/>
          <cell r="L763"/>
          <cell r="M763"/>
        </row>
        <row r="764">
          <cell r="A764" t="str">
            <v>A</v>
          </cell>
          <cell r="E764"/>
          <cell r="F764"/>
          <cell r="H764"/>
          <cell r="K764"/>
          <cell r="L764"/>
          <cell r="M764"/>
        </row>
        <row r="765">
          <cell r="A765" t="str">
            <v>A</v>
          </cell>
          <cell r="E765"/>
          <cell r="F765"/>
          <cell r="H765"/>
          <cell r="K765"/>
          <cell r="L765"/>
          <cell r="M765"/>
        </row>
        <row r="766">
          <cell r="A766" t="str">
            <v>A</v>
          </cell>
          <cell r="E766"/>
          <cell r="F766"/>
          <cell r="H766"/>
          <cell r="K766"/>
          <cell r="L766"/>
          <cell r="M766"/>
        </row>
        <row r="767">
          <cell r="A767" t="str">
            <v>A</v>
          </cell>
          <cell r="E767"/>
          <cell r="F767"/>
          <cell r="H767"/>
          <cell r="K767"/>
          <cell r="L767"/>
          <cell r="M767"/>
        </row>
        <row r="768">
          <cell r="A768" t="str">
            <v>A</v>
          </cell>
          <cell r="E768"/>
          <cell r="F768"/>
          <cell r="H768"/>
          <cell r="K768"/>
          <cell r="L768"/>
          <cell r="M768"/>
        </row>
        <row r="769">
          <cell r="A769" t="str">
            <v>A</v>
          </cell>
          <cell r="E769"/>
          <cell r="F769"/>
          <cell r="H769"/>
          <cell r="K769"/>
          <cell r="L769"/>
          <cell r="M769"/>
        </row>
        <row r="770">
          <cell r="A770" t="str">
            <v>A</v>
          </cell>
          <cell r="E770"/>
          <cell r="F770"/>
          <cell r="H770"/>
          <cell r="K770"/>
          <cell r="L770"/>
          <cell r="M770"/>
        </row>
        <row r="771">
          <cell r="A771" t="str">
            <v>A</v>
          </cell>
          <cell r="E771"/>
          <cell r="F771"/>
          <cell r="H771"/>
          <cell r="K771"/>
          <cell r="L771"/>
          <cell r="M771"/>
        </row>
        <row r="772">
          <cell r="A772" t="str">
            <v>A</v>
          </cell>
          <cell r="E772"/>
          <cell r="F772"/>
          <cell r="H772"/>
          <cell r="K772"/>
          <cell r="L772"/>
          <cell r="M772"/>
        </row>
        <row r="773">
          <cell r="A773" t="str">
            <v>A</v>
          </cell>
          <cell r="E773"/>
          <cell r="F773"/>
          <cell r="H773"/>
          <cell r="K773"/>
          <cell r="L773"/>
          <cell r="M773"/>
        </row>
        <row r="774">
          <cell r="A774" t="str">
            <v>A</v>
          </cell>
          <cell r="E774"/>
          <cell r="F774"/>
          <cell r="H774"/>
          <cell r="K774"/>
          <cell r="L774"/>
          <cell r="M774"/>
        </row>
        <row r="775">
          <cell r="A775" t="str">
            <v>A</v>
          </cell>
          <cell r="E775"/>
          <cell r="F775"/>
          <cell r="H775"/>
          <cell r="K775"/>
          <cell r="L775"/>
          <cell r="M775"/>
        </row>
        <row r="776">
          <cell r="A776" t="str">
            <v>A</v>
          </cell>
          <cell r="E776"/>
          <cell r="F776"/>
          <cell r="H776"/>
          <cell r="K776"/>
          <cell r="L776"/>
          <cell r="M776"/>
        </row>
        <row r="777">
          <cell r="A777" t="str">
            <v>A</v>
          </cell>
          <cell r="E777"/>
          <cell r="F777"/>
          <cell r="H777"/>
          <cell r="K777"/>
          <cell r="L777"/>
          <cell r="M777"/>
        </row>
        <row r="778">
          <cell r="A778" t="str">
            <v>A</v>
          </cell>
          <cell r="E778"/>
          <cell r="F778"/>
          <cell r="H778"/>
          <cell r="K778"/>
          <cell r="L778"/>
          <cell r="M778"/>
        </row>
        <row r="779">
          <cell r="A779" t="str">
            <v>A</v>
          </cell>
          <cell r="E779"/>
          <cell r="F779"/>
          <cell r="H779"/>
          <cell r="K779"/>
          <cell r="L779"/>
          <cell r="M779"/>
        </row>
        <row r="780">
          <cell r="A780" t="str">
            <v>A</v>
          </cell>
          <cell r="E780"/>
          <cell r="F780"/>
          <cell r="H780"/>
          <cell r="K780"/>
          <cell r="L780"/>
          <cell r="M780"/>
        </row>
        <row r="781">
          <cell r="A781" t="str">
            <v>A</v>
          </cell>
          <cell r="E781"/>
          <cell r="F781"/>
          <cell r="H781"/>
          <cell r="K781"/>
          <cell r="L781"/>
          <cell r="M781"/>
        </row>
        <row r="782">
          <cell r="A782" t="str">
            <v>A</v>
          </cell>
          <cell r="E782"/>
          <cell r="F782"/>
          <cell r="H782"/>
          <cell r="K782"/>
          <cell r="L782"/>
          <cell r="M782"/>
        </row>
        <row r="783">
          <cell r="A783" t="str">
            <v>A</v>
          </cell>
          <cell r="E783"/>
          <cell r="F783"/>
          <cell r="H783"/>
          <cell r="K783"/>
          <cell r="L783"/>
          <cell r="M783"/>
        </row>
        <row r="784">
          <cell r="A784" t="str">
            <v>A</v>
          </cell>
          <cell r="E784"/>
          <cell r="F784"/>
          <cell r="H784"/>
          <cell r="K784"/>
          <cell r="L784"/>
          <cell r="M784"/>
        </row>
        <row r="785">
          <cell r="A785" t="str">
            <v>A</v>
          </cell>
          <cell r="E785"/>
          <cell r="F785"/>
          <cell r="H785"/>
          <cell r="K785"/>
          <cell r="L785"/>
          <cell r="M785"/>
        </row>
        <row r="786">
          <cell r="A786" t="str">
            <v>A</v>
          </cell>
          <cell r="E786"/>
          <cell r="F786"/>
          <cell r="H786"/>
          <cell r="K786"/>
          <cell r="L786"/>
          <cell r="M786"/>
        </row>
        <row r="787">
          <cell r="A787" t="str">
            <v>A</v>
          </cell>
          <cell r="E787"/>
          <cell r="F787"/>
          <cell r="H787"/>
          <cell r="K787"/>
          <cell r="L787"/>
          <cell r="M787"/>
        </row>
        <row r="788">
          <cell r="A788" t="str">
            <v>A</v>
          </cell>
          <cell r="E788"/>
          <cell r="F788"/>
          <cell r="H788"/>
          <cell r="K788"/>
          <cell r="L788"/>
          <cell r="M788"/>
        </row>
        <row r="789">
          <cell r="A789" t="str">
            <v>A</v>
          </cell>
          <cell r="E789"/>
          <cell r="F789"/>
          <cell r="H789"/>
          <cell r="K789"/>
          <cell r="L789"/>
          <cell r="M789"/>
        </row>
        <row r="790">
          <cell r="A790" t="str">
            <v>A</v>
          </cell>
          <cell r="E790"/>
          <cell r="F790"/>
          <cell r="H790"/>
          <cell r="K790"/>
          <cell r="L790"/>
          <cell r="M790"/>
        </row>
        <row r="791">
          <cell r="A791" t="str">
            <v>A</v>
          </cell>
          <cell r="E791"/>
          <cell r="F791"/>
          <cell r="H791"/>
          <cell r="K791"/>
          <cell r="L791"/>
          <cell r="M791"/>
        </row>
        <row r="792">
          <cell r="A792" t="str">
            <v>A</v>
          </cell>
          <cell r="E792"/>
          <cell r="F792"/>
          <cell r="H792"/>
          <cell r="K792"/>
          <cell r="L792"/>
          <cell r="M792"/>
        </row>
        <row r="793">
          <cell r="A793" t="str">
            <v>A</v>
          </cell>
          <cell r="E793"/>
          <cell r="F793"/>
          <cell r="H793"/>
          <cell r="L793"/>
          <cell r="M793"/>
        </row>
        <row r="794">
          <cell r="A794" t="str">
            <v>A</v>
          </cell>
          <cell r="E794"/>
          <cell r="F794"/>
          <cell r="H794"/>
          <cell r="L794"/>
          <cell r="M794"/>
        </row>
        <row r="795">
          <cell r="A795" t="str">
            <v>A</v>
          </cell>
          <cell r="E795"/>
          <cell r="F795"/>
          <cell r="H795"/>
          <cell r="K795"/>
          <cell r="L795"/>
          <cell r="M795"/>
        </row>
        <row r="796">
          <cell r="A796" t="str">
            <v>A</v>
          </cell>
          <cell r="E796"/>
          <cell r="F796"/>
          <cell r="H796"/>
          <cell r="K796"/>
          <cell r="L796"/>
          <cell r="M796"/>
        </row>
        <row r="797">
          <cell r="A797" t="str">
            <v>A</v>
          </cell>
          <cell r="E797"/>
          <cell r="F797"/>
          <cell r="H797"/>
          <cell r="K797"/>
          <cell r="L797"/>
          <cell r="M797"/>
        </row>
        <row r="798">
          <cell r="A798" t="str">
            <v>A</v>
          </cell>
          <cell r="E798"/>
          <cell r="F798"/>
          <cell r="H798"/>
          <cell r="K798"/>
          <cell r="L798"/>
          <cell r="M798"/>
        </row>
        <row r="799">
          <cell r="A799" t="str">
            <v>A</v>
          </cell>
          <cell r="E799"/>
          <cell r="F799"/>
          <cell r="H799"/>
          <cell r="K799"/>
          <cell r="L799"/>
          <cell r="M799"/>
        </row>
        <row r="800">
          <cell r="A800" t="str">
            <v>A</v>
          </cell>
          <cell r="E800"/>
          <cell r="F800"/>
          <cell r="H800"/>
          <cell r="K800"/>
          <cell r="L800"/>
          <cell r="M800"/>
        </row>
        <row r="801">
          <cell r="A801" t="str">
            <v>A</v>
          </cell>
          <cell r="E801"/>
          <cell r="F801"/>
          <cell r="H801"/>
          <cell r="K801"/>
          <cell r="L801"/>
          <cell r="M801"/>
        </row>
        <row r="802">
          <cell r="A802" t="str">
            <v>A</v>
          </cell>
          <cell r="E802"/>
          <cell r="F802"/>
          <cell r="H802"/>
          <cell r="K802"/>
          <cell r="L802"/>
          <cell r="M802"/>
        </row>
        <row r="803">
          <cell r="A803" t="str">
            <v>A</v>
          </cell>
          <cell r="E803"/>
          <cell r="F803"/>
          <cell r="H803"/>
          <cell r="K803"/>
          <cell r="L803"/>
          <cell r="M803"/>
        </row>
        <row r="804">
          <cell r="A804" t="str">
            <v>A</v>
          </cell>
          <cell r="E804"/>
          <cell r="F804"/>
          <cell r="H804"/>
          <cell r="K804"/>
          <cell r="L804"/>
          <cell r="M804"/>
        </row>
        <row r="805">
          <cell r="A805" t="str">
            <v>A</v>
          </cell>
          <cell r="E805"/>
          <cell r="F805"/>
          <cell r="H805"/>
          <cell r="K805"/>
          <cell r="L805"/>
          <cell r="M805"/>
        </row>
        <row r="806">
          <cell r="A806" t="str">
            <v>A</v>
          </cell>
          <cell r="E806"/>
          <cell r="F806"/>
          <cell r="H806"/>
          <cell r="K806"/>
          <cell r="L806"/>
          <cell r="M806"/>
        </row>
        <row r="807">
          <cell r="A807" t="str">
            <v>A</v>
          </cell>
          <cell r="E807"/>
          <cell r="F807"/>
          <cell r="H807"/>
          <cell r="K807"/>
          <cell r="L807"/>
          <cell r="M807"/>
        </row>
        <row r="808">
          <cell r="A808" t="str">
            <v>A</v>
          </cell>
          <cell r="E808"/>
          <cell r="F808"/>
          <cell r="H808"/>
          <cell r="K808"/>
          <cell r="L808"/>
          <cell r="M808"/>
        </row>
        <row r="809">
          <cell r="A809" t="str">
            <v>A</v>
          </cell>
          <cell r="E809"/>
          <cell r="F809"/>
          <cell r="H809"/>
          <cell r="K809"/>
          <cell r="L809"/>
          <cell r="M809"/>
        </row>
        <row r="810">
          <cell r="A810" t="str">
            <v>A</v>
          </cell>
          <cell r="E810"/>
          <cell r="F810"/>
          <cell r="K810"/>
          <cell r="L810"/>
          <cell r="M810"/>
        </row>
        <row r="811">
          <cell r="A811" t="str">
            <v>A</v>
          </cell>
          <cell r="E811"/>
          <cell r="F811"/>
          <cell r="H811"/>
          <cell r="K811"/>
          <cell r="L811"/>
          <cell r="M811"/>
        </row>
        <row r="812">
          <cell r="A812" t="str">
            <v>A</v>
          </cell>
          <cell r="E812"/>
          <cell r="F812"/>
          <cell r="H812"/>
          <cell r="K812"/>
          <cell r="L812"/>
          <cell r="M812"/>
        </row>
        <row r="813">
          <cell r="A813" t="str">
            <v>A</v>
          </cell>
          <cell r="E813"/>
          <cell r="F813"/>
          <cell r="H813"/>
          <cell r="K813"/>
          <cell r="L813"/>
          <cell r="M813"/>
        </row>
        <row r="814">
          <cell r="A814" t="str">
            <v>A</v>
          </cell>
          <cell r="E814"/>
          <cell r="F814"/>
          <cell r="H814"/>
          <cell r="K814"/>
          <cell r="L814"/>
          <cell r="M814"/>
        </row>
        <row r="815">
          <cell r="A815" t="str">
            <v>A</v>
          </cell>
          <cell r="E815"/>
          <cell r="F815"/>
          <cell r="H815"/>
          <cell r="K815"/>
          <cell r="L815"/>
          <cell r="M815"/>
        </row>
        <row r="816">
          <cell r="A816" t="str">
            <v>A</v>
          </cell>
          <cell r="E816"/>
          <cell r="F816"/>
          <cell r="H816"/>
          <cell r="K816"/>
          <cell r="L816"/>
          <cell r="M816"/>
        </row>
        <row r="817">
          <cell r="A817" t="str">
            <v>A</v>
          </cell>
          <cell r="E817"/>
          <cell r="F817"/>
          <cell r="H817"/>
          <cell r="K817"/>
          <cell r="L817"/>
          <cell r="M817"/>
        </row>
        <row r="818">
          <cell r="A818" t="str">
            <v>A</v>
          </cell>
          <cell r="E818"/>
          <cell r="F818"/>
          <cell r="H818"/>
          <cell r="K818"/>
          <cell r="L818"/>
          <cell r="M818"/>
        </row>
        <row r="819">
          <cell r="A819" t="str">
            <v>A</v>
          </cell>
          <cell r="E819"/>
          <cell r="F819"/>
          <cell r="H819"/>
          <cell r="K819"/>
          <cell r="L819"/>
          <cell r="M819"/>
        </row>
        <row r="820">
          <cell r="A820" t="str">
            <v>A</v>
          </cell>
          <cell r="E820"/>
          <cell r="F820"/>
          <cell r="H820"/>
          <cell r="K820"/>
          <cell r="L820"/>
          <cell r="M820"/>
        </row>
        <row r="821">
          <cell r="A821" t="str">
            <v>A</v>
          </cell>
          <cell r="E821"/>
          <cell r="F821"/>
          <cell r="H821"/>
          <cell r="K821"/>
          <cell r="L821"/>
          <cell r="M821"/>
        </row>
        <row r="822">
          <cell r="A822" t="str">
            <v>A</v>
          </cell>
          <cell r="E822"/>
          <cell r="F822"/>
          <cell r="H822"/>
          <cell r="K822"/>
          <cell r="L822"/>
          <cell r="M822"/>
        </row>
        <row r="823">
          <cell r="A823" t="str">
            <v>A</v>
          </cell>
          <cell r="E823"/>
          <cell r="F823"/>
          <cell r="H823"/>
          <cell r="K823"/>
          <cell r="L823"/>
          <cell r="M823"/>
        </row>
        <row r="824">
          <cell r="A824" t="str">
            <v>A</v>
          </cell>
          <cell r="E824"/>
          <cell r="F824"/>
          <cell r="H824"/>
          <cell r="K824"/>
          <cell r="L824"/>
          <cell r="M824"/>
        </row>
        <row r="825">
          <cell r="A825" t="str">
            <v>A</v>
          </cell>
          <cell r="E825"/>
          <cell r="F825"/>
          <cell r="H825"/>
          <cell r="K825"/>
          <cell r="L825"/>
          <cell r="M825"/>
        </row>
        <row r="826">
          <cell r="A826" t="str">
            <v>A</v>
          </cell>
          <cell r="E826"/>
          <cell r="F826"/>
          <cell r="H826"/>
          <cell r="K826"/>
          <cell r="L826"/>
          <cell r="M826"/>
        </row>
        <row r="827">
          <cell r="A827" t="str">
            <v>A</v>
          </cell>
          <cell r="E827"/>
          <cell r="F827"/>
          <cell r="H827"/>
          <cell r="K827"/>
          <cell r="L827"/>
          <cell r="M827"/>
        </row>
        <row r="828">
          <cell r="A828" t="str">
            <v>A</v>
          </cell>
          <cell r="E828"/>
          <cell r="F828"/>
          <cell r="H828"/>
          <cell r="K828"/>
          <cell r="L828"/>
          <cell r="M828"/>
        </row>
        <row r="829">
          <cell r="A829" t="str">
            <v>A</v>
          </cell>
          <cell r="E829"/>
          <cell r="F829"/>
          <cell r="H829"/>
          <cell r="K829"/>
          <cell r="L829"/>
          <cell r="M829"/>
        </row>
        <row r="830">
          <cell r="A830" t="str">
            <v>A</v>
          </cell>
          <cell r="E830"/>
          <cell r="F830"/>
          <cell r="H830"/>
          <cell r="K830"/>
          <cell r="L830"/>
          <cell r="M830"/>
        </row>
        <row r="831">
          <cell r="A831" t="str">
            <v>A</v>
          </cell>
          <cell r="E831"/>
          <cell r="F831"/>
          <cell r="H831"/>
          <cell r="K831"/>
          <cell r="L831"/>
          <cell r="M831"/>
        </row>
        <row r="832">
          <cell r="A832" t="str">
            <v>A</v>
          </cell>
          <cell r="E832"/>
          <cell r="F832"/>
          <cell r="H832"/>
          <cell r="K832"/>
          <cell r="L832"/>
          <cell r="M832"/>
        </row>
        <row r="833">
          <cell r="A833" t="str">
            <v>A</v>
          </cell>
          <cell r="E833"/>
          <cell r="F833"/>
          <cell r="H833"/>
          <cell r="K833"/>
          <cell r="L833"/>
          <cell r="M833"/>
        </row>
        <row r="834">
          <cell r="A834" t="str">
            <v>A</v>
          </cell>
          <cell r="E834"/>
          <cell r="F834"/>
          <cell r="H834"/>
          <cell r="K834"/>
          <cell r="L834"/>
          <cell r="M834"/>
        </row>
        <row r="835">
          <cell r="A835" t="str">
            <v>A</v>
          </cell>
          <cell r="E835"/>
          <cell r="F835"/>
          <cell r="H835"/>
          <cell r="K835"/>
          <cell r="L835"/>
          <cell r="M835"/>
        </row>
        <row r="836">
          <cell r="A836" t="str">
            <v>A</v>
          </cell>
          <cell r="E836"/>
          <cell r="F836"/>
          <cell r="H836"/>
          <cell r="K836"/>
          <cell r="L836"/>
          <cell r="M836"/>
        </row>
        <row r="837">
          <cell r="A837" t="str">
            <v>A</v>
          </cell>
          <cell r="E837"/>
          <cell r="F837"/>
          <cell r="H837"/>
          <cell r="K837"/>
          <cell r="L837"/>
          <cell r="M837"/>
        </row>
        <row r="838">
          <cell r="A838" t="str">
            <v>A</v>
          </cell>
          <cell r="E838"/>
          <cell r="F838"/>
          <cell r="H838"/>
          <cell r="K838"/>
          <cell r="L838"/>
          <cell r="M838"/>
        </row>
        <row r="839">
          <cell r="A839" t="str">
            <v>A</v>
          </cell>
          <cell r="E839"/>
          <cell r="F839"/>
          <cell r="H839"/>
          <cell r="K839"/>
          <cell r="L839"/>
          <cell r="M839"/>
        </row>
        <row r="840">
          <cell r="A840" t="str">
            <v>A</v>
          </cell>
          <cell r="E840"/>
          <cell r="F840"/>
          <cell r="K840"/>
          <cell r="L840"/>
          <cell r="M840"/>
        </row>
        <row r="841">
          <cell r="A841" t="str">
            <v>A</v>
          </cell>
          <cell r="E841"/>
          <cell r="F841"/>
          <cell r="H841"/>
          <cell r="K841"/>
          <cell r="L841"/>
          <cell r="M841"/>
        </row>
        <row r="842">
          <cell r="A842" t="str">
            <v>A</v>
          </cell>
          <cell r="E842"/>
          <cell r="F842"/>
          <cell r="H842"/>
          <cell r="K842"/>
          <cell r="L842"/>
          <cell r="M842"/>
        </row>
        <row r="843">
          <cell r="A843" t="str">
            <v>A</v>
          </cell>
          <cell r="E843"/>
          <cell r="F843"/>
          <cell r="H843"/>
          <cell r="K843"/>
          <cell r="L843"/>
          <cell r="M843"/>
        </row>
        <row r="844">
          <cell r="A844" t="str">
            <v>A</v>
          </cell>
          <cell r="E844"/>
          <cell r="F844"/>
          <cell r="H844"/>
          <cell r="K844"/>
          <cell r="L844"/>
          <cell r="M844"/>
        </row>
        <row r="845">
          <cell r="A845" t="str">
            <v>A</v>
          </cell>
          <cell r="E845"/>
          <cell r="F845"/>
          <cell r="H845"/>
          <cell r="K845"/>
          <cell r="L845"/>
          <cell r="M845"/>
        </row>
        <row r="846">
          <cell r="A846" t="str">
            <v>A</v>
          </cell>
          <cell r="E846"/>
          <cell r="F846"/>
          <cell r="H846"/>
          <cell r="K846"/>
          <cell r="L846"/>
          <cell r="M846"/>
        </row>
        <row r="847">
          <cell r="A847" t="str">
            <v>A</v>
          </cell>
          <cell r="E847"/>
          <cell r="F847"/>
          <cell r="H847"/>
          <cell r="K847"/>
          <cell r="L847"/>
          <cell r="M847"/>
        </row>
        <row r="848">
          <cell r="A848" t="str">
            <v>A</v>
          </cell>
          <cell r="E848"/>
          <cell r="F848"/>
          <cell r="H848"/>
          <cell r="K848"/>
          <cell r="L848"/>
          <cell r="M848"/>
        </row>
        <row r="849">
          <cell r="A849" t="str">
            <v>A</v>
          </cell>
          <cell r="E849"/>
          <cell r="F849"/>
          <cell r="H849"/>
          <cell r="K849"/>
          <cell r="L849"/>
          <cell r="M849"/>
        </row>
        <row r="850">
          <cell r="A850" t="str">
            <v>A</v>
          </cell>
          <cell r="E850"/>
          <cell r="F850"/>
          <cell r="H850"/>
          <cell r="K850"/>
          <cell r="L850"/>
          <cell r="M850"/>
        </row>
        <row r="851">
          <cell r="A851" t="str">
            <v>A</v>
          </cell>
          <cell r="E851"/>
          <cell r="F851"/>
          <cell r="H851"/>
          <cell r="K851"/>
          <cell r="L851"/>
          <cell r="M851"/>
        </row>
        <row r="852">
          <cell r="A852" t="str">
            <v>A</v>
          </cell>
          <cell r="E852"/>
          <cell r="F852"/>
          <cell r="H852"/>
          <cell r="K852"/>
          <cell r="L852"/>
          <cell r="M852"/>
        </row>
        <row r="853">
          <cell r="A853" t="str">
            <v>A</v>
          </cell>
          <cell r="E853"/>
          <cell r="F853"/>
          <cell r="H853"/>
          <cell r="K853"/>
          <cell r="L853"/>
          <cell r="M853"/>
        </row>
        <row r="854">
          <cell r="A854" t="str">
            <v>A</v>
          </cell>
          <cell r="E854"/>
          <cell r="F854"/>
          <cell r="H854"/>
          <cell r="K854"/>
          <cell r="L854"/>
          <cell r="M854"/>
        </row>
        <row r="855">
          <cell r="A855" t="str">
            <v>A</v>
          </cell>
          <cell r="E855"/>
          <cell r="F855"/>
          <cell r="H855"/>
          <cell r="K855"/>
          <cell r="L855"/>
          <cell r="M855"/>
        </row>
        <row r="856">
          <cell r="A856" t="str">
            <v>A</v>
          </cell>
          <cell r="E856"/>
          <cell r="F856"/>
          <cell r="H856"/>
          <cell r="K856"/>
          <cell r="L856"/>
          <cell r="M856"/>
        </row>
        <row r="857">
          <cell r="A857" t="str">
            <v>A</v>
          </cell>
          <cell r="E857"/>
          <cell r="F857"/>
          <cell r="H857"/>
          <cell r="K857"/>
          <cell r="L857"/>
          <cell r="M857"/>
        </row>
        <row r="858">
          <cell r="A858" t="str">
            <v>A</v>
          </cell>
          <cell r="E858"/>
          <cell r="F858"/>
          <cell r="H858"/>
          <cell r="K858"/>
          <cell r="L858"/>
          <cell r="M858"/>
        </row>
        <row r="859">
          <cell r="A859" t="str">
            <v>A</v>
          </cell>
          <cell r="E859"/>
          <cell r="F859"/>
          <cell r="H859"/>
          <cell r="K859"/>
          <cell r="L859"/>
          <cell r="M859"/>
        </row>
        <row r="860">
          <cell r="A860" t="str">
            <v>A</v>
          </cell>
          <cell r="E860"/>
          <cell r="F860"/>
          <cell r="H860"/>
          <cell r="K860"/>
          <cell r="L860"/>
          <cell r="M860"/>
        </row>
        <row r="861">
          <cell r="A861" t="str">
            <v>A</v>
          </cell>
          <cell r="E861"/>
          <cell r="F861"/>
          <cell r="H861"/>
          <cell r="K861"/>
          <cell r="L861"/>
          <cell r="M861"/>
        </row>
        <row r="862">
          <cell r="A862" t="str">
            <v>A</v>
          </cell>
          <cell r="E862"/>
          <cell r="F862"/>
          <cell r="H862"/>
          <cell r="K862"/>
          <cell r="L862"/>
          <cell r="M862"/>
        </row>
        <row r="863">
          <cell r="A863" t="str">
            <v>A</v>
          </cell>
          <cell r="E863"/>
          <cell r="F863"/>
          <cell r="H863"/>
          <cell r="K863"/>
          <cell r="L863"/>
          <cell r="M863"/>
        </row>
        <row r="864">
          <cell r="A864" t="str">
            <v>A</v>
          </cell>
          <cell r="E864"/>
          <cell r="F864"/>
          <cell r="H864"/>
          <cell r="K864"/>
          <cell r="L864"/>
          <cell r="M864"/>
        </row>
        <row r="865">
          <cell r="A865" t="str">
            <v>A</v>
          </cell>
          <cell r="E865"/>
          <cell r="F865"/>
          <cell r="H865"/>
          <cell r="K865"/>
          <cell r="L865"/>
          <cell r="M865"/>
        </row>
        <row r="866">
          <cell r="A866" t="str">
            <v>A</v>
          </cell>
          <cell r="E866"/>
          <cell r="F866"/>
          <cell r="H866"/>
          <cell r="K866"/>
          <cell r="L866"/>
          <cell r="M866"/>
        </row>
        <row r="867">
          <cell r="A867" t="str">
            <v>A</v>
          </cell>
          <cell r="E867"/>
          <cell r="F867"/>
          <cell r="H867"/>
          <cell r="K867"/>
          <cell r="L867"/>
          <cell r="M867"/>
        </row>
        <row r="868">
          <cell r="A868" t="str">
            <v>A</v>
          </cell>
          <cell r="E868"/>
          <cell r="F868"/>
          <cell r="H868"/>
          <cell r="K868"/>
          <cell r="L868"/>
          <cell r="M868"/>
        </row>
        <row r="869">
          <cell r="A869" t="str">
            <v>A</v>
          </cell>
          <cell r="E869"/>
          <cell r="F869"/>
          <cell r="H869"/>
          <cell r="K869"/>
          <cell r="L869"/>
          <cell r="M869"/>
        </row>
        <row r="870">
          <cell r="A870" t="str">
            <v>A</v>
          </cell>
          <cell r="E870"/>
          <cell r="F870"/>
          <cell r="H870"/>
          <cell r="K870"/>
          <cell r="L870"/>
          <cell r="M870"/>
        </row>
        <row r="871">
          <cell r="A871" t="str">
            <v>A</v>
          </cell>
          <cell r="E871"/>
          <cell r="F871"/>
          <cell r="H871"/>
          <cell r="K871"/>
          <cell r="L871"/>
          <cell r="M871"/>
        </row>
        <row r="872">
          <cell r="A872" t="str">
            <v>A</v>
          </cell>
          <cell r="E872"/>
          <cell r="F872"/>
          <cell r="H872"/>
          <cell r="K872"/>
          <cell r="L872"/>
          <cell r="M872"/>
        </row>
        <row r="873">
          <cell r="A873" t="str">
            <v>A</v>
          </cell>
          <cell r="E873"/>
          <cell r="F873"/>
          <cell r="H873"/>
          <cell r="K873"/>
          <cell r="L873"/>
          <cell r="M873"/>
        </row>
        <row r="874">
          <cell r="A874" t="str">
            <v>A</v>
          </cell>
          <cell r="E874"/>
          <cell r="F874"/>
          <cell r="H874"/>
          <cell r="K874"/>
          <cell r="L874"/>
          <cell r="M874"/>
        </row>
        <row r="875">
          <cell r="A875" t="str">
            <v>A</v>
          </cell>
          <cell r="E875"/>
          <cell r="F875"/>
          <cell r="H875"/>
          <cell r="K875"/>
          <cell r="L875"/>
          <cell r="M875"/>
        </row>
        <row r="876">
          <cell r="A876" t="str">
            <v>A</v>
          </cell>
          <cell r="E876"/>
          <cell r="F876"/>
          <cell r="H876"/>
          <cell r="K876"/>
          <cell r="L876"/>
          <cell r="M876"/>
        </row>
        <row r="877">
          <cell r="A877" t="str">
            <v>A</v>
          </cell>
          <cell r="E877"/>
          <cell r="F877"/>
          <cell r="H877"/>
          <cell r="K877"/>
          <cell r="L877"/>
          <cell r="M877"/>
        </row>
        <row r="878">
          <cell r="A878" t="str">
            <v>A</v>
          </cell>
          <cell r="E878"/>
          <cell r="F878"/>
          <cell r="H878"/>
          <cell r="K878"/>
          <cell r="L878"/>
          <cell r="M878"/>
        </row>
        <row r="879">
          <cell r="A879" t="str">
            <v>A</v>
          </cell>
          <cell r="E879"/>
          <cell r="F879"/>
          <cell r="H879"/>
          <cell r="K879"/>
          <cell r="L879"/>
          <cell r="M879"/>
        </row>
        <row r="880">
          <cell r="A880" t="str">
            <v>A</v>
          </cell>
          <cell r="E880"/>
          <cell r="F880"/>
          <cell r="H880"/>
          <cell r="K880"/>
          <cell r="L880"/>
          <cell r="M880"/>
        </row>
        <row r="881">
          <cell r="A881" t="str">
            <v>A</v>
          </cell>
          <cell r="E881"/>
          <cell r="F881"/>
          <cell r="H881"/>
          <cell r="K881"/>
          <cell r="L881"/>
          <cell r="M881"/>
        </row>
        <row r="882">
          <cell r="A882" t="str">
            <v>A</v>
          </cell>
          <cell r="E882"/>
          <cell r="F882"/>
          <cell r="H882"/>
          <cell r="L882"/>
          <cell r="M882"/>
        </row>
        <row r="883">
          <cell r="A883" t="str">
            <v>A</v>
          </cell>
          <cell r="E883"/>
          <cell r="F883"/>
          <cell r="H883"/>
          <cell r="K883"/>
          <cell r="L883"/>
          <cell r="M883"/>
        </row>
        <row r="884">
          <cell r="A884" t="str">
            <v>A</v>
          </cell>
          <cell r="E884"/>
          <cell r="F884"/>
          <cell r="H884"/>
          <cell r="K884"/>
          <cell r="L884"/>
          <cell r="M884"/>
        </row>
        <row r="885">
          <cell r="A885" t="str">
            <v>A</v>
          </cell>
          <cell r="E885"/>
          <cell r="F885"/>
          <cell r="K885"/>
          <cell r="L885"/>
          <cell r="M885"/>
        </row>
        <row r="886">
          <cell r="A886" t="str">
            <v>A</v>
          </cell>
          <cell r="E886"/>
          <cell r="F886"/>
          <cell r="H886"/>
          <cell r="K886"/>
          <cell r="L886"/>
          <cell r="M886"/>
        </row>
        <row r="887">
          <cell r="A887" t="str">
            <v>A</v>
          </cell>
          <cell r="E887"/>
          <cell r="F887"/>
          <cell r="H887"/>
          <cell r="K887"/>
          <cell r="L887"/>
          <cell r="M887"/>
        </row>
        <row r="888">
          <cell r="A888" t="str">
            <v>A</v>
          </cell>
          <cell r="E888"/>
          <cell r="F888"/>
          <cell r="H888"/>
          <cell r="K888"/>
          <cell r="L888"/>
          <cell r="M888"/>
        </row>
        <row r="889">
          <cell r="A889" t="str">
            <v>A</v>
          </cell>
          <cell r="E889"/>
          <cell r="F889"/>
          <cell r="H889"/>
          <cell r="K889"/>
          <cell r="L889"/>
          <cell r="M889"/>
        </row>
        <row r="890">
          <cell r="A890" t="str">
            <v>A</v>
          </cell>
          <cell r="E890"/>
          <cell r="F890"/>
          <cell r="H890"/>
          <cell r="K890"/>
          <cell r="L890"/>
          <cell r="M890"/>
        </row>
        <row r="891">
          <cell r="A891" t="str">
            <v>A</v>
          </cell>
          <cell r="E891"/>
          <cell r="F891"/>
          <cell r="H891"/>
          <cell r="K891"/>
          <cell r="L891"/>
          <cell r="M891"/>
        </row>
        <row r="892">
          <cell r="A892" t="str">
            <v>A</v>
          </cell>
          <cell r="E892"/>
          <cell r="F892"/>
          <cell r="H892"/>
          <cell r="K892"/>
          <cell r="L892"/>
          <cell r="M892"/>
        </row>
        <row r="893">
          <cell r="A893" t="str">
            <v>A</v>
          </cell>
          <cell r="E893"/>
          <cell r="F893"/>
          <cell r="H893"/>
          <cell r="K893"/>
          <cell r="L893"/>
          <cell r="M893"/>
        </row>
        <row r="894">
          <cell r="A894" t="str">
            <v>A</v>
          </cell>
          <cell r="E894"/>
          <cell r="F894"/>
          <cell r="H894"/>
          <cell r="K894"/>
          <cell r="L894"/>
          <cell r="M894"/>
        </row>
        <row r="895">
          <cell r="A895" t="str">
            <v>A</v>
          </cell>
          <cell r="E895"/>
          <cell r="F895"/>
          <cell r="H895"/>
          <cell r="K895"/>
          <cell r="L895"/>
          <cell r="M895"/>
        </row>
        <row r="896">
          <cell r="A896" t="str">
            <v>A</v>
          </cell>
          <cell r="E896"/>
          <cell r="F896"/>
          <cell r="H896"/>
          <cell r="K896"/>
          <cell r="L896"/>
          <cell r="M896"/>
        </row>
        <row r="897">
          <cell r="A897" t="str">
            <v>A</v>
          </cell>
          <cell r="E897"/>
          <cell r="F897"/>
          <cell r="H897"/>
          <cell r="K897"/>
          <cell r="L897"/>
          <cell r="M897"/>
        </row>
        <row r="898">
          <cell r="A898" t="str">
            <v>A</v>
          </cell>
          <cell r="E898"/>
          <cell r="F898"/>
          <cell r="H898"/>
          <cell r="K898"/>
          <cell r="L898"/>
          <cell r="M898"/>
        </row>
        <row r="899">
          <cell r="A899" t="str">
            <v>A</v>
          </cell>
          <cell r="E899"/>
          <cell r="F899"/>
          <cell r="H899"/>
          <cell r="K899"/>
          <cell r="L899"/>
          <cell r="M899"/>
        </row>
        <row r="900">
          <cell r="A900" t="str">
            <v>A</v>
          </cell>
          <cell r="E900"/>
          <cell r="F900"/>
          <cell r="H900"/>
          <cell r="K900"/>
          <cell r="L900"/>
          <cell r="M900"/>
        </row>
        <row r="901">
          <cell r="A901" t="str">
            <v>A</v>
          </cell>
          <cell r="E901"/>
          <cell r="F901"/>
          <cell r="H901"/>
          <cell r="K901"/>
          <cell r="L901"/>
          <cell r="M901"/>
        </row>
        <row r="902">
          <cell r="A902" t="str">
            <v>A</v>
          </cell>
          <cell r="E902"/>
          <cell r="F902"/>
          <cell r="H902"/>
          <cell r="K902"/>
          <cell r="L902"/>
          <cell r="M902"/>
        </row>
        <row r="903">
          <cell r="A903" t="str">
            <v>A</v>
          </cell>
          <cell r="E903"/>
          <cell r="F903"/>
          <cell r="H903"/>
          <cell r="K903"/>
          <cell r="L903"/>
          <cell r="M903"/>
        </row>
        <row r="904">
          <cell r="A904" t="str">
            <v>A</v>
          </cell>
          <cell r="E904"/>
          <cell r="F904"/>
          <cell r="H904"/>
          <cell r="K904"/>
          <cell r="L904"/>
          <cell r="M904"/>
        </row>
        <row r="905">
          <cell r="A905" t="str">
            <v>A</v>
          </cell>
          <cell r="E905"/>
          <cell r="F905"/>
          <cell r="H905"/>
          <cell r="K905"/>
          <cell r="L905"/>
          <cell r="M905"/>
        </row>
        <row r="906">
          <cell r="A906" t="str">
            <v>A</v>
          </cell>
          <cell r="E906"/>
          <cell r="F906"/>
          <cell r="H906"/>
          <cell r="K906"/>
          <cell r="L906"/>
          <cell r="M906"/>
        </row>
        <row r="907">
          <cell r="A907" t="str">
            <v>A</v>
          </cell>
          <cell r="E907"/>
          <cell r="F907"/>
          <cell r="H907"/>
          <cell r="K907"/>
          <cell r="L907"/>
          <cell r="M907"/>
        </row>
        <row r="908">
          <cell r="A908" t="str">
            <v>A</v>
          </cell>
          <cell r="E908"/>
          <cell r="F908"/>
          <cell r="H908"/>
          <cell r="K908"/>
          <cell r="L908"/>
          <cell r="M908"/>
        </row>
        <row r="909">
          <cell r="A909" t="str">
            <v>A</v>
          </cell>
          <cell r="E909"/>
          <cell r="F909"/>
          <cell r="H909"/>
          <cell r="K909"/>
          <cell r="L909"/>
          <cell r="M909"/>
        </row>
        <row r="910">
          <cell r="A910" t="str">
            <v>A</v>
          </cell>
          <cell r="E910"/>
          <cell r="F910"/>
          <cell r="H910"/>
          <cell r="K910"/>
          <cell r="L910"/>
          <cell r="M910"/>
        </row>
        <row r="911">
          <cell r="A911" t="str">
            <v>A</v>
          </cell>
          <cell r="E911"/>
          <cell r="F911"/>
          <cell r="H911"/>
          <cell r="K911"/>
          <cell r="L911"/>
          <cell r="M911"/>
        </row>
        <row r="912">
          <cell r="A912" t="str">
            <v>A</v>
          </cell>
          <cell r="E912"/>
          <cell r="F912"/>
          <cell r="H912"/>
          <cell r="K912"/>
          <cell r="L912"/>
          <cell r="M912"/>
        </row>
        <row r="913">
          <cell r="A913" t="str">
            <v>A</v>
          </cell>
          <cell r="E913"/>
          <cell r="F913"/>
          <cell r="H913"/>
          <cell r="K913"/>
          <cell r="L913"/>
          <cell r="M913"/>
        </row>
        <row r="914">
          <cell r="A914" t="str">
            <v>A</v>
          </cell>
          <cell r="E914"/>
          <cell r="F914"/>
          <cell r="H914"/>
          <cell r="K914"/>
          <cell r="L914"/>
          <cell r="M914"/>
        </row>
        <row r="915">
          <cell r="A915" t="str">
            <v>A</v>
          </cell>
          <cell r="E915"/>
          <cell r="F915"/>
          <cell r="H915"/>
          <cell r="K915"/>
          <cell r="L915"/>
          <cell r="M915"/>
        </row>
        <row r="916">
          <cell r="A916" t="str">
            <v>A</v>
          </cell>
          <cell r="E916"/>
          <cell r="F916"/>
          <cell r="H916"/>
          <cell r="K916"/>
          <cell r="L916"/>
          <cell r="M916"/>
        </row>
        <row r="917">
          <cell r="A917" t="str">
            <v>A</v>
          </cell>
          <cell r="E917"/>
          <cell r="F917"/>
          <cell r="H917"/>
          <cell r="K917"/>
          <cell r="L917"/>
          <cell r="M917"/>
        </row>
        <row r="918">
          <cell r="A918" t="str">
            <v>A</v>
          </cell>
          <cell r="E918"/>
          <cell r="F918"/>
          <cell r="H918"/>
          <cell r="K918"/>
          <cell r="L918"/>
          <cell r="M918"/>
        </row>
        <row r="919">
          <cell r="A919" t="str">
            <v>A</v>
          </cell>
          <cell r="E919"/>
          <cell r="F919"/>
          <cell r="H919"/>
          <cell r="K919"/>
          <cell r="L919"/>
          <cell r="M919"/>
        </row>
        <row r="920">
          <cell r="A920" t="str">
            <v>A</v>
          </cell>
          <cell r="E920"/>
          <cell r="F920"/>
          <cell r="H920"/>
          <cell r="K920"/>
          <cell r="L920"/>
          <cell r="M920"/>
        </row>
        <row r="921">
          <cell r="A921" t="str">
            <v>A</v>
          </cell>
          <cell r="E921"/>
          <cell r="F921"/>
          <cell r="H921"/>
          <cell r="K921"/>
          <cell r="L921"/>
          <cell r="M921"/>
        </row>
        <row r="922">
          <cell r="A922" t="str">
            <v>A</v>
          </cell>
          <cell r="E922"/>
          <cell r="F922"/>
          <cell r="H922"/>
          <cell r="K922"/>
          <cell r="L922"/>
          <cell r="M922"/>
        </row>
        <row r="923">
          <cell r="A923" t="str">
            <v>A</v>
          </cell>
          <cell r="E923"/>
          <cell r="F923"/>
          <cell r="H923"/>
          <cell r="K923"/>
          <cell r="L923"/>
          <cell r="M923"/>
        </row>
        <row r="924">
          <cell r="A924" t="str">
            <v>A</v>
          </cell>
          <cell r="E924"/>
          <cell r="F924"/>
          <cell r="H924"/>
          <cell r="K924"/>
          <cell r="L924"/>
          <cell r="M924"/>
        </row>
        <row r="925">
          <cell r="A925" t="str">
            <v>A</v>
          </cell>
          <cell r="E925"/>
          <cell r="F925"/>
          <cell r="H925"/>
          <cell r="K925"/>
          <cell r="L925"/>
          <cell r="M925"/>
        </row>
        <row r="926">
          <cell r="A926" t="str">
            <v>A</v>
          </cell>
          <cell r="E926"/>
          <cell r="F926"/>
          <cell r="H926"/>
          <cell r="K926"/>
          <cell r="L926"/>
          <cell r="M926"/>
        </row>
        <row r="927">
          <cell r="A927" t="str">
            <v>A</v>
          </cell>
          <cell r="E927"/>
          <cell r="F927"/>
          <cell r="H927"/>
          <cell r="K927"/>
          <cell r="L927"/>
          <cell r="M927"/>
        </row>
        <row r="928">
          <cell r="A928" t="str">
            <v>A</v>
          </cell>
          <cell r="E928"/>
          <cell r="F928"/>
          <cell r="H928"/>
          <cell r="K928"/>
          <cell r="L928"/>
          <cell r="M928"/>
        </row>
        <row r="929">
          <cell r="A929" t="str">
            <v>A</v>
          </cell>
          <cell r="E929"/>
          <cell r="F929"/>
          <cell r="H929"/>
          <cell r="K929"/>
          <cell r="L929"/>
          <cell r="M929"/>
        </row>
        <row r="930">
          <cell r="A930" t="str">
            <v>A</v>
          </cell>
          <cell r="E930"/>
          <cell r="F930"/>
          <cell r="H930"/>
          <cell r="K930"/>
          <cell r="L930"/>
          <cell r="M930"/>
        </row>
        <row r="931">
          <cell r="A931" t="str">
            <v>A</v>
          </cell>
          <cell r="E931"/>
          <cell r="F931"/>
          <cell r="H931"/>
          <cell r="K931"/>
          <cell r="L931"/>
          <cell r="M931"/>
        </row>
        <row r="932">
          <cell r="A932" t="str">
            <v>A</v>
          </cell>
          <cell r="E932"/>
          <cell r="F932"/>
          <cell r="H932"/>
          <cell r="K932"/>
          <cell r="L932"/>
          <cell r="M932"/>
        </row>
        <row r="933">
          <cell r="A933" t="str">
            <v>A</v>
          </cell>
          <cell r="E933"/>
          <cell r="F933"/>
          <cell r="H933"/>
          <cell r="K933"/>
          <cell r="L933"/>
          <cell r="M933"/>
        </row>
        <row r="934">
          <cell r="A934" t="str">
            <v>A</v>
          </cell>
          <cell r="E934"/>
          <cell r="F934"/>
          <cell r="H934"/>
          <cell r="K934"/>
          <cell r="L934"/>
          <cell r="M934"/>
        </row>
        <row r="935">
          <cell r="A935" t="str">
            <v>A</v>
          </cell>
          <cell r="E935"/>
          <cell r="F935"/>
          <cell r="H935"/>
          <cell r="K935"/>
          <cell r="L935"/>
          <cell r="M935"/>
        </row>
        <row r="936">
          <cell r="A936" t="str">
            <v>A</v>
          </cell>
          <cell r="E936"/>
          <cell r="F936"/>
          <cell r="H936"/>
          <cell r="K936"/>
          <cell r="L936"/>
          <cell r="M936"/>
        </row>
        <row r="937">
          <cell r="A937" t="str">
            <v>A</v>
          </cell>
          <cell r="E937"/>
          <cell r="F937"/>
          <cell r="H937"/>
          <cell r="K937"/>
          <cell r="L937"/>
          <cell r="M937"/>
        </row>
        <row r="938">
          <cell r="A938" t="str">
            <v>A</v>
          </cell>
          <cell r="E938"/>
          <cell r="F938"/>
          <cell r="H938"/>
          <cell r="K938"/>
          <cell r="L938"/>
          <cell r="M938"/>
        </row>
        <row r="939">
          <cell r="A939" t="str">
            <v>A</v>
          </cell>
          <cell r="E939"/>
          <cell r="F939"/>
          <cell r="H939"/>
          <cell r="K939"/>
          <cell r="L939"/>
          <cell r="M939"/>
        </row>
        <row r="940">
          <cell r="A940" t="str">
            <v>A</v>
          </cell>
          <cell r="E940"/>
          <cell r="F940"/>
          <cell r="H940"/>
          <cell r="K940"/>
          <cell r="L940"/>
          <cell r="M940"/>
        </row>
        <row r="941">
          <cell r="A941" t="str">
            <v>A</v>
          </cell>
          <cell r="E941"/>
          <cell r="F941"/>
          <cell r="H941"/>
          <cell r="K941"/>
          <cell r="L941"/>
          <cell r="M941"/>
        </row>
        <row r="942">
          <cell r="A942" t="str">
            <v>A</v>
          </cell>
          <cell r="E942"/>
          <cell r="F942"/>
          <cell r="H942"/>
          <cell r="K942"/>
          <cell r="L942"/>
          <cell r="M942"/>
        </row>
        <row r="943">
          <cell r="A943" t="str">
            <v>A</v>
          </cell>
          <cell r="E943"/>
          <cell r="F943"/>
          <cell r="H943"/>
          <cell r="K943"/>
          <cell r="L943"/>
          <cell r="M943"/>
        </row>
        <row r="944">
          <cell r="A944" t="str">
            <v>A</v>
          </cell>
          <cell r="E944"/>
          <cell r="F944"/>
          <cell r="H944"/>
          <cell r="K944"/>
          <cell r="L944"/>
          <cell r="M944"/>
        </row>
        <row r="945">
          <cell r="A945" t="str">
            <v>A</v>
          </cell>
          <cell r="E945"/>
          <cell r="F945"/>
          <cell r="H945"/>
          <cell r="K945"/>
          <cell r="L945"/>
          <cell r="M945"/>
        </row>
        <row r="946">
          <cell r="A946" t="str">
            <v>A</v>
          </cell>
          <cell r="E946"/>
          <cell r="F946"/>
          <cell r="H946"/>
          <cell r="K946"/>
          <cell r="L946"/>
          <cell r="M946"/>
        </row>
        <row r="947">
          <cell r="A947" t="str">
            <v>A</v>
          </cell>
          <cell r="E947"/>
          <cell r="F947"/>
          <cell r="H947"/>
          <cell r="K947"/>
          <cell r="L947"/>
          <cell r="M947"/>
        </row>
        <row r="948">
          <cell r="A948" t="str">
            <v>A</v>
          </cell>
          <cell r="E948"/>
          <cell r="F948"/>
          <cell r="H948"/>
          <cell r="K948"/>
          <cell r="L948"/>
          <cell r="M948"/>
        </row>
        <row r="949">
          <cell r="A949" t="str">
            <v>A</v>
          </cell>
          <cell r="E949"/>
          <cell r="F949"/>
          <cell r="H949"/>
          <cell r="K949"/>
          <cell r="L949"/>
          <cell r="M949"/>
        </row>
        <row r="950">
          <cell r="A950" t="str">
            <v>A</v>
          </cell>
          <cell r="E950"/>
          <cell r="F950"/>
          <cell r="H950"/>
          <cell r="K950"/>
          <cell r="L950"/>
          <cell r="M950"/>
        </row>
        <row r="951">
          <cell r="A951" t="str">
            <v>A</v>
          </cell>
          <cell r="E951"/>
          <cell r="F951"/>
          <cell r="H951"/>
          <cell r="K951"/>
          <cell r="L951"/>
          <cell r="M951"/>
        </row>
        <row r="952">
          <cell r="A952" t="str">
            <v>A</v>
          </cell>
          <cell r="E952"/>
          <cell r="F952"/>
          <cell r="H952"/>
          <cell r="K952"/>
          <cell r="L952"/>
          <cell r="M952"/>
        </row>
        <row r="953">
          <cell r="A953" t="str">
            <v>A</v>
          </cell>
          <cell r="E953"/>
          <cell r="F953"/>
          <cell r="H953"/>
          <cell r="K953"/>
          <cell r="L953"/>
          <cell r="M953"/>
        </row>
        <row r="954">
          <cell r="A954" t="str">
            <v>A</v>
          </cell>
          <cell r="E954"/>
          <cell r="F954"/>
          <cell r="H954"/>
          <cell r="K954"/>
          <cell r="L954"/>
          <cell r="M954"/>
        </row>
        <row r="955">
          <cell r="A955" t="str">
            <v>A</v>
          </cell>
          <cell r="E955"/>
          <cell r="F955"/>
          <cell r="H955"/>
          <cell r="K955"/>
          <cell r="L955"/>
          <cell r="M955"/>
        </row>
        <row r="956">
          <cell r="A956" t="str">
            <v>A</v>
          </cell>
          <cell r="E956"/>
          <cell r="F956"/>
          <cell r="H956"/>
          <cell r="K956"/>
          <cell r="L956"/>
          <cell r="M956"/>
        </row>
        <row r="957">
          <cell r="A957" t="str">
            <v>A</v>
          </cell>
          <cell r="E957"/>
          <cell r="F957"/>
          <cell r="H957"/>
          <cell r="K957"/>
          <cell r="L957"/>
          <cell r="M957"/>
        </row>
        <row r="958">
          <cell r="A958" t="str">
            <v>A</v>
          </cell>
          <cell r="E958"/>
          <cell r="F958"/>
          <cell r="H958"/>
          <cell r="K958"/>
          <cell r="L958"/>
          <cell r="M958"/>
        </row>
        <row r="959">
          <cell r="A959" t="str">
            <v>A</v>
          </cell>
          <cell r="E959"/>
          <cell r="F959"/>
          <cell r="H959"/>
          <cell r="K959"/>
          <cell r="L959"/>
          <cell r="M959"/>
        </row>
        <row r="960">
          <cell r="A960" t="str">
            <v>A</v>
          </cell>
          <cell r="E960"/>
          <cell r="F960"/>
          <cell r="H960"/>
          <cell r="K960"/>
          <cell r="L960"/>
          <cell r="M960"/>
        </row>
        <row r="961">
          <cell r="A961" t="str">
            <v>A</v>
          </cell>
          <cell r="E961"/>
          <cell r="F961"/>
          <cell r="H961"/>
          <cell r="K961"/>
          <cell r="L961"/>
          <cell r="M961"/>
        </row>
        <row r="962">
          <cell r="A962" t="str">
            <v>A</v>
          </cell>
          <cell r="E962"/>
          <cell r="F962"/>
          <cell r="H962"/>
          <cell r="K962"/>
          <cell r="L962"/>
          <cell r="M962"/>
        </row>
        <row r="963">
          <cell r="A963" t="str">
            <v>A</v>
          </cell>
          <cell r="E963"/>
          <cell r="F963"/>
          <cell r="H963"/>
          <cell r="K963"/>
          <cell r="L963"/>
          <cell r="M963"/>
        </row>
        <row r="964">
          <cell r="A964" t="str">
            <v>A</v>
          </cell>
          <cell r="E964"/>
          <cell r="F964"/>
          <cell r="H964"/>
          <cell r="K964"/>
          <cell r="L964"/>
          <cell r="M964"/>
        </row>
        <row r="965">
          <cell r="A965" t="str">
            <v>A</v>
          </cell>
          <cell r="E965"/>
          <cell r="F965"/>
          <cell r="H965"/>
          <cell r="K965"/>
          <cell r="L965"/>
          <cell r="M965"/>
        </row>
        <row r="966">
          <cell r="A966" t="str">
            <v>A</v>
          </cell>
          <cell r="E966"/>
          <cell r="F966"/>
          <cell r="H966"/>
          <cell r="K966"/>
          <cell r="L966"/>
          <cell r="M966"/>
        </row>
        <row r="967">
          <cell r="A967" t="str">
            <v>A</v>
          </cell>
          <cell r="E967"/>
          <cell r="F967"/>
          <cell r="H967"/>
          <cell r="K967"/>
          <cell r="L967"/>
          <cell r="M967"/>
        </row>
        <row r="968">
          <cell r="A968" t="str">
            <v>A</v>
          </cell>
          <cell r="E968"/>
          <cell r="F968"/>
          <cell r="H968"/>
          <cell r="K968"/>
          <cell r="L968"/>
          <cell r="M968"/>
        </row>
        <row r="969">
          <cell r="A969" t="str">
            <v>A</v>
          </cell>
          <cell r="E969"/>
          <cell r="F969"/>
          <cell r="H969"/>
          <cell r="K969"/>
          <cell r="L969"/>
          <cell r="M969"/>
        </row>
        <row r="970">
          <cell r="A970" t="str">
            <v>A</v>
          </cell>
          <cell r="E970"/>
          <cell r="F970"/>
          <cell r="H970"/>
          <cell r="K970"/>
          <cell r="L970"/>
          <cell r="M970"/>
        </row>
        <row r="971">
          <cell r="A971" t="str">
            <v>A</v>
          </cell>
          <cell r="E971"/>
          <cell r="F971"/>
          <cell r="H971"/>
          <cell r="K971"/>
          <cell r="L971"/>
          <cell r="M971"/>
        </row>
        <row r="972">
          <cell r="A972" t="str">
            <v>A</v>
          </cell>
          <cell r="E972"/>
          <cell r="F972"/>
          <cell r="H972"/>
          <cell r="K972"/>
          <cell r="L972"/>
          <cell r="M972"/>
        </row>
        <row r="973">
          <cell r="A973" t="str">
            <v>A</v>
          </cell>
          <cell r="E973"/>
          <cell r="F973"/>
          <cell r="H973"/>
          <cell r="K973"/>
          <cell r="L973"/>
          <cell r="M973"/>
        </row>
        <row r="974">
          <cell r="A974" t="str">
            <v>A</v>
          </cell>
          <cell r="E974"/>
          <cell r="F974"/>
          <cell r="H974"/>
          <cell r="K974"/>
          <cell r="L974"/>
          <cell r="M974"/>
        </row>
        <row r="975">
          <cell r="A975" t="str">
            <v>A</v>
          </cell>
          <cell r="E975"/>
          <cell r="F975"/>
          <cell r="H975"/>
          <cell r="K975"/>
          <cell r="L975"/>
          <cell r="M975"/>
        </row>
        <row r="976">
          <cell r="A976" t="str">
            <v>A</v>
          </cell>
          <cell r="E976"/>
          <cell r="F976"/>
          <cell r="K976"/>
          <cell r="L976"/>
          <cell r="M976"/>
        </row>
        <row r="977">
          <cell r="A977" t="str">
            <v>A</v>
          </cell>
          <cell r="E977"/>
          <cell r="F977"/>
          <cell r="H977"/>
          <cell r="K977"/>
          <cell r="L977"/>
          <cell r="M977"/>
        </row>
        <row r="978">
          <cell r="A978" t="str">
            <v>A</v>
          </cell>
          <cell r="E978"/>
          <cell r="F978"/>
          <cell r="H978"/>
          <cell r="K978"/>
          <cell r="L978"/>
          <cell r="M978"/>
        </row>
        <row r="979">
          <cell r="A979" t="str">
            <v>A</v>
          </cell>
          <cell r="E979"/>
          <cell r="F979"/>
          <cell r="H979"/>
          <cell r="K979"/>
          <cell r="L979"/>
          <cell r="M979"/>
        </row>
        <row r="980">
          <cell r="A980" t="str">
            <v>A</v>
          </cell>
          <cell r="E980"/>
          <cell r="F980"/>
          <cell r="H980"/>
          <cell r="K980"/>
          <cell r="L980"/>
          <cell r="M980"/>
        </row>
        <row r="981">
          <cell r="A981" t="str">
            <v>A</v>
          </cell>
          <cell r="E981"/>
          <cell r="F981"/>
          <cell r="H981"/>
          <cell r="K981"/>
          <cell r="L981"/>
          <cell r="M981"/>
        </row>
        <row r="982">
          <cell r="A982" t="str">
            <v>A</v>
          </cell>
          <cell r="E982"/>
          <cell r="F982"/>
          <cell r="H982"/>
          <cell r="K982"/>
          <cell r="L982"/>
          <cell r="M982"/>
        </row>
        <row r="983">
          <cell r="A983" t="str">
            <v>A</v>
          </cell>
          <cell r="E983"/>
          <cell r="F983"/>
          <cell r="H983"/>
          <cell r="J983"/>
          <cell r="K983"/>
          <cell r="L983"/>
          <cell r="M983"/>
        </row>
        <row r="984">
          <cell r="A984" t="str">
            <v>A</v>
          </cell>
          <cell r="E984"/>
          <cell r="F984"/>
          <cell r="H984"/>
          <cell r="K984"/>
          <cell r="L984"/>
          <cell r="M984"/>
        </row>
        <row r="985">
          <cell r="A985" t="str">
            <v>A</v>
          </cell>
          <cell r="E985"/>
          <cell r="F985"/>
          <cell r="H985"/>
          <cell r="K985"/>
          <cell r="L985"/>
          <cell r="M985"/>
        </row>
        <row r="986">
          <cell r="A986" t="str">
            <v>A</v>
          </cell>
          <cell r="E986"/>
          <cell r="F986"/>
          <cell r="K986"/>
          <cell r="L986"/>
          <cell r="M986"/>
        </row>
        <row r="987">
          <cell r="A987" t="str">
            <v>A</v>
          </cell>
          <cell r="E987"/>
          <cell r="F987"/>
          <cell r="H987"/>
          <cell r="K987"/>
          <cell r="L987"/>
          <cell r="M987"/>
        </row>
        <row r="988">
          <cell r="A988" t="str">
            <v>A</v>
          </cell>
          <cell r="E988"/>
          <cell r="F988"/>
          <cell r="H988"/>
          <cell r="K988"/>
          <cell r="L988"/>
          <cell r="M988"/>
        </row>
        <row r="989">
          <cell r="A989" t="str">
            <v>A</v>
          </cell>
          <cell r="E989"/>
          <cell r="F989"/>
          <cell r="H989"/>
          <cell r="K989"/>
          <cell r="L989"/>
          <cell r="M989"/>
        </row>
        <row r="990">
          <cell r="A990" t="str">
            <v>A</v>
          </cell>
          <cell r="E990"/>
          <cell r="F990"/>
          <cell r="H990"/>
          <cell r="K990"/>
          <cell r="L990"/>
          <cell r="M990"/>
        </row>
        <row r="991">
          <cell r="A991" t="str">
            <v>A</v>
          </cell>
          <cell r="E991"/>
          <cell r="F991"/>
          <cell r="H991"/>
          <cell r="K991"/>
          <cell r="L991"/>
          <cell r="M991"/>
        </row>
        <row r="992">
          <cell r="A992" t="str">
            <v>A</v>
          </cell>
          <cell r="E992"/>
          <cell r="F992"/>
          <cell r="H992"/>
          <cell r="K992"/>
          <cell r="L992"/>
          <cell r="M992"/>
        </row>
        <row r="993">
          <cell r="A993" t="str">
            <v>A</v>
          </cell>
          <cell r="E993"/>
          <cell r="F993"/>
          <cell r="H993"/>
          <cell r="K993"/>
          <cell r="L993"/>
          <cell r="M993"/>
        </row>
        <row r="994">
          <cell r="A994" t="str">
            <v>A</v>
          </cell>
          <cell r="E994"/>
          <cell r="F994"/>
          <cell r="H994"/>
          <cell r="K994"/>
          <cell r="L994"/>
          <cell r="M994"/>
        </row>
        <row r="995">
          <cell r="A995" t="str">
            <v>A</v>
          </cell>
          <cell r="E995"/>
          <cell r="F995"/>
          <cell r="H995"/>
          <cell r="K995"/>
          <cell r="L995"/>
          <cell r="M995"/>
        </row>
        <row r="996">
          <cell r="A996" t="str">
            <v>A</v>
          </cell>
          <cell r="E996"/>
          <cell r="F996"/>
          <cell r="H996"/>
          <cell r="K996"/>
          <cell r="L996"/>
          <cell r="M996"/>
        </row>
        <row r="997">
          <cell r="A997" t="str">
            <v>A</v>
          </cell>
          <cell r="E997"/>
          <cell r="F997"/>
          <cell r="H997"/>
          <cell r="K997"/>
          <cell r="L997"/>
          <cell r="M997"/>
        </row>
        <row r="998">
          <cell r="A998" t="str">
            <v>A</v>
          </cell>
          <cell r="E998"/>
          <cell r="F998"/>
          <cell r="H998"/>
          <cell r="K998"/>
          <cell r="L998"/>
          <cell r="M998"/>
        </row>
        <row r="999">
          <cell r="A999" t="str">
            <v>A</v>
          </cell>
          <cell r="E999"/>
          <cell r="F999"/>
          <cell r="H999"/>
          <cell r="K999"/>
          <cell r="L999"/>
          <cell r="M999"/>
        </row>
        <row r="1000">
          <cell r="A1000" t="str">
            <v>A</v>
          </cell>
          <cell r="E1000"/>
          <cell r="F1000"/>
          <cell r="H1000"/>
          <cell r="K1000"/>
          <cell r="L1000"/>
          <cell r="M1000"/>
        </row>
        <row r="1001">
          <cell r="A1001" t="str">
            <v>A</v>
          </cell>
          <cell r="E1001"/>
          <cell r="F1001"/>
          <cell r="H1001"/>
          <cell r="K1001"/>
          <cell r="L1001"/>
          <cell r="M1001"/>
        </row>
        <row r="1002">
          <cell r="A1002" t="str">
            <v>A</v>
          </cell>
          <cell r="E1002"/>
          <cell r="F1002"/>
          <cell r="H1002"/>
          <cell r="K1002"/>
          <cell r="L1002"/>
          <cell r="M1002"/>
        </row>
        <row r="1003">
          <cell r="A1003" t="str">
            <v>A</v>
          </cell>
          <cell r="E1003"/>
          <cell r="F1003"/>
          <cell r="H1003"/>
          <cell r="K1003"/>
          <cell r="L1003"/>
          <cell r="M1003"/>
        </row>
        <row r="1004">
          <cell r="A1004" t="str">
            <v>A</v>
          </cell>
          <cell r="E1004"/>
          <cell r="F1004"/>
          <cell r="H1004"/>
          <cell r="K1004"/>
          <cell r="L1004"/>
          <cell r="M1004"/>
        </row>
        <row r="1005">
          <cell r="A1005" t="str">
            <v>A</v>
          </cell>
          <cell r="E1005"/>
          <cell r="F1005"/>
          <cell r="H1005"/>
          <cell r="K1005"/>
          <cell r="L1005"/>
          <cell r="M1005"/>
        </row>
        <row r="1006">
          <cell r="A1006" t="str">
            <v>A</v>
          </cell>
          <cell r="E1006"/>
          <cell r="F1006"/>
          <cell r="H1006"/>
          <cell r="K1006"/>
          <cell r="L1006"/>
          <cell r="M1006"/>
        </row>
        <row r="1007">
          <cell r="A1007" t="str">
            <v>A</v>
          </cell>
          <cell r="E1007"/>
          <cell r="F1007"/>
          <cell r="H1007"/>
          <cell r="K1007"/>
          <cell r="L1007"/>
          <cell r="M1007"/>
        </row>
        <row r="1008">
          <cell r="A1008" t="str">
            <v>A</v>
          </cell>
          <cell r="E1008"/>
          <cell r="F1008"/>
          <cell r="H1008"/>
          <cell r="K1008"/>
          <cell r="L1008"/>
          <cell r="M1008"/>
        </row>
        <row r="1009">
          <cell r="A1009" t="str">
            <v>A</v>
          </cell>
          <cell r="E1009"/>
          <cell r="F1009"/>
          <cell r="H1009"/>
          <cell r="K1009"/>
          <cell r="L1009"/>
          <cell r="M1009"/>
        </row>
        <row r="1010">
          <cell r="A1010" t="str">
            <v>A</v>
          </cell>
          <cell r="E1010"/>
          <cell r="F1010"/>
          <cell r="H1010"/>
          <cell r="K1010"/>
          <cell r="L1010"/>
          <cell r="M1010"/>
        </row>
        <row r="1011">
          <cell r="A1011" t="str">
            <v>A</v>
          </cell>
          <cell r="E1011"/>
          <cell r="F1011"/>
          <cell r="H1011"/>
          <cell r="K1011"/>
          <cell r="L1011"/>
          <cell r="M1011"/>
        </row>
        <row r="1012">
          <cell r="A1012" t="str">
            <v>A</v>
          </cell>
          <cell r="E1012"/>
          <cell r="F1012"/>
          <cell r="H1012"/>
          <cell r="K1012"/>
          <cell r="L1012"/>
          <cell r="M1012"/>
        </row>
        <row r="1013">
          <cell r="A1013" t="str">
            <v>A</v>
          </cell>
          <cell r="E1013"/>
          <cell r="F1013"/>
          <cell r="H1013"/>
          <cell r="K1013"/>
          <cell r="L1013"/>
          <cell r="M1013"/>
        </row>
        <row r="1014">
          <cell r="A1014" t="str">
            <v>A</v>
          </cell>
          <cell r="E1014"/>
          <cell r="F1014"/>
          <cell r="H1014"/>
          <cell r="K1014"/>
          <cell r="L1014"/>
          <cell r="M1014"/>
        </row>
        <row r="1015">
          <cell r="A1015" t="str">
            <v>A</v>
          </cell>
          <cell r="E1015"/>
          <cell r="F1015"/>
          <cell r="H1015"/>
          <cell r="K1015"/>
          <cell r="L1015"/>
          <cell r="M1015"/>
        </row>
        <row r="1016">
          <cell r="A1016" t="str">
            <v>A</v>
          </cell>
          <cell r="E1016"/>
          <cell r="F1016"/>
          <cell r="H1016"/>
          <cell r="K1016"/>
          <cell r="L1016"/>
          <cell r="M1016"/>
        </row>
        <row r="1017">
          <cell r="A1017" t="str">
            <v>A</v>
          </cell>
          <cell r="E1017"/>
          <cell r="F1017"/>
          <cell r="H1017"/>
          <cell r="K1017"/>
          <cell r="L1017"/>
          <cell r="M1017"/>
        </row>
        <row r="1018">
          <cell r="A1018" t="str">
            <v>A</v>
          </cell>
          <cell r="E1018"/>
          <cell r="F1018"/>
          <cell r="H1018"/>
          <cell r="K1018"/>
          <cell r="L1018"/>
          <cell r="M1018"/>
        </row>
        <row r="1019">
          <cell r="A1019" t="str">
            <v>A</v>
          </cell>
          <cell r="E1019"/>
          <cell r="F1019"/>
          <cell r="H1019"/>
          <cell r="K1019"/>
          <cell r="L1019"/>
          <cell r="M1019"/>
        </row>
        <row r="1020">
          <cell r="A1020" t="str">
            <v>A</v>
          </cell>
          <cell r="E1020"/>
          <cell r="F1020"/>
          <cell r="H1020"/>
          <cell r="K1020"/>
          <cell r="L1020"/>
          <cell r="M1020"/>
        </row>
        <row r="1021">
          <cell r="A1021" t="str">
            <v>A</v>
          </cell>
          <cell r="E1021"/>
          <cell r="F1021"/>
          <cell r="L1021"/>
          <cell r="M1021"/>
        </row>
        <row r="1022">
          <cell r="A1022" t="str">
            <v>A</v>
          </cell>
          <cell r="E1022"/>
          <cell r="F1022"/>
          <cell r="H1022"/>
          <cell r="K1022"/>
          <cell r="L1022"/>
          <cell r="M1022"/>
        </row>
        <row r="1023">
          <cell r="A1023" t="str">
            <v>A</v>
          </cell>
          <cell r="E1023"/>
          <cell r="F1023"/>
          <cell r="H1023"/>
          <cell r="K1023"/>
          <cell r="L1023"/>
          <cell r="M1023"/>
        </row>
        <row r="1024">
          <cell r="A1024" t="str">
            <v>A</v>
          </cell>
          <cell r="E1024"/>
          <cell r="F1024"/>
          <cell r="H1024"/>
          <cell r="K1024"/>
          <cell r="L1024"/>
          <cell r="M1024"/>
        </row>
        <row r="1025">
          <cell r="A1025" t="str">
            <v>A</v>
          </cell>
          <cell r="E1025"/>
          <cell r="F1025"/>
          <cell r="H1025"/>
          <cell r="K1025"/>
          <cell r="L1025"/>
          <cell r="M1025"/>
        </row>
        <row r="1026">
          <cell r="A1026" t="str">
            <v>A</v>
          </cell>
          <cell r="E1026"/>
          <cell r="F1026"/>
          <cell r="H1026"/>
          <cell r="K1026"/>
          <cell r="L1026"/>
          <cell r="M1026"/>
        </row>
        <row r="1027">
          <cell r="A1027" t="str">
            <v>A</v>
          </cell>
          <cell r="E1027"/>
          <cell r="F1027"/>
          <cell r="H1027"/>
          <cell r="K1027"/>
          <cell r="L1027"/>
          <cell r="M1027"/>
        </row>
        <row r="1028">
          <cell r="A1028" t="str">
            <v>A</v>
          </cell>
          <cell r="E1028"/>
          <cell r="F1028"/>
          <cell r="H1028"/>
          <cell r="K1028"/>
          <cell r="L1028"/>
          <cell r="M1028"/>
        </row>
        <row r="1029">
          <cell r="A1029" t="str">
            <v>A</v>
          </cell>
          <cell r="E1029"/>
          <cell r="F1029"/>
          <cell r="K1029"/>
          <cell r="L1029"/>
          <cell r="M1029"/>
        </row>
        <row r="1030">
          <cell r="A1030" t="str">
            <v>A</v>
          </cell>
          <cell r="E1030"/>
          <cell r="F1030"/>
          <cell r="H1030"/>
          <cell r="K1030"/>
          <cell r="L1030"/>
          <cell r="M1030"/>
        </row>
        <row r="1031">
          <cell r="A1031" t="str">
            <v>A</v>
          </cell>
          <cell r="E1031"/>
          <cell r="F1031"/>
          <cell r="H1031"/>
          <cell r="K1031"/>
          <cell r="L1031"/>
          <cell r="M1031"/>
        </row>
        <row r="1032">
          <cell r="A1032" t="str">
            <v>A</v>
          </cell>
          <cell r="E1032"/>
          <cell r="F1032"/>
          <cell r="K1032"/>
          <cell r="L1032"/>
          <cell r="M1032"/>
        </row>
        <row r="1033">
          <cell r="A1033" t="str">
            <v>A</v>
          </cell>
          <cell r="E1033"/>
          <cell r="F1033"/>
          <cell r="H1033"/>
          <cell r="K1033"/>
          <cell r="L1033"/>
          <cell r="M1033"/>
        </row>
        <row r="1034">
          <cell r="A1034" t="str">
            <v>A</v>
          </cell>
          <cell r="E1034"/>
          <cell r="F1034"/>
          <cell r="K1034"/>
          <cell r="L1034"/>
          <cell r="M1034"/>
        </row>
        <row r="1035">
          <cell r="A1035" t="str">
            <v>A</v>
          </cell>
          <cell r="E1035"/>
          <cell r="F1035"/>
          <cell r="K1035"/>
          <cell r="L1035"/>
          <cell r="M1035"/>
        </row>
        <row r="1036">
          <cell r="A1036" t="str">
            <v>A</v>
          </cell>
          <cell r="E1036"/>
          <cell r="F1036"/>
          <cell r="H1036"/>
          <cell r="K1036"/>
          <cell r="L1036"/>
          <cell r="M1036"/>
        </row>
        <row r="1037">
          <cell r="A1037" t="str">
            <v>A</v>
          </cell>
          <cell r="E1037"/>
          <cell r="F1037"/>
          <cell r="H1037"/>
          <cell r="K1037"/>
          <cell r="L1037"/>
          <cell r="M1037"/>
        </row>
        <row r="1038">
          <cell r="A1038" t="str">
            <v>A</v>
          </cell>
          <cell r="E1038"/>
          <cell r="F1038"/>
          <cell r="H1038"/>
          <cell r="K1038"/>
          <cell r="L1038"/>
          <cell r="M1038"/>
        </row>
        <row r="1039">
          <cell r="A1039" t="str">
            <v>A</v>
          </cell>
          <cell r="E1039"/>
          <cell r="F1039"/>
          <cell r="H1039"/>
          <cell r="K1039"/>
          <cell r="L1039"/>
          <cell r="M1039"/>
        </row>
        <row r="1040">
          <cell r="A1040" t="str">
            <v>A</v>
          </cell>
          <cell r="E1040"/>
          <cell r="F1040"/>
          <cell r="H1040"/>
          <cell r="K1040"/>
          <cell r="L1040"/>
          <cell r="M1040"/>
        </row>
        <row r="1041">
          <cell r="A1041" t="str">
            <v>A</v>
          </cell>
          <cell r="E1041"/>
          <cell r="F1041"/>
          <cell r="H1041"/>
          <cell r="K1041"/>
          <cell r="L1041"/>
          <cell r="M1041"/>
        </row>
        <row r="1042">
          <cell r="A1042" t="str">
            <v>A</v>
          </cell>
          <cell r="E1042"/>
          <cell r="F1042"/>
          <cell r="H1042"/>
          <cell r="K1042"/>
          <cell r="L1042"/>
          <cell r="M1042"/>
        </row>
        <row r="1043">
          <cell r="A1043" t="str">
            <v>A</v>
          </cell>
          <cell r="E1043"/>
          <cell r="F1043"/>
          <cell r="H1043"/>
          <cell r="K1043"/>
          <cell r="L1043"/>
          <cell r="M1043"/>
        </row>
        <row r="1044">
          <cell r="A1044" t="str">
            <v>A</v>
          </cell>
          <cell r="E1044"/>
          <cell r="F1044"/>
          <cell r="K1044"/>
          <cell r="L1044"/>
          <cell r="M1044"/>
        </row>
        <row r="1045">
          <cell r="A1045" t="str">
            <v>A</v>
          </cell>
          <cell r="E1045"/>
          <cell r="F1045"/>
          <cell r="H1045"/>
          <cell r="K1045"/>
          <cell r="L1045"/>
          <cell r="M1045"/>
        </row>
        <row r="1046">
          <cell r="A1046" t="str">
            <v>A</v>
          </cell>
          <cell r="E1046"/>
          <cell r="F1046"/>
          <cell r="H1046"/>
          <cell r="K1046"/>
          <cell r="L1046"/>
          <cell r="M1046"/>
        </row>
        <row r="1047">
          <cell r="A1047" t="str">
            <v>A</v>
          </cell>
          <cell r="E1047"/>
          <cell r="F1047"/>
          <cell r="H1047"/>
          <cell r="K1047"/>
          <cell r="L1047"/>
          <cell r="M1047"/>
        </row>
        <row r="1048">
          <cell r="A1048" t="str">
            <v>A</v>
          </cell>
          <cell r="E1048"/>
          <cell r="F1048"/>
          <cell r="H1048"/>
          <cell r="K1048"/>
          <cell r="L1048"/>
          <cell r="M1048"/>
        </row>
        <row r="1049">
          <cell r="A1049" t="str">
            <v>A</v>
          </cell>
          <cell r="E1049"/>
          <cell r="F1049"/>
          <cell r="H1049"/>
          <cell r="K1049"/>
          <cell r="L1049"/>
          <cell r="M1049"/>
        </row>
        <row r="1050">
          <cell r="A1050" t="str">
            <v>A</v>
          </cell>
          <cell r="E1050"/>
          <cell r="F1050"/>
          <cell r="H1050"/>
          <cell r="K1050"/>
          <cell r="L1050"/>
          <cell r="M1050"/>
        </row>
        <row r="1051">
          <cell r="A1051" t="str">
            <v>A</v>
          </cell>
          <cell r="E1051"/>
          <cell r="F1051"/>
          <cell r="H1051"/>
          <cell r="K1051"/>
          <cell r="L1051"/>
          <cell r="M1051"/>
        </row>
        <row r="1052">
          <cell r="A1052" t="str">
            <v>A</v>
          </cell>
          <cell r="E1052"/>
          <cell r="F1052"/>
          <cell r="H1052"/>
          <cell r="K1052"/>
          <cell r="L1052"/>
          <cell r="M1052"/>
        </row>
        <row r="1053">
          <cell r="A1053" t="str">
            <v>A</v>
          </cell>
        </row>
        <row r="1054">
          <cell r="A1054" t="str">
            <v>A</v>
          </cell>
        </row>
        <row r="1055">
          <cell r="A1055" t="str">
            <v>A</v>
          </cell>
        </row>
        <row r="1056">
          <cell r="A1056" t="str">
            <v>A</v>
          </cell>
        </row>
        <row r="1057">
          <cell r="A1057" t="str">
            <v>A</v>
          </cell>
        </row>
        <row r="1058">
          <cell r="A1058" t="str">
            <v>A</v>
          </cell>
        </row>
        <row r="1059">
          <cell r="A1059" t="str">
            <v>A</v>
          </cell>
        </row>
        <row r="1060">
          <cell r="A1060" t="str">
            <v>A</v>
          </cell>
        </row>
        <row r="1061">
          <cell r="A1061" t="str">
            <v>A</v>
          </cell>
        </row>
        <row r="1062">
          <cell r="A1062" t="str">
            <v>A</v>
          </cell>
        </row>
        <row r="1063">
          <cell r="A1063" t="str">
            <v>A</v>
          </cell>
        </row>
        <row r="1064">
          <cell r="A1064" t="str">
            <v>A</v>
          </cell>
        </row>
        <row r="1065">
          <cell r="A1065" t="str">
            <v>A</v>
          </cell>
        </row>
        <row r="1066">
          <cell r="A1066" t="str">
            <v>A</v>
          </cell>
        </row>
        <row r="1067">
          <cell r="A1067" t="str">
            <v>A</v>
          </cell>
        </row>
        <row r="1068">
          <cell r="A1068" t="str">
            <v>A</v>
          </cell>
        </row>
        <row r="1069">
          <cell r="A1069" t="str">
            <v>A</v>
          </cell>
        </row>
        <row r="1070">
          <cell r="A1070" t="str">
            <v>A</v>
          </cell>
        </row>
        <row r="1071">
          <cell r="A1071" t="str">
            <v>A</v>
          </cell>
        </row>
        <row r="1072">
          <cell r="A1072" t="str">
            <v>A</v>
          </cell>
        </row>
        <row r="1073">
          <cell r="A1073" t="str">
            <v>A</v>
          </cell>
        </row>
        <row r="1074">
          <cell r="A1074" t="str">
            <v>A</v>
          </cell>
        </row>
        <row r="1075">
          <cell r="A1075" t="str">
            <v>A</v>
          </cell>
        </row>
        <row r="1076">
          <cell r="A1076" t="str">
            <v>A</v>
          </cell>
        </row>
        <row r="1077">
          <cell r="A1077" t="str">
            <v>A</v>
          </cell>
        </row>
        <row r="1078">
          <cell r="A1078" t="str">
            <v>A</v>
          </cell>
        </row>
        <row r="1079">
          <cell r="A1079" t="str">
            <v>A</v>
          </cell>
        </row>
        <row r="1080">
          <cell r="A1080" t="str">
            <v>A</v>
          </cell>
        </row>
        <row r="1081">
          <cell r="A1081" t="str">
            <v>A</v>
          </cell>
        </row>
        <row r="1082">
          <cell r="A1082" t="str">
            <v>A</v>
          </cell>
        </row>
        <row r="1083">
          <cell r="A1083" t="str">
            <v>A</v>
          </cell>
        </row>
        <row r="1084">
          <cell r="A1084" t="str">
            <v>A</v>
          </cell>
        </row>
        <row r="1085">
          <cell r="A1085" t="str">
            <v>A</v>
          </cell>
        </row>
        <row r="1086">
          <cell r="A1086" t="str">
            <v>A</v>
          </cell>
        </row>
        <row r="1087">
          <cell r="A1087" t="str">
            <v>A</v>
          </cell>
        </row>
        <row r="1088">
          <cell r="A1088" t="str">
            <v>A</v>
          </cell>
        </row>
        <row r="1089">
          <cell r="A1089" t="str">
            <v>A</v>
          </cell>
        </row>
        <row r="1090">
          <cell r="A1090" t="str">
            <v>A</v>
          </cell>
        </row>
        <row r="1091">
          <cell r="A1091" t="str">
            <v>A</v>
          </cell>
        </row>
        <row r="1092">
          <cell r="A1092" t="str">
            <v>A</v>
          </cell>
        </row>
        <row r="1093">
          <cell r="A1093" t="str">
            <v>A</v>
          </cell>
        </row>
        <row r="1094">
          <cell r="A1094" t="str">
            <v>A</v>
          </cell>
        </row>
        <row r="1095">
          <cell r="A1095" t="str">
            <v>A</v>
          </cell>
        </row>
        <row r="1096">
          <cell r="A1096" t="str">
            <v>A</v>
          </cell>
        </row>
        <row r="1097">
          <cell r="A1097" t="str">
            <v>A</v>
          </cell>
        </row>
        <row r="1098">
          <cell r="A1098" t="str">
            <v>A</v>
          </cell>
        </row>
        <row r="1099">
          <cell r="A1099" t="str">
            <v>A</v>
          </cell>
        </row>
        <row r="1100">
          <cell r="A1100" t="str">
            <v>A</v>
          </cell>
        </row>
        <row r="1101">
          <cell r="A1101" t="str">
            <v>A</v>
          </cell>
        </row>
        <row r="1102">
          <cell r="A1102" t="str">
            <v>A</v>
          </cell>
        </row>
        <row r="1103">
          <cell r="A1103" t="str">
            <v>A</v>
          </cell>
        </row>
        <row r="1104">
          <cell r="A1104" t="str">
            <v>A</v>
          </cell>
        </row>
        <row r="1105">
          <cell r="A1105" t="str">
            <v>A</v>
          </cell>
        </row>
        <row r="1106">
          <cell r="A1106" t="str">
            <v>A</v>
          </cell>
        </row>
        <row r="1107">
          <cell r="A1107" t="str">
            <v>A</v>
          </cell>
        </row>
        <row r="1108">
          <cell r="A1108" t="str">
            <v>A</v>
          </cell>
        </row>
        <row r="1109">
          <cell r="A1109" t="str">
            <v>A</v>
          </cell>
        </row>
        <row r="1110">
          <cell r="A1110" t="str">
            <v>A</v>
          </cell>
        </row>
        <row r="1111">
          <cell r="A1111" t="str">
            <v>A</v>
          </cell>
        </row>
        <row r="1112">
          <cell r="A1112" t="str">
            <v>A</v>
          </cell>
        </row>
        <row r="1113">
          <cell r="A1113" t="str">
            <v>A</v>
          </cell>
        </row>
        <row r="1114">
          <cell r="A1114" t="str">
            <v>A</v>
          </cell>
        </row>
        <row r="1115">
          <cell r="A1115" t="str">
            <v>A</v>
          </cell>
        </row>
        <row r="1116">
          <cell r="A1116" t="str">
            <v>A</v>
          </cell>
        </row>
        <row r="1117">
          <cell r="A1117" t="str">
            <v>A</v>
          </cell>
        </row>
        <row r="1118">
          <cell r="A1118" t="str">
            <v>A</v>
          </cell>
        </row>
        <row r="1119">
          <cell r="A1119" t="str">
            <v>A</v>
          </cell>
        </row>
        <row r="1120">
          <cell r="A1120" t="str">
            <v>A</v>
          </cell>
        </row>
        <row r="1121">
          <cell r="A1121" t="str">
            <v>A</v>
          </cell>
        </row>
        <row r="1122">
          <cell r="A1122" t="str">
            <v>A</v>
          </cell>
        </row>
        <row r="1123">
          <cell r="A1123" t="str">
            <v>A</v>
          </cell>
        </row>
        <row r="1124">
          <cell r="A1124" t="str">
            <v>A</v>
          </cell>
        </row>
        <row r="1125">
          <cell r="A1125" t="str">
            <v>A</v>
          </cell>
        </row>
        <row r="1126">
          <cell r="A1126" t="str">
            <v>A</v>
          </cell>
        </row>
        <row r="1127">
          <cell r="A1127" t="str">
            <v>A</v>
          </cell>
        </row>
        <row r="1128">
          <cell r="A1128" t="str">
            <v>A</v>
          </cell>
        </row>
        <row r="1129">
          <cell r="A1129" t="str">
            <v>A</v>
          </cell>
        </row>
        <row r="1130">
          <cell r="A1130" t="str">
            <v>A</v>
          </cell>
        </row>
        <row r="1131">
          <cell r="A1131" t="str">
            <v>A</v>
          </cell>
        </row>
        <row r="1132">
          <cell r="A1132" t="str">
            <v>A</v>
          </cell>
        </row>
        <row r="1133">
          <cell r="A1133" t="str">
            <v>A</v>
          </cell>
        </row>
        <row r="1134">
          <cell r="A1134" t="str">
            <v>A</v>
          </cell>
        </row>
        <row r="1135">
          <cell r="A1135" t="str">
            <v>A</v>
          </cell>
        </row>
        <row r="1136">
          <cell r="A1136" t="str">
            <v>A</v>
          </cell>
        </row>
        <row r="1137">
          <cell r="A1137" t="str">
            <v>A</v>
          </cell>
        </row>
        <row r="1138">
          <cell r="A1138" t="str">
            <v>A</v>
          </cell>
        </row>
        <row r="1139">
          <cell r="A1139" t="str">
            <v>A</v>
          </cell>
        </row>
        <row r="1140">
          <cell r="A1140" t="str">
            <v>A</v>
          </cell>
        </row>
        <row r="1141">
          <cell r="A1141" t="str">
            <v>A</v>
          </cell>
        </row>
        <row r="1142">
          <cell r="A1142" t="str">
            <v>A</v>
          </cell>
        </row>
        <row r="1143">
          <cell r="A1143" t="str">
            <v>A</v>
          </cell>
        </row>
        <row r="1144">
          <cell r="A1144" t="str">
            <v>A</v>
          </cell>
        </row>
        <row r="1145">
          <cell r="A1145" t="str">
            <v>A</v>
          </cell>
        </row>
        <row r="1146">
          <cell r="A1146" t="str">
            <v>A</v>
          </cell>
        </row>
        <row r="1147">
          <cell r="A1147" t="str">
            <v>A</v>
          </cell>
        </row>
        <row r="1148">
          <cell r="A1148" t="str">
            <v>A</v>
          </cell>
        </row>
        <row r="1149">
          <cell r="A1149" t="str">
            <v>A</v>
          </cell>
        </row>
        <row r="1150">
          <cell r="A1150" t="str">
            <v>A</v>
          </cell>
        </row>
        <row r="1151">
          <cell r="A1151" t="str">
            <v>A</v>
          </cell>
        </row>
        <row r="1152">
          <cell r="A1152" t="str">
            <v>A</v>
          </cell>
        </row>
        <row r="1153">
          <cell r="A1153" t="str">
            <v>A</v>
          </cell>
        </row>
        <row r="1154">
          <cell r="A1154" t="str">
            <v>A</v>
          </cell>
        </row>
        <row r="1155">
          <cell r="A1155" t="str">
            <v>A</v>
          </cell>
        </row>
        <row r="1156">
          <cell r="A1156" t="str">
            <v>A</v>
          </cell>
        </row>
        <row r="1157">
          <cell r="A1157" t="str">
            <v>A</v>
          </cell>
        </row>
        <row r="1158">
          <cell r="A1158" t="str">
            <v>A</v>
          </cell>
        </row>
        <row r="1159">
          <cell r="A1159" t="str">
            <v>A</v>
          </cell>
        </row>
        <row r="1160">
          <cell r="A1160" t="str">
            <v>A</v>
          </cell>
        </row>
        <row r="1161">
          <cell r="A1161" t="str">
            <v>A</v>
          </cell>
        </row>
        <row r="1162">
          <cell r="A1162" t="str">
            <v>A</v>
          </cell>
        </row>
        <row r="1163">
          <cell r="A1163" t="str">
            <v>A</v>
          </cell>
        </row>
        <row r="1164">
          <cell r="A1164" t="str">
            <v>A</v>
          </cell>
        </row>
        <row r="1165">
          <cell r="A1165" t="str">
            <v>A</v>
          </cell>
        </row>
        <row r="1166">
          <cell r="A1166" t="str">
            <v>A</v>
          </cell>
        </row>
        <row r="1167">
          <cell r="A1167" t="str">
            <v>A</v>
          </cell>
        </row>
        <row r="1168">
          <cell r="A1168" t="str">
            <v>A</v>
          </cell>
        </row>
        <row r="1169">
          <cell r="A1169" t="str">
            <v>A</v>
          </cell>
        </row>
        <row r="1170">
          <cell r="A1170" t="str">
            <v>A</v>
          </cell>
        </row>
        <row r="1171">
          <cell r="A1171" t="str">
            <v>A</v>
          </cell>
        </row>
        <row r="1172">
          <cell r="A1172" t="str">
            <v>A</v>
          </cell>
        </row>
        <row r="1173">
          <cell r="A1173" t="str">
            <v>A</v>
          </cell>
        </row>
        <row r="1174">
          <cell r="A1174" t="str">
            <v>A</v>
          </cell>
        </row>
        <row r="1175">
          <cell r="A1175" t="str">
            <v>A</v>
          </cell>
        </row>
        <row r="1176">
          <cell r="A1176" t="str">
            <v>A</v>
          </cell>
        </row>
        <row r="1177">
          <cell r="A1177" t="str">
            <v>A</v>
          </cell>
        </row>
        <row r="1178">
          <cell r="A1178" t="str">
            <v>A</v>
          </cell>
        </row>
        <row r="1179">
          <cell r="A1179" t="str">
            <v>A</v>
          </cell>
        </row>
        <row r="1180">
          <cell r="A1180" t="str">
            <v>A</v>
          </cell>
        </row>
        <row r="1181">
          <cell r="A1181" t="str">
            <v>A</v>
          </cell>
        </row>
        <row r="1182">
          <cell r="A1182" t="str">
            <v>A</v>
          </cell>
        </row>
        <row r="1183">
          <cell r="A1183" t="str">
            <v>A</v>
          </cell>
        </row>
        <row r="1184">
          <cell r="A1184" t="str">
            <v>A</v>
          </cell>
        </row>
        <row r="1185">
          <cell r="A1185" t="str">
            <v>A</v>
          </cell>
        </row>
        <row r="1186">
          <cell r="A1186" t="str">
            <v>A</v>
          </cell>
        </row>
        <row r="1187">
          <cell r="A1187" t="str">
            <v>A</v>
          </cell>
        </row>
        <row r="1188">
          <cell r="A1188" t="str">
            <v>A</v>
          </cell>
        </row>
        <row r="1189">
          <cell r="A1189" t="str">
            <v>A</v>
          </cell>
        </row>
        <row r="1190">
          <cell r="A1190" t="str">
            <v>A</v>
          </cell>
        </row>
        <row r="1191">
          <cell r="A1191" t="str">
            <v>A</v>
          </cell>
        </row>
        <row r="1192">
          <cell r="A1192" t="str">
            <v>A</v>
          </cell>
        </row>
        <row r="1193">
          <cell r="A1193" t="str">
            <v>A</v>
          </cell>
        </row>
        <row r="1194">
          <cell r="A1194" t="str">
            <v>A</v>
          </cell>
        </row>
        <row r="1195">
          <cell r="A1195" t="str">
            <v>A</v>
          </cell>
        </row>
        <row r="1196">
          <cell r="A1196" t="str">
            <v>A</v>
          </cell>
        </row>
        <row r="1197">
          <cell r="A1197" t="str">
            <v>A</v>
          </cell>
        </row>
        <row r="1198">
          <cell r="A1198" t="str">
            <v>A</v>
          </cell>
        </row>
        <row r="1199">
          <cell r="A1199" t="str">
            <v>A</v>
          </cell>
        </row>
        <row r="1200">
          <cell r="A1200" t="str">
            <v>A</v>
          </cell>
        </row>
        <row r="1201">
          <cell r="A1201" t="str">
            <v>A</v>
          </cell>
        </row>
        <row r="1202">
          <cell r="A1202" t="str">
            <v>A</v>
          </cell>
        </row>
        <row r="1203">
          <cell r="A1203" t="str">
            <v>A</v>
          </cell>
        </row>
        <row r="1204">
          <cell r="A1204" t="str">
            <v>A</v>
          </cell>
        </row>
        <row r="1205">
          <cell r="A1205" t="str">
            <v>A</v>
          </cell>
        </row>
        <row r="1206">
          <cell r="A1206" t="str">
            <v>A</v>
          </cell>
        </row>
        <row r="1207">
          <cell r="A1207" t="str">
            <v>A</v>
          </cell>
        </row>
        <row r="1208">
          <cell r="A1208" t="str">
            <v>A</v>
          </cell>
        </row>
        <row r="1209">
          <cell r="A1209" t="str">
            <v>A</v>
          </cell>
        </row>
        <row r="1210">
          <cell r="A1210" t="str">
            <v>A</v>
          </cell>
        </row>
        <row r="1211">
          <cell r="A1211" t="str">
            <v>A</v>
          </cell>
        </row>
        <row r="1212">
          <cell r="A1212" t="str">
            <v>A</v>
          </cell>
        </row>
        <row r="1213">
          <cell r="A1213" t="str">
            <v>A</v>
          </cell>
        </row>
        <row r="1214">
          <cell r="A1214" t="str">
            <v>A</v>
          </cell>
        </row>
        <row r="1215">
          <cell r="A1215" t="str">
            <v>A</v>
          </cell>
        </row>
        <row r="1216">
          <cell r="A1216" t="str">
            <v>A</v>
          </cell>
        </row>
        <row r="1217">
          <cell r="A1217" t="str">
            <v>A</v>
          </cell>
        </row>
        <row r="1218">
          <cell r="A1218" t="str">
            <v>A</v>
          </cell>
        </row>
        <row r="1219">
          <cell r="A1219" t="str">
            <v>A</v>
          </cell>
        </row>
        <row r="1220">
          <cell r="A1220" t="str">
            <v>A</v>
          </cell>
        </row>
        <row r="1221">
          <cell r="A1221" t="str">
            <v>A</v>
          </cell>
        </row>
        <row r="1222">
          <cell r="A1222" t="str">
            <v>A</v>
          </cell>
        </row>
        <row r="1223">
          <cell r="A1223" t="str">
            <v>A</v>
          </cell>
        </row>
        <row r="1224">
          <cell r="A1224" t="str">
            <v>A</v>
          </cell>
        </row>
        <row r="1225">
          <cell r="A1225" t="str">
            <v>A</v>
          </cell>
        </row>
        <row r="1226">
          <cell r="A1226" t="str">
            <v>A</v>
          </cell>
        </row>
        <row r="1227">
          <cell r="A1227" t="str">
            <v>A</v>
          </cell>
        </row>
        <row r="1228">
          <cell r="A1228" t="str">
            <v>A</v>
          </cell>
        </row>
        <row r="1229">
          <cell r="A1229" t="str">
            <v>A</v>
          </cell>
        </row>
        <row r="1230">
          <cell r="A1230" t="str">
            <v>A</v>
          </cell>
        </row>
        <row r="1231">
          <cell r="A1231" t="str">
            <v>A</v>
          </cell>
        </row>
        <row r="1232">
          <cell r="A1232" t="str">
            <v>A</v>
          </cell>
        </row>
        <row r="1233">
          <cell r="A1233" t="str">
            <v>A</v>
          </cell>
        </row>
        <row r="1234">
          <cell r="A1234" t="str">
            <v>A</v>
          </cell>
        </row>
        <row r="1235">
          <cell r="A1235" t="str">
            <v>A</v>
          </cell>
        </row>
        <row r="1236">
          <cell r="A1236" t="str">
            <v>A</v>
          </cell>
        </row>
        <row r="1237">
          <cell r="A1237" t="str">
            <v>A</v>
          </cell>
        </row>
        <row r="1238">
          <cell r="A1238" t="str">
            <v>A</v>
          </cell>
        </row>
        <row r="1239">
          <cell r="A1239" t="str">
            <v>A</v>
          </cell>
        </row>
        <row r="1240">
          <cell r="A1240" t="str">
            <v>A</v>
          </cell>
        </row>
        <row r="1241">
          <cell r="A1241" t="str">
            <v>A</v>
          </cell>
        </row>
        <row r="1242">
          <cell r="A1242" t="str">
            <v>A</v>
          </cell>
        </row>
        <row r="1243">
          <cell r="A1243" t="str">
            <v>A</v>
          </cell>
        </row>
        <row r="1244">
          <cell r="A1244" t="str">
            <v>A</v>
          </cell>
        </row>
        <row r="1245">
          <cell r="A1245" t="str">
            <v>A</v>
          </cell>
        </row>
        <row r="1246">
          <cell r="A1246" t="str">
            <v>A</v>
          </cell>
        </row>
        <row r="1247">
          <cell r="A1247" t="str">
            <v>A</v>
          </cell>
        </row>
        <row r="1248">
          <cell r="A1248" t="str">
            <v>A</v>
          </cell>
        </row>
        <row r="1249">
          <cell r="A1249" t="str">
            <v>A</v>
          </cell>
        </row>
        <row r="1250">
          <cell r="A1250" t="str">
            <v>A</v>
          </cell>
        </row>
        <row r="1251">
          <cell r="A1251" t="str">
            <v>A</v>
          </cell>
        </row>
        <row r="1252">
          <cell r="A1252" t="str">
            <v>A</v>
          </cell>
        </row>
        <row r="1253">
          <cell r="A1253" t="str">
            <v>A</v>
          </cell>
        </row>
        <row r="1254">
          <cell r="A1254" t="str">
            <v>A</v>
          </cell>
        </row>
        <row r="1255">
          <cell r="A1255" t="str">
            <v>A</v>
          </cell>
        </row>
        <row r="1256">
          <cell r="A1256" t="str">
            <v>A</v>
          </cell>
        </row>
        <row r="1257">
          <cell r="A1257" t="str">
            <v>A</v>
          </cell>
        </row>
        <row r="1258">
          <cell r="A1258" t="str">
            <v>A</v>
          </cell>
        </row>
        <row r="1259">
          <cell r="A1259" t="str">
            <v>A</v>
          </cell>
        </row>
        <row r="1260">
          <cell r="A1260" t="str">
            <v>A</v>
          </cell>
        </row>
        <row r="1261">
          <cell r="A1261" t="str">
            <v>A</v>
          </cell>
        </row>
        <row r="1262">
          <cell r="A1262" t="str">
            <v>A</v>
          </cell>
        </row>
        <row r="1263">
          <cell r="A1263" t="str">
            <v>A</v>
          </cell>
        </row>
        <row r="1264">
          <cell r="A1264" t="str">
            <v>A</v>
          </cell>
        </row>
        <row r="1265">
          <cell r="A1265" t="str">
            <v>A</v>
          </cell>
        </row>
        <row r="1266">
          <cell r="A1266" t="str">
            <v>A</v>
          </cell>
        </row>
        <row r="1267">
          <cell r="A1267" t="str">
            <v>A</v>
          </cell>
        </row>
        <row r="1268">
          <cell r="A1268" t="str">
            <v>A</v>
          </cell>
        </row>
        <row r="1269">
          <cell r="A1269" t="str">
            <v>A</v>
          </cell>
        </row>
        <row r="1270">
          <cell r="A1270" t="str">
            <v>A</v>
          </cell>
        </row>
        <row r="1271">
          <cell r="A1271" t="str">
            <v>A</v>
          </cell>
        </row>
        <row r="1272">
          <cell r="A1272" t="str">
            <v>A</v>
          </cell>
        </row>
        <row r="1273">
          <cell r="A1273" t="str">
            <v>A</v>
          </cell>
        </row>
        <row r="1274">
          <cell r="A1274" t="str">
            <v>A</v>
          </cell>
        </row>
        <row r="1275">
          <cell r="A1275" t="str">
            <v>A</v>
          </cell>
        </row>
        <row r="1276">
          <cell r="A1276" t="str">
            <v>A</v>
          </cell>
        </row>
        <row r="1277">
          <cell r="A1277" t="str">
            <v>A</v>
          </cell>
        </row>
        <row r="1278">
          <cell r="A1278" t="str">
            <v>A</v>
          </cell>
        </row>
        <row r="1279">
          <cell r="A1279" t="str">
            <v>A</v>
          </cell>
        </row>
        <row r="1280">
          <cell r="A1280" t="str">
            <v>A</v>
          </cell>
        </row>
        <row r="1281">
          <cell r="A1281" t="str">
            <v>A</v>
          </cell>
        </row>
        <row r="1282">
          <cell r="A1282" t="str">
            <v>A</v>
          </cell>
        </row>
        <row r="1283">
          <cell r="A1283" t="str">
            <v>A</v>
          </cell>
        </row>
        <row r="1284">
          <cell r="A1284" t="str">
            <v>A</v>
          </cell>
        </row>
        <row r="1285">
          <cell r="A1285" t="str">
            <v>A</v>
          </cell>
        </row>
        <row r="1286">
          <cell r="A1286" t="str">
            <v>A</v>
          </cell>
        </row>
        <row r="1287">
          <cell r="A1287" t="str">
            <v>A</v>
          </cell>
        </row>
        <row r="1288">
          <cell r="A1288" t="str">
            <v>A</v>
          </cell>
        </row>
        <row r="1289">
          <cell r="A1289" t="str">
            <v>A</v>
          </cell>
        </row>
        <row r="1290">
          <cell r="A1290" t="str">
            <v>A</v>
          </cell>
        </row>
        <row r="1291">
          <cell r="A1291" t="str">
            <v>A</v>
          </cell>
        </row>
        <row r="1292">
          <cell r="A1292" t="str">
            <v>A</v>
          </cell>
        </row>
        <row r="1293">
          <cell r="A1293" t="str">
            <v>A</v>
          </cell>
        </row>
        <row r="1294">
          <cell r="A1294" t="str">
            <v>A</v>
          </cell>
        </row>
        <row r="1295">
          <cell r="A1295" t="str">
            <v>A</v>
          </cell>
        </row>
        <row r="1296">
          <cell r="A1296" t="str">
            <v>A</v>
          </cell>
        </row>
        <row r="1297">
          <cell r="A1297" t="str">
            <v>A</v>
          </cell>
        </row>
        <row r="1298">
          <cell r="A1298" t="str">
            <v>A</v>
          </cell>
        </row>
        <row r="1299">
          <cell r="A1299" t="str">
            <v>A</v>
          </cell>
        </row>
        <row r="1300">
          <cell r="A1300" t="str">
            <v>A</v>
          </cell>
        </row>
        <row r="1301">
          <cell r="A1301" t="str">
            <v>A</v>
          </cell>
        </row>
        <row r="1302">
          <cell r="A1302" t="str">
            <v>A</v>
          </cell>
        </row>
        <row r="1303">
          <cell r="A1303" t="str">
            <v>A</v>
          </cell>
        </row>
        <row r="1304">
          <cell r="A1304" t="str">
            <v>A</v>
          </cell>
        </row>
        <row r="1305">
          <cell r="A1305" t="str">
            <v>A</v>
          </cell>
        </row>
        <row r="1306">
          <cell r="A1306" t="str">
            <v>A</v>
          </cell>
        </row>
        <row r="1307">
          <cell r="A1307" t="str">
            <v>A</v>
          </cell>
        </row>
        <row r="1308">
          <cell r="A1308" t="str">
            <v>A</v>
          </cell>
        </row>
        <row r="1309">
          <cell r="A1309" t="str">
            <v>A</v>
          </cell>
        </row>
        <row r="1310">
          <cell r="A1310" t="str">
            <v>A</v>
          </cell>
        </row>
        <row r="1311">
          <cell r="A1311" t="str">
            <v>A</v>
          </cell>
        </row>
        <row r="1312">
          <cell r="A1312" t="str">
            <v>A</v>
          </cell>
        </row>
        <row r="1313">
          <cell r="A1313" t="str">
            <v>A</v>
          </cell>
        </row>
        <row r="1314">
          <cell r="A1314" t="str">
            <v>A</v>
          </cell>
        </row>
        <row r="1315">
          <cell r="A1315" t="str">
            <v>A</v>
          </cell>
        </row>
        <row r="1316">
          <cell r="A1316" t="str">
            <v>A</v>
          </cell>
        </row>
        <row r="1317">
          <cell r="A1317" t="str">
            <v>A</v>
          </cell>
        </row>
        <row r="1318">
          <cell r="A1318" t="str">
            <v>A</v>
          </cell>
        </row>
        <row r="1319">
          <cell r="A1319" t="str">
            <v>A</v>
          </cell>
        </row>
        <row r="1320">
          <cell r="A1320" t="str">
            <v>A</v>
          </cell>
        </row>
        <row r="1321">
          <cell r="A1321" t="str">
            <v>A</v>
          </cell>
        </row>
        <row r="1322">
          <cell r="A1322" t="str">
            <v>A</v>
          </cell>
        </row>
        <row r="1323">
          <cell r="A1323" t="str">
            <v>A</v>
          </cell>
        </row>
        <row r="1324">
          <cell r="A1324" t="str">
            <v>A</v>
          </cell>
        </row>
        <row r="1325">
          <cell r="A1325" t="str">
            <v>A</v>
          </cell>
        </row>
        <row r="1326">
          <cell r="A1326" t="str">
            <v>A</v>
          </cell>
        </row>
        <row r="1327">
          <cell r="A1327" t="str">
            <v>A</v>
          </cell>
        </row>
        <row r="1328">
          <cell r="A1328" t="str">
            <v>A</v>
          </cell>
        </row>
        <row r="1329">
          <cell r="A1329" t="str">
            <v>A</v>
          </cell>
        </row>
        <row r="1330">
          <cell r="A1330" t="str">
            <v>A</v>
          </cell>
        </row>
        <row r="1331">
          <cell r="A1331" t="str">
            <v>A</v>
          </cell>
        </row>
        <row r="1332">
          <cell r="A1332" t="str">
            <v>A</v>
          </cell>
        </row>
        <row r="1333">
          <cell r="A1333" t="str">
            <v>A</v>
          </cell>
        </row>
        <row r="1334">
          <cell r="A1334" t="str">
            <v>A</v>
          </cell>
        </row>
        <row r="1335">
          <cell r="A1335" t="str">
            <v>A</v>
          </cell>
        </row>
        <row r="1336">
          <cell r="A1336" t="str">
            <v>A</v>
          </cell>
        </row>
        <row r="1337">
          <cell r="A1337" t="str">
            <v>A</v>
          </cell>
        </row>
        <row r="1338">
          <cell r="A1338" t="str">
            <v>A</v>
          </cell>
        </row>
        <row r="1339">
          <cell r="A1339" t="str">
            <v>A</v>
          </cell>
        </row>
        <row r="1340">
          <cell r="A1340" t="str">
            <v>A</v>
          </cell>
        </row>
        <row r="1341">
          <cell r="A1341" t="str">
            <v>A</v>
          </cell>
        </row>
        <row r="1342">
          <cell r="A1342" t="str">
            <v>A</v>
          </cell>
        </row>
        <row r="1343">
          <cell r="A1343" t="str">
            <v>A</v>
          </cell>
        </row>
        <row r="1344">
          <cell r="A1344" t="str">
            <v>A</v>
          </cell>
        </row>
        <row r="1345">
          <cell r="A1345" t="str">
            <v>A</v>
          </cell>
        </row>
        <row r="1346">
          <cell r="A1346" t="str">
            <v>A</v>
          </cell>
        </row>
        <row r="1347">
          <cell r="A1347" t="str">
            <v>A</v>
          </cell>
        </row>
        <row r="1348">
          <cell r="A1348" t="str">
            <v>A</v>
          </cell>
        </row>
        <row r="1349">
          <cell r="A1349" t="str">
            <v>A</v>
          </cell>
        </row>
        <row r="1350">
          <cell r="A1350" t="str">
            <v>A</v>
          </cell>
        </row>
        <row r="1351">
          <cell r="A1351" t="str">
            <v>A</v>
          </cell>
        </row>
        <row r="1352">
          <cell r="A1352" t="str">
            <v>A</v>
          </cell>
        </row>
        <row r="1353">
          <cell r="A1353" t="str">
            <v>A</v>
          </cell>
        </row>
        <row r="1354">
          <cell r="A1354" t="str">
            <v>A</v>
          </cell>
        </row>
        <row r="1355">
          <cell r="A1355" t="str">
            <v>A</v>
          </cell>
        </row>
        <row r="1356">
          <cell r="A1356" t="str">
            <v>A</v>
          </cell>
        </row>
        <row r="1357">
          <cell r="A1357" t="str">
            <v>A</v>
          </cell>
        </row>
        <row r="1358">
          <cell r="A1358" t="str">
            <v>A</v>
          </cell>
        </row>
        <row r="1359">
          <cell r="A1359" t="str">
            <v>A</v>
          </cell>
        </row>
        <row r="1360">
          <cell r="A1360" t="str">
            <v>A</v>
          </cell>
        </row>
        <row r="1361">
          <cell r="A1361" t="str">
            <v>A</v>
          </cell>
        </row>
        <row r="1362">
          <cell r="A1362" t="str">
            <v>A</v>
          </cell>
        </row>
        <row r="1363">
          <cell r="A1363" t="str">
            <v>A</v>
          </cell>
        </row>
        <row r="1364">
          <cell r="A1364" t="str">
            <v>A</v>
          </cell>
        </row>
        <row r="1365">
          <cell r="A1365" t="str">
            <v>A</v>
          </cell>
        </row>
        <row r="1366">
          <cell r="A1366" t="str">
            <v>A</v>
          </cell>
        </row>
        <row r="1367">
          <cell r="A1367" t="str">
            <v>A</v>
          </cell>
        </row>
        <row r="1368">
          <cell r="A1368" t="str">
            <v>A</v>
          </cell>
        </row>
        <row r="1369">
          <cell r="A1369" t="str">
            <v>A</v>
          </cell>
        </row>
        <row r="1370">
          <cell r="A1370" t="str">
            <v>A</v>
          </cell>
        </row>
        <row r="1371">
          <cell r="A1371" t="str">
            <v>A</v>
          </cell>
        </row>
        <row r="1372">
          <cell r="A1372" t="str">
            <v>A</v>
          </cell>
        </row>
        <row r="1373">
          <cell r="A1373" t="str">
            <v>A</v>
          </cell>
        </row>
        <row r="1374">
          <cell r="A1374" t="str">
            <v>A</v>
          </cell>
        </row>
        <row r="1375">
          <cell r="A1375" t="str">
            <v>A</v>
          </cell>
        </row>
        <row r="1376">
          <cell r="A1376" t="str">
            <v>A</v>
          </cell>
        </row>
        <row r="1377">
          <cell r="A1377" t="str">
            <v>A</v>
          </cell>
        </row>
        <row r="1378">
          <cell r="A1378" t="str">
            <v>A</v>
          </cell>
        </row>
        <row r="1379">
          <cell r="A1379" t="str">
            <v>A</v>
          </cell>
        </row>
        <row r="1380">
          <cell r="A1380" t="str">
            <v>A</v>
          </cell>
        </row>
        <row r="1381">
          <cell r="A1381" t="str">
            <v>A</v>
          </cell>
        </row>
        <row r="1382">
          <cell r="A1382" t="str">
            <v>A</v>
          </cell>
        </row>
        <row r="1383">
          <cell r="A1383" t="str">
            <v>A</v>
          </cell>
        </row>
        <row r="1384">
          <cell r="A1384" t="str">
            <v>A</v>
          </cell>
        </row>
        <row r="1385">
          <cell r="A1385" t="str">
            <v>A</v>
          </cell>
        </row>
        <row r="1386">
          <cell r="A1386" t="str">
            <v>A</v>
          </cell>
        </row>
        <row r="1387">
          <cell r="A1387" t="str">
            <v>A</v>
          </cell>
        </row>
        <row r="1388">
          <cell r="A1388" t="str">
            <v>A</v>
          </cell>
        </row>
        <row r="1389">
          <cell r="A1389" t="str">
            <v>A</v>
          </cell>
        </row>
        <row r="1390">
          <cell r="A1390" t="str">
            <v>A</v>
          </cell>
        </row>
        <row r="1391">
          <cell r="A1391" t="str">
            <v>A</v>
          </cell>
        </row>
        <row r="1392">
          <cell r="A1392" t="str">
            <v>A</v>
          </cell>
        </row>
        <row r="1393">
          <cell r="A1393" t="str">
            <v>A</v>
          </cell>
        </row>
        <row r="1394">
          <cell r="A1394" t="str">
            <v>A</v>
          </cell>
        </row>
        <row r="1395">
          <cell r="A1395" t="str">
            <v>A</v>
          </cell>
        </row>
        <row r="1396">
          <cell r="A1396" t="str">
            <v>A</v>
          </cell>
        </row>
        <row r="1397">
          <cell r="A1397" t="str">
            <v>A</v>
          </cell>
        </row>
        <row r="1398">
          <cell r="A1398" t="str">
            <v>A</v>
          </cell>
        </row>
        <row r="1399">
          <cell r="A1399" t="str">
            <v>A</v>
          </cell>
        </row>
        <row r="1400">
          <cell r="A1400" t="str">
            <v>A</v>
          </cell>
        </row>
        <row r="1401">
          <cell r="A1401" t="str">
            <v>A</v>
          </cell>
        </row>
        <row r="1402">
          <cell r="A1402" t="str">
            <v>A</v>
          </cell>
        </row>
        <row r="1403">
          <cell r="A1403" t="str">
            <v>A</v>
          </cell>
        </row>
        <row r="1404">
          <cell r="A1404" t="str">
            <v>A</v>
          </cell>
        </row>
        <row r="1405">
          <cell r="A1405" t="str">
            <v>A</v>
          </cell>
        </row>
        <row r="1406">
          <cell r="A1406" t="str">
            <v>A</v>
          </cell>
        </row>
        <row r="1407">
          <cell r="A1407" t="str">
            <v>A</v>
          </cell>
        </row>
        <row r="1408">
          <cell r="A1408" t="str">
            <v>A</v>
          </cell>
        </row>
        <row r="1409">
          <cell r="A1409" t="str">
            <v>A</v>
          </cell>
        </row>
        <row r="1410">
          <cell r="A1410" t="str">
            <v>A</v>
          </cell>
        </row>
        <row r="1411">
          <cell r="A1411" t="str">
            <v>A</v>
          </cell>
        </row>
        <row r="1412">
          <cell r="A1412" t="str">
            <v>A</v>
          </cell>
        </row>
        <row r="1413">
          <cell r="A1413" t="str">
            <v>A</v>
          </cell>
        </row>
        <row r="1414">
          <cell r="A1414" t="str">
            <v>A</v>
          </cell>
        </row>
        <row r="1415">
          <cell r="A1415" t="str">
            <v>A</v>
          </cell>
        </row>
        <row r="1416">
          <cell r="A1416" t="str">
            <v>A</v>
          </cell>
        </row>
        <row r="1417">
          <cell r="A1417" t="str">
            <v>A</v>
          </cell>
        </row>
        <row r="1418">
          <cell r="A1418" t="str">
            <v>A</v>
          </cell>
        </row>
        <row r="1419">
          <cell r="A1419" t="str">
            <v>A</v>
          </cell>
        </row>
        <row r="1420">
          <cell r="A1420" t="str">
            <v>A</v>
          </cell>
        </row>
        <row r="1421">
          <cell r="A1421" t="str">
            <v>A</v>
          </cell>
        </row>
        <row r="1422">
          <cell r="A1422" t="str">
            <v>A</v>
          </cell>
        </row>
        <row r="1423">
          <cell r="A1423" t="str">
            <v>A</v>
          </cell>
        </row>
        <row r="1424">
          <cell r="A1424" t="str">
            <v>A</v>
          </cell>
        </row>
        <row r="1425">
          <cell r="A1425" t="str">
            <v>A</v>
          </cell>
        </row>
        <row r="1426">
          <cell r="A1426" t="str">
            <v>A</v>
          </cell>
        </row>
        <row r="1427">
          <cell r="A1427" t="str">
            <v>A</v>
          </cell>
        </row>
        <row r="1428">
          <cell r="A1428" t="str">
            <v>A</v>
          </cell>
        </row>
        <row r="1429">
          <cell r="A1429" t="str">
            <v>A</v>
          </cell>
        </row>
        <row r="1430">
          <cell r="A1430" t="str">
            <v>A</v>
          </cell>
        </row>
        <row r="1431">
          <cell r="A1431" t="str">
            <v>A</v>
          </cell>
        </row>
        <row r="1432">
          <cell r="A1432" t="str">
            <v>A</v>
          </cell>
        </row>
        <row r="1433">
          <cell r="A1433" t="str">
            <v>A</v>
          </cell>
        </row>
        <row r="1434">
          <cell r="A1434" t="str">
            <v>A</v>
          </cell>
        </row>
        <row r="1435">
          <cell r="A1435" t="str">
            <v>A</v>
          </cell>
        </row>
        <row r="1436">
          <cell r="A1436" t="str">
            <v>A</v>
          </cell>
        </row>
        <row r="1437">
          <cell r="A1437" t="str">
            <v>A</v>
          </cell>
        </row>
        <row r="1438">
          <cell r="A1438" t="str">
            <v>A</v>
          </cell>
        </row>
        <row r="1439">
          <cell r="A1439" t="str">
            <v>A</v>
          </cell>
        </row>
        <row r="1440">
          <cell r="A1440" t="str">
            <v>A</v>
          </cell>
        </row>
        <row r="1441">
          <cell r="A1441" t="str">
            <v>A</v>
          </cell>
        </row>
        <row r="1442">
          <cell r="A1442" t="str">
            <v>A</v>
          </cell>
        </row>
        <row r="1443">
          <cell r="A1443" t="str">
            <v>A</v>
          </cell>
        </row>
        <row r="1444">
          <cell r="A1444" t="str">
            <v>A</v>
          </cell>
        </row>
        <row r="1445">
          <cell r="A1445" t="str">
            <v>A</v>
          </cell>
        </row>
        <row r="1446">
          <cell r="A1446" t="str">
            <v>A</v>
          </cell>
        </row>
        <row r="1447">
          <cell r="A1447" t="str">
            <v>A</v>
          </cell>
        </row>
        <row r="1448">
          <cell r="A1448" t="str">
            <v>A</v>
          </cell>
        </row>
        <row r="1449">
          <cell r="A1449" t="str">
            <v>A</v>
          </cell>
        </row>
        <row r="1450">
          <cell r="A1450" t="str">
            <v>A</v>
          </cell>
        </row>
        <row r="1451">
          <cell r="A1451" t="str">
            <v>A</v>
          </cell>
        </row>
        <row r="1452">
          <cell r="A1452" t="str">
            <v>A</v>
          </cell>
        </row>
        <row r="1453">
          <cell r="A1453" t="str">
            <v>A</v>
          </cell>
        </row>
        <row r="1454">
          <cell r="A1454" t="str">
            <v>A</v>
          </cell>
        </row>
        <row r="1455">
          <cell r="A1455" t="str">
            <v>A</v>
          </cell>
        </row>
        <row r="1456">
          <cell r="A1456" t="str">
            <v>A</v>
          </cell>
        </row>
        <row r="1457">
          <cell r="A1457" t="str">
            <v>A</v>
          </cell>
        </row>
        <row r="1458">
          <cell r="A1458" t="str">
            <v>A</v>
          </cell>
        </row>
        <row r="1459">
          <cell r="A1459" t="str">
            <v>A</v>
          </cell>
        </row>
        <row r="1460">
          <cell r="A1460" t="str">
            <v>A</v>
          </cell>
        </row>
        <row r="1461">
          <cell r="A1461" t="str">
            <v>A</v>
          </cell>
        </row>
        <row r="1462">
          <cell r="A1462" t="str">
            <v>A</v>
          </cell>
        </row>
        <row r="1463">
          <cell r="A1463" t="str">
            <v>A</v>
          </cell>
        </row>
        <row r="1464">
          <cell r="A1464" t="str">
            <v>A</v>
          </cell>
        </row>
        <row r="1465">
          <cell r="A1465" t="str">
            <v>A</v>
          </cell>
        </row>
        <row r="1466">
          <cell r="A1466" t="str">
            <v>A</v>
          </cell>
        </row>
        <row r="1467">
          <cell r="A1467" t="str">
            <v>A</v>
          </cell>
        </row>
        <row r="1468">
          <cell r="A1468" t="str">
            <v>A</v>
          </cell>
        </row>
        <row r="1469">
          <cell r="A1469" t="str">
            <v>A</v>
          </cell>
        </row>
        <row r="1470">
          <cell r="A1470" t="str">
            <v>A</v>
          </cell>
        </row>
        <row r="1471">
          <cell r="A1471" t="str">
            <v>A</v>
          </cell>
        </row>
        <row r="1472">
          <cell r="A1472" t="str">
            <v>A</v>
          </cell>
        </row>
        <row r="1473">
          <cell r="A1473" t="str">
            <v>A</v>
          </cell>
        </row>
        <row r="1474">
          <cell r="A1474" t="str">
            <v>A</v>
          </cell>
        </row>
        <row r="1475">
          <cell r="A1475" t="str">
            <v>A</v>
          </cell>
        </row>
        <row r="1476">
          <cell r="A1476" t="str">
            <v>A</v>
          </cell>
        </row>
        <row r="1477">
          <cell r="A1477" t="str">
            <v>A</v>
          </cell>
        </row>
        <row r="1478">
          <cell r="A1478" t="str">
            <v>A</v>
          </cell>
        </row>
        <row r="1479">
          <cell r="A1479" t="str">
            <v>A</v>
          </cell>
        </row>
        <row r="1480">
          <cell r="A1480" t="str">
            <v>A</v>
          </cell>
        </row>
        <row r="1481">
          <cell r="A1481" t="str">
            <v>A</v>
          </cell>
        </row>
        <row r="1482">
          <cell r="A1482" t="str">
            <v>A</v>
          </cell>
        </row>
        <row r="1483">
          <cell r="A1483" t="str">
            <v>A</v>
          </cell>
        </row>
        <row r="1484">
          <cell r="A1484" t="str">
            <v>A</v>
          </cell>
        </row>
        <row r="1485">
          <cell r="A1485" t="str">
            <v>A</v>
          </cell>
        </row>
        <row r="1486">
          <cell r="A1486" t="str">
            <v>A</v>
          </cell>
        </row>
        <row r="1487">
          <cell r="A1487" t="str">
            <v>A</v>
          </cell>
        </row>
        <row r="1488">
          <cell r="A1488" t="str">
            <v>A</v>
          </cell>
        </row>
        <row r="1489">
          <cell r="A1489" t="str">
            <v>A</v>
          </cell>
        </row>
        <row r="1490">
          <cell r="A1490" t="str">
            <v>A</v>
          </cell>
        </row>
        <row r="1491">
          <cell r="A1491" t="str">
            <v>A</v>
          </cell>
        </row>
        <row r="1492">
          <cell r="A1492" t="str">
            <v>A</v>
          </cell>
        </row>
        <row r="1493">
          <cell r="A1493" t="str">
            <v>A</v>
          </cell>
        </row>
        <row r="1494">
          <cell r="A1494" t="str">
            <v>A</v>
          </cell>
        </row>
        <row r="1495">
          <cell r="A1495" t="str">
            <v>A</v>
          </cell>
        </row>
        <row r="1496">
          <cell r="A1496" t="str">
            <v>A</v>
          </cell>
        </row>
        <row r="1497">
          <cell r="A1497" t="str">
            <v>A</v>
          </cell>
        </row>
        <row r="1498">
          <cell r="A1498" t="str">
            <v>A</v>
          </cell>
        </row>
        <row r="1499">
          <cell r="A1499" t="str">
            <v>A</v>
          </cell>
        </row>
        <row r="1500">
          <cell r="A1500" t="str">
            <v>A</v>
          </cell>
        </row>
        <row r="1501">
          <cell r="A1501" t="str">
            <v>A</v>
          </cell>
        </row>
        <row r="1502">
          <cell r="A1502" t="str">
            <v>A</v>
          </cell>
        </row>
        <row r="1503">
          <cell r="A1503" t="str">
            <v>A</v>
          </cell>
        </row>
        <row r="1504">
          <cell r="A1504" t="str">
            <v>A</v>
          </cell>
        </row>
        <row r="1505">
          <cell r="A1505" t="str">
            <v>A</v>
          </cell>
        </row>
        <row r="1506">
          <cell r="A1506" t="str">
            <v>A</v>
          </cell>
        </row>
        <row r="1507">
          <cell r="A1507" t="str">
            <v>A</v>
          </cell>
        </row>
        <row r="1508">
          <cell r="A1508" t="str">
            <v>A</v>
          </cell>
        </row>
        <row r="1509">
          <cell r="A1509" t="str">
            <v>A</v>
          </cell>
        </row>
        <row r="1510">
          <cell r="A1510" t="str">
            <v>A</v>
          </cell>
        </row>
        <row r="1511">
          <cell r="A1511" t="str">
            <v>A</v>
          </cell>
        </row>
        <row r="1512">
          <cell r="A1512" t="str">
            <v>A</v>
          </cell>
        </row>
        <row r="1513">
          <cell r="A1513" t="str">
            <v>A</v>
          </cell>
        </row>
        <row r="1514">
          <cell r="A1514" t="str">
            <v>A</v>
          </cell>
        </row>
        <row r="1515">
          <cell r="A1515" t="str">
            <v>A</v>
          </cell>
        </row>
        <row r="1516">
          <cell r="A1516" t="str">
            <v>A</v>
          </cell>
        </row>
        <row r="1517">
          <cell r="A1517" t="str">
            <v>A</v>
          </cell>
        </row>
        <row r="1518">
          <cell r="A1518" t="str">
            <v>A</v>
          </cell>
        </row>
        <row r="1519">
          <cell r="A1519" t="str">
            <v>A</v>
          </cell>
        </row>
        <row r="1520">
          <cell r="A1520" t="str">
            <v>A</v>
          </cell>
        </row>
        <row r="1521">
          <cell r="A1521" t="str">
            <v>A</v>
          </cell>
        </row>
        <row r="1522">
          <cell r="A1522" t="str">
            <v>A</v>
          </cell>
        </row>
        <row r="1523">
          <cell r="A1523" t="str">
            <v>A</v>
          </cell>
        </row>
        <row r="1524">
          <cell r="A1524" t="str">
            <v>A</v>
          </cell>
        </row>
        <row r="1525">
          <cell r="A1525" t="str">
            <v>A</v>
          </cell>
        </row>
        <row r="1526">
          <cell r="A1526" t="str">
            <v>A</v>
          </cell>
        </row>
        <row r="1527">
          <cell r="A1527" t="str">
            <v>A</v>
          </cell>
        </row>
        <row r="1528">
          <cell r="A1528" t="str">
            <v>A</v>
          </cell>
        </row>
        <row r="1529">
          <cell r="A1529" t="str">
            <v>A</v>
          </cell>
        </row>
        <row r="1530">
          <cell r="A1530" t="str">
            <v>A</v>
          </cell>
        </row>
        <row r="1531">
          <cell r="A1531" t="str">
            <v>A</v>
          </cell>
        </row>
        <row r="1532">
          <cell r="A1532" t="str">
            <v>A</v>
          </cell>
        </row>
        <row r="1533">
          <cell r="A1533" t="str">
            <v>A</v>
          </cell>
        </row>
        <row r="1534">
          <cell r="A1534" t="str">
            <v>A</v>
          </cell>
        </row>
        <row r="1535">
          <cell r="A1535" t="str">
            <v>A</v>
          </cell>
        </row>
        <row r="1536">
          <cell r="A1536" t="str">
            <v>A</v>
          </cell>
        </row>
        <row r="1537">
          <cell r="A1537" t="str">
            <v>A</v>
          </cell>
        </row>
        <row r="1538">
          <cell r="A1538" t="str">
            <v>A</v>
          </cell>
        </row>
        <row r="1539">
          <cell r="A1539" t="str">
            <v>A</v>
          </cell>
        </row>
        <row r="1540">
          <cell r="A1540" t="str">
            <v>A</v>
          </cell>
        </row>
        <row r="1541">
          <cell r="A1541" t="str">
            <v>A</v>
          </cell>
        </row>
        <row r="1542">
          <cell r="A1542" t="str">
            <v>A</v>
          </cell>
        </row>
        <row r="1543">
          <cell r="A1543" t="str">
            <v>A</v>
          </cell>
        </row>
        <row r="1544">
          <cell r="A1544" t="str">
            <v>A</v>
          </cell>
        </row>
        <row r="1545">
          <cell r="A1545" t="str">
            <v>A</v>
          </cell>
        </row>
        <row r="1546">
          <cell r="A1546" t="str">
            <v>A</v>
          </cell>
        </row>
        <row r="1547">
          <cell r="A1547" t="str">
            <v>A</v>
          </cell>
        </row>
        <row r="1548">
          <cell r="A1548" t="str">
            <v>A</v>
          </cell>
        </row>
        <row r="1549">
          <cell r="A1549" t="str">
            <v>A</v>
          </cell>
        </row>
        <row r="1550">
          <cell r="A1550" t="str">
            <v>A</v>
          </cell>
        </row>
        <row r="1551">
          <cell r="A1551" t="str">
            <v>A</v>
          </cell>
        </row>
        <row r="1552">
          <cell r="A1552" t="str">
            <v>A</v>
          </cell>
        </row>
        <row r="1553">
          <cell r="A1553" t="str">
            <v>A</v>
          </cell>
        </row>
        <row r="1554">
          <cell r="A1554" t="str">
            <v>A</v>
          </cell>
        </row>
        <row r="1555">
          <cell r="A1555" t="str">
            <v>A</v>
          </cell>
        </row>
        <row r="1556">
          <cell r="A1556" t="str">
            <v>A</v>
          </cell>
        </row>
        <row r="1557">
          <cell r="A1557" t="str">
            <v>A</v>
          </cell>
        </row>
        <row r="1558">
          <cell r="A1558" t="str">
            <v>A</v>
          </cell>
        </row>
        <row r="1559">
          <cell r="A1559" t="str">
            <v>A</v>
          </cell>
        </row>
        <row r="1560">
          <cell r="A1560" t="str">
            <v>A</v>
          </cell>
        </row>
        <row r="1561">
          <cell r="A1561" t="str">
            <v>A</v>
          </cell>
        </row>
        <row r="1562">
          <cell r="A1562" t="str">
            <v>A</v>
          </cell>
        </row>
        <row r="1563">
          <cell r="A1563" t="str">
            <v>A</v>
          </cell>
        </row>
        <row r="1564">
          <cell r="A1564" t="str">
            <v>A</v>
          </cell>
        </row>
      </sheetData>
      <sheetData sheetId="1"/>
      <sheetData sheetId="2"/>
      <sheetData sheetId="3"/>
      <sheetData sheetId="4">
        <row r="2">
          <cell r="A2" t="str">
            <v>396500</v>
          </cell>
          <cell r="B2" t="str">
            <v>TIGER 반도체TOP10</v>
          </cell>
          <cell r="C2">
            <v>1.1044</v>
          </cell>
          <cell r="D2">
            <v>0.18840000000000001</v>
          </cell>
          <cell r="E2">
            <v>0.92920000000000003</v>
          </cell>
          <cell r="F2">
            <v>167.57</v>
          </cell>
          <cell r="G2">
            <v>-9.6300000000000008</v>
          </cell>
          <cell r="H2">
            <v>5.15</v>
          </cell>
          <cell r="I2">
            <v>-10.09</v>
          </cell>
          <cell r="J2">
            <v>5.09</v>
          </cell>
          <cell r="K2">
            <v>5.04</v>
          </cell>
          <cell r="L2">
            <v>-0.78</v>
          </cell>
          <cell r="M2">
            <v>-19.399999999999999</v>
          </cell>
        </row>
        <row r="3">
          <cell r="A3" t="str">
            <v>305540</v>
          </cell>
          <cell r="B3" t="str">
            <v>TIGER 2차전지테마</v>
          </cell>
          <cell r="C3">
            <v>6.5000000000000002E-2</v>
          </cell>
          <cell r="D3">
            <v>0.73129999999999995</v>
          </cell>
          <cell r="E3">
            <v>0.6179</v>
          </cell>
          <cell r="F3">
            <v>271.77999999999997</v>
          </cell>
          <cell r="G3">
            <v>-9.6</v>
          </cell>
          <cell r="H3">
            <v>8.5500000000000007</v>
          </cell>
          <cell r="I3">
            <v>9.1999999999999993</v>
          </cell>
          <cell r="J3">
            <v>6.1</v>
          </cell>
          <cell r="K3">
            <v>-25.3</v>
          </cell>
          <cell r="L3">
            <v>7.96</v>
          </cell>
          <cell r="M3">
            <v>-28.52</v>
          </cell>
        </row>
        <row r="4">
          <cell r="A4" t="str">
            <v>494670</v>
          </cell>
          <cell r="B4" t="str">
            <v>TIGER 조선TOP10</v>
          </cell>
          <cell r="C4">
            <v>0.15060000000000001</v>
          </cell>
          <cell r="D4">
            <v>0.50080000000000002</v>
          </cell>
          <cell r="E4">
            <v>0.47749999999999998</v>
          </cell>
          <cell r="F4">
            <v>291.49</v>
          </cell>
          <cell r="G4">
            <v>-9.44</v>
          </cell>
          <cell r="H4">
            <v>7.79</v>
          </cell>
          <cell r="I4">
            <v>7.74</v>
          </cell>
          <cell r="J4">
            <v>4.29</v>
          </cell>
          <cell r="K4">
            <v>-23.17</v>
          </cell>
          <cell r="L4">
            <v>5.76</v>
          </cell>
          <cell r="M4">
            <v>-25.88</v>
          </cell>
        </row>
        <row r="5">
          <cell r="A5" t="str">
            <v>364970</v>
          </cell>
          <cell r="B5" t="str">
            <v>TIGER 바이오TOP10</v>
          </cell>
          <cell r="C5">
            <v>-2.9399999999999999E-2</v>
          </cell>
          <cell r="D5">
            <v>0.60109999999999997</v>
          </cell>
          <cell r="E5">
            <v>0.59389999999999998</v>
          </cell>
          <cell r="F5">
            <v>210.25</v>
          </cell>
          <cell r="G5">
            <v>-11.25</v>
          </cell>
          <cell r="H5">
            <v>7.49</v>
          </cell>
          <cell r="I5">
            <v>-11.04</v>
          </cell>
          <cell r="J5">
            <v>7.33</v>
          </cell>
          <cell r="K5">
            <v>10.14</v>
          </cell>
          <cell r="L5">
            <v>5.23</v>
          </cell>
          <cell r="M5">
            <v>-27.31</v>
          </cell>
        </row>
        <row r="6">
          <cell r="A6" t="str">
            <v>364990</v>
          </cell>
          <cell r="B6" t="str">
            <v>TIGER 게임TOP10</v>
          </cell>
          <cell r="C6">
            <v>-8.77E-2</v>
          </cell>
          <cell r="D6">
            <v>0.38729999999999998</v>
          </cell>
          <cell r="E6">
            <v>0.2429</v>
          </cell>
          <cell r="F6">
            <v>251.5</v>
          </cell>
          <cell r="G6">
            <v>-6.08</v>
          </cell>
          <cell r="H6">
            <v>18.62</v>
          </cell>
          <cell r="I6">
            <v>-5.78</v>
          </cell>
          <cell r="J6">
            <v>18.670000000000002</v>
          </cell>
          <cell r="K6">
            <v>11.38</v>
          </cell>
          <cell r="L6">
            <v>22.64</v>
          </cell>
          <cell r="M6">
            <v>-34.200000000000003</v>
          </cell>
        </row>
        <row r="7">
          <cell r="A7" t="str">
            <v>228790</v>
          </cell>
          <cell r="B7" t="str">
            <v>TIGER 화장품</v>
          </cell>
          <cell r="C7">
            <v>-0.15659999999999999</v>
          </cell>
          <cell r="D7">
            <v>0.57120000000000004</v>
          </cell>
          <cell r="E7">
            <v>0.42730000000000001</v>
          </cell>
          <cell r="F7">
            <v>234.87</v>
          </cell>
          <cell r="G7">
            <v>-12.05</v>
          </cell>
          <cell r="H7">
            <v>9.5399999999999991</v>
          </cell>
          <cell r="I7">
            <v>-8.98</v>
          </cell>
          <cell r="J7">
            <v>9.52</v>
          </cell>
          <cell r="K7">
            <v>13.61</v>
          </cell>
          <cell r="L7">
            <v>12.61</v>
          </cell>
          <cell r="M7">
            <v>-30.57</v>
          </cell>
        </row>
        <row r="8">
          <cell r="A8" t="str">
            <v>228800</v>
          </cell>
          <cell r="B8" t="str">
            <v>TIGER 여행레저</v>
          </cell>
          <cell r="C8">
            <v>1.3100000000000001E-2</v>
          </cell>
          <cell r="D8">
            <v>0.38009999999999999</v>
          </cell>
          <cell r="E8">
            <v>0.41770000000000002</v>
          </cell>
          <cell r="F8">
            <v>203.1</v>
          </cell>
          <cell r="G8">
            <v>-6.32</v>
          </cell>
          <cell r="H8">
            <v>14.2</v>
          </cell>
          <cell r="I8">
            <v>-7.64</v>
          </cell>
          <cell r="J8">
            <v>14.38</v>
          </cell>
          <cell r="K8">
            <v>13.16</v>
          </cell>
          <cell r="L8">
            <v>17.7</v>
          </cell>
          <cell r="M8">
            <v>-32.979999999999997</v>
          </cell>
        </row>
        <row r="9">
          <cell r="A9" t="str">
            <v>364980</v>
          </cell>
          <cell r="B9" t="str">
            <v>TIGER 2차전지TOP10</v>
          </cell>
          <cell r="C9">
            <v>9.1800000000000007E-2</v>
          </cell>
          <cell r="D9">
            <v>0.69969999999999999</v>
          </cell>
          <cell r="E9">
            <v>0.57189999999999996</v>
          </cell>
          <cell r="F9">
            <v>295.85000000000002</v>
          </cell>
          <cell r="G9">
            <v>-10.62</v>
          </cell>
          <cell r="H9">
            <v>8.6999999999999993</v>
          </cell>
          <cell r="I9">
            <v>9.19</v>
          </cell>
          <cell r="J9">
            <v>5.2</v>
          </cell>
          <cell r="K9">
            <v>-26.44</v>
          </cell>
          <cell r="L9">
            <v>8.07</v>
          </cell>
          <cell r="M9">
            <v>-29.11</v>
          </cell>
        </row>
        <row r="10">
          <cell r="A10" t="str">
            <v>462010</v>
          </cell>
          <cell r="B10" t="str">
            <v>TIGER 2차전지소재Fn</v>
          </cell>
          <cell r="C10">
            <v>7.4200000000000002E-2</v>
          </cell>
          <cell r="D10">
            <v>0.86409999999999998</v>
          </cell>
          <cell r="E10">
            <v>0.69079999999999997</v>
          </cell>
          <cell r="F10">
            <v>272.54000000000002</v>
          </cell>
          <cell r="G10">
            <v>-8.6199999999999992</v>
          </cell>
          <cell r="H10">
            <v>8.67</v>
          </cell>
          <cell r="I10">
            <v>10.98</v>
          </cell>
          <cell r="J10">
            <v>8.8699999999999992</v>
          </cell>
          <cell r="K10">
            <v>-26.11</v>
          </cell>
          <cell r="L10">
            <v>9.7100000000000009</v>
          </cell>
          <cell r="M10">
            <v>-29.71</v>
          </cell>
        </row>
        <row r="11">
          <cell r="A11" t="str">
            <v>365000</v>
          </cell>
          <cell r="B11" t="str">
            <v>TIGER 인터넷TOP10</v>
          </cell>
          <cell r="C11">
            <v>9.8199999999999996E-2</v>
          </cell>
          <cell r="D11">
            <v>0.46820000000000001</v>
          </cell>
          <cell r="E11">
            <v>0.59519999999999995</v>
          </cell>
          <cell r="F11">
            <v>200.6</v>
          </cell>
          <cell r="G11">
            <v>-10.24</v>
          </cell>
          <cell r="H11">
            <v>15.05</v>
          </cell>
          <cell r="I11">
            <v>-10.68</v>
          </cell>
          <cell r="J11">
            <v>15.83</v>
          </cell>
          <cell r="K11">
            <v>13.49</v>
          </cell>
          <cell r="L11">
            <v>16.36</v>
          </cell>
          <cell r="M11">
            <v>-37.72</v>
          </cell>
        </row>
        <row r="12">
          <cell r="A12" t="str">
            <v>139230</v>
          </cell>
          <cell r="B12" t="str">
            <v>TIGER 200 중공업</v>
          </cell>
          <cell r="C12">
            <v>0.23980000000000001</v>
          </cell>
          <cell r="D12">
            <v>0.57110000000000005</v>
          </cell>
          <cell r="E12">
            <v>0.68110000000000004</v>
          </cell>
          <cell r="F12">
            <v>236.97</v>
          </cell>
          <cell r="G12">
            <v>-8.41</v>
          </cell>
          <cell r="H12">
            <v>9.7799999999999994</v>
          </cell>
          <cell r="I12">
            <v>-8.83</v>
          </cell>
          <cell r="J12">
            <v>10.08</v>
          </cell>
          <cell r="K12">
            <v>12.58</v>
          </cell>
          <cell r="L12">
            <v>12.13</v>
          </cell>
          <cell r="M12">
            <v>-29.79</v>
          </cell>
        </row>
        <row r="13">
          <cell r="A13" t="str">
            <v>471760</v>
          </cell>
          <cell r="B13" t="str">
            <v>TIGER AI반도체핵심공정</v>
          </cell>
          <cell r="C13">
            <v>0.49519999999999997</v>
          </cell>
          <cell r="D13">
            <v>0.80810000000000004</v>
          </cell>
          <cell r="E13">
            <v>0.81710000000000005</v>
          </cell>
          <cell r="F13">
            <v>263.89</v>
          </cell>
          <cell r="G13">
            <v>-11.64</v>
          </cell>
          <cell r="H13">
            <v>7.84</v>
          </cell>
          <cell r="I13">
            <v>10.91</v>
          </cell>
          <cell r="J13">
            <v>5.15</v>
          </cell>
          <cell r="K13">
            <v>-28.43</v>
          </cell>
          <cell r="L13">
            <v>8.27</v>
          </cell>
          <cell r="M13">
            <v>-31.39</v>
          </cell>
        </row>
        <row r="14">
          <cell r="A14" t="str">
            <v>0052D0</v>
          </cell>
          <cell r="B14" t="str">
            <v>TIGER 코리아배당다우존스</v>
          </cell>
          <cell r="C14">
            <v>0.11360000000000001</v>
          </cell>
          <cell r="D14">
            <v>0.29970000000000002</v>
          </cell>
          <cell r="E14">
            <v>0.52470000000000006</v>
          </cell>
          <cell r="F14">
            <v>168.07</v>
          </cell>
          <cell r="G14">
            <v>-8.32</v>
          </cell>
          <cell r="H14">
            <v>8.36</v>
          </cell>
          <cell r="I14">
            <v>-8.9</v>
          </cell>
          <cell r="J14">
            <v>8.4700000000000006</v>
          </cell>
          <cell r="K14">
            <v>6.97</v>
          </cell>
          <cell r="L14">
            <v>5.36</v>
          </cell>
          <cell r="M14">
            <v>-23.16</v>
          </cell>
        </row>
        <row r="15">
          <cell r="A15" t="str">
            <v>466940</v>
          </cell>
          <cell r="B15" t="str">
            <v>TIGER 은행고배당플러스TOP10</v>
          </cell>
          <cell r="C15">
            <v>0.1148</v>
          </cell>
          <cell r="D15">
            <v>0.2364</v>
          </cell>
          <cell r="E15">
            <v>0.37919999999999998</v>
          </cell>
          <cell r="F15">
            <v>191.97</v>
          </cell>
          <cell r="G15">
            <v>-8.1</v>
          </cell>
          <cell r="H15">
            <v>7.16</v>
          </cell>
          <cell r="I15">
            <v>-10</v>
          </cell>
          <cell r="J15">
            <v>6.89</v>
          </cell>
          <cell r="K15">
            <v>7.22</v>
          </cell>
          <cell r="L15">
            <v>2.97</v>
          </cell>
          <cell r="M15">
            <v>-22.97</v>
          </cell>
        </row>
        <row r="16">
          <cell r="A16" t="str">
            <v>157500</v>
          </cell>
          <cell r="B16" t="str">
            <v>TIGER 증권</v>
          </cell>
          <cell r="C16">
            <v>0.47820000000000001</v>
          </cell>
          <cell r="D16">
            <v>0.44819999999999999</v>
          </cell>
          <cell r="E16">
            <v>0.69120000000000004</v>
          </cell>
          <cell r="F16">
            <v>268.62</v>
          </cell>
          <cell r="G16">
            <v>-10.45</v>
          </cell>
          <cell r="H16">
            <v>8.56</v>
          </cell>
          <cell r="I16">
            <v>9.82</v>
          </cell>
          <cell r="J16">
            <v>5.83</v>
          </cell>
          <cell r="K16">
            <v>-26.73</v>
          </cell>
          <cell r="L16">
            <v>6.38</v>
          </cell>
          <cell r="M16">
            <v>-29.28</v>
          </cell>
        </row>
        <row r="17">
          <cell r="A17" t="str">
            <v>400970</v>
          </cell>
          <cell r="B17" t="str">
            <v>TIGER Fn메타버스</v>
          </cell>
          <cell r="C17">
            <v>8.9700000000000002E-2</v>
          </cell>
          <cell r="D17">
            <v>0.39810000000000001</v>
          </cell>
          <cell r="E17">
            <v>0.46710000000000002</v>
          </cell>
          <cell r="F17">
            <v>223.58</v>
          </cell>
          <cell r="G17">
            <v>-9.1999999999999993</v>
          </cell>
          <cell r="H17">
            <v>15.08</v>
          </cell>
          <cell r="I17">
            <v>-8.92</v>
          </cell>
          <cell r="J17">
            <v>15.07</v>
          </cell>
          <cell r="K17">
            <v>9.1</v>
          </cell>
          <cell r="L17">
            <v>13.97</v>
          </cell>
          <cell r="M17">
            <v>-31.81</v>
          </cell>
        </row>
        <row r="18">
          <cell r="A18" t="str">
            <v>228810</v>
          </cell>
          <cell r="B18" t="str">
            <v>TIGER 미디어컨텐츠</v>
          </cell>
          <cell r="C18">
            <v>-0.16639999999999999</v>
          </cell>
          <cell r="D18">
            <v>0.67720000000000002</v>
          </cell>
          <cell r="E18">
            <v>0.58430000000000004</v>
          </cell>
          <cell r="F18">
            <v>207.09</v>
          </cell>
          <cell r="G18">
            <v>-4.3899999999999997</v>
          </cell>
          <cell r="H18">
            <v>14.67</v>
          </cell>
          <cell r="I18">
            <v>-5.54</v>
          </cell>
          <cell r="J18">
            <v>14.82</v>
          </cell>
          <cell r="K18">
            <v>14.38</v>
          </cell>
          <cell r="L18">
            <v>21.3</v>
          </cell>
          <cell r="M18">
            <v>-32.380000000000003</v>
          </cell>
        </row>
        <row r="19">
          <cell r="A19" t="str">
            <v>157490</v>
          </cell>
          <cell r="B19" t="str">
            <v>TIGER 소프트웨어</v>
          </cell>
          <cell r="C19">
            <v>0.20250000000000001</v>
          </cell>
          <cell r="D19">
            <v>0.3402</v>
          </cell>
          <cell r="E19">
            <v>0.45729999999999998</v>
          </cell>
          <cell r="F19">
            <v>252.92</v>
          </cell>
          <cell r="G19">
            <v>-10.119999999999999</v>
          </cell>
          <cell r="H19">
            <v>11.88</v>
          </cell>
          <cell r="I19">
            <v>-10.37</v>
          </cell>
          <cell r="J19">
            <v>12.33</v>
          </cell>
          <cell r="K19">
            <v>11.7</v>
          </cell>
          <cell r="L19">
            <v>11.73</v>
          </cell>
          <cell r="M19">
            <v>-32.47</v>
          </cell>
        </row>
        <row r="20">
          <cell r="A20" t="str">
            <v>307520</v>
          </cell>
          <cell r="B20" t="str">
            <v>TIGER 지주회사</v>
          </cell>
          <cell r="C20">
            <v>0.37959999999999999</v>
          </cell>
          <cell r="D20">
            <v>0.39200000000000002</v>
          </cell>
          <cell r="E20">
            <v>0.79459999999999997</v>
          </cell>
          <cell r="F20">
            <v>169.62</v>
          </cell>
          <cell r="G20">
            <v>-12.43</v>
          </cell>
          <cell r="H20">
            <v>9.91</v>
          </cell>
          <cell r="I20">
            <v>-12.59</v>
          </cell>
          <cell r="J20">
            <v>9.6300000000000008</v>
          </cell>
          <cell r="K20">
            <v>9.9</v>
          </cell>
          <cell r="L20">
            <v>5.36</v>
          </cell>
          <cell r="M20">
            <v>-30.54</v>
          </cell>
        </row>
        <row r="21">
          <cell r="A21" t="str">
            <v>139250</v>
          </cell>
          <cell r="B21" t="str">
            <v>TIGER 200 에너지화학</v>
          </cell>
          <cell r="C21">
            <v>0.27329999999999999</v>
          </cell>
          <cell r="D21">
            <v>0.4254</v>
          </cell>
          <cell r="E21">
            <v>0.68310000000000004</v>
          </cell>
          <cell r="F21">
            <v>203.81</v>
          </cell>
          <cell r="G21">
            <v>-8.61</v>
          </cell>
          <cell r="H21">
            <v>15.56</v>
          </cell>
          <cell r="I21">
            <v>-7.8</v>
          </cell>
          <cell r="J21">
            <v>16.899999999999999</v>
          </cell>
          <cell r="K21">
            <v>11.89</v>
          </cell>
          <cell r="L21">
            <v>19.059999999999999</v>
          </cell>
          <cell r="M21">
            <v>-34.659999999999997</v>
          </cell>
        </row>
        <row r="22">
          <cell r="A22" t="str">
            <v>292150</v>
          </cell>
          <cell r="B22" t="str">
            <v>TIGER 코리아TOP10</v>
          </cell>
          <cell r="C22">
            <v>0.9718</v>
          </cell>
          <cell r="D22">
            <v>-1.1000000000000001E-3</v>
          </cell>
          <cell r="E22">
            <v>0.98240000000000005</v>
          </cell>
          <cell r="F22">
            <v>64.099999999999994</v>
          </cell>
          <cell r="G22">
            <v>-10.23</v>
          </cell>
          <cell r="H22">
            <v>6.68</v>
          </cell>
          <cell r="I22">
            <v>-9.84</v>
          </cell>
          <cell r="J22">
            <v>6.74</v>
          </cell>
          <cell r="K22">
            <v>7.29</v>
          </cell>
          <cell r="L22">
            <v>3.07</v>
          </cell>
          <cell r="M22">
            <v>-22.75</v>
          </cell>
        </row>
        <row r="23">
          <cell r="A23" t="str">
            <v>139220</v>
          </cell>
          <cell r="B23" t="str">
            <v>TIGER 200 건설</v>
          </cell>
          <cell r="C23">
            <v>0.432</v>
          </cell>
          <cell r="D23">
            <v>0.51619999999999999</v>
          </cell>
          <cell r="E23">
            <v>0.67610000000000003</v>
          </cell>
          <cell r="F23">
            <v>282.58999999999997</v>
          </cell>
          <cell r="G23">
            <v>-10.97</v>
          </cell>
          <cell r="H23">
            <v>10</v>
          </cell>
          <cell r="I23">
            <v>11.71</v>
          </cell>
          <cell r="J23">
            <v>8.2799999999999994</v>
          </cell>
          <cell r="K23">
            <v>-30.22</v>
          </cell>
          <cell r="L23">
            <v>12.5</v>
          </cell>
          <cell r="M23">
            <v>-33.18</v>
          </cell>
        </row>
        <row r="24">
          <cell r="A24" t="str">
            <v>377990</v>
          </cell>
          <cell r="B24" t="str">
            <v>TIGER Fn신재생에너지</v>
          </cell>
          <cell r="C24">
            <v>0.2041</v>
          </cell>
          <cell r="D24">
            <v>0.8175</v>
          </cell>
          <cell r="E24">
            <v>0.6946</v>
          </cell>
          <cell r="F24">
            <v>290.36</v>
          </cell>
          <cell r="G24">
            <v>-9.74</v>
          </cell>
          <cell r="H24">
            <v>8.4700000000000006</v>
          </cell>
          <cell r="I24">
            <v>11.36</v>
          </cell>
          <cell r="J24">
            <v>7.97</v>
          </cell>
          <cell r="K24">
            <v>-27.45</v>
          </cell>
          <cell r="L24">
            <v>10.63</v>
          </cell>
          <cell r="M24">
            <v>-31.63</v>
          </cell>
        </row>
        <row r="25">
          <cell r="A25" t="str">
            <v>0091P0</v>
          </cell>
          <cell r="B25" t="str">
            <v>TIGER 코리아원자력</v>
          </cell>
          <cell r="C25">
            <v>0.2049</v>
          </cell>
          <cell r="D25">
            <v>0.8377</v>
          </cell>
          <cell r="E25">
            <v>0.70050000000000001</v>
          </cell>
          <cell r="F25">
            <v>292.27</v>
          </cell>
          <cell r="G25">
            <v>-10.32</v>
          </cell>
          <cell r="H25">
            <v>6.74</v>
          </cell>
          <cell r="I25">
            <v>9.85</v>
          </cell>
          <cell r="J25">
            <v>4.5999999999999996</v>
          </cell>
          <cell r="K25">
            <v>-25.24</v>
          </cell>
          <cell r="L25">
            <v>9.6999999999999993</v>
          </cell>
          <cell r="M25">
            <v>-31.64</v>
          </cell>
        </row>
        <row r="26">
          <cell r="A26" t="str">
            <v>0117V0</v>
          </cell>
          <cell r="B26" t="str">
            <v>TIGER 코리아AI전력기기TOP3플러스</v>
          </cell>
          <cell r="C26">
            <v>0.43719999999999998</v>
          </cell>
          <cell r="D26">
            <v>0.65169999999999995</v>
          </cell>
          <cell r="E26">
            <v>0.68069999999999997</v>
          </cell>
          <cell r="F26">
            <v>319.64999999999998</v>
          </cell>
          <cell r="G26">
            <v>-9.99</v>
          </cell>
          <cell r="H26">
            <v>7.34</v>
          </cell>
          <cell r="I26">
            <v>8.7899999999999991</v>
          </cell>
          <cell r="J26">
            <v>4.32</v>
          </cell>
          <cell r="K26">
            <v>-24.3</v>
          </cell>
          <cell r="L26">
            <v>7.18</v>
          </cell>
          <cell r="M26">
            <v>-28.68</v>
          </cell>
        </row>
        <row r="27">
          <cell r="A27" t="str">
            <v>091220</v>
          </cell>
          <cell r="B27" t="str">
            <v>TIGER 은행</v>
          </cell>
          <cell r="C27">
            <v>6.0100000000000001E-2</v>
          </cell>
          <cell r="D27">
            <v>0.26590000000000003</v>
          </cell>
          <cell r="E27">
            <v>0.29909999999999998</v>
          </cell>
          <cell r="F27">
            <v>214.09</v>
          </cell>
          <cell r="G27">
            <v>-11.54</v>
          </cell>
          <cell r="H27">
            <v>12.37</v>
          </cell>
          <cell r="I27">
            <v>-11.5</v>
          </cell>
          <cell r="J27">
            <v>12.42</v>
          </cell>
          <cell r="K27">
            <v>9.0299999999999994</v>
          </cell>
          <cell r="L27">
            <v>8.4600000000000009</v>
          </cell>
          <cell r="M27">
            <v>-31.46</v>
          </cell>
        </row>
        <row r="28">
          <cell r="A28" t="str">
            <v>138540</v>
          </cell>
          <cell r="B28" t="str">
            <v>TIGER 현대차그룹플러스</v>
          </cell>
          <cell r="C28">
            <v>0.40379999999999999</v>
          </cell>
          <cell r="D28">
            <v>0.33589999999999998</v>
          </cell>
          <cell r="E28">
            <v>0.61280000000000001</v>
          </cell>
          <cell r="F28">
            <v>256.22000000000003</v>
          </cell>
          <cell r="G28">
            <v>-8.8000000000000007</v>
          </cell>
          <cell r="H28">
            <v>7.02</v>
          </cell>
          <cell r="I28">
            <v>-8.4700000000000006</v>
          </cell>
          <cell r="J28">
            <v>7.03</v>
          </cell>
          <cell r="K28">
            <v>9.56</v>
          </cell>
          <cell r="L28">
            <v>6.96</v>
          </cell>
          <cell r="M28">
            <v>-23.9</v>
          </cell>
        </row>
        <row r="29">
          <cell r="A29" t="str">
            <v>0148J0</v>
          </cell>
          <cell r="B29" t="str">
            <v>TIGER 코리아휴머노이드로봇산업</v>
          </cell>
          <cell r="C29">
            <v>0.4078</v>
          </cell>
          <cell r="D29">
            <v>0.64119999999999999</v>
          </cell>
          <cell r="E29">
            <v>0.60409999999999997</v>
          </cell>
          <cell r="F29">
            <v>363.68</v>
          </cell>
          <cell r="G29">
            <v>-10.36</v>
          </cell>
          <cell r="H29">
            <v>7.87</v>
          </cell>
          <cell r="I29">
            <v>8.99</v>
          </cell>
          <cell r="J29">
            <v>4.58</v>
          </cell>
          <cell r="K29">
            <v>-25.3</v>
          </cell>
          <cell r="L29">
            <v>9.14</v>
          </cell>
          <cell r="M29">
            <v>-28.48</v>
          </cell>
        </row>
        <row r="30">
          <cell r="A30" t="str">
            <v>395270</v>
          </cell>
          <cell r="B30" t="str">
            <v>HANARO Fn K-반도체</v>
          </cell>
          <cell r="C30">
            <v>1.1691</v>
          </cell>
          <cell r="D30">
            <v>9.0499999999999997E-2</v>
          </cell>
          <cell r="E30">
            <v>0.91949999999999998</v>
          </cell>
          <cell r="F30">
            <v>179.26</v>
          </cell>
          <cell r="G30">
            <v>-10.23</v>
          </cell>
          <cell r="H30">
            <v>6.39</v>
          </cell>
          <cell r="I30">
            <v>-10.25</v>
          </cell>
          <cell r="J30">
            <v>6.44</v>
          </cell>
          <cell r="K30">
            <v>7.85</v>
          </cell>
          <cell r="L30">
            <v>2.95</v>
          </cell>
          <cell r="M30">
            <v>-23.45</v>
          </cell>
        </row>
        <row r="31">
          <cell r="A31" t="str">
            <v>261070</v>
          </cell>
          <cell r="B31" t="str">
            <v>TIGER 코스닥150바이오테크</v>
          </cell>
          <cell r="C31">
            <v>-0.253</v>
          </cell>
          <cell r="D31">
            <v>1.0714999999999999</v>
          </cell>
          <cell r="E31">
            <v>0.75229999999999997</v>
          </cell>
          <cell r="F31">
            <v>224.54</v>
          </cell>
          <cell r="G31">
            <v>-12.32</v>
          </cell>
          <cell r="H31">
            <v>11.35</v>
          </cell>
          <cell r="I31">
            <v>-12.41</v>
          </cell>
          <cell r="J31">
            <v>11.71</v>
          </cell>
          <cell r="K31">
            <v>14.16</v>
          </cell>
          <cell r="L31">
            <v>11.48</v>
          </cell>
          <cell r="M31">
            <v>-36.299999999999997</v>
          </cell>
        </row>
        <row r="32">
          <cell r="A32" t="str">
            <v>138530</v>
          </cell>
          <cell r="B32" t="str">
            <v>TIGER LG그룹플러스</v>
          </cell>
          <cell r="C32">
            <v>0.3493</v>
          </cell>
          <cell r="D32">
            <v>0.25890000000000002</v>
          </cell>
          <cell r="E32">
            <v>0.377</v>
          </cell>
          <cell r="F32">
            <v>342.35</v>
          </cell>
          <cell r="G32">
            <v>-10.5</v>
          </cell>
          <cell r="H32">
            <v>9.2100000000000009</v>
          </cell>
          <cell r="I32">
            <v>8.75</v>
          </cell>
          <cell r="J32">
            <v>5.38</v>
          </cell>
          <cell r="K32">
            <v>-26.38</v>
          </cell>
          <cell r="L32">
            <v>6.65</v>
          </cell>
          <cell r="M32">
            <v>-28.73</v>
          </cell>
        </row>
        <row r="33">
          <cell r="A33" t="str">
            <v>261060</v>
          </cell>
          <cell r="B33" t="str">
            <v>TIGER 코스닥150IT</v>
          </cell>
          <cell r="C33">
            <v>0.19370000000000001</v>
          </cell>
          <cell r="D33">
            <v>1.0421</v>
          </cell>
          <cell r="E33">
            <v>0.85599999999999998</v>
          </cell>
          <cell r="F33">
            <v>218.01</v>
          </cell>
          <cell r="G33">
            <v>-12.51</v>
          </cell>
          <cell r="H33">
            <v>15.79</v>
          </cell>
          <cell r="I33">
            <v>-12.4</v>
          </cell>
          <cell r="J33">
            <v>16.39</v>
          </cell>
          <cell r="K33">
            <v>16.23</v>
          </cell>
          <cell r="L33">
            <v>17.59</v>
          </cell>
          <cell r="M33">
            <v>-42.39</v>
          </cell>
        </row>
        <row r="34">
          <cell r="A34" t="str">
            <v>227540</v>
          </cell>
          <cell r="B34" t="str">
            <v>TIGER 200 헬스케어</v>
          </cell>
          <cell r="C34">
            <v>-4.5400000000000003E-2</v>
          </cell>
          <cell r="D34">
            <v>0.52410000000000001</v>
          </cell>
          <cell r="E34">
            <v>0.48680000000000001</v>
          </cell>
          <cell r="F34">
            <v>220.8</v>
          </cell>
          <cell r="G34">
            <v>-9.76</v>
          </cell>
          <cell r="H34">
            <v>11.74</v>
          </cell>
          <cell r="I34">
            <v>-9.9</v>
          </cell>
          <cell r="J34">
            <v>11.42</v>
          </cell>
          <cell r="K34">
            <v>10.130000000000001</v>
          </cell>
          <cell r="L34">
            <v>9.9499999999999993</v>
          </cell>
          <cell r="M34">
            <v>-29.75</v>
          </cell>
        </row>
        <row r="35">
          <cell r="A35" t="str">
            <v>138520</v>
          </cell>
          <cell r="B35" t="str">
            <v>TIGER 삼성그룹</v>
          </cell>
          <cell r="C35">
            <v>0.80620000000000003</v>
          </cell>
          <cell r="D35">
            <v>8.7499999999999994E-2</v>
          </cell>
          <cell r="E35">
            <v>0.92390000000000005</v>
          </cell>
          <cell r="F35">
            <v>122.3</v>
          </cell>
          <cell r="G35">
            <v>-8.6</v>
          </cell>
          <cell r="H35">
            <v>12.12</v>
          </cell>
          <cell r="I35">
            <v>-10.01</v>
          </cell>
          <cell r="J35">
            <v>12.64</v>
          </cell>
          <cell r="K35">
            <v>12.21</v>
          </cell>
          <cell r="L35">
            <v>12.84</v>
          </cell>
          <cell r="M35">
            <v>-32.86</v>
          </cell>
        </row>
        <row r="36">
          <cell r="A36" t="str">
            <v>364960</v>
          </cell>
          <cell r="B36" t="str">
            <v>TIGER BBIG</v>
          </cell>
          <cell r="C36">
            <v>3.0499999999999999E-2</v>
          </cell>
          <cell r="D36">
            <v>0.48880000000000001</v>
          </cell>
          <cell r="E36">
            <v>0.60919999999999996</v>
          </cell>
          <cell r="F36">
            <v>181.15</v>
          </cell>
          <cell r="G36">
            <v>-11.88</v>
          </cell>
          <cell r="H36">
            <v>16.16</v>
          </cell>
          <cell r="I36">
            <v>-11.07</v>
          </cell>
          <cell r="J36">
            <v>16.46</v>
          </cell>
          <cell r="K36">
            <v>10.69</v>
          </cell>
          <cell r="L36">
            <v>14.44</v>
          </cell>
          <cell r="M36">
            <v>-36.58</v>
          </cell>
        </row>
        <row r="37">
          <cell r="A37" t="str">
            <v>150460</v>
          </cell>
          <cell r="B37" t="str">
            <v>TIGER 중국소비테마</v>
          </cell>
          <cell r="C37">
            <v>-9.5100000000000004E-2</v>
          </cell>
          <cell r="D37">
            <v>0.46899999999999997</v>
          </cell>
          <cell r="E37">
            <v>0.50219999999999998</v>
          </cell>
          <cell r="F37">
            <v>174.84</v>
          </cell>
          <cell r="G37">
            <v>-11.3</v>
          </cell>
          <cell r="H37">
            <v>19.34</v>
          </cell>
          <cell r="I37">
            <v>-12.66</v>
          </cell>
          <cell r="J37">
            <v>17.68</v>
          </cell>
          <cell r="K37">
            <v>9.93</v>
          </cell>
          <cell r="L37">
            <v>13.7</v>
          </cell>
          <cell r="M37">
            <v>-39.020000000000003</v>
          </cell>
        </row>
        <row r="38">
          <cell r="A38" t="str">
            <v>472150</v>
          </cell>
          <cell r="B38" t="str">
            <v>TIGER 배당커버드콜액티브</v>
          </cell>
          <cell r="C38">
            <v>0.97460000000000002</v>
          </cell>
          <cell r="D38">
            <v>6.9999999999999999E-4</v>
          </cell>
          <cell r="E38">
            <v>0.98899999999999999</v>
          </cell>
          <cell r="F38">
            <v>50.14</v>
          </cell>
          <cell r="G38">
            <v>-4.79</v>
          </cell>
          <cell r="H38">
            <v>14.12</v>
          </cell>
          <cell r="I38">
            <v>0.87</v>
          </cell>
          <cell r="J38">
            <v>7.39</v>
          </cell>
          <cell r="K38">
            <v>4.8899999999999997</v>
          </cell>
          <cell r="L38">
            <v>12.39</v>
          </cell>
          <cell r="M38">
            <v>-10.65</v>
          </cell>
        </row>
        <row r="39">
          <cell r="A39" t="str">
            <v>417630</v>
          </cell>
          <cell r="B39" t="str">
            <v>TIGER KEDI혁신기업ESG30</v>
          </cell>
          <cell r="C39">
            <v>0.30009999999999998</v>
          </cell>
          <cell r="D39">
            <v>0.41160000000000002</v>
          </cell>
          <cell r="E39">
            <v>0.83899999999999997</v>
          </cell>
          <cell r="F39">
            <v>132.62</v>
          </cell>
          <cell r="G39">
            <v>-10.55</v>
          </cell>
          <cell r="H39">
            <v>19.239999999999998</v>
          </cell>
          <cell r="I39">
            <v>-10.73</v>
          </cell>
          <cell r="J39">
            <v>19.47</v>
          </cell>
          <cell r="K39">
            <v>10.29</v>
          </cell>
          <cell r="L39">
            <v>17.899999999999999</v>
          </cell>
          <cell r="M39">
            <v>-39.36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B6E67-1487-425E-98AD-C0F3D3910F0E}">
  <dimension ref="A1:AL52"/>
  <sheetViews>
    <sheetView zoomScale="80" zoomScaleNormal="8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E27" sqref="E27"/>
    </sheetView>
  </sheetViews>
  <sheetFormatPr defaultRowHeight="16.5" x14ac:dyDescent="0.3"/>
  <cols>
    <col min="1" max="1" width="4" style="1" customWidth="1"/>
    <col min="2" max="2" width="9.25" style="2" bestFit="1" customWidth="1"/>
    <col min="3" max="3" width="23.25" style="3" customWidth="1"/>
    <col min="4" max="4" width="7.125" style="1" customWidth="1"/>
    <col min="5" max="5" width="10" style="1" customWidth="1"/>
    <col min="6" max="6" width="9" style="2"/>
    <col min="7" max="7" width="13.375" style="1" bestFit="1" customWidth="1"/>
    <col min="8" max="8" width="13.875" style="1" bestFit="1" customWidth="1"/>
    <col min="9" max="9" width="9.375" style="1" customWidth="1"/>
    <col min="10" max="10" width="13.125" style="1" bestFit="1" customWidth="1"/>
    <col min="11" max="11" width="13.625" style="1" bestFit="1" customWidth="1"/>
    <col min="12" max="12" width="9.125" style="1" customWidth="1"/>
    <col min="13" max="13" width="10.125" style="1" bestFit="1" customWidth="1"/>
    <col min="14" max="14" width="13" style="1" bestFit="1" customWidth="1"/>
    <col min="15" max="15" width="11.625" style="1" customWidth="1"/>
    <col min="16" max="16" width="13" style="1" bestFit="1" customWidth="1"/>
    <col min="17" max="17" width="13" style="1" customWidth="1"/>
    <col min="18" max="19" width="13.25" style="1" bestFit="1" customWidth="1"/>
    <col min="20" max="20" width="10.5" style="1" customWidth="1"/>
    <col min="21" max="21" width="12.125" style="1" customWidth="1"/>
    <col min="22" max="22" width="13.125" style="1" bestFit="1" customWidth="1"/>
    <col min="23" max="23" width="13.125" style="1" customWidth="1"/>
    <col min="24" max="24" width="12.625" style="1" bestFit="1" customWidth="1"/>
    <col min="25" max="25" width="12.625" style="1" customWidth="1"/>
    <col min="26" max="26" width="13.25" style="1" bestFit="1" customWidth="1"/>
    <col min="27" max="27" width="9.5" style="1" bestFit="1" customWidth="1"/>
    <col min="28" max="28" width="9.25" style="1" customWidth="1"/>
    <col min="29" max="29" width="10.375" style="1" bestFit="1" customWidth="1"/>
    <col min="30" max="30" width="10.375" style="1" customWidth="1"/>
    <col min="31" max="31" width="12.25" style="1" bestFit="1" customWidth="1"/>
    <col min="32" max="16384" width="9" style="1"/>
  </cols>
  <sheetData>
    <row r="1" spans="1:38" x14ac:dyDescent="0.3">
      <c r="E1" s="4"/>
      <c r="F1" s="5"/>
      <c r="J1" s="2"/>
      <c r="R1" s="6">
        <v>1</v>
      </c>
    </row>
    <row r="2" spans="1:38" x14ac:dyDescent="0.3">
      <c r="E2" s="4"/>
      <c r="F2" s="7"/>
      <c r="G2" s="4"/>
      <c r="J2" s="4"/>
      <c r="P2" s="1">
        <f>SUM(P4:P5)</f>
        <v>0</v>
      </c>
      <c r="Q2" s="1">
        <f>SUM(Q4:Q5)</f>
        <v>0</v>
      </c>
      <c r="R2" s="1">
        <f>SUM(R4:R5)</f>
        <v>0</v>
      </c>
    </row>
    <row r="3" spans="1:38" x14ac:dyDescent="0.3">
      <c r="F3" s="7"/>
      <c r="J3" s="1" t="s">
        <v>0</v>
      </c>
      <c r="K3" s="1">
        <f>ABS(K4)+K5</f>
        <v>0</v>
      </c>
      <c r="O3" s="8" t="s">
        <v>1</v>
      </c>
      <c r="P3" s="9" t="s">
        <v>2</v>
      </c>
      <c r="Q3" s="10" t="s">
        <v>3</v>
      </c>
      <c r="R3" s="11" t="s">
        <v>4</v>
      </c>
      <c r="S3" s="9" t="s">
        <v>5</v>
      </c>
      <c r="T3" s="11" t="s">
        <v>6</v>
      </c>
      <c r="U3" s="11" t="s">
        <v>7</v>
      </c>
      <c r="V3" s="1" t="s">
        <v>8</v>
      </c>
    </row>
    <row r="4" spans="1:38" x14ac:dyDescent="0.3">
      <c r="J4" s="1" t="s">
        <v>9</v>
      </c>
      <c r="K4" s="1">
        <f>SUMIFS($N$15:$N$977,$N$15:$N$977,"&lt;0")</f>
        <v>0</v>
      </c>
      <c r="N4" s="12" t="e">
        <f>U4/ABS(N14)</f>
        <v>#DIV/0!</v>
      </c>
      <c r="O4" s="13" t="s">
        <v>10</v>
      </c>
      <c r="P4" s="14">
        <f>X14</f>
        <v>0</v>
      </c>
      <c r="Q4" s="1">
        <f>N10</f>
        <v>0</v>
      </c>
      <c r="R4" s="15">
        <f>(P4+Q4)*R1</f>
        <v>0</v>
      </c>
      <c r="S4" s="16">
        <f>R4/T10</f>
        <v>0</v>
      </c>
      <c r="T4" s="17">
        <f>S4*-1</f>
        <v>0</v>
      </c>
      <c r="U4" s="18">
        <f>S9+T14</f>
        <v>-849919.99999987427</v>
      </c>
      <c r="V4" s="1" t="s">
        <v>11</v>
      </c>
    </row>
    <row r="5" spans="1:38" x14ac:dyDescent="0.3">
      <c r="G5" s="4"/>
      <c r="J5" s="1" t="s">
        <v>12</v>
      </c>
      <c r="K5" s="1">
        <f>SUMIFS($N$15:$N$977,$N$15:$N$977,"&gt;0")</f>
        <v>0</v>
      </c>
      <c r="N5" s="12" t="e">
        <f>U4/N12</f>
        <v>#DIV/0!</v>
      </c>
      <c r="O5" s="19" t="s">
        <v>13</v>
      </c>
      <c r="P5" s="20">
        <f>Y14</f>
        <v>0</v>
      </c>
      <c r="Q5" s="21">
        <f>N11</f>
        <v>0</v>
      </c>
      <c r="R5" s="22">
        <f>(P5+Q5)*R1</f>
        <v>0</v>
      </c>
      <c r="S5" s="23">
        <f>R5/T11</f>
        <v>0</v>
      </c>
      <c r="T5" s="24">
        <f>S5*-1</f>
        <v>0</v>
      </c>
      <c r="U5" s="25"/>
      <c r="V5" s="1" t="s">
        <v>14</v>
      </c>
    </row>
    <row r="7" spans="1:38" x14ac:dyDescent="0.3">
      <c r="B7" s="26" t="s">
        <v>15</v>
      </c>
      <c r="C7" s="27" t="s">
        <v>16</v>
      </c>
      <c r="D7" s="28" t="s">
        <v>17</v>
      </c>
      <c r="E7" s="29" t="s">
        <v>18</v>
      </c>
      <c r="F7" s="30" t="s">
        <v>19</v>
      </c>
      <c r="G7" s="31" t="s">
        <v>20</v>
      </c>
      <c r="H7" s="32" t="s">
        <v>21</v>
      </c>
      <c r="I7" s="33" t="s">
        <v>22</v>
      </c>
      <c r="J7" s="31" t="s">
        <v>23</v>
      </c>
      <c r="K7" s="32" t="s">
        <v>24</v>
      </c>
      <c r="L7" s="33" t="s">
        <v>25</v>
      </c>
      <c r="M7" s="34" t="s">
        <v>26</v>
      </c>
      <c r="N7" s="35" t="s">
        <v>27</v>
      </c>
      <c r="O7" s="33" t="s">
        <v>28</v>
      </c>
      <c r="P7" s="36" t="s">
        <v>29</v>
      </c>
      <c r="Q7" s="28" t="s">
        <v>30</v>
      </c>
      <c r="R7" s="29" t="s">
        <v>31</v>
      </c>
      <c r="S7" s="37" t="s">
        <v>7</v>
      </c>
      <c r="T7" s="28" t="s">
        <v>32</v>
      </c>
      <c r="U7" s="37" t="s">
        <v>33</v>
      </c>
    </row>
    <row r="8" spans="1:38" x14ac:dyDescent="0.3">
      <c r="B8" s="38"/>
      <c r="C8" s="39"/>
      <c r="D8" s="40"/>
      <c r="E8" s="41"/>
      <c r="F8" s="42"/>
      <c r="G8" s="43"/>
      <c r="H8" s="44"/>
      <c r="I8" s="45"/>
      <c r="J8" s="43"/>
      <c r="K8" s="44"/>
      <c r="L8" s="45"/>
      <c r="M8" s="43"/>
      <c r="N8" s="44"/>
      <c r="O8" s="45"/>
      <c r="P8" s="46"/>
      <c r="Q8" s="40"/>
      <c r="R8" s="41"/>
      <c r="S8" s="47"/>
      <c r="T8" s="40"/>
      <c r="U8" s="47"/>
    </row>
    <row r="9" spans="1:38" x14ac:dyDescent="0.3">
      <c r="B9" s="48" t="s">
        <v>34</v>
      </c>
      <c r="C9" s="49" t="s">
        <v>34</v>
      </c>
      <c r="D9" s="50" t="s">
        <v>34</v>
      </c>
      <c r="E9" s="51" t="s">
        <v>34</v>
      </c>
      <c r="F9" s="52" t="s">
        <v>34</v>
      </c>
      <c r="G9" s="53">
        <f>SUM(G10:G11)</f>
        <v>32</v>
      </c>
      <c r="H9" s="54">
        <f t="shared" ref="H9:M9" si="0">SUM(H10:H11)</f>
        <v>1340816000</v>
      </c>
      <c r="I9" s="55" t="s">
        <v>34</v>
      </c>
      <c r="J9" s="53">
        <f t="shared" si="0"/>
        <v>32</v>
      </c>
      <c r="K9" s="54">
        <f t="shared" si="0"/>
        <v>1348785000</v>
      </c>
      <c r="L9" s="56" t="s">
        <v>34</v>
      </c>
      <c r="M9" s="53">
        <f t="shared" si="0"/>
        <v>0</v>
      </c>
      <c r="N9" s="54">
        <f>SUM(N10:N11)</f>
        <v>0</v>
      </c>
      <c r="O9" s="55" t="s">
        <v>34</v>
      </c>
      <c r="P9" s="57" t="s">
        <v>34</v>
      </c>
      <c r="Q9" s="50">
        <f>SUM(Q10:Q11)</f>
        <v>-12652999.999999773</v>
      </c>
      <c r="R9" s="51">
        <f>SUM(R10:R11)</f>
        <v>4683999.9999999711</v>
      </c>
      <c r="S9" s="58">
        <f>SUM(S10:S11)</f>
        <v>-7968999.9999998016</v>
      </c>
      <c r="T9" s="50">
        <f>SUM(T10:T11)</f>
        <v>67605000</v>
      </c>
      <c r="U9" s="59">
        <f>SUM(U10:U11)</f>
        <v>0</v>
      </c>
    </row>
    <row r="10" spans="1:38" x14ac:dyDescent="0.3">
      <c r="B10" s="60" t="s">
        <v>35</v>
      </c>
      <c r="C10" s="61" t="s">
        <v>36</v>
      </c>
      <c r="D10" s="62">
        <v>0</v>
      </c>
      <c r="E10" s="63" t="s">
        <v>34</v>
      </c>
      <c r="F10" s="64" t="s">
        <v>37</v>
      </c>
      <c r="G10" s="65">
        <f>IF([1]!'028875^A0569:SELL_TDY_QTY'="NO", 0, [1]!'028875^A0569:SELL_TDY_QTY')</f>
        <v>23</v>
      </c>
      <c r="H10" s="66">
        <f>IF([1]!'028875^A0569:SELL_TDY_AMT'="NO", 0, [1]!'028875^A0569:SELL_TDY_AMT')</f>
        <v>1212927000</v>
      </c>
      <c r="I10" s="67">
        <f>IFERROR(H10/G10/50000,0)</f>
        <v>1054.7191304347828</v>
      </c>
      <c r="J10" s="68">
        <f>IF([1]!'028875^A0569:BUY_TDY_QTY'="NO", 0, [1]!'028875^A0569:BUY_TDY_QTY')</f>
        <v>23</v>
      </c>
      <c r="K10" s="69">
        <f>IF([1]!'028875^A0569:BUY_TDY_AMT'="NO", 0, [1]!'028875^A0569:BUY_TDY_AMT')</f>
        <v>1221384000</v>
      </c>
      <c r="L10" s="70">
        <f>IFERROR(K10/J10/50000,0)</f>
        <v>1062.0730434782608</v>
      </c>
      <c r="M10" s="71">
        <f>J10-G10</f>
        <v>0</v>
      </c>
      <c r="N10" s="72">
        <f>M10*P10*50000</f>
        <v>0</v>
      </c>
      <c r="O10" s="73" t="s">
        <v>34</v>
      </c>
      <c r="P10" s="74">
        <f>[1]!'A0569:LAST'</f>
        <v>1064.32</v>
      </c>
      <c r="Q10" s="62">
        <f>(P10-I10)*-1*G10*50000</f>
        <v>-11040999.999999758</v>
      </c>
      <c r="R10" s="63">
        <f>(P10-L10)*J10*50000</f>
        <v>2583999.9999999576</v>
      </c>
      <c r="S10" s="75">
        <f>Q10+R10</f>
        <v>-8456999.9999998007</v>
      </c>
      <c r="T10" s="62">
        <f>P10*50000</f>
        <v>53216000</v>
      </c>
      <c r="U10" s="75">
        <f>IF([1]!'028875^A0569:QTY'="NO", 0, [1]!'028875^A0569:QTY')</f>
        <v>0</v>
      </c>
    </row>
    <row r="11" spans="1:38" x14ac:dyDescent="0.3">
      <c r="B11" s="76" t="s">
        <v>38</v>
      </c>
      <c r="C11" s="77" t="s">
        <v>39</v>
      </c>
      <c r="D11" s="20">
        <v>0</v>
      </c>
      <c r="E11" s="21" t="s">
        <v>34</v>
      </c>
      <c r="F11" s="78" t="s">
        <v>37</v>
      </c>
      <c r="G11" s="79">
        <f>IF([1]!'028875^A0669:SELL_TDY_QTY'="NO", 0, [1]!'028875^A0669:SELL_TDY_QTY')</f>
        <v>9</v>
      </c>
      <c r="H11" s="80">
        <f>IF([1]!'028875^A0669:SELL_TDY_AMT'="NO", 0, [1]!'028875^A0669:SELL_TDY_AMT')</f>
        <v>127889000</v>
      </c>
      <c r="I11" s="81">
        <f>IFERROR(H11/G11/10000,0)</f>
        <v>1420.9888888888888</v>
      </c>
      <c r="J11" s="82">
        <f>IF([1]!'028875^A0669:BUY_TDY_QTY'="NO", 0, [1]!'028875^A0669:BUY_TDY_QTY')</f>
        <v>9</v>
      </c>
      <c r="K11" s="83">
        <f>IF([1]!'028875^A0669:BUY_TDY_AMT'="NO", 0, [1]!'028875^A0669:BUY_TDY_AMT')</f>
        <v>127401000</v>
      </c>
      <c r="L11" s="84">
        <f>IFERROR(K11/J11/10000,0)</f>
        <v>1415.5666666666666</v>
      </c>
      <c r="M11" s="85">
        <f>J11-G11</f>
        <v>0</v>
      </c>
      <c r="N11" s="86">
        <f>M11*P11*10000</f>
        <v>0</v>
      </c>
      <c r="O11" s="87" t="s">
        <v>34</v>
      </c>
      <c r="P11" s="88">
        <f>[1]!'A0669:LAST'</f>
        <v>1438.9</v>
      </c>
      <c r="Q11" s="20">
        <f>(P11-I11)*-1*G11*10000</f>
        <v>-1612000.0000000142</v>
      </c>
      <c r="R11" s="21">
        <f>(P11-L11)*J11*10000</f>
        <v>2100000.0000000135</v>
      </c>
      <c r="S11" s="22">
        <f>Q11+R11</f>
        <v>487999.9999999993</v>
      </c>
      <c r="T11" s="20">
        <f>P11*10000</f>
        <v>14389000</v>
      </c>
      <c r="U11" s="22">
        <f>IF([1]!'028875^A0669:QTY'="NO", 0, [1]!'028875^A0669:QTY')</f>
        <v>0</v>
      </c>
    </row>
    <row r="12" spans="1:38" x14ac:dyDescent="0.3">
      <c r="B12" s="89"/>
      <c r="F12" s="89"/>
      <c r="G12" s="90" t="s">
        <v>40</v>
      </c>
      <c r="H12" s="91"/>
      <c r="I12" s="92"/>
      <c r="J12" s="91"/>
      <c r="K12" s="91"/>
      <c r="L12" s="92"/>
      <c r="M12" s="91"/>
      <c r="N12" s="93">
        <f>AE14</f>
        <v>0</v>
      </c>
      <c r="O12" s="94"/>
      <c r="P12" s="95"/>
      <c r="Q12" s="95"/>
      <c r="T12" s="96" t="s">
        <v>41</v>
      </c>
      <c r="U12" s="96"/>
      <c r="V12" s="96"/>
      <c r="W12" s="97"/>
      <c r="AA12" s="1" t="s">
        <v>42</v>
      </c>
    </row>
    <row r="13" spans="1:38" ht="26.25" customHeight="1" x14ac:dyDescent="0.3">
      <c r="B13" s="98" t="s">
        <v>15</v>
      </c>
      <c r="C13" s="99" t="s">
        <v>16</v>
      </c>
      <c r="D13" s="9" t="s">
        <v>17</v>
      </c>
      <c r="E13" s="10" t="s">
        <v>18</v>
      </c>
      <c r="F13" s="100" t="s">
        <v>19</v>
      </c>
      <c r="G13" s="10" t="s">
        <v>43</v>
      </c>
      <c r="H13" s="10" t="s">
        <v>44</v>
      </c>
      <c r="I13" s="101" t="s">
        <v>22</v>
      </c>
      <c r="J13" s="9" t="s">
        <v>45</v>
      </c>
      <c r="K13" s="10" t="s">
        <v>46</v>
      </c>
      <c r="L13" s="102" t="s">
        <v>25</v>
      </c>
      <c r="M13" s="103" t="s">
        <v>26</v>
      </c>
      <c r="N13" s="104" t="s">
        <v>47</v>
      </c>
      <c r="O13" s="11" t="s">
        <v>28</v>
      </c>
      <c r="P13" s="101" t="s">
        <v>29</v>
      </c>
      <c r="Q13" s="101" t="s">
        <v>48</v>
      </c>
      <c r="R13" s="9" t="s">
        <v>30</v>
      </c>
      <c r="S13" s="10" t="s">
        <v>31</v>
      </c>
      <c r="T13" s="11" t="s">
        <v>7</v>
      </c>
      <c r="U13" s="1" t="s">
        <v>49</v>
      </c>
      <c r="V13" s="1" t="s">
        <v>50</v>
      </c>
      <c r="W13" s="1" t="s">
        <v>51</v>
      </c>
      <c r="X13" s="10" t="s">
        <v>52</v>
      </c>
      <c r="Y13" s="11" t="s">
        <v>53</v>
      </c>
      <c r="Z13" s="105" t="s">
        <v>54</v>
      </c>
      <c r="AA13" s="106" t="s">
        <v>55</v>
      </c>
      <c r="AB13" s="106" t="s">
        <v>56</v>
      </c>
      <c r="AC13" s="106" t="s">
        <v>55</v>
      </c>
      <c r="AD13" s="106" t="s">
        <v>56</v>
      </c>
      <c r="AE13" s="106" t="s">
        <v>57</v>
      </c>
    </row>
    <row r="14" spans="1:38" x14ac:dyDescent="0.3">
      <c r="B14" s="107" t="s">
        <v>34</v>
      </c>
      <c r="C14" s="108" t="s">
        <v>34</v>
      </c>
      <c r="D14" s="109" t="s">
        <v>34</v>
      </c>
      <c r="E14" s="110" t="s">
        <v>34</v>
      </c>
      <c r="F14" s="111" t="s">
        <v>34</v>
      </c>
      <c r="G14" s="110">
        <f>SUM(G15:G943)</f>
        <v>99584</v>
      </c>
      <c r="H14" s="110">
        <f>SUM(H15:H943)</f>
        <v>2178340730</v>
      </c>
      <c r="I14" s="110" t="s">
        <v>34</v>
      </c>
      <c r="J14" s="109">
        <f>SUM(J15:J943)</f>
        <v>99584</v>
      </c>
      <c r="K14" s="110">
        <f>SUM(K15:K943)</f>
        <v>2171221650</v>
      </c>
      <c r="L14" s="112" t="s">
        <v>34</v>
      </c>
      <c r="M14" s="109">
        <f>SUM(M15:M943)</f>
        <v>0</v>
      </c>
      <c r="N14" s="113">
        <f>SUM(N15:N943)</f>
        <v>0</v>
      </c>
      <c r="O14" s="113" t="s">
        <v>34</v>
      </c>
      <c r="P14" s="110" t="s">
        <v>34</v>
      </c>
      <c r="Q14" s="110" t="s">
        <v>34</v>
      </c>
      <c r="R14" s="109">
        <f>SUM(R15:R943)</f>
        <v>-8867075.0000000577</v>
      </c>
      <c r="S14" s="110">
        <f>SUM(S15:S943)</f>
        <v>15986154.999999985</v>
      </c>
      <c r="T14" s="114">
        <f>SUM(T15:T943)</f>
        <v>7119079.9999999274</v>
      </c>
      <c r="U14" s="115">
        <f>AVERAGE(U15:U978)</f>
        <v>0.26567368421052634</v>
      </c>
      <c r="V14" s="116">
        <f>AVERAGE(V15:V978)</f>
        <v>0.48679736842105276</v>
      </c>
      <c r="W14" s="116">
        <f>AVERAGE(W15:W978)</f>
        <v>0.63550526315789468</v>
      </c>
      <c r="X14" s="110">
        <f t="shared" ref="X14:AE14" si="1">SUM(X15:X978)</f>
        <v>0</v>
      </c>
      <c r="Y14" s="113">
        <f t="shared" si="1"/>
        <v>0</v>
      </c>
      <c r="Z14" s="113">
        <f t="shared" si="1"/>
        <v>0</v>
      </c>
      <c r="AA14" s="117">
        <f t="shared" si="1"/>
        <v>0</v>
      </c>
      <c r="AB14" s="117">
        <f t="shared" si="1"/>
        <v>0</v>
      </c>
      <c r="AC14" s="118">
        <f t="shared" si="1"/>
        <v>0</v>
      </c>
      <c r="AD14" s="118">
        <f t="shared" si="1"/>
        <v>0</v>
      </c>
      <c r="AE14" s="1">
        <f t="shared" si="1"/>
        <v>0</v>
      </c>
      <c r="AG14" s="1" t="s">
        <v>58</v>
      </c>
      <c r="AH14" s="1" t="s">
        <v>59</v>
      </c>
      <c r="AJ14" s="1" t="s">
        <v>60</v>
      </c>
      <c r="AK14" s="1" t="s">
        <v>61</v>
      </c>
    </row>
    <row r="15" spans="1:38" x14ac:dyDescent="0.25">
      <c r="A15" s="4"/>
      <c r="B15" s="119" t="s">
        <v>62</v>
      </c>
      <c r="C15" s="120" t="s">
        <v>63</v>
      </c>
      <c r="D15" s="14">
        <f>VLOOKUP("A"&amp;B15,[2]ETF!$A$4:$M$10000,13,FALSE)</f>
        <v>50000</v>
      </c>
      <c r="E15" s="1">
        <f>[1]!'396500:VOL'+0</f>
        <v>8101958</v>
      </c>
      <c r="F15" s="121" t="s">
        <v>64</v>
      </c>
      <c r="G15" s="122">
        <f>IF([1]!'019875^396500:SELL_TDY_QTY'="NO", 0, [1]!'019875^396500:SELL_TDY_QTY')</f>
        <v>13333</v>
      </c>
      <c r="H15" s="122">
        <f>IF([1]!'019875^396500:SELL_TDY_AMT'="NO", 0, [1]!'019875^396500:SELL_TDY_AMT')</f>
        <v>463002795</v>
      </c>
      <c r="I15" s="122">
        <f>IFERROR(H15/G15,0)</f>
        <v>34726.077776944425</v>
      </c>
      <c r="J15" s="123">
        <f>IF([1]!'019875^396500:BUY_TDY_QTY'="NO", 0, [1]!'019875^396500:BUY_TDY_QTY')</f>
        <v>13333</v>
      </c>
      <c r="K15" s="122">
        <f>IF([1]!'019875^396500:BUY_TDY_AMT'="NO", 0, [1]!'019875^396500:BUY_TDY_AMT')</f>
        <v>460292640</v>
      </c>
      <c r="L15" s="124">
        <f>IFERROR(K15/J15,0)</f>
        <v>34522.811070276759</v>
      </c>
      <c r="M15" s="125">
        <f>J15-G15</f>
        <v>0</v>
      </c>
      <c r="N15" s="126">
        <f>M15*P15</f>
        <v>0</v>
      </c>
      <c r="O15" s="127">
        <f t="shared" ref="O15:O40" si="2">M15/D15</f>
        <v>0</v>
      </c>
      <c r="P15" s="1">
        <f>[1]!'396500:LAST'</f>
        <v>34775</v>
      </c>
      <c r="Q15" s="95">
        <f>[1]!'396500:NAV'</f>
        <v>34809.339999999997</v>
      </c>
      <c r="R15" s="14">
        <f>(P15-I15)*-1*G15</f>
        <v>-652279.99999998359</v>
      </c>
      <c r="S15" s="1">
        <f>(P15-L15)*J15</f>
        <v>3362434.9999999725</v>
      </c>
      <c r="T15" s="15">
        <f>R15+S15</f>
        <v>2710154.9999999888</v>
      </c>
      <c r="U15" s="128">
        <f>_xlfn.IFNA(VLOOKUP(B15,[2]베타!$A$2:$C$1000,3,FALSE),0)</f>
        <v>1.1044</v>
      </c>
      <c r="V15" s="128">
        <f>_xlfn.IFNA(VLOOKUP(B15,[2]베타!$A$2:$D$1000,4,FALSE),0)</f>
        <v>0.18840000000000001</v>
      </c>
      <c r="W15" s="128">
        <f>_xlfn.IFNA(VLOOKUP(B15,[2]베타!$A$2:$E$1000,5,FALSE),0)</f>
        <v>0.92920000000000003</v>
      </c>
      <c r="X15" s="1">
        <f>M15*Q15*U15</f>
        <v>0</v>
      </c>
      <c r="Y15" s="15">
        <f>M15*Q15*V15</f>
        <v>0</v>
      </c>
      <c r="Z15" s="13">
        <f>(P15*M15)-(X15+Y15)</f>
        <v>0</v>
      </c>
      <c r="AA15" s="129">
        <f t="shared" ref="AA15:AA52" si="3">IF(M15&lt;0, P15-Q15, 0)</f>
        <v>0</v>
      </c>
      <c r="AB15" s="129">
        <f t="shared" ref="AB15:AB52" si="4">IF(M15&gt;0, Q15*(1-0.2%)-P15, 0)</f>
        <v>0</v>
      </c>
      <c r="AC15" s="130">
        <f t="shared" ref="AC15:AC52" si="5">AA15/Q15*10000</f>
        <v>0</v>
      </c>
      <c r="AD15" s="131">
        <f t="shared" ref="AD15:AD52" si="6">AB15/Q15*10000</f>
        <v>0</v>
      </c>
      <c r="AE15" s="1">
        <f>ABS(N15)</f>
        <v>0</v>
      </c>
      <c r="AG15" s="1" t="str">
        <f>B15</f>
        <v>396500</v>
      </c>
      <c r="AH15" s="1">
        <f>-1*M15</f>
        <v>0</v>
      </c>
      <c r="AJ15" s="95">
        <f>ROUNDUP(VLOOKUP(B15,[2]베타!$A$2:$L$1000,12,FALSE),0)</f>
        <v>-1</v>
      </c>
      <c r="AK15" s="95">
        <f>ROUNDUP(VLOOKUP(B15,[2]베타!$A$2:$M$1000,13,FALSE),0)</f>
        <v>-20</v>
      </c>
      <c r="AL15" s="95"/>
    </row>
    <row r="16" spans="1:38" x14ac:dyDescent="0.25">
      <c r="A16" s="4"/>
      <c r="B16" s="119" t="s">
        <v>65</v>
      </c>
      <c r="C16" s="120" t="s">
        <v>66</v>
      </c>
      <c r="D16" s="14">
        <f>VLOOKUP("A"&amp;B16,[2]ETF!$A$4:$M$10000,13,FALSE)</f>
        <v>30000</v>
      </c>
      <c r="E16" s="1">
        <f>[1]!'228790:VOL'+0</f>
        <v>10896492</v>
      </c>
      <c r="F16" s="121" t="s">
        <v>64</v>
      </c>
      <c r="G16" s="122">
        <f>IF([1]!'019875^228790:SELL_TDY_QTY'="NO", 0, [1]!'019875^228790:SELL_TDY_QTY')</f>
        <v>1000</v>
      </c>
      <c r="H16" s="122">
        <f>IF([1]!'019875^228790:SELL_TDY_AMT'="NO", 0, [1]!'019875^228790:SELL_TDY_AMT')</f>
        <v>5008700</v>
      </c>
      <c r="I16" s="122">
        <f t="shared" ref="I16:I40" si="7">IFERROR(H16/G16,0)</f>
        <v>5008.7</v>
      </c>
      <c r="J16" s="123">
        <f>IF([1]!'019875^228790:BUY_TDY_QTY'="NO", 0, [1]!'019875^228790:BUY_TDY_QTY')</f>
        <v>1000</v>
      </c>
      <c r="K16" s="122">
        <f>IF([1]!'019875^228790:BUY_TDY_AMT'="NO", 0, [1]!'019875^228790:BUY_TDY_AMT')</f>
        <v>4940000</v>
      </c>
      <c r="L16" s="124">
        <f t="shared" ref="L16:L40" si="8">IFERROR(K16/J16,0)</f>
        <v>4940</v>
      </c>
      <c r="M16" s="125">
        <f t="shared" ref="M16:M40" si="9">J16-G16</f>
        <v>0</v>
      </c>
      <c r="N16" s="126">
        <f t="shared" ref="N16:N40" si="10">M16*P16</f>
        <v>0</v>
      </c>
      <c r="O16" s="127">
        <f t="shared" si="2"/>
        <v>0</v>
      </c>
      <c r="P16" s="1">
        <f>[1]!'228790:LAST'</f>
        <v>5010</v>
      </c>
      <c r="Q16" s="95">
        <f>[1]!'228790:NAV'</f>
        <v>5017</v>
      </c>
      <c r="R16" s="14">
        <f t="shared" ref="R16:R51" si="11">(P16-I16)*-1*G16</f>
        <v>-1300.0000000001819</v>
      </c>
      <c r="S16" s="1">
        <f t="shared" ref="S16:S51" si="12">(P16-L16)*J16</f>
        <v>70000</v>
      </c>
      <c r="T16" s="15">
        <f t="shared" ref="T16:T51" si="13">R16+S16</f>
        <v>68699.999999999825</v>
      </c>
      <c r="U16" s="128">
        <f>_xlfn.IFNA(VLOOKUP(B16,[2]베타!$A$2:$C$1000,3,FALSE),0)</f>
        <v>-0.15659999999999999</v>
      </c>
      <c r="V16" s="128">
        <f>_xlfn.IFNA(VLOOKUP(B16,[2]베타!$A$2:$D$1000,4,FALSE),0)</f>
        <v>0.57120000000000004</v>
      </c>
      <c r="W16" s="128">
        <f>_xlfn.IFNA(VLOOKUP(B16,[2]베타!$A$2:$E$1000,5,FALSE),0)</f>
        <v>0.42730000000000001</v>
      </c>
      <c r="X16" s="1">
        <f t="shared" ref="X16:X51" si="14">M16*Q16*U16</f>
        <v>0</v>
      </c>
      <c r="Y16" s="15">
        <f t="shared" ref="Y16:Y51" si="15">M16*Q16*V16</f>
        <v>0</v>
      </c>
      <c r="Z16" s="13">
        <f t="shared" ref="Z16:Z51" si="16">(P16*M16)-(X16+Y16)</f>
        <v>0</v>
      </c>
      <c r="AA16" s="129">
        <f t="shared" si="3"/>
        <v>0</v>
      </c>
      <c r="AB16" s="129">
        <f t="shared" si="4"/>
        <v>0</v>
      </c>
      <c r="AC16" s="130">
        <f t="shared" si="5"/>
        <v>0</v>
      </c>
      <c r="AD16" s="131">
        <f t="shared" si="6"/>
        <v>0</v>
      </c>
      <c r="AE16" s="1">
        <f t="shared" ref="AE16:AE41" si="17">ABS(N16)</f>
        <v>0</v>
      </c>
      <c r="AG16" s="1" t="str">
        <f t="shared" ref="AG16:AG52" si="18">B16</f>
        <v>228790</v>
      </c>
      <c r="AH16" s="1">
        <f t="shared" ref="AH16:AH52" si="19">-1*M16</f>
        <v>0</v>
      </c>
      <c r="AJ16" s="95">
        <f>ROUNDUP(VLOOKUP(B16,[2]베타!$A$2:$L$1000,12,FALSE),0)</f>
        <v>13</v>
      </c>
      <c r="AK16" s="95">
        <f>ROUNDUP(VLOOKUP(B16,[2]베타!$A$2:$M$1000,13,FALSE),0)</f>
        <v>-31</v>
      </c>
      <c r="AL16" s="95"/>
    </row>
    <row r="17" spans="1:38" x14ac:dyDescent="0.25">
      <c r="A17" s="4"/>
      <c r="B17" s="119" t="s">
        <v>67</v>
      </c>
      <c r="C17" s="120" t="s">
        <v>68</v>
      </c>
      <c r="D17" s="14">
        <f>VLOOKUP("A"&amp;B17,[2]ETF!$A$4:$M$10000,13,FALSE)</f>
        <v>50000</v>
      </c>
      <c r="E17" s="1">
        <f>[1]!'462010:VOL'+0</f>
        <v>4350134</v>
      </c>
      <c r="F17" s="121" t="s">
        <v>64</v>
      </c>
      <c r="G17" s="122">
        <f>IF([1]!'019875^462010:SELL_TDY_QTY'="NO", 0, [1]!'019875^462010:SELL_TDY_QTY')</f>
        <v>1021</v>
      </c>
      <c r="H17" s="122">
        <f>IF([1]!'019875^462010:SELL_TDY_AMT'="NO", 0, [1]!'019875^462010:SELL_TDY_AMT')</f>
        <v>5312310</v>
      </c>
      <c r="I17" s="122">
        <f t="shared" si="7"/>
        <v>5203.0460333006858</v>
      </c>
      <c r="J17" s="123">
        <f>IF([1]!'019875^462010:BUY_TDY_QTY'="NO", 0, [1]!'019875^462010:BUY_TDY_QTY')</f>
        <v>1021</v>
      </c>
      <c r="K17" s="122">
        <f>IF([1]!'019875^462010:BUY_TDY_AMT'="NO", 0, [1]!'019875^462010:BUY_TDY_AMT')</f>
        <v>5174005</v>
      </c>
      <c r="L17" s="124">
        <f t="shared" si="8"/>
        <v>5067.5857002938292</v>
      </c>
      <c r="M17" s="125">
        <f t="shared" si="9"/>
        <v>0</v>
      </c>
      <c r="N17" s="126">
        <f t="shared" si="10"/>
        <v>0</v>
      </c>
      <c r="O17" s="127">
        <f t="shared" si="2"/>
        <v>0</v>
      </c>
      <c r="P17" s="1">
        <f>[1]!'462010:LAST'</f>
        <v>5190</v>
      </c>
      <c r="Q17" s="95">
        <f>[1]!'462010:NAV'</f>
        <v>5201.66</v>
      </c>
      <c r="R17" s="14">
        <f t="shared" si="11"/>
        <v>13320.000000000251</v>
      </c>
      <c r="S17" s="1">
        <f t="shared" si="12"/>
        <v>124985.00000000041</v>
      </c>
      <c r="T17" s="15">
        <f t="shared" si="13"/>
        <v>138305.00000000067</v>
      </c>
      <c r="U17" s="128">
        <f>_xlfn.IFNA(VLOOKUP(B17,[2]베타!$A$2:$C$1000,3,FALSE),0)</f>
        <v>7.4200000000000002E-2</v>
      </c>
      <c r="V17" s="128">
        <f>_xlfn.IFNA(VLOOKUP(B17,[2]베타!$A$2:$D$1000,4,FALSE),0)</f>
        <v>0.86409999999999998</v>
      </c>
      <c r="W17" s="128">
        <f>_xlfn.IFNA(VLOOKUP(B17,[2]베타!$A$2:$E$1000,5,FALSE),0)</f>
        <v>0.69079999999999997</v>
      </c>
      <c r="X17" s="1">
        <f t="shared" si="14"/>
        <v>0</v>
      </c>
      <c r="Y17" s="15">
        <f t="shared" si="15"/>
        <v>0</v>
      </c>
      <c r="Z17" s="13">
        <f t="shared" si="16"/>
        <v>0</v>
      </c>
      <c r="AA17" s="129">
        <f t="shared" si="3"/>
        <v>0</v>
      </c>
      <c r="AB17" s="129">
        <f t="shared" si="4"/>
        <v>0</v>
      </c>
      <c r="AC17" s="130">
        <f t="shared" si="5"/>
        <v>0</v>
      </c>
      <c r="AD17" s="131">
        <f t="shared" si="6"/>
        <v>0</v>
      </c>
      <c r="AE17" s="1">
        <f t="shared" si="17"/>
        <v>0</v>
      </c>
      <c r="AG17" s="1" t="str">
        <f t="shared" si="18"/>
        <v>462010</v>
      </c>
      <c r="AH17" s="1">
        <f t="shared" si="19"/>
        <v>0</v>
      </c>
      <c r="AJ17" s="95">
        <f>ROUNDUP(VLOOKUP(B17,[2]베타!$A$2:$L$1000,12,FALSE),0)</f>
        <v>10</v>
      </c>
      <c r="AK17" s="95">
        <f>ROUNDUP(VLOOKUP(B17,[2]베타!$A$2:$M$1000,13,FALSE),0)</f>
        <v>-30</v>
      </c>
      <c r="AL17" s="95"/>
    </row>
    <row r="18" spans="1:38" x14ac:dyDescent="0.25">
      <c r="A18" s="4"/>
      <c r="B18" s="132" t="s">
        <v>69</v>
      </c>
      <c r="C18" s="120" t="s">
        <v>70</v>
      </c>
      <c r="D18" s="14">
        <f>VLOOKUP("A"&amp;B18,[2]ETF!$A$4:$M$10000,13,FALSE)</f>
        <v>50000</v>
      </c>
      <c r="E18" s="1">
        <f>[1]!'364980:VOL'+0</f>
        <v>3724981</v>
      </c>
      <c r="F18" s="121" t="s">
        <v>64</v>
      </c>
      <c r="G18" s="122">
        <f>IF([1]!'019875^364980:SELL_TDY_QTY'="NO", 0, [1]!'019875^364980:SELL_TDY_QTY')</f>
        <v>9501</v>
      </c>
      <c r="H18" s="122">
        <f>IF([1]!'019875^364980:SELL_TDY_AMT'="NO", 0, [1]!'019875^364980:SELL_TDY_AMT')</f>
        <v>102021060</v>
      </c>
      <c r="I18" s="122">
        <f t="shared" si="7"/>
        <v>10737.928639090622</v>
      </c>
      <c r="J18" s="123">
        <f>IF([1]!'019875^364980:BUY_TDY_QTY'="NO", 0, [1]!'019875^364980:BUY_TDY_QTY')</f>
        <v>9501</v>
      </c>
      <c r="K18" s="122">
        <f>IF([1]!'019875^364980:BUY_TDY_AMT'="NO", 0, [1]!'019875^364980:BUY_TDY_AMT')</f>
        <v>103224280</v>
      </c>
      <c r="L18" s="124">
        <f t="shared" si="8"/>
        <v>10864.570045258393</v>
      </c>
      <c r="M18" s="125">
        <f t="shared" si="9"/>
        <v>0</v>
      </c>
      <c r="N18" s="126">
        <f t="shared" si="10"/>
        <v>0</v>
      </c>
      <c r="O18" s="127">
        <f t="shared" si="2"/>
        <v>0</v>
      </c>
      <c r="P18" s="1">
        <f>[1]!'364980:LAST'</f>
        <v>10860</v>
      </c>
      <c r="Q18" s="95">
        <f>[1]!'364980:NAV'</f>
        <v>10863.2</v>
      </c>
      <c r="R18" s="14">
        <f t="shared" si="11"/>
        <v>-1159800.0000000023</v>
      </c>
      <c r="S18" s="1">
        <f t="shared" si="12"/>
        <v>-43419.999999994674</v>
      </c>
      <c r="T18" s="15">
        <f t="shared" si="13"/>
        <v>-1203219.999999997</v>
      </c>
      <c r="U18" s="128">
        <f>_xlfn.IFNA(VLOOKUP(B18,[2]베타!$A$2:$C$1000,3,FALSE),0)</f>
        <v>9.1800000000000007E-2</v>
      </c>
      <c r="V18" s="128">
        <f>_xlfn.IFNA(VLOOKUP(B18,[2]베타!$A$2:$D$1000,4,FALSE),0)</f>
        <v>0.69969999999999999</v>
      </c>
      <c r="W18" s="128">
        <f>_xlfn.IFNA(VLOOKUP(B18,[2]베타!$A$2:$E$1000,5,FALSE),0)</f>
        <v>0.57189999999999996</v>
      </c>
      <c r="X18" s="1">
        <f t="shared" si="14"/>
        <v>0</v>
      </c>
      <c r="Y18" s="15">
        <f t="shared" si="15"/>
        <v>0</v>
      </c>
      <c r="Z18" s="13">
        <f t="shared" si="16"/>
        <v>0</v>
      </c>
      <c r="AA18" s="129">
        <f t="shared" si="3"/>
        <v>0</v>
      </c>
      <c r="AB18" s="129">
        <f t="shared" si="4"/>
        <v>0</v>
      </c>
      <c r="AC18" s="130">
        <f t="shared" si="5"/>
        <v>0</v>
      </c>
      <c r="AD18" s="131">
        <f t="shared" si="6"/>
        <v>0</v>
      </c>
      <c r="AE18" s="1">
        <f t="shared" si="17"/>
        <v>0</v>
      </c>
      <c r="AG18" s="1" t="str">
        <f t="shared" si="18"/>
        <v>364980</v>
      </c>
      <c r="AH18" s="1">
        <f t="shared" si="19"/>
        <v>0</v>
      </c>
      <c r="AJ18" s="95">
        <f>ROUNDUP(VLOOKUP(B18,[2]베타!$A$2:$L$1000,12,FALSE),0)</f>
        <v>9</v>
      </c>
      <c r="AK18" s="95">
        <f>ROUNDUP(VLOOKUP(B18,[2]베타!$A$2:$M$1000,13,FALSE),0)</f>
        <v>-30</v>
      </c>
      <c r="AL18" s="95"/>
    </row>
    <row r="19" spans="1:38" x14ac:dyDescent="0.25">
      <c r="A19" s="4"/>
      <c r="B19" s="132" t="s">
        <v>71</v>
      </c>
      <c r="C19" s="120" t="s">
        <v>72</v>
      </c>
      <c r="D19" s="14">
        <f>VLOOKUP("A"&amp;B19,[2]ETF!$A$4:$M$10000,13,FALSE)</f>
        <v>50000</v>
      </c>
      <c r="E19" s="1">
        <f>[1]!'0117V0:VOL'+0</f>
        <v>1598245</v>
      </c>
      <c r="F19" s="121" t="s">
        <v>64</v>
      </c>
      <c r="G19" s="122">
        <f>IF([1]!'019875^0117V0:SELL_TDY_QTY'="NO", 0, [1]!'019875^0117V0:SELL_TDY_QTY')</f>
        <v>11595</v>
      </c>
      <c r="H19" s="122">
        <f>IF([1]!'019875^0117V0:SELL_TDY_AMT'="NO", 0, [1]!'019875^0117V0:SELL_TDY_AMT')</f>
        <v>219903775</v>
      </c>
      <c r="I19" s="122">
        <f t="shared" si="7"/>
        <v>18965.396722725312</v>
      </c>
      <c r="J19" s="123">
        <f>IF([1]!'019875^0117V0:BUY_TDY_QTY'="NO", 0, [1]!'019875^0117V0:BUY_TDY_QTY')</f>
        <v>11595</v>
      </c>
      <c r="K19" s="122">
        <f>IF([1]!'019875^0117V0:BUY_TDY_AMT'="NO", 0, [1]!'019875^0117V0:BUY_TDY_AMT')</f>
        <v>221542945</v>
      </c>
      <c r="L19" s="124">
        <f t="shared" si="8"/>
        <v>19106.76541612764</v>
      </c>
      <c r="M19" s="125">
        <f>J19-G19</f>
        <v>0</v>
      </c>
      <c r="N19" s="126">
        <f t="shared" si="10"/>
        <v>0</v>
      </c>
      <c r="O19" s="127">
        <f>M19/D19</f>
        <v>0</v>
      </c>
      <c r="P19" s="1">
        <f>[1]!'0117V0:LAST'</f>
        <v>19090</v>
      </c>
      <c r="Q19" s="95">
        <f>[1]!'0117V0:NAV'</f>
        <v>19087.400000000001</v>
      </c>
      <c r="R19" s="14">
        <f t="shared" si="11"/>
        <v>-1444775.0000000023</v>
      </c>
      <c r="S19" s="1">
        <f t="shared" si="12"/>
        <v>-194394.9999999915</v>
      </c>
      <c r="T19" s="15">
        <f t="shared" si="13"/>
        <v>-1639169.9999999939</v>
      </c>
      <c r="U19" s="128">
        <f>_xlfn.IFNA(VLOOKUP(B19,[2]베타!$A$2:$C$1000,3,FALSE),0)</f>
        <v>0.43719999999999998</v>
      </c>
      <c r="V19" s="128">
        <f>_xlfn.IFNA(VLOOKUP(B19,[2]베타!$A$2:$D$1000,4,FALSE),0)</f>
        <v>0.65169999999999995</v>
      </c>
      <c r="W19" s="128">
        <f>_xlfn.IFNA(VLOOKUP(B19,[2]베타!$A$2:$E$1000,5,FALSE),0)</f>
        <v>0.68069999999999997</v>
      </c>
      <c r="X19" s="1">
        <f t="shared" si="14"/>
        <v>0</v>
      </c>
      <c r="Y19" s="15">
        <f t="shared" si="15"/>
        <v>0</v>
      </c>
      <c r="Z19" s="13">
        <f t="shared" si="16"/>
        <v>0</v>
      </c>
      <c r="AA19" s="129">
        <f t="shared" si="3"/>
        <v>0</v>
      </c>
      <c r="AB19" s="129">
        <f t="shared" si="4"/>
        <v>0</v>
      </c>
      <c r="AC19" s="130">
        <f t="shared" si="5"/>
        <v>0</v>
      </c>
      <c r="AD19" s="131">
        <f t="shared" si="6"/>
        <v>0</v>
      </c>
      <c r="AE19" s="1">
        <f t="shared" si="17"/>
        <v>0</v>
      </c>
      <c r="AG19" s="1" t="str">
        <f t="shared" si="18"/>
        <v>0117V0</v>
      </c>
      <c r="AH19" s="1">
        <f t="shared" si="19"/>
        <v>0</v>
      </c>
      <c r="AJ19" s="95">
        <f>ROUNDUP(VLOOKUP(B19,[2]베타!$A$2:$L$1000,12,FALSE),0)</f>
        <v>8</v>
      </c>
      <c r="AK19" s="95">
        <f>ROUNDUP(VLOOKUP(B19,[2]베타!$A$2:$M$1000,13,FALSE),0)</f>
        <v>-29</v>
      </c>
      <c r="AL19" s="95"/>
    </row>
    <row r="20" spans="1:38" x14ac:dyDescent="0.25">
      <c r="A20" s="4"/>
      <c r="B20" s="119" t="s">
        <v>73</v>
      </c>
      <c r="C20" s="120" t="s">
        <v>74</v>
      </c>
      <c r="D20" s="14">
        <f>VLOOKUP("A"&amp;B20,[2]ETF!$A$4:$M$10000,13,FALSE)</f>
        <v>50000</v>
      </c>
      <c r="E20" s="1">
        <f>[1]!'305540:VOL'+0</f>
        <v>548107</v>
      </c>
      <c r="F20" s="121" t="s">
        <v>64</v>
      </c>
      <c r="G20" s="122">
        <f>IF([1]!'019875^305540:SELL_TDY_QTY'="NO", 0, [1]!'019875^305540:SELL_TDY_QTY')</f>
        <v>0</v>
      </c>
      <c r="H20" s="122">
        <f>IF([1]!'019875^305540:SELL_TDY_AMT'="NO", 0, [1]!'019875^305540:SELL_TDY_AMT')</f>
        <v>0</v>
      </c>
      <c r="I20" s="122">
        <f t="shared" si="7"/>
        <v>0</v>
      </c>
      <c r="J20" s="123">
        <f>IF([1]!'019875^305540:BUY_TDY_QTY'="NO", 0, [1]!'019875^305540:BUY_TDY_QTY')</f>
        <v>0</v>
      </c>
      <c r="K20" s="122">
        <f>IF([1]!'019875^305540:BUY_TDY_AMT'="NO", 0, [1]!'019875^305540:BUY_TDY_AMT')</f>
        <v>0</v>
      </c>
      <c r="L20" s="124">
        <f t="shared" si="8"/>
        <v>0</v>
      </c>
      <c r="M20" s="125">
        <f t="shared" si="9"/>
        <v>0</v>
      </c>
      <c r="N20" s="126">
        <f t="shared" si="10"/>
        <v>0</v>
      </c>
      <c r="O20" s="127">
        <f t="shared" si="2"/>
        <v>0</v>
      </c>
      <c r="P20" s="1">
        <f>[1]!'305540:LAST'</f>
        <v>19575</v>
      </c>
      <c r="Q20" s="95">
        <f>[1]!'305540:NAV'</f>
        <v>19617.82</v>
      </c>
      <c r="R20" s="14">
        <f t="shared" si="11"/>
        <v>0</v>
      </c>
      <c r="S20" s="1">
        <f t="shared" si="12"/>
        <v>0</v>
      </c>
      <c r="T20" s="15">
        <f t="shared" si="13"/>
        <v>0</v>
      </c>
      <c r="U20" s="128">
        <f>_xlfn.IFNA(VLOOKUP(B20,[2]베타!$A$2:$C$1000,3,FALSE),0)</f>
        <v>6.5000000000000002E-2</v>
      </c>
      <c r="V20" s="128">
        <f>_xlfn.IFNA(VLOOKUP(B20,[2]베타!$A$2:$D$1000,4,FALSE),0)</f>
        <v>0.73129999999999995</v>
      </c>
      <c r="W20" s="128">
        <f>_xlfn.IFNA(VLOOKUP(B20,[2]베타!$A$2:$E$1000,5,FALSE),0)</f>
        <v>0.6179</v>
      </c>
      <c r="X20" s="1">
        <f t="shared" si="14"/>
        <v>0</v>
      </c>
      <c r="Y20" s="15">
        <f t="shared" si="15"/>
        <v>0</v>
      </c>
      <c r="Z20" s="13">
        <f t="shared" si="16"/>
        <v>0</v>
      </c>
      <c r="AA20" s="129">
        <f t="shared" si="3"/>
        <v>0</v>
      </c>
      <c r="AB20" s="129">
        <f t="shared" si="4"/>
        <v>0</v>
      </c>
      <c r="AC20" s="130">
        <f t="shared" si="5"/>
        <v>0</v>
      </c>
      <c r="AD20" s="131">
        <f t="shared" si="6"/>
        <v>0</v>
      </c>
      <c r="AE20" s="1">
        <f t="shared" si="17"/>
        <v>0</v>
      </c>
      <c r="AG20" s="1" t="str">
        <f t="shared" si="18"/>
        <v>305540</v>
      </c>
      <c r="AH20" s="1">
        <f t="shared" si="19"/>
        <v>0</v>
      </c>
      <c r="AJ20" s="95">
        <f>ROUNDUP(VLOOKUP(B20,[2]베타!$A$2:$L$1000,12,FALSE),0)</f>
        <v>8</v>
      </c>
      <c r="AK20" s="95">
        <f>ROUNDUP(VLOOKUP(B20,[2]베타!$A$2:$M$1000,13,FALSE),0)</f>
        <v>-29</v>
      </c>
      <c r="AL20" s="95"/>
    </row>
    <row r="21" spans="1:38" x14ac:dyDescent="0.25">
      <c r="A21" s="4"/>
      <c r="B21" s="119" t="s">
        <v>75</v>
      </c>
      <c r="C21" s="120" t="s">
        <v>76</v>
      </c>
      <c r="D21" s="14">
        <f>VLOOKUP("A"&amp;B21,[2]ETF!$A$4:$M$10000,13,FALSE)</f>
        <v>50000</v>
      </c>
      <c r="E21" s="1">
        <f>[1]!'494670:VOL'+0</f>
        <v>210015</v>
      </c>
      <c r="F21" s="121" t="s">
        <v>64</v>
      </c>
      <c r="G21" s="122">
        <f>IF([1]!'019875^494670:SELL_TDY_QTY'="NO", 0, [1]!'019875^494670:SELL_TDY_QTY')</f>
        <v>2450</v>
      </c>
      <c r="H21" s="122">
        <f>IF([1]!'019875^494670:SELL_TDY_AMT'="NO", 0, [1]!'019875^494670:SELL_TDY_AMT')</f>
        <v>53531840</v>
      </c>
      <c r="I21" s="122">
        <f t="shared" si="7"/>
        <v>21849.730612244897</v>
      </c>
      <c r="J21" s="123">
        <f>IF([1]!'019875^494670:BUY_TDY_QTY'="NO", 0, [1]!'019875^494670:BUY_TDY_QTY')</f>
        <v>2450</v>
      </c>
      <c r="K21" s="122">
        <f>IF([1]!'019875^494670:BUY_TDY_AMT'="NO", 0, [1]!'019875^494670:BUY_TDY_AMT')</f>
        <v>53044365</v>
      </c>
      <c r="L21" s="124">
        <f t="shared" si="8"/>
        <v>21650.761224489797</v>
      </c>
      <c r="M21" s="125">
        <f t="shared" si="9"/>
        <v>0</v>
      </c>
      <c r="N21" s="126">
        <f t="shared" si="10"/>
        <v>0</v>
      </c>
      <c r="O21" s="127">
        <f t="shared" si="2"/>
        <v>0</v>
      </c>
      <c r="P21" s="1">
        <f>[1]!'494670:LAST'</f>
        <v>21855</v>
      </c>
      <c r="Q21" s="95">
        <f>[1]!'494670:NAV'</f>
        <v>21893.83</v>
      </c>
      <c r="R21" s="14">
        <f t="shared" si="11"/>
        <v>-12910.000000001855</v>
      </c>
      <c r="S21" s="1">
        <f t="shared" si="12"/>
        <v>500384.99999999657</v>
      </c>
      <c r="T21" s="15">
        <f t="shared" si="13"/>
        <v>487474.9999999947</v>
      </c>
      <c r="U21" s="128">
        <f>_xlfn.IFNA(VLOOKUP(B21,[2]베타!$A$2:$C$1000,3,FALSE),0)</f>
        <v>0.15060000000000001</v>
      </c>
      <c r="V21" s="128">
        <f>_xlfn.IFNA(VLOOKUP(B21,[2]베타!$A$2:$D$1000,4,FALSE),0)</f>
        <v>0.50080000000000002</v>
      </c>
      <c r="W21" s="128">
        <f>_xlfn.IFNA(VLOOKUP(B21,[2]베타!$A$2:$E$1000,5,FALSE),0)</f>
        <v>0.47749999999999998</v>
      </c>
      <c r="X21" s="1">
        <f t="shared" si="14"/>
        <v>0</v>
      </c>
      <c r="Y21" s="15">
        <f t="shared" si="15"/>
        <v>0</v>
      </c>
      <c r="Z21" s="13">
        <f t="shared" si="16"/>
        <v>0</v>
      </c>
      <c r="AA21" s="129">
        <f t="shared" si="3"/>
        <v>0</v>
      </c>
      <c r="AB21" s="129">
        <f t="shared" si="4"/>
        <v>0</v>
      </c>
      <c r="AC21" s="130">
        <f t="shared" si="5"/>
        <v>0</v>
      </c>
      <c r="AD21" s="131">
        <f t="shared" si="6"/>
        <v>0</v>
      </c>
      <c r="AE21" s="1">
        <f t="shared" si="17"/>
        <v>0</v>
      </c>
      <c r="AG21" s="1" t="str">
        <f t="shared" si="18"/>
        <v>494670</v>
      </c>
      <c r="AH21" s="1">
        <f t="shared" si="19"/>
        <v>0</v>
      </c>
      <c r="AJ21" s="95">
        <f>ROUNDUP(VLOOKUP(B21,[2]베타!$A$2:$L$1000,12,FALSE),0)</f>
        <v>6</v>
      </c>
      <c r="AK21" s="95">
        <f>ROUNDUP(VLOOKUP(B21,[2]베타!$A$2:$M$1000,13,FALSE),0)</f>
        <v>-26</v>
      </c>
      <c r="AL21" s="95"/>
    </row>
    <row r="22" spans="1:38" x14ac:dyDescent="0.25">
      <c r="A22" s="4"/>
      <c r="B22" s="119" t="s">
        <v>77</v>
      </c>
      <c r="C22" s="120" t="s">
        <v>78</v>
      </c>
      <c r="D22" s="14">
        <f>VLOOKUP("A"&amp;B22,[2]ETF!$A$4:$M$10000,13,FALSE)</f>
        <v>50000</v>
      </c>
      <c r="E22" s="1">
        <f>[1]!'364970:VOL'+0</f>
        <v>665581</v>
      </c>
      <c r="F22" s="121" t="s">
        <v>64</v>
      </c>
      <c r="G22" s="122">
        <f>IF([1]!'019875^364970:SELL_TDY_QTY'="NO", 0, [1]!'019875^364970:SELL_TDY_QTY')</f>
        <v>447</v>
      </c>
      <c r="H22" s="122">
        <f>IF([1]!'019875^364970:SELL_TDY_AMT'="NO", 0, [1]!'019875^364970:SELL_TDY_AMT')</f>
        <v>3336600</v>
      </c>
      <c r="I22" s="122">
        <f t="shared" si="7"/>
        <v>7464.4295302013425</v>
      </c>
      <c r="J22" s="123">
        <f>IF([1]!'019875^364970:BUY_TDY_QTY'="NO", 0, [1]!'019875^364970:BUY_TDY_QTY')</f>
        <v>447</v>
      </c>
      <c r="K22" s="122">
        <f>IF([1]!'019875^364970:BUY_TDY_AMT'="NO", 0, [1]!'019875^364970:BUY_TDY_AMT')</f>
        <v>3345715</v>
      </c>
      <c r="L22" s="124">
        <f t="shared" si="8"/>
        <v>7484.8210290827737</v>
      </c>
      <c r="M22" s="125">
        <f t="shared" si="9"/>
        <v>0</v>
      </c>
      <c r="N22" s="126">
        <f t="shared" si="10"/>
        <v>0</v>
      </c>
      <c r="O22" s="127">
        <f t="shared" si="2"/>
        <v>0</v>
      </c>
      <c r="P22" s="1">
        <f>[1]!'364970:LAST'</f>
        <v>7490</v>
      </c>
      <c r="Q22" s="95">
        <f>[1]!'364970:NAV'</f>
        <v>7505.58</v>
      </c>
      <c r="R22" s="14">
        <f t="shared" si="11"/>
        <v>-11429.99999999992</v>
      </c>
      <c r="S22" s="1">
        <f t="shared" si="12"/>
        <v>2315.0000000001346</v>
      </c>
      <c r="T22" s="15">
        <f t="shared" si="13"/>
        <v>-9114.9999999997854</v>
      </c>
      <c r="U22" s="128">
        <f>_xlfn.IFNA(VLOOKUP(B22,[2]베타!$A$2:$C$1000,3,FALSE),0)</f>
        <v>-2.9399999999999999E-2</v>
      </c>
      <c r="V22" s="128">
        <f>_xlfn.IFNA(VLOOKUP(B22,[2]베타!$A$2:$D$1000,4,FALSE),0)</f>
        <v>0.60109999999999997</v>
      </c>
      <c r="W22" s="128">
        <f>_xlfn.IFNA(VLOOKUP(B22,[2]베타!$A$2:$E$1000,5,FALSE),0)</f>
        <v>0.59389999999999998</v>
      </c>
      <c r="X22" s="1">
        <f t="shared" si="14"/>
        <v>0</v>
      </c>
      <c r="Y22" s="15">
        <f t="shared" si="15"/>
        <v>0</v>
      </c>
      <c r="Z22" s="13">
        <f t="shared" si="16"/>
        <v>0</v>
      </c>
      <c r="AA22" s="129">
        <f t="shared" si="3"/>
        <v>0</v>
      </c>
      <c r="AB22" s="129">
        <f t="shared" si="4"/>
        <v>0</v>
      </c>
      <c r="AC22" s="130">
        <f t="shared" si="5"/>
        <v>0</v>
      </c>
      <c r="AD22" s="131">
        <f t="shared" si="6"/>
        <v>0</v>
      </c>
      <c r="AE22" s="1">
        <f t="shared" si="17"/>
        <v>0</v>
      </c>
      <c r="AF22" s="133"/>
      <c r="AG22" s="1" t="str">
        <f t="shared" si="18"/>
        <v>364970</v>
      </c>
      <c r="AH22" s="1">
        <f t="shared" si="19"/>
        <v>0</v>
      </c>
      <c r="AJ22" s="95">
        <f>ROUNDUP(VLOOKUP(B22,[2]베타!$A$2:$L$1000,12,FALSE),0)</f>
        <v>6</v>
      </c>
      <c r="AK22" s="95">
        <f>ROUNDUP(VLOOKUP(B22,[2]베타!$A$2:$M$1000,13,FALSE),0)</f>
        <v>-28</v>
      </c>
      <c r="AL22" s="95"/>
    </row>
    <row r="23" spans="1:38" x14ac:dyDescent="0.25">
      <c r="A23" s="4"/>
      <c r="B23" s="119" t="s">
        <v>79</v>
      </c>
      <c r="C23" s="120" t="s">
        <v>80</v>
      </c>
      <c r="D23" s="14">
        <f>VLOOKUP("A"&amp;B23,[2]ETF!$A$4:$M$10000,13,FALSE)</f>
        <v>50000</v>
      </c>
      <c r="E23" s="1">
        <f>[1]!'0091P0:VOL'+0</f>
        <v>1727508</v>
      </c>
      <c r="F23" s="121" t="s">
        <v>64</v>
      </c>
      <c r="G23" s="122">
        <f>IF([1]!'019875^0091P0:SELL_TDY_QTY'="NO", 0, [1]!'019875^0091P0:SELL_TDY_QTY')</f>
        <v>1000</v>
      </c>
      <c r="H23" s="122">
        <f>IF([1]!'019875^0091P0:SELL_TDY_AMT'="NO", 0, [1]!'019875^0091P0:SELL_TDY_AMT')</f>
        <v>16974840</v>
      </c>
      <c r="I23" s="122">
        <f t="shared" si="7"/>
        <v>16974.84</v>
      </c>
      <c r="J23" s="123">
        <f>IF([1]!'019875^0091P0:BUY_TDY_QTY'="NO", 0, [1]!'019875^0091P0:BUY_TDY_QTY')</f>
        <v>1000</v>
      </c>
      <c r="K23" s="122">
        <f>IF([1]!'019875^0091P0:BUY_TDY_AMT'="NO", 0, [1]!'019875^0091P0:BUY_TDY_AMT')</f>
        <v>17113765</v>
      </c>
      <c r="L23" s="124">
        <f t="shared" si="8"/>
        <v>17113.764999999999</v>
      </c>
      <c r="M23" s="125">
        <f t="shared" si="9"/>
        <v>0</v>
      </c>
      <c r="N23" s="126">
        <f t="shared" si="10"/>
        <v>0</v>
      </c>
      <c r="O23" s="127">
        <f>M23/D23</f>
        <v>0</v>
      </c>
      <c r="P23" s="1">
        <f>[1]!'0091P0:LAST'</f>
        <v>17115</v>
      </c>
      <c r="Q23" s="95">
        <f>[1]!'0091P0:NAV'</f>
        <v>17104.830000000002</v>
      </c>
      <c r="R23" s="14">
        <f t="shared" si="11"/>
        <v>-140159.99999999985</v>
      </c>
      <c r="S23" s="1">
        <f t="shared" si="12"/>
        <v>1235.0000000005821</v>
      </c>
      <c r="T23" s="15">
        <f t="shared" si="13"/>
        <v>-138924.99999999927</v>
      </c>
      <c r="U23" s="128">
        <f>_xlfn.IFNA(VLOOKUP(B23,[2]베타!$A$2:$C$1000,3,FALSE),0)</f>
        <v>0.2049</v>
      </c>
      <c r="V23" s="128">
        <f>_xlfn.IFNA(VLOOKUP(B23,[2]베타!$A$2:$D$1000,4,FALSE),0)</f>
        <v>0.8377</v>
      </c>
      <c r="W23" s="128">
        <f>_xlfn.IFNA(VLOOKUP(B23,[2]베타!$A$2:$E$1000,5,FALSE),0)</f>
        <v>0.70050000000000001</v>
      </c>
      <c r="X23" s="1">
        <f t="shared" si="14"/>
        <v>0</v>
      </c>
      <c r="Y23" s="15">
        <f t="shared" si="15"/>
        <v>0</v>
      </c>
      <c r="Z23" s="13">
        <f t="shared" si="16"/>
        <v>0</v>
      </c>
      <c r="AA23" s="129">
        <f t="shared" si="3"/>
        <v>0</v>
      </c>
      <c r="AB23" s="129">
        <f t="shared" si="4"/>
        <v>0</v>
      </c>
      <c r="AC23" s="130">
        <f t="shared" si="5"/>
        <v>0</v>
      </c>
      <c r="AD23" s="131">
        <f t="shared" si="6"/>
        <v>0</v>
      </c>
      <c r="AE23" s="1">
        <f t="shared" si="17"/>
        <v>0</v>
      </c>
      <c r="AF23" s="133"/>
      <c r="AG23" s="1" t="str">
        <f t="shared" si="18"/>
        <v>0091P0</v>
      </c>
      <c r="AH23" s="1">
        <f t="shared" si="19"/>
        <v>0</v>
      </c>
      <c r="AJ23" s="95">
        <f>ROUNDUP(VLOOKUP(B23,[2]베타!$A$2:$L$1000,12,FALSE),0)</f>
        <v>10</v>
      </c>
      <c r="AK23" s="95">
        <f>ROUNDUP(VLOOKUP(B23,[2]베타!$A$2:$M$1000,13,FALSE),0)</f>
        <v>-32</v>
      </c>
    </row>
    <row r="24" spans="1:38" x14ac:dyDescent="0.25">
      <c r="A24" s="4"/>
      <c r="B24" s="119" t="s">
        <v>81</v>
      </c>
      <c r="C24" s="120" t="s">
        <v>82</v>
      </c>
      <c r="D24" s="14">
        <f>VLOOKUP("A"&amp;B24,[2]ETF!$A$4:$M$10000,13,FALSE)</f>
        <v>50000</v>
      </c>
      <c r="E24" s="1">
        <f>[1]!'292150:VOL'+0</f>
        <v>222385</v>
      </c>
      <c r="F24" s="121" t="s">
        <v>64</v>
      </c>
      <c r="G24" s="122">
        <f>IF([1]!'019875^292150:SELL_TDY_QTY'="NO", 0, [1]!'019875^292150:SELL_TDY_QTY')</f>
        <v>2015</v>
      </c>
      <c r="H24" s="122">
        <f>IF([1]!'019875^292150:SELL_TDY_AMT'="NO", 0, [1]!'019875^292150:SELL_TDY_AMT')</f>
        <v>75210935</v>
      </c>
      <c r="I24" s="122">
        <f t="shared" si="7"/>
        <v>37325.526054590569</v>
      </c>
      <c r="J24" s="123">
        <f>IF([1]!'019875^292150:BUY_TDY_QTY'="NO", 0, [1]!'019875^292150:BUY_TDY_QTY')</f>
        <v>2015</v>
      </c>
      <c r="K24" s="122">
        <f>IF([1]!'019875^292150:BUY_TDY_AMT'="NO", 0, [1]!'019875^292150:BUY_TDY_AMT')</f>
        <v>75483060</v>
      </c>
      <c r="L24" s="124">
        <f t="shared" si="8"/>
        <v>37460.575682382136</v>
      </c>
      <c r="M24" s="125">
        <f t="shared" si="9"/>
        <v>0</v>
      </c>
      <c r="N24" s="126">
        <f t="shared" si="10"/>
        <v>0</v>
      </c>
      <c r="O24" s="127">
        <f t="shared" si="2"/>
        <v>0</v>
      </c>
      <c r="P24" s="1">
        <f>[1]!'292150:LAST'</f>
        <v>37335</v>
      </c>
      <c r="Q24" s="95">
        <f>[1]!'292150:NAV'</f>
        <v>37383.730000000003</v>
      </c>
      <c r="R24" s="14">
        <f t="shared" si="11"/>
        <v>-19090.000000002656</v>
      </c>
      <c r="S24" s="1">
        <f t="shared" si="12"/>
        <v>-253035.00000000346</v>
      </c>
      <c r="T24" s="15">
        <f t="shared" si="13"/>
        <v>-272125.00000000611</v>
      </c>
      <c r="U24" s="128">
        <f>_xlfn.IFNA(VLOOKUP(B24,[2]베타!$A$2:$C$1000,3,FALSE),0)</f>
        <v>0.9718</v>
      </c>
      <c r="V24" s="128">
        <f>_xlfn.IFNA(VLOOKUP(B24,[2]베타!$A$2:$D$1000,4,FALSE),0)</f>
        <v>-1.1000000000000001E-3</v>
      </c>
      <c r="W24" s="128">
        <f>_xlfn.IFNA(VLOOKUP(B24,[2]베타!$A$2:$E$1000,5,FALSE),0)</f>
        <v>0.98240000000000005</v>
      </c>
      <c r="X24" s="1">
        <f t="shared" si="14"/>
        <v>0</v>
      </c>
      <c r="Y24" s="15">
        <f t="shared" si="15"/>
        <v>0</v>
      </c>
      <c r="Z24" s="13">
        <f t="shared" si="16"/>
        <v>0</v>
      </c>
      <c r="AA24" s="129">
        <f t="shared" si="3"/>
        <v>0</v>
      </c>
      <c r="AB24" s="129">
        <f t="shared" si="4"/>
        <v>0</v>
      </c>
      <c r="AC24" s="130">
        <f t="shared" si="5"/>
        <v>0</v>
      </c>
      <c r="AD24" s="131">
        <f t="shared" si="6"/>
        <v>0</v>
      </c>
      <c r="AE24" s="1">
        <f t="shared" si="17"/>
        <v>0</v>
      </c>
      <c r="AF24" s="133"/>
      <c r="AG24" s="1" t="str">
        <f t="shared" si="18"/>
        <v>292150</v>
      </c>
      <c r="AH24" s="1">
        <f t="shared" si="19"/>
        <v>0</v>
      </c>
      <c r="AJ24" s="95">
        <f>ROUNDUP(VLOOKUP(B24,[2]베타!$A$2:$L$1000,12,FALSE),0)</f>
        <v>4</v>
      </c>
      <c r="AK24" s="95">
        <f>ROUNDUP(VLOOKUP(B24,[2]베타!$A$2:$M$1000,13,FALSE),0)</f>
        <v>-23</v>
      </c>
    </row>
    <row r="25" spans="1:38" x14ac:dyDescent="0.25">
      <c r="A25" s="4"/>
      <c r="B25" s="119" t="s">
        <v>83</v>
      </c>
      <c r="C25" s="120" t="s">
        <v>84</v>
      </c>
      <c r="D25" s="14">
        <f>VLOOKUP("A"&amp;B25,[2]ETF!$A$4:$M$10000,13,FALSE)</f>
        <v>20000</v>
      </c>
      <c r="E25" s="1">
        <f>[1]!'139230:VOL'+0</f>
        <v>54771</v>
      </c>
      <c r="F25" s="121" t="s">
        <v>64</v>
      </c>
      <c r="G25" s="122">
        <f>IF([1]!'019875^139230:SELL_TDY_QTY'="NO", 0, [1]!'019875^139230:SELL_TDY_QTY')</f>
        <v>0</v>
      </c>
      <c r="H25" s="122">
        <f>IF([1]!'019875^139230:SELL_TDY_AMT'="NO", 0, [1]!'019875^139230:SELL_TDY_AMT')</f>
        <v>0</v>
      </c>
      <c r="I25" s="122">
        <f t="shared" si="7"/>
        <v>0</v>
      </c>
      <c r="J25" s="123">
        <f>IF([1]!'019875^139230:BUY_TDY_QTY'="NO", 0, [1]!'019875^139230:BUY_TDY_QTY')</f>
        <v>0</v>
      </c>
      <c r="K25" s="122">
        <f>IF([1]!'019875^139230:BUY_TDY_AMT'="NO", 0, [1]!'019875^139230:BUY_TDY_AMT')</f>
        <v>0</v>
      </c>
      <c r="L25" s="124">
        <f t="shared" si="8"/>
        <v>0</v>
      </c>
      <c r="M25" s="125">
        <f t="shared" si="9"/>
        <v>0</v>
      </c>
      <c r="N25" s="126">
        <f t="shared" si="10"/>
        <v>0</v>
      </c>
      <c r="O25" s="127">
        <f t="shared" si="2"/>
        <v>0</v>
      </c>
      <c r="P25" s="1">
        <f>[1]!'139230:LAST'</f>
        <v>13230</v>
      </c>
      <c r="Q25" s="95">
        <f>[1]!'139230:NAV'</f>
        <v>13232.77</v>
      </c>
      <c r="R25" s="14">
        <f t="shared" si="11"/>
        <v>0</v>
      </c>
      <c r="S25" s="1">
        <f t="shared" si="12"/>
        <v>0</v>
      </c>
      <c r="T25" s="15">
        <f t="shared" si="13"/>
        <v>0</v>
      </c>
      <c r="U25" s="128">
        <f>_xlfn.IFNA(VLOOKUP(B25,[2]베타!$A$2:$C$1000,3,FALSE),0)</f>
        <v>0.23980000000000001</v>
      </c>
      <c r="V25" s="128">
        <f>_xlfn.IFNA(VLOOKUP(B25,[2]베타!$A$2:$D$1000,4,FALSE),0)</f>
        <v>0.57110000000000005</v>
      </c>
      <c r="W25" s="128">
        <f>_xlfn.IFNA(VLOOKUP(B25,[2]베타!$A$2:$E$1000,5,FALSE),0)</f>
        <v>0.68110000000000004</v>
      </c>
      <c r="X25" s="1">
        <f t="shared" si="14"/>
        <v>0</v>
      </c>
      <c r="Y25" s="15">
        <f t="shared" si="15"/>
        <v>0</v>
      </c>
      <c r="Z25" s="13">
        <f t="shared" si="16"/>
        <v>0</v>
      </c>
      <c r="AA25" s="129">
        <f t="shared" si="3"/>
        <v>0</v>
      </c>
      <c r="AB25" s="129">
        <f t="shared" si="4"/>
        <v>0</v>
      </c>
      <c r="AC25" s="130">
        <f t="shared" si="5"/>
        <v>0</v>
      </c>
      <c r="AD25" s="131">
        <f t="shared" si="6"/>
        <v>0</v>
      </c>
      <c r="AE25" s="1">
        <f t="shared" si="17"/>
        <v>0</v>
      </c>
      <c r="AF25" s="133"/>
      <c r="AG25" s="1" t="str">
        <f t="shared" si="18"/>
        <v>139230</v>
      </c>
      <c r="AH25" s="1">
        <f t="shared" si="19"/>
        <v>0</v>
      </c>
      <c r="AJ25" s="95">
        <f>ROUNDUP(VLOOKUP(B25,[2]베타!$A$2:$L$1000,12,FALSE),0)</f>
        <v>13</v>
      </c>
      <c r="AK25" s="95">
        <f>ROUNDUP(VLOOKUP(B25,[2]베타!$A$2:$M$1000,13,FALSE),0)</f>
        <v>-30</v>
      </c>
    </row>
    <row r="26" spans="1:38" x14ac:dyDescent="0.25">
      <c r="A26" s="4"/>
      <c r="B26" s="119" t="s">
        <v>85</v>
      </c>
      <c r="C26" s="120" t="s">
        <v>86</v>
      </c>
      <c r="D26" s="14">
        <f>VLOOKUP("A"&amp;B26,[2]ETF!$A$4:$M$10000,13,FALSE)</f>
        <v>50000</v>
      </c>
      <c r="E26" s="1">
        <f>[1]!'364990:VOL'+0</f>
        <v>55297</v>
      </c>
      <c r="F26" s="121" t="s">
        <v>64</v>
      </c>
      <c r="G26" s="122">
        <f>IF([1]!'019875^364990:SELL_TDY_QTY'="NO", 0, [1]!'019875^364990:SELL_TDY_QTY')</f>
        <v>159</v>
      </c>
      <c r="H26" s="122">
        <f>IF([1]!'019875^364990:SELL_TDY_AMT'="NO", 0, [1]!'019875^364990:SELL_TDY_AMT')</f>
        <v>762425</v>
      </c>
      <c r="I26" s="122">
        <f t="shared" si="7"/>
        <v>4795.1257861635222</v>
      </c>
      <c r="J26" s="123">
        <f>IF([1]!'019875^364990:BUY_TDY_QTY'="NO", 0, [1]!'019875^364990:BUY_TDY_QTY')</f>
        <v>159</v>
      </c>
      <c r="K26" s="122">
        <f>IF([1]!'019875^364990:BUY_TDY_AMT'="NO", 0, [1]!'019875^364990:BUY_TDY_AMT')</f>
        <v>758430</v>
      </c>
      <c r="L26" s="124">
        <f t="shared" si="8"/>
        <v>4770</v>
      </c>
      <c r="M26" s="125">
        <f t="shared" si="9"/>
        <v>0</v>
      </c>
      <c r="N26" s="126">
        <f t="shared" si="10"/>
        <v>0</v>
      </c>
      <c r="O26" s="127">
        <f t="shared" si="2"/>
        <v>0</v>
      </c>
      <c r="P26" s="1">
        <f>[1]!'364990:LAST'</f>
        <v>4795</v>
      </c>
      <c r="Q26" s="95">
        <f>[1]!'364990:NAV'</f>
        <v>4803.83</v>
      </c>
      <c r="R26" s="14">
        <f t="shared" si="11"/>
        <v>20.000000000030923</v>
      </c>
      <c r="S26" s="1">
        <f t="shared" si="12"/>
        <v>3975</v>
      </c>
      <c r="T26" s="15">
        <f t="shared" si="13"/>
        <v>3995.0000000000309</v>
      </c>
      <c r="U26" s="128">
        <f>_xlfn.IFNA(VLOOKUP(B26,[2]베타!$A$2:$C$1000,3,FALSE),0)</f>
        <v>-8.77E-2</v>
      </c>
      <c r="V26" s="128">
        <f>_xlfn.IFNA(VLOOKUP(B26,[2]베타!$A$2:$D$1000,4,FALSE),0)</f>
        <v>0.38729999999999998</v>
      </c>
      <c r="W26" s="128">
        <f>_xlfn.IFNA(VLOOKUP(B26,[2]베타!$A$2:$E$1000,5,FALSE),0)</f>
        <v>0.2429</v>
      </c>
      <c r="X26" s="1">
        <f t="shared" si="14"/>
        <v>0</v>
      </c>
      <c r="Y26" s="15">
        <f t="shared" si="15"/>
        <v>0</v>
      </c>
      <c r="Z26" s="13">
        <f t="shared" si="16"/>
        <v>0</v>
      </c>
      <c r="AA26" s="129">
        <f t="shared" si="3"/>
        <v>0</v>
      </c>
      <c r="AB26" s="129">
        <f t="shared" si="4"/>
        <v>0</v>
      </c>
      <c r="AC26" s="130">
        <f t="shared" si="5"/>
        <v>0</v>
      </c>
      <c r="AD26" s="131">
        <f t="shared" si="6"/>
        <v>0</v>
      </c>
      <c r="AE26" s="1">
        <f t="shared" si="17"/>
        <v>0</v>
      </c>
      <c r="AF26" s="133"/>
      <c r="AG26" s="1" t="str">
        <f t="shared" si="18"/>
        <v>364990</v>
      </c>
      <c r="AH26" s="1">
        <f t="shared" si="19"/>
        <v>0</v>
      </c>
      <c r="AJ26" s="95">
        <f>ROUNDUP(VLOOKUP(B26,[2]베타!$A$2:$L$1000,12,FALSE),0)</f>
        <v>23</v>
      </c>
      <c r="AK26" s="95">
        <f>ROUNDUP(VLOOKUP(B26,[2]베타!$A$2:$M$1000,13,FALSE),0)</f>
        <v>-35</v>
      </c>
    </row>
    <row r="27" spans="1:38" x14ac:dyDescent="0.25">
      <c r="A27" s="4"/>
      <c r="B27" s="119" t="s">
        <v>87</v>
      </c>
      <c r="C27" s="120" t="s">
        <v>88</v>
      </c>
      <c r="D27" s="14">
        <f>VLOOKUP("A"&amp;B27,[2]ETF!$A$4:$M$10000,13,FALSE)</f>
        <v>20000</v>
      </c>
      <c r="E27" s="1">
        <f>[1]!'157500:VOL'+0</f>
        <v>238165</v>
      </c>
      <c r="F27" s="121" t="s">
        <v>64</v>
      </c>
      <c r="G27" s="122">
        <f>IF([1]!'019875^157500:SELL_TDY_QTY'="NO", 0, [1]!'019875^157500:SELL_TDY_QTY')</f>
        <v>0</v>
      </c>
      <c r="H27" s="122">
        <f>IF([1]!'019875^157500:SELL_TDY_AMT'="NO", 0, [1]!'019875^157500:SELL_TDY_AMT')</f>
        <v>0</v>
      </c>
      <c r="I27" s="122">
        <f t="shared" si="7"/>
        <v>0</v>
      </c>
      <c r="J27" s="123">
        <f>IF([1]!'019875^157500:BUY_TDY_QTY'="NO", 0, [1]!'019875^157500:BUY_TDY_QTY')</f>
        <v>0</v>
      </c>
      <c r="K27" s="122">
        <f>IF([1]!'019875^157500:BUY_TDY_AMT'="NO", 0, [1]!'019875^157500:BUY_TDY_AMT')</f>
        <v>0</v>
      </c>
      <c r="L27" s="124">
        <f t="shared" si="8"/>
        <v>0</v>
      </c>
      <c r="M27" s="125">
        <f t="shared" si="9"/>
        <v>0</v>
      </c>
      <c r="N27" s="126">
        <f t="shared" si="10"/>
        <v>0</v>
      </c>
      <c r="O27" s="127">
        <f t="shared" si="2"/>
        <v>0</v>
      </c>
      <c r="P27" s="1">
        <f>[1]!'157500:LAST'</f>
        <v>12515</v>
      </c>
      <c r="Q27" s="95">
        <f>[1]!'157500:NAV'</f>
        <v>12550.06</v>
      </c>
      <c r="R27" s="14">
        <f t="shared" si="11"/>
        <v>0</v>
      </c>
      <c r="S27" s="1">
        <f t="shared" si="12"/>
        <v>0</v>
      </c>
      <c r="T27" s="15">
        <f t="shared" si="13"/>
        <v>0</v>
      </c>
      <c r="U27" s="128">
        <f>_xlfn.IFNA(VLOOKUP(B27,[2]베타!$A$2:$C$1000,3,FALSE),0)</f>
        <v>0.47820000000000001</v>
      </c>
      <c r="V27" s="128">
        <f>_xlfn.IFNA(VLOOKUP(B27,[2]베타!$A$2:$D$1000,4,FALSE),0)</f>
        <v>0.44819999999999999</v>
      </c>
      <c r="W27" s="128">
        <f>_xlfn.IFNA(VLOOKUP(B27,[2]베타!$A$2:$E$1000,5,FALSE),0)</f>
        <v>0.69120000000000004</v>
      </c>
      <c r="X27" s="1">
        <f t="shared" si="14"/>
        <v>0</v>
      </c>
      <c r="Y27" s="15">
        <f t="shared" si="15"/>
        <v>0</v>
      </c>
      <c r="Z27" s="13">
        <f t="shared" si="16"/>
        <v>0</v>
      </c>
      <c r="AA27" s="129">
        <f t="shared" si="3"/>
        <v>0</v>
      </c>
      <c r="AB27" s="129">
        <f t="shared" si="4"/>
        <v>0</v>
      </c>
      <c r="AC27" s="130">
        <f t="shared" si="5"/>
        <v>0</v>
      </c>
      <c r="AD27" s="131">
        <f t="shared" si="6"/>
        <v>0</v>
      </c>
      <c r="AE27" s="1">
        <f t="shared" si="17"/>
        <v>0</v>
      </c>
      <c r="AF27" s="133"/>
      <c r="AG27" s="1" t="str">
        <f t="shared" si="18"/>
        <v>157500</v>
      </c>
      <c r="AH27" s="1">
        <f t="shared" si="19"/>
        <v>0</v>
      </c>
      <c r="AJ27" s="95">
        <f>ROUNDUP(VLOOKUP(B27,[2]베타!$A$2:$L$1000,12,FALSE),0)</f>
        <v>7</v>
      </c>
      <c r="AK27" s="95">
        <f>ROUNDUP(VLOOKUP(B27,[2]베타!$A$2:$M$1000,13,FALSE),0)</f>
        <v>-30</v>
      </c>
    </row>
    <row r="28" spans="1:38" x14ac:dyDescent="0.25">
      <c r="A28" s="4"/>
      <c r="B28" s="119" t="s">
        <v>89</v>
      </c>
      <c r="C28" s="120" t="s">
        <v>90</v>
      </c>
      <c r="D28" s="14">
        <f>VLOOKUP("A"&amp;B28,[2]ETF!$A$4:$M$10000,13,FALSE)</f>
        <v>30000</v>
      </c>
      <c r="E28" s="1">
        <f>[1]!'228810:VOL'+0</f>
        <v>57376</v>
      </c>
      <c r="F28" s="121" t="s">
        <v>64</v>
      </c>
      <c r="G28" s="122">
        <f>IF([1]!'019875^228810:SELL_TDY_QTY'="NO", 0, [1]!'019875^228810:SELL_TDY_QTY')</f>
        <v>1</v>
      </c>
      <c r="H28" s="122">
        <f>IF([1]!'019875^228810:SELL_TDY_AMT'="NO", 0, [1]!'019875^228810:SELL_TDY_AMT')</f>
        <v>3055</v>
      </c>
      <c r="I28" s="122">
        <f t="shared" si="7"/>
        <v>3055</v>
      </c>
      <c r="J28" s="123">
        <f>IF([1]!'019875^228810:BUY_TDY_QTY'="NO", 0, [1]!'019875^228810:BUY_TDY_QTY')</f>
        <v>1</v>
      </c>
      <c r="K28" s="122">
        <f>IF([1]!'019875^228810:BUY_TDY_AMT'="NO", 0, [1]!'019875^228810:BUY_TDY_AMT')</f>
        <v>3120</v>
      </c>
      <c r="L28" s="124">
        <f t="shared" si="8"/>
        <v>3120</v>
      </c>
      <c r="M28" s="125">
        <f t="shared" si="9"/>
        <v>0</v>
      </c>
      <c r="N28" s="126">
        <f t="shared" si="10"/>
        <v>0</v>
      </c>
      <c r="O28" s="127">
        <f t="shared" si="2"/>
        <v>0</v>
      </c>
      <c r="P28" s="1">
        <f>[1]!'228810:LAST'</f>
        <v>3125</v>
      </c>
      <c r="Q28" s="95">
        <f>[1]!'228810:NAV'</f>
        <v>3137.64</v>
      </c>
      <c r="R28" s="14">
        <f t="shared" si="11"/>
        <v>-70</v>
      </c>
      <c r="S28" s="1">
        <f t="shared" si="12"/>
        <v>5</v>
      </c>
      <c r="T28" s="15">
        <f t="shared" si="13"/>
        <v>-65</v>
      </c>
      <c r="U28" s="128">
        <f>_xlfn.IFNA(VLOOKUP(B28,[2]베타!$A$2:$C$1000,3,FALSE),0)</f>
        <v>-0.16639999999999999</v>
      </c>
      <c r="V28" s="128">
        <f>_xlfn.IFNA(VLOOKUP(B28,[2]베타!$A$2:$D$1000,4,FALSE),0)</f>
        <v>0.67720000000000002</v>
      </c>
      <c r="W28" s="128">
        <f>_xlfn.IFNA(VLOOKUP(B28,[2]베타!$A$2:$E$1000,5,FALSE),0)</f>
        <v>0.58430000000000004</v>
      </c>
      <c r="X28" s="1">
        <f t="shared" si="14"/>
        <v>0</v>
      </c>
      <c r="Y28" s="15">
        <f t="shared" si="15"/>
        <v>0</v>
      </c>
      <c r="Z28" s="13">
        <f t="shared" si="16"/>
        <v>0</v>
      </c>
      <c r="AA28" s="129">
        <f t="shared" si="3"/>
        <v>0</v>
      </c>
      <c r="AB28" s="129">
        <f t="shared" si="4"/>
        <v>0</v>
      </c>
      <c r="AC28" s="130">
        <f t="shared" si="5"/>
        <v>0</v>
      </c>
      <c r="AD28" s="131">
        <f t="shared" si="6"/>
        <v>0</v>
      </c>
      <c r="AE28" s="1">
        <f t="shared" si="17"/>
        <v>0</v>
      </c>
      <c r="AF28" s="133"/>
      <c r="AG28" s="1" t="str">
        <f t="shared" si="18"/>
        <v>228810</v>
      </c>
      <c r="AH28" s="1">
        <f t="shared" si="19"/>
        <v>0</v>
      </c>
      <c r="AJ28" s="95">
        <f>ROUNDUP(VLOOKUP(B28,[2]베타!$A$2:$L$1000,12,FALSE),0)</f>
        <v>22</v>
      </c>
      <c r="AK28" s="95">
        <f>ROUNDUP(VLOOKUP(B28,[2]베타!$A$2:$M$1000,13,FALSE),0)</f>
        <v>-33</v>
      </c>
    </row>
    <row r="29" spans="1:38" x14ac:dyDescent="0.25">
      <c r="A29" s="4"/>
      <c r="B29" s="134" t="s">
        <v>91</v>
      </c>
      <c r="C29" s="135" t="s">
        <v>92</v>
      </c>
      <c r="D29" s="136">
        <f>VLOOKUP("A"&amp;B29,[2]ETF!$A$4:$M$10000,13,FALSE)</f>
        <v>10000</v>
      </c>
      <c r="E29" s="137">
        <f>[1]!'472150:VOL'+0</f>
        <v>3051778</v>
      </c>
      <c r="F29" s="138" t="s">
        <v>93</v>
      </c>
      <c r="G29" s="122">
        <f>IF([1]!'019870^472150:SELL_TDY_QTY'="NO", 0, [1]!'019870^472150:SELL_TDY_QTY')</f>
        <v>43891</v>
      </c>
      <c r="H29" s="122">
        <f>IF([1]!'019870^472150:SELL_TDY_AMT'="NO", 0, [1]!'019870^472150:SELL_TDY_AMT')</f>
        <v>871224050</v>
      </c>
      <c r="I29" s="122">
        <f t="shared" si="7"/>
        <v>19849.719760315325</v>
      </c>
      <c r="J29" s="123">
        <f>IF([1]!'019870^472150:BUY_TDY_QTY'="NO", 0, [1]!'019870^472150:BUY_TDY_QTY')</f>
        <v>43891</v>
      </c>
      <c r="K29" s="122">
        <f>IF([1]!'019870^472150:BUY_TDY_AMT'="NO", 0, [1]!'019870^472150:BUY_TDY_AMT')</f>
        <v>865102915</v>
      </c>
      <c r="L29" s="124">
        <f t="shared" si="8"/>
        <v>19710.257569889043</v>
      </c>
      <c r="M29" s="125">
        <f t="shared" si="9"/>
        <v>0</v>
      </c>
      <c r="N29" s="126">
        <f t="shared" si="10"/>
        <v>0</v>
      </c>
      <c r="O29" s="127">
        <f t="shared" si="2"/>
        <v>0</v>
      </c>
      <c r="P29" s="1">
        <f>[1]!'472150:LAST'</f>
        <v>19955</v>
      </c>
      <c r="Q29" s="95">
        <f>[1]!'472150:NAV'</f>
        <v>19970.650000000001</v>
      </c>
      <c r="R29" s="14">
        <f t="shared" si="11"/>
        <v>-4620855.0000000531</v>
      </c>
      <c r="S29" s="1">
        <f t="shared" si="12"/>
        <v>10741990.000000004</v>
      </c>
      <c r="T29" s="15">
        <f t="shared" si="13"/>
        <v>6121134.9999999506</v>
      </c>
      <c r="U29" s="128">
        <f>_xlfn.IFNA(VLOOKUP(B29,[2]베타!$A$2:$C$1000,3,FALSE),0)</f>
        <v>0.97460000000000002</v>
      </c>
      <c r="V29" s="128">
        <f>_xlfn.IFNA(VLOOKUP(B29,[2]베타!$A$2:$D$1000,4,FALSE),0)</f>
        <v>6.9999999999999999E-4</v>
      </c>
      <c r="W29" s="128">
        <f>_xlfn.IFNA(VLOOKUP(B29,[2]베타!$A$2:$E$1000,5,FALSE),0)</f>
        <v>0.98899999999999999</v>
      </c>
      <c r="X29" s="1">
        <f t="shared" si="14"/>
        <v>0</v>
      </c>
      <c r="Y29" s="15">
        <f t="shared" si="15"/>
        <v>0</v>
      </c>
      <c r="Z29" s="13">
        <f t="shared" si="16"/>
        <v>0</v>
      </c>
      <c r="AA29" s="129">
        <f t="shared" si="3"/>
        <v>0</v>
      </c>
      <c r="AB29" s="129">
        <f t="shared" si="4"/>
        <v>0</v>
      </c>
      <c r="AC29" s="130">
        <f t="shared" si="5"/>
        <v>0</v>
      </c>
      <c r="AD29" s="131">
        <f t="shared" si="6"/>
        <v>0</v>
      </c>
      <c r="AE29" s="1">
        <f t="shared" si="17"/>
        <v>0</v>
      </c>
      <c r="AF29" s="133"/>
      <c r="AG29" s="1" t="str">
        <f t="shared" si="18"/>
        <v>472150</v>
      </c>
      <c r="AH29" s="1">
        <f t="shared" si="19"/>
        <v>0</v>
      </c>
      <c r="AJ29" s="95">
        <f>ROUNDUP(VLOOKUP(B29,[2]베타!$A$2:$L$1000,12,FALSE),0)</f>
        <v>13</v>
      </c>
      <c r="AK29" s="95">
        <f>ROUNDUP(VLOOKUP(B29,[2]베타!$A$2:$M$1000,13,FALSE),0)</f>
        <v>-11</v>
      </c>
    </row>
    <row r="30" spans="1:38" x14ac:dyDescent="0.25">
      <c r="A30" s="4"/>
      <c r="B30" s="119" t="s">
        <v>94</v>
      </c>
      <c r="C30" s="120" t="s">
        <v>95</v>
      </c>
      <c r="D30" s="14">
        <f>VLOOKUP("A"&amp;B30,[2]ETF!$A$4:$M$10000,13,FALSE)</f>
        <v>50000</v>
      </c>
      <c r="E30" s="1">
        <f>[1]!'307520:VOL'+0</f>
        <v>323866</v>
      </c>
      <c r="F30" s="121" t="s">
        <v>64</v>
      </c>
      <c r="G30" s="122">
        <f>IF([1]!'019875^307520:SELL_TDY_QTY'="NO", 0, [1]!'019875^307520:SELL_TDY_QTY')</f>
        <v>0</v>
      </c>
      <c r="H30" s="122">
        <f>IF([1]!'019875^307520:SELL_TDY_AMT'="NO", 0, [1]!'019875^307520:SELL_TDY_AMT')</f>
        <v>0</v>
      </c>
      <c r="I30" s="122">
        <f t="shared" si="7"/>
        <v>0</v>
      </c>
      <c r="J30" s="123">
        <f>IF([1]!'019875^307520:BUY_TDY_QTY'="NO", 0, [1]!'019875^307520:BUY_TDY_QTY')</f>
        <v>0</v>
      </c>
      <c r="K30" s="122">
        <f>IF([1]!'019875^307520:BUY_TDY_AMT'="NO", 0, [1]!'019875^307520:BUY_TDY_AMT')</f>
        <v>0</v>
      </c>
      <c r="L30" s="124">
        <f t="shared" si="8"/>
        <v>0</v>
      </c>
      <c r="M30" s="125">
        <f t="shared" si="9"/>
        <v>0</v>
      </c>
      <c r="N30" s="126">
        <f t="shared" si="10"/>
        <v>0</v>
      </c>
      <c r="O30" s="127">
        <f t="shared" si="2"/>
        <v>0</v>
      </c>
      <c r="P30" s="1">
        <f>[1]!'307520:LAST'</f>
        <v>22620</v>
      </c>
      <c r="Q30" s="95">
        <f>[1]!'307520:NAV'</f>
        <v>22667.37</v>
      </c>
      <c r="R30" s="14">
        <f t="shared" si="11"/>
        <v>0</v>
      </c>
      <c r="S30" s="1">
        <f t="shared" si="12"/>
        <v>0</v>
      </c>
      <c r="T30" s="15">
        <f t="shared" si="13"/>
        <v>0</v>
      </c>
      <c r="U30" s="128">
        <f>_xlfn.IFNA(VLOOKUP(B30,[2]베타!$A$2:$C$1000,3,FALSE),0)</f>
        <v>0.37959999999999999</v>
      </c>
      <c r="V30" s="128">
        <f>_xlfn.IFNA(VLOOKUP(B30,[2]베타!$A$2:$D$1000,4,FALSE),0)</f>
        <v>0.39200000000000002</v>
      </c>
      <c r="W30" s="128">
        <f>_xlfn.IFNA(VLOOKUP(B30,[2]베타!$A$2:$E$1000,5,FALSE),0)</f>
        <v>0.79459999999999997</v>
      </c>
      <c r="X30" s="1">
        <f t="shared" si="14"/>
        <v>0</v>
      </c>
      <c r="Y30" s="15">
        <f t="shared" si="15"/>
        <v>0</v>
      </c>
      <c r="Z30" s="13">
        <f t="shared" si="16"/>
        <v>0</v>
      </c>
      <c r="AA30" s="129">
        <f t="shared" si="3"/>
        <v>0</v>
      </c>
      <c r="AB30" s="129">
        <f t="shared" si="4"/>
        <v>0</v>
      </c>
      <c r="AC30" s="130">
        <f t="shared" si="5"/>
        <v>0</v>
      </c>
      <c r="AD30" s="131">
        <f t="shared" si="6"/>
        <v>0</v>
      </c>
      <c r="AE30" s="1">
        <f t="shared" si="17"/>
        <v>0</v>
      </c>
      <c r="AF30" s="133"/>
      <c r="AG30" s="1" t="str">
        <f t="shared" si="18"/>
        <v>307520</v>
      </c>
      <c r="AH30" s="1">
        <f t="shared" si="19"/>
        <v>0</v>
      </c>
      <c r="AJ30" s="95">
        <f>ROUNDUP(VLOOKUP(B30,[2]베타!$A$2:$L$1000,12,FALSE),0)</f>
        <v>6</v>
      </c>
      <c r="AK30" s="95">
        <f>ROUNDUP(VLOOKUP(B30,[2]베타!$A$2:$M$1000,13,FALSE),0)</f>
        <v>-31</v>
      </c>
    </row>
    <row r="31" spans="1:38" x14ac:dyDescent="0.25">
      <c r="A31" s="4"/>
      <c r="B31" s="119" t="s">
        <v>96</v>
      </c>
      <c r="C31" s="120" t="s">
        <v>97</v>
      </c>
      <c r="D31" s="14">
        <f>VLOOKUP("A"&amp;B31,[2]ETF!$A$4:$M$10000,13,FALSE)</f>
        <v>20000</v>
      </c>
      <c r="E31" s="1">
        <f>[1]!'157490:VOL'+0</f>
        <v>113728</v>
      </c>
      <c r="F31" s="121" t="s">
        <v>64</v>
      </c>
      <c r="G31" s="122">
        <f>IF([1]!'019875^157490:SELL_TDY_QTY'="NO", 0, [1]!'019875^157490:SELL_TDY_QTY')</f>
        <v>0</v>
      </c>
      <c r="H31" s="122">
        <f>IF([1]!'019875^157490:SELL_TDY_AMT'="NO", 0, [1]!'019875^157490:SELL_TDY_AMT')</f>
        <v>0</v>
      </c>
      <c r="I31" s="122">
        <f t="shared" si="7"/>
        <v>0</v>
      </c>
      <c r="J31" s="123">
        <f>IF([1]!'019875^157490:BUY_TDY_QTY'="NO", 0, [1]!'019875^157490:BUY_TDY_QTY')</f>
        <v>0</v>
      </c>
      <c r="K31" s="122">
        <f>IF([1]!'019875^157490:BUY_TDY_AMT'="NO", 0, [1]!'019875^157490:BUY_TDY_AMT')</f>
        <v>0</v>
      </c>
      <c r="L31" s="124">
        <f t="shared" si="8"/>
        <v>0</v>
      </c>
      <c r="M31" s="125">
        <f t="shared" si="9"/>
        <v>0</v>
      </c>
      <c r="N31" s="126">
        <f t="shared" si="10"/>
        <v>0</v>
      </c>
      <c r="O31" s="127">
        <f t="shared" si="2"/>
        <v>0</v>
      </c>
      <c r="P31" s="1">
        <f>[1]!'157490:LAST'</f>
        <v>8555</v>
      </c>
      <c r="Q31" s="95">
        <f>[1]!'157490:NAV'</f>
        <v>8576.7000000000007</v>
      </c>
      <c r="R31" s="14">
        <f t="shared" si="11"/>
        <v>0</v>
      </c>
      <c r="S31" s="1">
        <f t="shared" si="12"/>
        <v>0</v>
      </c>
      <c r="T31" s="15">
        <f t="shared" si="13"/>
        <v>0</v>
      </c>
      <c r="U31" s="128">
        <f>_xlfn.IFNA(VLOOKUP(B31,[2]베타!$A$2:$C$1000,3,FALSE),0)</f>
        <v>0.20250000000000001</v>
      </c>
      <c r="V31" s="128">
        <f>_xlfn.IFNA(VLOOKUP(B31,[2]베타!$A$2:$D$1000,4,FALSE),0)</f>
        <v>0.3402</v>
      </c>
      <c r="W31" s="128">
        <f>_xlfn.IFNA(VLOOKUP(B31,[2]베타!$A$2:$E$1000,5,FALSE),0)</f>
        <v>0.45729999999999998</v>
      </c>
      <c r="X31" s="1">
        <f t="shared" si="14"/>
        <v>0</v>
      </c>
      <c r="Y31" s="15">
        <f t="shared" si="15"/>
        <v>0</v>
      </c>
      <c r="Z31" s="13">
        <f t="shared" si="16"/>
        <v>0</v>
      </c>
      <c r="AA31" s="129">
        <f t="shared" si="3"/>
        <v>0</v>
      </c>
      <c r="AB31" s="129">
        <f t="shared" si="4"/>
        <v>0</v>
      </c>
      <c r="AC31" s="130">
        <f t="shared" si="5"/>
        <v>0</v>
      </c>
      <c r="AD31" s="131">
        <f t="shared" si="6"/>
        <v>0</v>
      </c>
      <c r="AE31" s="1">
        <f t="shared" si="17"/>
        <v>0</v>
      </c>
      <c r="AF31" s="133"/>
      <c r="AG31" s="1" t="str">
        <f t="shared" si="18"/>
        <v>157490</v>
      </c>
      <c r="AH31" s="1">
        <f t="shared" si="19"/>
        <v>0</v>
      </c>
      <c r="AJ31" s="95">
        <f>ROUNDUP(VLOOKUP(B31,[2]베타!$A$2:$L$1000,12,FALSE),0)</f>
        <v>12</v>
      </c>
      <c r="AK31" s="95">
        <f>ROUNDUP(VLOOKUP(B31,[2]베타!$A$2:$M$1000,13,FALSE),0)</f>
        <v>-33</v>
      </c>
    </row>
    <row r="32" spans="1:38" x14ac:dyDescent="0.25">
      <c r="A32" s="4"/>
      <c r="B32" s="119" t="s">
        <v>98</v>
      </c>
      <c r="C32" s="120" t="s">
        <v>99</v>
      </c>
      <c r="D32" s="14">
        <f>VLOOKUP("A"&amp;B32,[2]ETF!$A$4:$M$10000,13,FALSE)</f>
        <v>50000</v>
      </c>
      <c r="E32" s="1">
        <f>[1]!'471760:VOL'+0</f>
        <v>812967</v>
      </c>
      <c r="F32" s="121" t="s">
        <v>64</v>
      </c>
      <c r="G32" s="122">
        <f>IF([1]!'019875^471760:SELL_TDY_QTY'="NO", 0, [1]!'019875^471760:SELL_TDY_QTY')</f>
        <v>0</v>
      </c>
      <c r="H32" s="122">
        <f>IF([1]!'019875^471760:SELL_TDY_AMT'="NO", 0, [1]!'019875^471760:SELL_TDY_AMT')</f>
        <v>0</v>
      </c>
      <c r="I32" s="122">
        <f t="shared" si="7"/>
        <v>0</v>
      </c>
      <c r="J32" s="123">
        <f>IF([1]!'019875^471760:BUY_TDY_QTY'="NO", 0, [1]!'019875^471760:BUY_TDY_QTY')</f>
        <v>0</v>
      </c>
      <c r="K32" s="122">
        <f>IF([1]!'019875^471760:BUY_TDY_AMT'="NO", 0, [1]!'019875^471760:BUY_TDY_AMT')</f>
        <v>0</v>
      </c>
      <c r="L32" s="124">
        <f t="shared" si="8"/>
        <v>0</v>
      </c>
      <c r="M32" s="125">
        <f>J32-G32</f>
        <v>0</v>
      </c>
      <c r="N32" s="126">
        <f t="shared" si="10"/>
        <v>0</v>
      </c>
      <c r="O32" s="127">
        <f t="shared" si="2"/>
        <v>0</v>
      </c>
      <c r="P32" s="1">
        <f>[1]!'471760:LAST'</f>
        <v>14640</v>
      </c>
      <c r="Q32" s="95">
        <f>[1]!'471760:NAV'</f>
        <v>14663.84</v>
      </c>
      <c r="R32" s="14">
        <f t="shared" si="11"/>
        <v>0</v>
      </c>
      <c r="S32" s="1">
        <f t="shared" si="12"/>
        <v>0</v>
      </c>
      <c r="T32" s="15">
        <f t="shared" si="13"/>
        <v>0</v>
      </c>
      <c r="U32" s="128">
        <f>_xlfn.IFNA(VLOOKUP(B32,[2]베타!$A$2:$C$1000,3,FALSE),0)</f>
        <v>0.49519999999999997</v>
      </c>
      <c r="V32" s="128">
        <f>_xlfn.IFNA(VLOOKUP(B32,[2]베타!$A$2:$D$1000,4,FALSE),0)</f>
        <v>0.80810000000000004</v>
      </c>
      <c r="W32" s="128">
        <f>_xlfn.IFNA(VLOOKUP(B32,[2]베타!$A$2:$E$1000,5,FALSE),0)</f>
        <v>0.81710000000000005</v>
      </c>
      <c r="X32" s="1">
        <f t="shared" si="14"/>
        <v>0</v>
      </c>
      <c r="Y32" s="15">
        <f t="shared" si="15"/>
        <v>0</v>
      </c>
      <c r="Z32" s="13">
        <f t="shared" si="16"/>
        <v>0</v>
      </c>
      <c r="AA32" s="129">
        <f t="shared" si="3"/>
        <v>0</v>
      </c>
      <c r="AB32" s="129">
        <f t="shared" si="4"/>
        <v>0</v>
      </c>
      <c r="AC32" s="130">
        <f t="shared" si="5"/>
        <v>0</v>
      </c>
      <c r="AD32" s="131">
        <f t="shared" si="6"/>
        <v>0</v>
      </c>
      <c r="AE32" s="1">
        <f t="shared" si="17"/>
        <v>0</v>
      </c>
      <c r="AF32" s="133"/>
      <c r="AG32" s="1" t="str">
        <f t="shared" si="18"/>
        <v>471760</v>
      </c>
      <c r="AH32" s="1">
        <f t="shared" si="19"/>
        <v>0</v>
      </c>
      <c r="AJ32" s="95">
        <f>ROUNDUP(VLOOKUP(B32,[2]베타!$A$2:$L$1000,12,FALSE),0)</f>
        <v>9</v>
      </c>
      <c r="AK32" s="95">
        <f>ROUNDUP(VLOOKUP(B32,[2]베타!$A$2:$M$1000,13,FALSE),0)</f>
        <v>-32</v>
      </c>
    </row>
    <row r="33" spans="1:37" x14ac:dyDescent="0.25">
      <c r="A33" s="4"/>
      <c r="B33" s="119" t="s">
        <v>100</v>
      </c>
      <c r="C33" s="120" t="s">
        <v>101</v>
      </c>
      <c r="D33" s="14">
        <f>VLOOKUP("A"&amp;B33,[2]ETF!$A$4:$M$10000,13,FALSE)</f>
        <v>50000</v>
      </c>
      <c r="E33" s="1">
        <f>[1]!'0052D0:VOL'+0</f>
        <v>95697</v>
      </c>
      <c r="F33" s="121" t="s">
        <v>64</v>
      </c>
      <c r="G33" s="122">
        <f>IF([1]!'019875^0052D0:SELL_TDY_QTY'="NO", 0, [1]!'019875^0052D0:SELL_TDY_QTY')</f>
        <v>3555</v>
      </c>
      <c r="H33" s="122">
        <f>IF([1]!'019875^0052D0:SELL_TDY_AMT'="NO", 0, [1]!'019875^0052D0:SELL_TDY_AMT')</f>
        <v>55376290</v>
      </c>
      <c r="I33" s="122">
        <f t="shared" si="7"/>
        <v>15577.015471167369</v>
      </c>
      <c r="J33" s="123">
        <f>IF([1]!'019875^0052D0:BUY_TDY_QTY'="NO", 0, [1]!'019875^0052D0:BUY_TDY_QTY')</f>
        <v>3555</v>
      </c>
      <c r="K33" s="122">
        <f>IF([1]!'019875^0052D0:BUY_TDY_AMT'="NO", 0, [1]!'019875^0052D0:BUY_TDY_AMT')</f>
        <v>55278160</v>
      </c>
      <c r="L33" s="124">
        <f t="shared" si="8"/>
        <v>15549.412095639944</v>
      </c>
      <c r="M33" s="125">
        <f t="shared" si="9"/>
        <v>0</v>
      </c>
      <c r="N33" s="126">
        <f t="shared" si="10"/>
        <v>0</v>
      </c>
      <c r="O33" s="127">
        <f t="shared" si="2"/>
        <v>0</v>
      </c>
      <c r="P33" s="1">
        <f>[1]!'0052D0:LAST'</f>
        <v>15570</v>
      </c>
      <c r="Q33" s="95">
        <f>[1]!'0052D0:NAV'</f>
        <v>15576.53</v>
      </c>
      <c r="R33" s="14">
        <f t="shared" si="11"/>
        <v>24939.999999998465</v>
      </c>
      <c r="S33" s="1">
        <f t="shared" si="12"/>
        <v>73189.999999999796</v>
      </c>
      <c r="T33" s="15">
        <f t="shared" si="13"/>
        <v>98129.999999998254</v>
      </c>
      <c r="U33" s="128">
        <f>_xlfn.IFNA(VLOOKUP(B33,[2]베타!$A$2:$C$1000,3,FALSE),0)</f>
        <v>0.11360000000000001</v>
      </c>
      <c r="V33" s="128">
        <f>_xlfn.IFNA(VLOOKUP(B33,[2]베타!$A$2:$D$1000,4,FALSE),0)</f>
        <v>0.29970000000000002</v>
      </c>
      <c r="W33" s="128">
        <f>_xlfn.IFNA(VLOOKUP(B33,[2]베타!$A$2:$E$1000,5,FALSE),0)</f>
        <v>0.52470000000000006</v>
      </c>
      <c r="X33" s="1">
        <f t="shared" si="14"/>
        <v>0</v>
      </c>
      <c r="Y33" s="15">
        <f t="shared" si="15"/>
        <v>0</v>
      </c>
      <c r="Z33" s="13">
        <f t="shared" si="16"/>
        <v>0</v>
      </c>
      <c r="AA33" s="129">
        <f t="shared" si="3"/>
        <v>0</v>
      </c>
      <c r="AB33" s="129">
        <f t="shared" si="4"/>
        <v>0</v>
      </c>
      <c r="AC33" s="130">
        <f t="shared" si="5"/>
        <v>0</v>
      </c>
      <c r="AD33" s="131">
        <f t="shared" si="6"/>
        <v>0</v>
      </c>
      <c r="AE33" s="1">
        <f t="shared" si="17"/>
        <v>0</v>
      </c>
      <c r="AF33" s="133"/>
      <c r="AG33" s="1" t="str">
        <f t="shared" si="18"/>
        <v>0052D0</v>
      </c>
      <c r="AH33" s="1">
        <f t="shared" si="19"/>
        <v>0</v>
      </c>
      <c r="AJ33" s="95">
        <f>ROUNDUP(VLOOKUP(B33,[2]베타!$A$2:$L$1000,12,FALSE),0)</f>
        <v>6</v>
      </c>
      <c r="AK33" s="95">
        <f>ROUNDUP(VLOOKUP(B33,[2]베타!$A$2:$M$1000,13,FALSE),0)</f>
        <v>-24</v>
      </c>
    </row>
    <row r="34" spans="1:37" x14ac:dyDescent="0.25">
      <c r="A34" s="4"/>
      <c r="B34" s="119" t="s">
        <v>102</v>
      </c>
      <c r="C34" s="120" t="s">
        <v>103</v>
      </c>
      <c r="D34" s="14">
        <f>VLOOKUP("A"&amp;B34,[2]ETF!$A$4:$M$10000,13,FALSE)</f>
        <v>50000</v>
      </c>
      <c r="E34" s="1">
        <f>[1]!'466940:VOL'+0</f>
        <v>689359</v>
      </c>
      <c r="F34" s="121" t="s">
        <v>64</v>
      </c>
      <c r="G34" s="122">
        <f>IF([1]!'019875^466940:SELL_TDY_QTY'="NO", 0, [1]!'019875^466940:SELL_TDY_QTY')</f>
        <v>4504</v>
      </c>
      <c r="H34" s="122">
        <f>IF([1]!'019875^466940:SELL_TDY_AMT'="NO", 0, [1]!'019875^466940:SELL_TDY_AMT')</f>
        <v>120665510</v>
      </c>
      <c r="I34" s="122">
        <f t="shared" si="7"/>
        <v>26790.743783303729</v>
      </c>
      <c r="J34" s="123">
        <f>IF([1]!'019875^466940:BUY_TDY_QTY'="NO", 0, [1]!'019875^466940:BUY_TDY_QTY')</f>
        <v>4504</v>
      </c>
      <c r="K34" s="122">
        <f>IF([1]!'019875^466940:BUY_TDY_AMT'="NO", 0, [1]!'019875^466940:BUY_TDY_AMT')</f>
        <v>119827440</v>
      </c>
      <c r="L34" s="124">
        <f t="shared" si="8"/>
        <v>26604.671403197157</v>
      </c>
      <c r="M34" s="125">
        <f t="shared" si="9"/>
        <v>0</v>
      </c>
      <c r="N34" s="126">
        <f t="shared" si="10"/>
        <v>0</v>
      </c>
      <c r="O34" s="127">
        <f t="shared" si="2"/>
        <v>0</v>
      </c>
      <c r="P34" s="1">
        <f>[1]!'466940:LAST'</f>
        <v>26745</v>
      </c>
      <c r="Q34" s="95">
        <f>[1]!'466940:NAV'</f>
        <v>26736.58</v>
      </c>
      <c r="R34" s="14">
        <f t="shared" si="11"/>
        <v>206029.99999999671</v>
      </c>
      <c r="S34" s="1">
        <f t="shared" si="12"/>
        <v>632040.00000000536</v>
      </c>
      <c r="T34" s="15">
        <f t="shared" si="13"/>
        <v>838070.0000000021</v>
      </c>
      <c r="U34" s="128">
        <f>_xlfn.IFNA(VLOOKUP(B34,[2]베타!$A$2:$C$1000,3,FALSE),0)</f>
        <v>0.1148</v>
      </c>
      <c r="V34" s="128">
        <f>_xlfn.IFNA(VLOOKUP(B34,[2]베타!$A$2:$D$1000,4,FALSE),0)</f>
        <v>0.2364</v>
      </c>
      <c r="W34" s="128">
        <f>_xlfn.IFNA(VLOOKUP(B34,[2]베타!$A$2:$E$1000,5,FALSE),0)</f>
        <v>0.37919999999999998</v>
      </c>
      <c r="X34" s="1">
        <f t="shared" si="14"/>
        <v>0</v>
      </c>
      <c r="Y34" s="15">
        <f t="shared" si="15"/>
        <v>0</v>
      </c>
      <c r="Z34" s="13">
        <f t="shared" si="16"/>
        <v>0</v>
      </c>
      <c r="AA34" s="129">
        <f t="shared" si="3"/>
        <v>0</v>
      </c>
      <c r="AB34" s="129">
        <f t="shared" si="4"/>
        <v>0</v>
      </c>
      <c r="AC34" s="130">
        <f t="shared" si="5"/>
        <v>0</v>
      </c>
      <c r="AD34" s="131">
        <f t="shared" si="6"/>
        <v>0</v>
      </c>
      <c r="AE34" s="1">
        <f t="shared" si="17"/>
        <v>0</v>
      </c>
      <c r="AF34" s="133"/>
      <c r="AG34" s="1" t="str">
        <f t="shared" si="18"/>
        <v>466940</v>
      </c>
      <c r="AH34" s="1">
        <f t="shared" si="19"/>
        <v>0</v>
      </c>
      <c r="AJ34" s="95">
        <f>ROUNDUP(VLOOKUP(B34,[2]베타!$A$2:$L$1000,12,FALSE),0)</f>
        <v>3</v>
      </c>
      <c r="AK34" s="95">
        <f>ROUNDUP(VLOOKUP(B34,[2]베타!$A$2:$M$1000,13,FALSE),0)</f>
        <v>-23</v>
      </c>
    </row>
    <row r="35" spans="1:37" x14ac:dyDescent="0.25">
      <c r="A35" s="4"/>
      <c r="B35" s="119" t="s">
        <v>104</v>
      </c>
      <c r="C35" s="120" t="s">
        <v>105</v>
      </c>
      <c r="D35" s="14">
        <f>VLOOKUP("A"&amp;B35,[2]ETF!$A$4:$M$10000,13,FALSE)</f>
        <v>20000</v>
      </c>
      <c r="E35" s="1">
        <f>[1]!'139220:VOL'+0</f>
        <v>398714</v>
      </c>
      <c r="F35" s="121" t="s">
        <v>64</v>
      </c>
      <c r="G35" s="122">
        <f>IF([1]!'019875^139220:SELL_TDY_QTY'="NO", 0, [1]!'019875^139220:SELL_TDY_QTY')</f>
        <v>0</v>
      </c>
      <c r="H35" s="122">
        <f>IF([1]!'019875^139220:SELL_TDY_AMT'="NO", 0, [1]!'019875^139220:SELL_TDY_AMT')</f>
        <v>0</v>
      </c>
      <c r="I35" s="122">
        <f t="shared" si="7"/>
        <v>0</v>
      </c>
      <c r="J35" s="123">
        <f>IF([1]!'019875^139220:BUY_TDY_QTY'="NO", 0, [1]!'019875^139220:BUY_TDY_QTY')</f>
        <v>0</v>
      </c>
      <c r="K35" s="122">
        <f>IF([1]!'019875^139220:BUY_TDY_AMT'="NO", 0, [1]!'019875^139220:BUY_TDY_AMT')</f>
        <v>0</v>
      </c>
      <c r="L35" s="124">
        <f t="shared" si="8"/>
        <v>0</v>
      </c>
      <c r="M35" s="125">
        <f t="shared" si="9"/>
        <v>0</v>
      </c>
      <c r="N35" s="126">
        <f t="shared" si="10"/>
        <v>0</v>
      </c>
      <c r="O35" s="127">
        <f t="shared" si="2"/>
        <v>0</v>
      </c>
      <c r="P35" s="1">
        <f>[1]!'139220:LAST'</f>
        <v>7790</v>
      </c>
      <c r="Q35" s="95">
        <f>[1]!'139220:NAV'</f>
        <v>7788.83</v>
      </c>
      <c r="R35" s="14">
        <f t="shared" si="11"/>
        <v>0</v>
      </c>
      <c r="S35" s="1">
        <f t="shared" si="12"/>
        <v>0</v>
      </c>
      <c r="T35" s="15">
        <f t="shared" si="13"/>
        <v>0</v>
      </c>
      <c r="U35" s="128">
        <f>_xlfn.IFNA(VLOOKUP(B35,[2]베타!$A$2:$C$1000,3,FALSE),0)</f>
        <v>0.432</v>
      </c>
      <c r="V35" s="128">
        <f>_xlfn.IFNA(VLOOKUP(B35,[2]베타!$A$2:$D$1000,4,FALSE),0)</f>
        <v>0.51619999999999999</v>
      </c>
      <c r="W35" s="128">
        <f>_xlfn.IFNA(VLOOKUP(B35,[2]베타!$A$2:$E$1000,5,FALSE),0)</f>
        <v>0.67610000000000003</v>
      </c>
      <c r="X35" s="1">
        <f t="shared" si="14"/>
        <v>0</v>
      </c>
      <c r="Y35" s="15">
        <f t="shared" si="15"/>
        <v>0</v>
      </c>
      <c r="Z35" s="13">
        <f t="shared" si="16"/>
        <v>0</v>
      </c>
      <c r="AA35" s="129">
        <f t="shared" si="3"/>
        <v>0</v>
      </c>
      <c r="AB35" s="129">
        <f t="shared" si="4"/>
        <v>0</v>
      </c>
      <c r="AC35" s="130">
        <f t="shared" si="5"/>
        <v>0</v>
      </c>
      <c r="AD35" s="131">
        <f t="shared" si="6"/>
        <v>0</v>
      </c>
      <c r="AE35" s="1">
        <f t="shared" si="17"/>
        <v>0</v>
      </c>
      <c r="AF35" s="133"/>
      <c r="AG35" s="1" t="str">
        <f t="shared" si="18"/>
        <v>139220</v>
      </c>
      <c r="AH35" s="1">
        <f t="shared" si="19"/>
        <v>0</v>
      </c>
      <c r="AJ35" s="95">
        <f>ROUNDUP(VLOOKUP(B35,[2]베타!$A$2:$L$1000,12,FALSE),0)</f>
        <v>13</v>
      </c>
      <c r="AK35" s="95">
        <f>ROUNDUP(VLOOKUP(B35,[2]베타!$A$2:$M$1000,13,FALSE),0)</f>
        <v>-34</v>
      </c>
    </row>
    <row r="36" spans="1:37" x14ac:dyDescent="0.25">
      <c r="A36" s="4"/>
      <c r="B36" s="119" t="s">
        <v>106</v>
      </c>
      <c r="C36" s="120" t="s">
        <v>107</v>
      </c>
      <c r="D36" s="14">
        <f>VLOOKUP("A"&amp;B36,[2]ETF!$A$4:$M$10000,13,FALSE)</f>
        <v>50000</v>
      </c>
      <c r="E36" s="1">
        <f>[1]!'365000:VOL'+0</f>
        <v>163324</v>
      </c>
      <c r="F36" s="121" t="s">
        <v>64</v>
      </c>
      <c r="G36" s="122">
        <f>IF([1]!'019875^365000:SELL_TDY_QTY'="NO", 0, [1]!'019875^365000:SELL_TDY_QTY')</f>
        <v>0</v>
      </c>
      <c r="H36" s="122">
        <f>IF([1]!'019875^365000:SELL_TDY_AMT'="NO", 0, [1]!'019875^365000:SELL_TDY_AMT')</f>
        <v>0</v>
      </c>
      <c r="I36" s="122">
        <f t="shared" si="7"/>
        <v>0</v>
      </c>
      <c r="J36" s="123">
        <f>IF([1]!'019875^365000:BUY_TDY_QTY'="NO", 0, [1]!'019875^365000:BUY_TDY_QTY')</f>
        <v>0</v>
      </c>
      <c r="K36" s="122">
        <f>IF([1]!'019875^365000:BUY_TDY_AMT'="NO", 0, [1]!'019875^365000:BUY_TDY_AMT')</f>
        <v>0</v>
      </c>
      <c r="L36" s="124">
        <f t="shared" si="8"/>
        <v>0</v>
      </c>
      <c r="M36" s="125">
        <f t="shared" si="9"/>
        <v>0</v>
      </c>
      <c r="N36" s="126">
        <f t="shared" si="10"/>
        <v>0</v>
      </c>
      <c r="O36" s="127">
        <f t="shared" si="2"/>
        <v>0</v>
      </c>
      <c r="P36" s="1">
        <f>[1]!'365000:LAST'</f>
        <v>3705</v>
      </c>
      <c r="Q36" s="95">
        <f>[1]!'365000:NAV'</f>
        <v>3701.45</v>
      </c>
      <c r="R36" s="14">
        <f t="shared" si="11"/>
        <v>0</v>
      </c>
      <c r="S36" s="1">
        <f t="shared" si="12"/>
        <v>0</v>
      </c>
      <c r="T36" s="15">
        <f t="shared" si="13"/>
        <v>0</v>
      </c>
      <c r="U36" s="128">
        <f>_xlfn.IFNA(VLOOKUP(B36,[2]베타!$A$2:$C$1000,3,FALSE),0)</f>
        <v>9.8199999999999996E-2</v>
      </c>
      <c r="V36" s="128">
        <f>_xlfn.IFNA(VLOOKUP(B36,[2]베타!$A$2:$D$1000,4,FALSE),0)</f>
        <v>0.46820000000000001</v>
      </c>
      <c r="W36" s="128">
        <f>_xlfn.IFNA(VLOOKUP(B36,[2]베타!$A$2:$E$1000,5,FALSE),0)</f>
        <v>0.59519999999999995</v>
      </c>
      <c r="X36" s="1">
        <f t="shared" si="14"/>
        <v>0</v>
      </c>
      <c r="Y36" s="15">
        <f t="shared" si="15"/>
        <v>0</v>
      </c>
      <c r="Z36" s="13">
        <f t="shared" si="16"/>
        <v>0</v>
      </c>
      <c r="AA36" s="129">
        <f t="shared" si="3"/>
        <v>0</v>
      </c>
      <c r="AB36" s="129">
        <f t="shared" si="4"/>
        <v>0</v>
      </c>
      <c r="AC36" s="130">
        <f t="shared" si="5"/>
        <v>0</v>
      </c>
      <c r="AD36" s="131">
        <f t="shared" si="6"/>
        <v>0</v>
      </c>
      <c r="AE36" s="1">
        <f t="shared" si="17"/>
        <v>0</v>
      </c>
      <c r="AF36" s="133"/>
      <c r="AG36" s="1" t="str">
        <f t="shared" si="18"/>
        <v>365000</v>
      </c>
      <c r="AH36" s="1">
        <f t="shared" si="19"/>
        <v>0</v>
      </c>
      <c r="AJ36" s="95">
        <f>ROUNDUP(VLOOKUP(B36,[2]베타!$A$2:$L$1000,12,FALSE),0)</f>
        <v>17</v>
      </c>
      <c r="AK36" s="95">
        <f>ROUNDUP(VLOOKUP(B36,[2]베타!$A$2:$M$1000,13,FALSE),0)</f>
        <v>-38</v>
      </c>
    </row>
    <row r="37" spans="1:37" x14ac:dyDescent="0.25">
      <c r="A37" s="4"/>
      <c r="B37" s="119" t="s">
        <v>108</v>
      </c>
      <c r="C37" s="120" t="s">
        <v>109</v>
      </c>
      <c r="D37" s="14">
        <f>VLOOKUP("A"&amp;B37,[2]ETF!$A$4:$M$10000,13,FALSE)</f>
        <v>30000</v>
      </c>
      <c r="E37" s="1">
        <f>[1]!'228800:VOL'+0</f>
        <v>89523</v>
      </c>
      <c r="F37" s="121" t="s">
        <v>64</v>
      </c>
      <c r="G37" s="122">
        <f>IF([1]!'019875^228800:SELL_TDY_QTY'="NO", 0, [1]!'019875^228800:SELL_TDY_QTY')</f>
        <v>28</v>
      </c>
      <c r="H37" s="122">
        <f>IF([1]!'019875^228800:SELL_TDY_AMT'="NO", 0, [1]!'019875^228800:SELL_TDY_AMT')</f>
        <v>75600</v>
      </c>
      <c r="I37" s="122">
        <f t="shared" si="7"/>
        <v>2700</v>
      </c>
      <c r="J37" s="123">
        <f>IF([1]!'019875^228800:BUY_TDY_QTY'="NO", 0, [1]!'019875^228800:BUY_TDY_QTY')</f>
        <v>28</v>
      </c>
      <c r="K37" s="122">
        <f>IF([1]!'019875^228800:BUY_TDY_AMT'="NO", 0, [1]!'019875^228800:BUY_TDY_AMT')</f>
        <v>75740</v>
      </c>
      <c r="L37" s="124">
        <f t="shared" si="8"/>
        <v>2705</v>
      </c>
      <c r="M37" s="125">
        <f t="shared" si="9"/>
        <v>0</v>
      </c>
      <c r="N37" s="126">
        <f t="shared" si="10"/>
        <v>0</v>
      </c>
      <c r="O37" s="127">
        <f t="shared" si="2"/>
        <v>0</v>
      </c>
      <c r="P37" s="1">
        <f>[1]!'228800:LAST'</f>
        <v>2705</v>
      </c>
      <c r="Q37" s="95">
        <f>[1]!'228800:NAV'</f>
        <v>2705.66</v>
      </c>
      <c r="R37" s="14">
        <f t="shared" si="11"/>
        <v>-140</v>
      </c>
      <c r="S37" s="1">
        <f t="shared" si="12"/>
        <v>0</v>
      </c>
      <c r="T37" s="15">
        <f t="shared" si="13"/>
        <v>-140</v>
      </c>
      <c r="U37" s="128">
        <f>_xlfn.IFNA(VLOOKUP(B37,[2]베타!$A$2:$C$1000,3,FALSE),0)</f>
        <v>1.3100000000000001E-2</v>
      </c>
      <c r="V37" s="128">
        <f>_xlfn.IFNA(VLOOKUP(B37,[2]베타!$A$2:$D$1000,4,FALSE),0)</f>
        <v>0.38009999999999999</v>
      </c>
      <c r="W37" s="128">
        <f>_xlfn.IFNA(VLOOKUP(B37,[2]베타!$A$2:$E$1000,5,FALSE),0)</f>
        <v>0.41770000000000002</v>
      </c>
      <c r="X37" s="1">
        <f t="shared" si="14"/>
        <v>0</v>
      </c>
      <c r="Y37" s="15">
        <f t="shared" si="15"/>
        <v>0</v>
      </c>
      <c r="Z37" s="13">
        <f t="shared" si="16"/>
        <v>0</v>
      </c>
      <c r="AA37" s="129">
        <f t="shared" si="3"/>
        <v>0</v>
      </c>
      <c r="AB37" s="129">
        <f t="shared" si="4"/>
        <v>0</v>
      </c>
      <c r="AC37" s="130">
        <f t="shared" si="5"/>
        <v>0</v>
      </c>
      <c r="AD37" s="131">
        <f t="shared" si="6"/>
        <v>0</v>
      </c>
      <c r="AE37" s="1">
        <f t="shared" si="17"/>
        <v>0</v>
      </c>
      <c r="AF37" s="133"/>
      <c r="AG37" s="1" t="str">
        <f t="shared" si="18"/>
        <v>228800</v>
      </c>
      <c r="AH37" s="1">
        <f t="shared" si="19"/>
        <v>0</v>
      </c>
      <c r="AJ37" s="95">
        <f>ROUNDUP(VLOOKUP(B37,[2]베타!$A$2:$L$1000,12,FALSE),0)</f>
        <v>18</v>
      </c>
      <c r="AK37" s="95">
        <f>ROUNDUP(VLOOKUP(B37,[2]베타!$A$2:$M$1000,13,FALSE),0)</f>
        <v>-33</v>
      </c>
    </row>
    <row r="38" spans="1:37" x14ac:dyDescent="0.25">
      <c r="A38" s="4"/>
      <c r="B38" s="119" t="s">
        <v>110</v>
      </c>
      <c r="C38" s="120" t="s">
        <v>111</v>
      </c>
      <c r="D38" s="14">
        <f>VLOOKUP("A"&amp;B38,[2]ETF!$A$4:$M$10000,13,FALSE)</f>
        <v>20000</v>
      </c>
      <c r="E38" s="1">
        <f>[1]!'138540:VOL'+0</f>
        <v>83950</v>
      </c>
      <c r="F38" s="121" t="s">
        <v>64</v>
      </c>
      <c r="G38" s="122">
        <f>IF([1]!'019875^138540:SELL_TDY_QTY'="NO", 0, [1]!'019875^138540:SELL_TDY_QTY')</f>
        <v>304</v>
      </c>
      <c r="H38" s="122">
        <f>IF([1]!'019875^138540:SELL_TDY_AMT'="NO", 0, [1]!'019875^138540:SELL_TDY_AMT')</f>
        <v>15663435</v>
      </c>
      <c r="I38" s="122">
        <f>IFERROR(H38/G38,0)</f>
        <v>51524.457236842107</v>
      </c>
      <c r="J38" s="123">
        <f>IF([1]!'019875^138540:BUY_TDY_QTY'="NO", 0, [1]!'019875^138540:BUY_TDY_QTY')</f>
        <v>304</v>
      </c>
      <c r="K38" s="122">
        <f>IF([1]!'019875^138540:BUY_TDY_AMT'="NO", 0, [1]!'019875^138540:BUY_TDY_AMT')</f>
        <v>15566070</v>
      </c>
      <c r="L38" s="124">
        <f>IFERROR(K38/J38,0)</f>
        <v>51204.177631578947</v>
      </c>
      <c r="M38" s="125">
        <f>J38-G38</f>
        <v>0</v>
      </c>
      <c r="N38" s="126">
        <f>M38*P38</f>
        <v>0</v>
      </c>
      <c r="O38" s="127">
        <f>M38/D38</f>
        <v>0</v>
      </c>
      <c r="P38" s="1">
        <f>[1]!'138540:LAST'</f>
        <v>51555</v>
      </c>
      <c r="Q38" s="95">
        <f>[1]!'138540:NAV'</f>
        <v>51619.21</v>
      </c>
      <c r="R38" s="14">
        <f t="shared" si="11"/>
        <v>-9284.9999999995343</v>
      </c>
      <c r="S38" s="1">
        <f t="shared" si="12"/>
        <v>106650.00000000023</v>
      </c>
      <c r="T38" s="15">
        <f t="shared" si="13"/>
        <v>97365.000000000698</v>
      </c>
      <c r="U38" s="128">
        <f>_xlfn.IFNA(VLOOKUP(B38,[2]베타!$A$2:$C$1000,3,FALSE),0)</f>
        <v>0.40379999999999999</v>
      </c>
      <c r="V38" s="128">
        <f>_xlfn.IFNA(VLOOKUP(B38,[2]베타!$A$2:$D$1000,4,FALSE),0)</f>
        <v>0.33589999999999998</v>
      </c>
      <c r="W38" s="128">
        <f>_xlfn.IFNA(VLOOKUP(B38,[2]베타!$A$2:$E$1000,5,FALSE),0)</f>
        <v>0.61280000000000001</v>
      </c>
      <c r="X38" s="1">
        <f t="shared" si="14"/>
        <v>0</v>
      </c>
      <c r="Y38" s="15">
        <f t="shared" si="15"/>
        <v>0</v>
      </c>
      <c r="Z38" s="13">
        <f t="shared" si="16"/>
        <v>0</v>
      </c>
      <c r="AA38" s="129">
        <f t="shared" si="3"/>
        <v>0</v>
      </c>
      <c r="AB38" s="129">
        <f t="shared" si="4"/>
        <v>0</v>
      </c>
      <c r="AC38" s="130">
        <f t="shared" si="5"/>
        <v>0</v>
      </c>
      <c r="AD38" s="131">
        <f t="shared" si="6"/>
        <v>0</v>
      </c>
      <c r="AF38" s="133"/>
      <c r="AG38" s="1" t="str">
        <f t="shared" si="18"/>
        <v>138540</v>
      </c>
      <c r="AH38" s="1">
        <f t="shared" si="19"/>
        <v>0</v>
      </c>
      <c r="AJ38" s="95">
        <f>ROUNDUP(VLOOKUP(B38,[2]베타!$A$2:$L$1000,12,FALSE),0)</f>
        <v>7</v>
      </c>
      <c r="AK38" s="95">
        <f>ROUNDUP(VLOOKUP(B38,[2]베타!$A$2:$M$1000,13,FALSE),0)</f>
        <v>-24</v>
      </c>
    </row>
    <row r="39" spans="1:37" x14ac:dyDescent="0.25">
      <c r="A39" s="4"/>
      <c r="B39" s="119" t="s">
        <v>112</v>
      </c>
      <c r="C39" s="120" t="s">
        <v>113</v>
      </c>
      <c r="D39" s="14">
        <f>VLOOKUP("A"&amp;B39,[2]ETF!$A$4:$M$10000,13,FALSE)</f>
        <v>50000</v>
      </c>
      <c r="E39" s="1">
        <f>[1]!'377990:VOL'+0</f>
        <v>100449</v>
      </c>
      <c r="F39" s="121" t="s">
        <v>64</v>
      </c>
      <c r="G39" s="122">
        <f>IF([1]!'019875^377990:SELL_TDY_QTY'="NO", 0, [1]!'019875^377990:SELL_TDY_QTY')</f>
        <v>0</v>
      </c>
      <c r="H39" s="122">
        <f>IF([1]!'019875^377990:SELL_TDY_AMT'="NO", 0, [1]!'019875^377990:SELL_TDY_AMT')</f>
        <v>0</v>
      </c>
      <c r="I39" s="122">
        <f>IFERROR(H39/G39,0)</f>
        <v>0</v>
      </c>
      <c r="J39" s="123">
        <f>IF([1]!'019875^377990:BUY_TDY_QTY'="NO", 0, [1]!'019875^377990:BUY_TDY_QTY')</f>
        <v>0</v>
      </c>
      <c r="K39" s="122">
        <f>IF([1]!'019875^377990:BUY_TDY_AMT'="NO", 0, [1]!'019875^377990:BUY_TDY_AMT')</f>
        <v>0</v>
      </c>
      <c r="L39" s="124">
        <f>IFERROR(K39/J39,0)</f>
        <v>0</v>
      </c>
      <c r="M39" s="125">
        <f>J39-G39</f>
        <v>0</v>
      </c>
      <c r="N39" s="126">
        <f>M39*P39</f>
        <v>0</v>
      </c>
      <c r="O39" s="127">
        <f>M39/D39</f>
        <v>0</v>
      </c>
      <c r="P39" s="1">
        <f>[1]!'377990:LAST'</f>
        <v>25335</v>
      </c>
      <c r="Q39" s="95">
        <f>[1]!'377990:NAV'</f>
        <v>25344.75</v>
      </c>
      <c r="R39" s="14">
        <f t="shared" si="11"/>
        <v>0</v>
      </c>
      <c r="S39" s="1">
        <f t="shared" si="12"/>
        <v>0</v>
      </c>
      <c r="T39" s="15">
        <f t="shared" si="13"/>
        <v>0</v>
      </c>
      <c r="U39" s="128">
        <f>_xlfn.IFNA(VLOOKUP(B39,[2]베타!$A$2:$C$1000,3,FALSE),0)</f>
        <v>0.2041</v>
      </c>
      <c r="V39" s="128">
        <f>_xlfn.IFNA(VLOOKUP(B39,[2]베타!$A$2:$D$1000,4,FALSE),0)</f>
        <v>0.8175</v>
      </c>
      <c r="W39" s="128">
        <f>_xlfn.IFNA(VLOOKUP(B39,[2]베타!$A$2:$E$1000,5,FALSE),0)</f>
        <v>0.6946</v>
      </c>
      <c r="X39" s="1">
        <f t="shared" si="14"/>
        <v>0</v>
      </c>
      <c r="Y39" s="15">
        <f t="shared" si="15"/>
        <v>0</v>
      </c>
      <c r="Z39" s="13">
        <f t="shared" si="16"/>
        <v>0</v>
      </c>
      <c r="AA39" s="129">
        <f t="shared" si="3"/>
        <v>0</v>
      </c>
      <c r="AB39" s="129">
        <f t="shared" si="4"/>
        <v>0</v>
      </c>
      <c r="AC39" s="130">
        <f t="shared" si="5"/>
        <v>0</v>
      </c>
      <c r="AD39" s="131">
        <f t="shared" si="6"/>
        <v>0</v>
      </c>
      <c r="AE39" s="1">
        <f t="shared" si="17"/>
        <v>0</v>
      </c>
      <c r="AF39" s="133"/>
      <c r="AG39" s="1" t="str">
        <f t="shared" si="18"/>
        <v>377990</v>
      </c>
      <c r="AH39" s="1">
        <f t="shared" si="19"/>
        <v>0</v>
      </c>
      <c r="AJ39" s="95">
        <f>ROUNDUP(VLOOKUP(B39,[2]베타!$A$2:$L$1000,12,FALSE),0)</f>
        <v>11</v>
      </c>
      <c r="AK39" s="95">
        <f>ROUNDUP(VLOOKUP(B39,[2]베타!$A$2:$M$1000,13,FALSE),0)</f>
        <v>-32</v>
      </c>
    </row>
    <row r="40" spans="1:37" x14ac:dyDescent="0.25">
      <c r="A40" s="4"/>
      <c r="B40" s="139" t="s">
        <v>114</v>
      </c>
      <c r="C40" s="140" t="s">
        <v>115</v>
      </c>
      <c r="D40" s="14">
        <f>VLOOKUP("A"&amp;B40,[2]ETF!$A$4:$M$10000,13,FALSE)</f>
        <v>50000</v>
      </c>
      <c r="E40" s="141">
        <f>[1]!'395270:VOL'+0</f>
        <v>853608</v>
      </c>
      <c r="F40" s="142" t="s">
        <v>64</v>
      </c>
      <c r="G40" s="122">
        <f>IF([1]!'019875^395270:SELL_TDY_QTY'="NO", 0, [1]!'019875^395270:SELL_TDY_QTY')</f>
        <v>2780</v>
      </c>
      <c r="H40" s="122">
        <f>IF([1]!'019875^395270:SELL_TDY_AMT'="NO", 0, [1]!'019875^395270:SELL_TDY_AMT')</f>
        <v>152577510</v>
      </c>
      <c r="I40" s="122">
        <f t="shared" si="7"/>
        <v>54883.996402877696</v>
      </c>
      <c r="J40" s="123">
        <f>IF([1]!'019875^395270:BUY_TDY_QTY'="NO", 0, [1]!'019875^395270:BUY_TDY_QTY')</f>
        <v>2780</v>
      </c>
      <c r="K40" s="122">
        <f>IF([1]!'019875^395270:BUY_TDY_AMT'="NO", 0, [1]!'019875^395270:BUY_TDY_AMT')</f>
        <v>152600005</v>
      </c>
      <c r="L40" s="124">
        <f t="shared" si="8"/>
        <v>54892.088129496406</v>
      </c>
      <c r="M40" s="125">
        <f t="shared" si="9"/>
        <v>0</v>
      </c>
      <c r="N40" s="126">
        <f t="shared" si="10"/>
        <v>0</v>
      </c>
      <c r="O40" s="127">
        <f t="shared" si="2"/>
        <v>0</v>
      </c>
      <c r="P40" s="1">
        <f>[1]!'395270:LAST'</f>
        <v>55060</v>
      </c>
      <c r="Q40" s="95">
        <f>[1]!'395270:NAV'</f>
        <v>55075.3</v>
      </c>
      <c r="R40" s="14">
        <f t="shared" si="11"/>
        <v>-489290.0000000057</v>
      </c>
      <c r="S40" s="1">
        <f t="shared" si="12"/>
        <v>466794.99999999243</v>
      </c>
      <c r="T40" s="15">
        <f t="shared" si="13"/>
        <v>-22495.000000013271</v>
      </c>
      <c r="U40" s="128">
        <f>_xlfn.IFNA(VLOOKUP(B40,[2]베타!$A$2:$C$1000,3,FALSE),0)</f>
        <v>1.1691</v>
      </c>
      <c r="V40" s="128">
        <f>_xlfn.IFNA(VLOOKUP(B40,[2]베타!$A$2:$D$1000,4,FALSE),0)</f>
        <v>9.0499999999999997E-2</v>
      </c>
      <c r="W40" s="128">
        <f>_xlfn.IFNA(VLOOKUP(B40,[2]베타!$A$2:$E$1000,5,FALSE),0)</f>
        <v>0.91949999999999998</v>
      </c>
      <c r="X40" s="1">
        <f t="shared" si="14"/>
        <v>0</v>
      </c>
      <c r="Y40" s="15">
        <f t="shared" si="15"/>
        <v>0</v>
      </c>
      <c r="Z40" s="13">
        <f t="shared" si="16"/>
        <v>0</v>
      </c>
      <c r="AA40" s="129">
        <f t="shared" si="3"/>
        <v>0</v>
      </c>
      <c r="AB40" s="129">
        <f t="shared" si="4"/>
        <v>0</v>
      </c>
      <c r="AC40" s="130">
        <f t="shared" si="5"/>
        <v>0</v>
      </c>
      <c r="AD40" s="131">
        <f t="shared" si="6"/>
        <v>0</v>
      </c>
      <c r="AE40" s="1">
        <f t="shared" si="17"/>
        <v>0</v>
      </c>
      <c r="AG40" s="1" t="str">
        <f t="shared" si="18"/>
        <v>395270</v>
      </c>
      <c r="AH40" s="1">
        <f t="shared" si="19"/>
        <v>0</v>
      </c>
      <c r="AJ40" s="95">
        <f>ROUNDUP(VLOOKUP(B40,[2]베타!$A$2:$L$1000,12,FALSE),0)</f>
        <v>3</v>
      </c>
      <c r="AK40" s="95">
        <f>ROUNDUP(VLOOKUP(B40,[2]베타!$A$2:$M$1000,13,FALSE),0)</f>
        <v>-24</v>
      </c>
    </row>
    <row r="41" spans="1:37" x14ac:dyDescent="0.25">
      <c r="A41" s="4"/>
      <c r="B41" s="143" t="s">
        <v>116</v>
      </c>
      <c r="C41" s="77" t="s">
        <v>117</v>
      </c>
      <c r="D41" s="14">
        <f>VLOOKUP("A"&amp;B41,[2]ETF!$A$4:$M$10000,13,FALSE)</f>
        <v>20000</v>
      </c>
      <c r="E41" s="21">
        <f>[1]!'091220:VOL'+0</f>
        <v>42571</v>
      </c>
      <c r="F41" s="144" t="s">
        <v>64</v>
      </c>
      <c r="G41" s="80">
        <f>IF([1]!'019875^091220:SELL_TDY_QTY'="NO", 0, [1]!'019875^091220:SELL_TDY_QTY')</f>
        <v>0</v>
      </c>
      <c r="H41" s="80">
        <f>IF([1]!'019875^091220:SELL_TDY_AMT'="NO", 0, [1]!'019875^091220:SELL_TDY_AMT')</f>
        <v>0</v>
      </c>
      <c r="I41" s="80">
        <f>IFERROR(H41/G41,0)</f>
        <v>0</v>
      </c>
      <c r="J41" s="79">
        <f>IF([1]!'019875^091220:BUY_TDY_QTY'="NO", 0, [1]!'019875^091220:BUY_TDY_QTY')</f>
        <v>0</v>
      </c>
      <c r="K41" s="80">
        <f>IF([1]!'019875^091220:BUY_TDY_AMT'="NO", 0, [1]!'019875^091220:BUY_TDY_AMT')</f>
        <v>0</v>
      </c>
      <c r="L41" s="145">
        <f>IFERROR(K41/J41,0)</f>
        <v>0</v>
      </c>
      <c r="M41" s="146">
        <f>J41-G41</f>
        <v>0</v>
      </c>
      <c r="N41" s="147">
        <f>M41*P41</f>
        <v>0</v>
      </c>
      <c r="O41" s="148">
        <f>M41/D41</f>
        <v>0</v>
      </c>
      <c r="P41" s="21">
        <f>[1]!'091220:LAST'</f>
        <v>17085</v>
      </c>
      <c r="Q41" s="149">
        <f>[1]!'091220:NAV'</f>
        <v>17088.93</v>
      </c>
      <c r="R41" s="14">
        <f t="shared" si="11"/>
        <v>0</v>
      </c>
      <c r="S41" s="1">
        <f t="shared" si="12"/>
        <v>0</v>
      </c>
      <c r="T41" s="15">
        <f t="shared" si="13"/>
        <v>0</v>
      </c>
      <c r="U41" s="128">
        <f>_xlfn.IFNA(VLOOKUP(B41,[2]베타!$A$2:$C$1000,3,FALSE),0)</f>
        <v>6.0100000000000001E-2</v>
      </c>
      <c r="V41" s="128">
        <f>_xlfn.IFNA(VLOOKUP(B41,[2]베타!$A$2:$D$1000,4,FALSE),0)</f>
        <v>0.26590000000000003</v>
      </c>
      <c r="W41" s="128">
        <f>_xlfn.IFNA(VLOOKUP(B41,[2]베타!$A$2:$E$1000,5,FALSE),0)</f>
        <v>0.29909999999999998</v>
      </c>
      <c r="X41" s="1">
        <f t="shared" si="14"/>
        <v>0</v>
      </c>
      <c r="Y41" s="15">
        <f t="shared" si="15"/>
        <v>0</v>
      </c>
      <c r="Z41" s="13">
        <f t="shared" si="16"/>
        <v>0</v>
      </c>
      <c r="AA41" s="129">
        <f t="shared" si="3"/>
        <v>0</v>
      </c>
      <c r="AB41" s="129">
        <f t="shared" si="4"/>
        <v>0</v>
      </c>
      <c r="AC41" s="130">
        <f t="shared" si="5"/>
        <v>0</v>
      </c>
      <c r="AD41" s="131">
        <f t="shared" si="6"/>
        <v>0</v>
      </c>
      <c r="AE41" s="1">
        <f t="shared" si="17"/>
        <v>0</v>
      </c>
      <c r="AG41" s="1" t="str">
        <f t="shared" si="18"/>
        <v>091220</v>
      </c>
      <c r="AH41" s="1">
        <f t="shared" si="19"/>
        <v>0</v>
      </c>
      <c r="AJ41" s="95">
        <f>ROUNDUP(VLOOKUP(B41,[2]베타!$A$2:$L$1000,12,FALSE),0)</f>
        <v>9</v>
      </c>
      <c r="AK41" s="95">
        <f>ROUNDUP(VLOOKUP(B41,[2]베타!$A$2:$M$1000,13,FALSE),0)</f>
        <v>-32</v>
      </c>
    </row>
    <row r="42" spans="1:37" x14ac:dyDescent="0.25">
      <c r="A42" s="4"/>
      <c r="B42" s="119" t="s">
        <v>118</v>
      </c>
      <c r="C42" s="120" t="s">
        <v>119</v>
      </c>
      <c r="D42" s="14">
        <f>VLOOKUP("A"&amp;B42,[2]ETF!$A$4:$M$10000,13,FALSE)</f>
        <v>20000</v>
      </c>
      <c r="E42" s="1">
        <f>[1]!'261070:VOL'+0</f>
        <v>93585</v>
      </c>
      <c r="F42" s="121" t="s">
        <v>64</v>
      </c>
      <c r="G42" s="122">
        <f>IF([1]!'019875^261070:SELL_TDY_QTY'="NO", 0, [1]!'019875^261070:SELL_TDY_QTY')</f>
        <v>0</v>
      </c>
      <c r="H42" s="122">
        <f>IF([1]!'019875^261070:SELL_TDY_AMT'="NO", 0, [1]!'019875^261070:SELL_TDY_AMT')</f>
        <v>0</v>
      </c>
      <c r="I42" s="122">
        <f t="shared" ref="I42:I51" si="20">IFERROR(H42/G42,0)</f>
        <v>0</v>
      </c>
      <c r="J42" s="123">
        <f>IF([1]!'019875^261070:BUY_TDY_QTY'="NO", 0, [1]!'019875^261070:BUY_TDY_QTY')</f>
        <v>0</v>
      </c>
      <c r="K42" s="122">
        <f>IF([1]!'019875^261070:BUY_TDY_AMT'="NO", 0, [1]!'019875^261070:BUY_TDY_AMT')</f>
        <v>0</v>
      </c>
      <c r="L42" s="124">
        <f t="shared" ref="L42:L51" si="21">IFERROR(K42/J42,0)</f>
        <v>0</v>
      </c>
      <c r="M42" s="125">
        <f t="shared" ref="M42:M51" si="22">J42-G42</f>
        <v>0</v>
      </c>
      <c r="N42" s="126">
        <f t="shared" ref="N42:N51" si="23">M42*P42</f>
        <v>0</v>
      </c>
      <c r="O42" s="127">
        <f t="shared" ref="O42:O51" si="24">M42/D42</f>
        <v>0</v>
      </c>
      <c r="P42" s="1">
        <f>[1]!'261070:LAST'+0</f>
        <v>12875</v>
      </c>
      <c r="Q42" s="95">
        <f>[1]!'261070:NAV'+0</f>
        <v>12918</v>
      </c>
      <c r="R42" s="14">
        <f t="shared" si="11"/>
        <v>0</v>
      </c>
      <c r="S42" s="1">
        <f t="shared" si="12"/>
        <v>0</v>
      </c>
      <c r="T42" s="15">
        <f t="shared" si="13"/>
        <v>0</v>
      </c>
      <c r="U42" s="128">
        <f>_xlfn.IFNA(VLOOKUP(B42,[2]베타!$A$2:$C$1000,3,FALSE),0)</f>
        <v>-0.253</v>
      </c>
      <c r="V42" s="128">
        <f>_xlfn.IFNA(VLOOKUP(B42,[2]베타!$A$2:$D$1000,4,FALSE),0)</f>
        <v>1.0714999999999999</v>
      </c>
      <c r="W42" s="128">
        <f>_xlfn.IFNA(VLOOKUP(B42,[2]베타!$A$2:$E$1000,5,FALSE),0)</f>
        <v>0.75229999999999997</v>
      </c>
      <c r="X42" s="1">
        <f t="shared" si="14"/>
        <v>0</v>
      </c>
      <c r="Y42" s="15">
        <f t="shared" si="15"/>
        <v>0</v>
      </c>
      <c r="Z42" s="13">
        <f t="shared" si="16"/>
        <v>0</v>
      </c>
      <c r="AA42" s="129">
        <f t="shared" si="3"/>
        <v>0</v>
      </c>
      <c r="AB42" s="129">
        <f t="shared" si="4"/>
        <v>0</v>
      </c>
      <c r="AC42" s="130">
        <f t="shared" si="5"/>
        <v>0</v>
      </c>
      <c r="AD42" s="131">
        <f t="shared" si="6"/>
        <v>0</v>
      </c>
      <c r="AF42" s="133"/>
      <c r="AG42" s="1" t="str">
        <f t="shared" si="18"/>
        <v>261070</v>
      </c>
      <c r="AH42" s="1">
        <f t="shared" si="19"/>
        <v>0</v>
      </c>
      <c r="AJ42" s="95">
        <f>ROUNDUP(VLOOKUP(B42,[2]베타!$A$2:$L$1000,12,FALSE),0)</f>
        <v>12</v>
      </c>
      <c r="AK42" s="95">
        <f>ROUNDUP(VLOOKUP(B42,[2]베타!$A$2:$M$1000,13,FALSE),0)</f>
        <v>-37</v>
      </c>
    </row>
    <row r="43" spans="1:37" x14ac:dyDescent="0.25">
      <c r="A43" s="4"/>
      <c r="B43" s="119" t="s">
        <v>120</v>
      </c>
      <c r="C43" s="120" t="s">
        <v>121</v>
      </c>
      <c r="D43" s="14">
        <f>VLOOKUP("A"&amp;B43,[2]ETF!$A$4:$M$10000,13,FALSE)</f>
        <v>20000</v>
      </c>
      <c r="E43" s="1">
        <f>[1]!'261060:VOL'+0</f>
        <v>10524</v>
      </c>
      <c r="F43" s="121" t="s">
        <v>64</v>
      </c>
      <c r="G43" s="122">
        <f>IF([1]!'019875^261060:SELL_TDY_QTY'="NO", 0, [1]!'019875^261060:SELL_TDY_QTY')</f>
        <v>0</v>
      </c>
      <c r="H43" s="122">
        <f>IF([1]!'019875^261060:SELL_TDY_AMT'="NO", 0, [1]!'019875^261060:SELL_TDY_AMT')</f>
        <v>0</v>
      </c>
      <c r="I43" s="122">
        <f t="shared" si="20"/>
        <v>0</v>
      </c>
      <c r="J43" s="123">
        <f>IF([1]!'019875^261060:BUY_TDY_QTY'="NO", 0, [1]!'019875^261060:BUY_TDY_QTY')</f>
        <v>0</v>
      </c>
      <c r="K43" s="122">
        <f>IF([1]!'019875^261060:BUY_TDY_AMT'="NO", 0, [1]!'019875^261060:BUY_TDY_AMT')</f>
        <v>0</v>
      </c>
      <c r="L43" s="124">
        <f t="shared" si="21"/>
        <v>0</v>
      </c>
      <c r="M43" s="125">
        <f t="shared" si="22"/>
        <v>0</v>
      </c>
      <c r="N43" s="126">
        <f t="shared" si="23"/>
        <v>0</v>
      </c>
      <c r="O43" s="127">
        <f t="shared" si="24"/>
        <v>0</v>
      </c>
      <c r="P43" s="1">
        <f>[1]!'261060:LAST'+0</f>
        <v>23305</v>
      </c>
      <c r="Q43" s="95">
        <f>[1]!'261060:NAV'+0</f>
        <v>23355.01</v>
      </c>
      <c r="R43" s="14">
        <f t="shared" si="11"/>
        <v>0</v>
      </c>
      <c r="S43" s="1">
        <f t="shared" si="12"/>
        <v>0</v>
      </c>
      <c r="T43" s="15">
        <f t="shared" si="13"/>
        <v>0</v>
      </c>
      <c r="U43" s="128">
        <f>_xlfn.IFNA(VLOOKUP(B43,[2]베타!$A$2:$C$1000,3,FALSE),0)</f>
        <v>0.19370000000000001</v>
      </c>
      <c r="V43" s="128">
        <f>_xlfn.IFNA(VLOOKUP(B43,[2]베타!$A$2:$D$1000,4,FALSE),0)</f>
        <v>1.0421</v>
      </c>
      <c r="W43" s="128">
        <f>_xlfn.IFNA(VLOOKUP(B43,[2]베타!$A$2:$E$1000,5,FALSE),0)</f>
        <v>0.85599999999999998</v>
      </c>
      <c r="X43" s="1">
        <f t="shared" si="14"/>
        <v>0</v>
      </c>
      <c r="Y43" s="15">
        <f t="shared" si="15"/>
        <v>0</v>
      </c>
      <c r="Z43" s="13">
        <f t="shared" si="16"/>
        <v>0</v>
      </c>
      <c r="AA43" s="129">
        <f t="shared" si="3"/>
        <v>0</v>
      </c>
      <c r="AB43" s="129">
        <f t="shared" si="4"/>
        <v>0</v>
      </c>
      <c r="AC43" s="130">
        <f t="shared" si="5"/>
        <v>0</v>
      </c>
      <c r="AD43" s="131">
        <f t="shared" si="6"/>
        <v>0</v>
      </c>
      <c r="AF43" s="133"/>
      <c r="AG43" s="1" t="str">
        <f t="shared" si="18"/>
        <v>261060</v>
      </c>
      <c r="AH43" s="1">
        <f t="shared" si="19"/>
        <v>0</v>
      </c>
      <c r="AJ43" s="95">
        <f>ROUNDUP(VLOOKUP(B43,[2]베타!$A$2:$L$1000,12,FALSE),0)</f>
        <v>18</v>
      </c>
      <c r="AK43" s="95">
        <f>ROUNDUP(VLOOKUP(B43,[2]베타!$A$2:$M$1000,13,FALSE),0)</f>
        <v>-43</v>
      </c>
    </row>
    <row r="44" spans="1:37" x14ac:dyDescent="0.25">
      <c r="A44" s="4"/>
      <c r="B44" s="119" t="s">
        <v>122</v>
      </c>
      <c r="C44" s="120" t="s">
        <v>123</v>
      </c>
      <c r="D44" s="14">
        <f>VLOOKUP("A"&amp;B44,[2]ETF!$A$4:$M$10000,13,FALSE)</f>
        <v>20000</v>
      </c>
      <c r="E44" s="1">
        <f>[1]!'138520:VOL'+0</f>
        <v>5233</v>
      </c>
      <c r="F44" s="121" t="s">
        <v>64</v>
      </c>
      <c r="G44" s="122">
        <f>IF([1]!'019875^138520:SELL_TDY_QTY'="NO", 0, [1]!'019875^138520:SELL_TDY_QTY')</f>
        <v>0</v>
      </c>
      <c r="H44" s="122">
        <f>IF([1]!'019875^138520:SELL_TDY_AMT'="NO", 0, [1]!'019875^138520:SELL_TDY_AMT')</f>
        <v>0</v>
      </c>
      <c r="I44" s="122">
        <f t="shared" si="20"/>
        <v>0</v>
      </c>
      <c r="J44" s="123">
        <f>IF([1]!'019875^138520:BUY_TDY_QTY'="NO", 0, [1]!'019875^138520:BUY_TDY_QTY')</f>
        <v>0</v>
      </c>
      <c r="K44" s="122">
        <f>IF([1]!'019875^138520:BUY_TDY_AMT'="NO", 0, [1]!'019875^138520:BUY_TDY_AMT')</f>
        <v>0</v>
      </c>
      <c r="L44" s="124">
        <f t="shared" si="21"/>
        <v>0</v>
      </c>
      <c r="M44" s="125">
        <f t="shared" si="22"/>
        <v>0</v>
      </c>
      <c r="N44" s="126">
        <f t="shared" si="23"/>
        <v>0</v>
      </c>
      <c r="O44" s="127">
        <f t="shared" si="24"/>
        <v>0</v>
      </c>
      <c r="P44" s="1">
        <f>[1]!'138520:LAST'+0</f>
        <v>37000</v>
      </c>
      <c r="Q44" s="95">
        <f>[1]!'138520:NAV'+0</f>
        <v>37058.46</v>
      </c>
      <c r="R44" s="14">
        <f t="shared" si="11"/>
        <v>0</v>
      </c>
      <c r="S44" s="1">
        <f t="shared" si="12"/>
        <v>0</v>
      </c>
      <c r="T44" s="15">
        <f t="shared" si="13"/>
        <v>0</v>
      </c>
      <c r="U44" s="128">
        <f>_xlfn.IFNA(VLOOKUP(B44,[2]베타!$A$2:$C$1000,3,FALSE),0)</f>
        <v>0.80620000000000003</v>
      </c>
      <c r="V44" s="128">
        <f>_xlfn.IFNA(VLOOKUP(B44,[2]베타!$A$2:$D$1000,4,FALSE),0)</f>
        <v>8.7499999999999994E-2</v>
      </c>
      <c r="W44" s="128">
        <f>_xlfn.IFNA(VLOOKUP(B44,[2]베타!$A$2:$E$1000,5,FALSE),0)</f>
        <v>0.92390000000000005</v>
      </c>
      <c r="X44" s="1">
        <f t="shared" si="14"/>
        <v>0</v>
      </c>
      <c r="Y44" s="15">
        <f t="shared" si="15"/>
        <v>0</v>
      </c>
      <c r="Z44" s="13">
        <f t="shared" si="16"/>
        <v>0</v>
      </c>
      <c r="AA44" s="129">
        <f t="shared" si="3"/>
        <v>0</v>
      </c>
      <c r="AB44" s="129">
        <f t="shared" si="4"/>
        <v>0</v>
      </c>
      <c r="AC44" s="130">
        <f t="shared" si="5"/>
        <v>0</v>
      </c>
      <c r="AD44" s="131">
        <f t="shared" si="6"/>
        <v>0</v>
      </c>
      <c r="AF44" s="133"/>
      <c r="AG44" s="1" t="str">
        <f t="shared" si="18"/>
        <v>138520</v>
      </c>
      <c r="AH44" s="1">
        <f t="shared" si="19"/>
        <v>0</v>
      </c>
      <c r="AJ44" s="95">
        <f>ROUNDUP(VLOOKUP(B44,[2]베타!$A$2:$L$1000,12,FALSE),0)</f>
        <v>13</v>
      </c>
      <c r="AK44" s="95">
        <f>ROUNDUP(VLOOKUP(B44,[2]베타!$A$2:$M$1000,13,FALSE),0)</f>
        <v>-33</v>
      </c>
    </row>
    <row r="45" spans="1:37" x14ac:dyDescent="0.25">
      <c r="A45" s="4"/>
      <c r="B45" s="119" t="s">
        <v>124</v>
      </c>
      <c r="C45" s="120" t="s">
        <v>125</v>
      </c>
      <c r="D45" s="14">
        <f>VLOOKUP("A"&amp;B45,[2]ETF!$A$4:$M$10000,13,FALSE)</f>
        <v>20000</v>
      </c>
      <c r="E45" s="1">
        <f>[1]!'139250:VOL'+0</f>
        <v>23577</v>
      </c>
      <c r="F45" s="121" t="s">
        <v>64</v>
      </c>
      <c r="G45" s="122">
        <f>IF([1]!'019875^139250:SELL_TDY_QTY'="NO", 0, [1]!'019875^139250:SELL_TDY_QTY')</f>
        <v>0</v>
      </c>
      <c r="H45" s="122">
        <f>IF([1]!'019875^139250:SELL_TDY_AMT'="NO", 0, [1]!'019875^139250:SELL_TDY_AMT')</f>
        <v>0</v>
      </c>
      <c r="I45" s="122">
        <f t="shared" si="20"/>
        <v>0</v>
      </c>
      <c r="J45" s="123">
        <f>IF([1]!'019875^139250:BUY_TDY_QTY'="NO", 0, [1]!'019875^139250:BUY_TDY_QTY')</f>
        <v>0</v>
      </c>
      <c r="K45" s="122">
        <f>IF([1]!'019875^139250:BUY_TDY_AMT'="NO", 0, [1]!'019875^139250:BUY_TDY_AMT')</f>
        <v>0</v>
      </c>
      <c r="L45" s="124">
        <f t="shared" si="21"/>
        <v>0</v>
      </c>
      <c r="M45" s="125">
        <f t="shared" si="22"/>
        <v>0</v>
      </c>
      <c r="N45" s="126">
        <f t="shared" si="23"/>
        <v>0</v>
      </c>
      <c r="O45" s="127">
        <f t="shared" si="24"/>
        <v>0</v>
      </c>
      <c r="P45" s="1">
        <f>[1]!'139250:LAST'+0</f>
        <v>18015</v>
      </c>
      <c r="Q45" s="95">
        <f>[1]!'139250:NAV'+0</f>
        <v>18026.52</v>
      </c>
      <c r="R45" s="14">
        <f t="shared" si="11"/>
        <v>0</v>
      </c>
      <c r="S45" s="1">
        <f t="shared" si="12"/>
        <v>0</v>
      </c>
      <c r="T45" s="15">
        <f t="shared" si="13"/>
        <v>0</v>
      </c>
      <c r="U45" s="128">
        <f>_xlfn.IFNA(VLOOKUP(B45,[2]베타!$A$2:$C$1000,3,FALSE),0)</f>
        <v>0.27329999999999999</v>
      </c>
      <c r="V45" s="128">
        <f>_xlfn.IFNA(VLOOKUP(B45,[2]베타!$A$2:$D$1000,4,FALSE),0)</f>
        <v>0.4254</v>
      </c>
      <c r="W45" s="128">
        <f>_xlfn.IFNA(VLOOKUP(B45,[2]베타!$A$2:$E$1000,5,FALSE),0)</f>
        <v>0.68310000000000004</v>
      </c>
      <c r="X45" s="1">
        <f t="shared" si="14"/>
        <v>0</v>
      </c>
      <c r="Y45" s="15">
        <f t="shared" si="15"/>
        <v>0</v>
      </c>
      <c r="Z45" s="13">
        <f t="shared" si="16"/>
        <v>0</v>
      </c>
      <c r="AA45" s="129">
        <f t="shared" si="3"/>
        <v>0</v>
      </c>
      <c r="AB45" s="129">
        <f t="shared" si="4"/>
        <v>0</v>
      </c>
      <c r="AC45" s="130">
        <f t="shared" si="5"/>
        <v>0</v>
      </c>
      <c r="AD45" s="131">
        <f t="shared" si="6"/>
        <v>0</v>
      </c>
      <c r="AF45" s="133"/>
      <c r="AG45" s="1" t="str">
        <f t="shared" si="18"/>
        <v>139250</v>
      </c>
      <c r="AH45" s="1">
        <f t="shared" si="19"/>
        <v>0</v>
      </c>
      <c r="AJ45" s="95">
        <f>ROUNDUP(VLOOKUP(B45,[2]베타!$A$2:$L$1000,12,FALSE),0)</f>
        <v>20</v>
      </c>
      <c r="AK45" s="95">
        <f>ROUNDUP(VLOOKUP(B45,[2]베타!$A$2:$M$1000,13,FALSE),0)</f>
        <v>-35</v>
      </c>
    </row>
    <row r="46" spans="1:37" x14ac:dyDescent="0.25">
      <c r="A46" s="4"/>
      <c r="B46" s="119" t="s">
        <v>126</v>
      </c>
      <c r="C46" s="120" t="s">
        <v>127</v>
      </c>
      <c r="D46" s="14">
        <f>VLOOKUP("A"&amp;B46,[2]ETF!$A$4:$M$10000,13,FALSE)</f>
        <v>20000</v>
      </c>
      <c r="E46" s="1">
        <f>[1]!'138530:VOL'+0</f>
        <v>92088</v>
      </c>
      <c r="F46" s="121" t="s">
        <v>64</v>
      </c>
      <c r="G46" s="122">
        <f>IF([1]!'019875^138530:SELL_TDY_QTY'="NO", 0, [1]!'019875^138530:SELL_TDY_QTY')</f>
        <v>0</v>
      </c>
      <c r="H46" s="122">
        <f>IF([1]!'019875^138530:SELL_TDY_AMT'="NO", 0, [1]!'019875^138530:SELL_TDY_AMT')</f>
        <v>0</v>
      </c>
      <c r="I46" s="122">
        <f t="shared" si="20"/>
        <v>0</v>
      </c>
      <c r="J46" s="123">
        <f>IF([1]!'019875^138530:BUY_TDY_QTY'="NO", 0, [1]!'019875^138530:BUY_TDY_QTY')</f>
        <v>0</v>
      </c>
      <c r="K46" s="122">
        <f>IF([1]!'019875^138530:BUY_TDY_AMT'="NO", 0, [1]!'019875^138530:BUY_TDY_AMT')</f>
        <v>0</v>
      </c>
      <c r="L46" s="124">
        <f t="shared" si="21"/>
        <v>0</v>
      </c>
      <c r="M46" s="125">
        <f t="shared" si="22"/>
        <v>0</v>
      </c>
      <c r="N46" s="126">
        <f t="shared" si="23"/>
        <v>0</v>
      </c>
      <c r="O46" s="127">
        <f t="shared" si="24"/>
        <v>0</v>
      </c>
      <c r="P46" s="1">
        <f>[1]!'138530:LAST'+0</f>
        <v>12900</v>
      </c>
      <c r="Q46" s="95">
        <f>[1]!'138530:NAV'+0</f>
        <v>12905.36</v>
      </c>
      <c r="R46" s="14">
        <f t="shared" si="11"/>
        <v>0</v>
      </c>
      <c r="S46" s="1">
        <f t="shared" si="12"/>
        <v>0</v>
      </c>
      <c r="T46" s="15">
        <f t="shared" si="13"/>
        <v>0</v>
      </c>
      <c r="U46" s="128">
        <f>_xlfn.IFNA(VLOOKUP(B46,[2]베타!$A$2:$C$1000,3,FALSE),0)</f>
        <v>0.3493</v>
      </c>
      <c r="V46" s="128">
        <f>_xlfn.IFNA(VLOOKUP(B46,[2]베타!$A$2:$D$1000,4,FALSE),0)</f>
        <v>0.25890000000000002</v>
      </c>
      <c r="W46" s="128">
        <f>_xlfn.IFNA(VLOOKUP(B46,[2]베타!$A$2:$E$1000,5,FALSE),0)</f>
        <v>0.377</v>
      </c>
      <c r="X46" s="1">
        <f t="shared" si="14"/>
        <v>0</v>
      </c>
      <c r="Y46" s="15">
        <f t="shared" si="15"/>
        <v>0</v>
      </c>
      <c r="Z46" s="13">
        <f t="shared" si="16"/>
        <v>0</v>
      </c>
      <c r="AA46" s="129">
        <f t="shared" si="3"/>
        <v>0</v>
      </c>
      <c r="AB46" s="129">
        <f t="shared" si="4"/>
        <v>0</v>
      </c>
      <c r="AC46" s="130">
        <f t="shared" si="5"/>
        <v>0</v>
      </c>
      <c r="AD46" s="131">
        <f t="shared" si="6"/>
        <v>0</v>
      </c>
      <c r="AF46" s="133"/>
      <c r="AG46" s="1" t="str">
        <f t="shared" si="18"/>
        <v>138530</v>
      </c>
      <c r="AH46" s="1">
        <f t="shared" si="19"/>
        <v>0</v>
      </c>
      <c r="AJ46" s="95">
        <f>ROUNDUP(VLOOKUP(B46,[2]베타!$A$2:$L$1000,12,FALSE),0)</f>
        <v>7</v>
      </c>
      <c r="AK46" s="95">
        <f>ROUNDUP(VLOOKUP(B46,[2]베타!$A$2:$M$1000,13,FALSE),0)</f>
        <v>-29</v>
      </c>
    </row>
    <row r="47" spans="1:37" x14ac:dyDescent="0.25">
      <c r="A47" s="4"/>
      <c r="B47" s="119" t="s">
        <v>128</v>
      </c>
      <c r="C47" s="120" t="s">
        <v>129</v>
      </c>
      <c r="D47" s="14">
        <f>VLOOKUP("A"&amp;B47,[2]ETF!$A$4:$M$10000,13,FALSE)</f>
        <v>50000</v>
      </c>
      <c r="E47" s="1">
        <f>[1]!'364960:VOL'+0</f>
        <v>14908</v>
      </c>
      <c r="F47" s="121" t="s">
        <v>64</v>
      </c>
      <c r="G47" s="122">
        <f>IF([1]!'019875^364960:SELL_TDY_QTY'="NO", 0, [1]!'019875^364960:SELL_TDY_QTY')</f>
        <v>0</v>
      </c>
      <c r="H47" s="122">
        <f>IF([1]!'019875^364960:SELL_TDY_AMT'="NO", 0, [1]!'019875^364960:SELL_TDY_AMT')</f>
        <v>0</v>
      </c>
      <c r="I47" s="122">
        <f t="shared" si="20"/>
        <v>0</v>
      </c>
      <c r="J47" s="123">
        <f>IF([1]!'019875^364960:BUY_TDY_QTY'="NO", 0, [1]!'019875^364960:BUY_TDY_QTY')</f>
        <v>0</v>
      </c>
      <c r="K47" s="122">
        <f>IF([1]!'019875^364960:BUY_TDY_AMT'="NO", 0, [1]!'019875^364960:BUY_TDY_AMT')</f>
        <v>0</v>
      </c>
      <c r="L47" s="124">
        <f t="shared" si="21"/>
        <v>0</v>
      </c>
      <c r="M47" s="125">
        <f t="shared" si="22"/>
        <v>0</v>
      </c>
      <c r="N47" s="126">
        <f t="shared" si="23"/>
        <v>0</v>
      </c>
      <c r="O47" s="127">
        <f t="shared" si="24"/>
        <v>0</v>
      </c>
      <c r="P47" s="1">
        <f>[1]!'364960:LAST'+0</f>
        <v>6745</v>
      </c>
      <c r="Q47" s="95">
        <f>[1]!'364960:NAV'+0</f>
        <v>6751.14</v>
      </c>
      <c r="R47" s="14">
        <f t="shared" si="11"/>
        <v>0</v>
      </c>
      <c r="S47" s="1">
        <f t="shared" si="12"/>
        <v>0</v>
      </c>
      <c r="T47" s="15">
        <f t="shared" si="13"/>
        <v>0</v>
      </c>
      <c r="U47" s="128">
        <f>_xlfn.IFNA(VLOOKUP(B47,[2]베타!$A$2:$C$1000,3,FALSE),0)</f>
        <v>3.0499999999999999E-2</v>
      </c>
      <c r="V47" s="128">
        <f>_xlfn.IFNA(VLOOKUP(B47,[2]베타!$A$2:$D$1000,4,FALSE),0)</f>
        <v>0.48880000000000001</v>
      </c>
      <c r="W47" s="128">
        <f>_xlfn.IFNA(VLOOKUP(B47,[2]베타!$A$2:$E$1000,5,FALSE),0)</f>
        <v>0.60919999999999996</v>
      </c>
      <c r="X47" s="1">
        <f t="shared" si="14"/>
        <v>0</v>
      </c>
      <c r="Y47" s="15">
        <f t="shared" si="15"/>
        <v>0</v>
      </c>
      <c r="Z47" s="13">
        <f t="shared" si="16"/>
        <v>0</v>
      </c>
      <c r="AA47" s="129">
        <f t="shared" si="3"/>
        <v>0</v>
      </c>
      <c r="AB47" s="129">
        <f t="shared" si="4"/>
        <v>0</v>
      </c>
      <c r="AC47" s="130">
        <f t="shared" si="5"/>
        <v>0</v>
      </c>
      <c r="AD47" s="131">
        <f t="shared" si="6"/>
        <v>0</v>
      </c>
      <c r="AF47" s="133"/>
      <c r="AG47" s="1" t="str">
        <f t="shared" si="18"/>
        <v>364960</v>
      </c>
      <c r="AH47" s="1">
        <f t="shared" si="19"/>
        <v>0</v>
      </c>
      <c r="AJ47" s="95">
        <f>ROUNDUP(VLOOKUP(B47,[2]베타!$A$2:$L$1000,12,FALSE),0)</f>
        <v>15</v>
      </c>
      <c r="AK47" s="95">
        <f>ROUNDUP(VLOOKUP(B47,[2]베타!$A$2:$M$1000,13,FALSE),0)</f>
        <v>-37</v>
      </c>
    </row>
    <row r="48" spans="1:37" x14ac:dyDescent="0.25">
      <c r="A48" s="4"/>
      <c r="B48" s="119" t="s">
        <v>130</v>
      </c>
      <c r="C48" s="120" t="s">
        <v>131</v>
      </c>
      <c r="D48" s="14">
        <f>VLOOKUP("A"&amp;B48,[2]ETF!$A$4:$M$10000,13,FALSE)</f>
        <v>50000</v>
      </c>
      <c r="E48" s="1">
        <f>[1]!'400970:VOL'+0</f>
        <v>22194</v>
      </c>
      <c r="F48" s="121" t="s">
        <v>64</v>
      </c>
      <c r="G48" s="122">
        <f>IF([1]!'019875^400970:SELL_TDY_QTY'="NO", 0, [1]!'019875^400970:SELL_TDY_QTY')</f>
        <v>0</v>
      </c>
      <c r="H48" s="122">
        <f>IF([1]!'019875^400970:SELL_TDY_AMT'="NO", 0, [1]!'019875^400970:SELL_TDY_AMT')</f>
        <v>0</v>
      </c>
      <c r="I48" s="122">
        <f t="shared" si="20"/>
        <v>0</v>
      </c>
      <c r="J48" s="123">
        <f>IF([1]!'019875^400970:BUY_TDY_QTY'="NO", 0, [1]!'019875^400970:BUY_TDY_QTY')</f>
        <v>0</v>
      </c>
      <c r="K48" s="122">
        <f>IF([1]!'019875^400970:BUY_TDY_AMT'="NO", 0, [1]!'019875^400970:BUY_TDY_AMT')</f>
        <v>0</v>
      </c>
      <c r="L48" s="124">
        <f t="shared" si="21"/>
        <v>0</v>
      </c>
      <c r="M48" s="125">
        <f t="shared" si="22"/>
        <v>0</v>
      </c>
      <c r="N48" s="126">
        <f t="shared" si="23"/>
        <v>0</v>
      </c>
      <c r="O48" s="127">
        <f t="shared" si="24"/>
        <v>0</v>
      </c>
      <c r="P48" s="1">
        <f>[1]!'400970:LAST'+0</f>
        <v>7580</v>
      </c>
      <c r="Q48" s="95">
        <f>[1]!'400970:NAV'+0</f>
        <v>7592.75</v>
      </c>
      <c r="R48" s="14">
        <f t="shared" si="11"/>
        <v>0</v>
      </c>
      <c r="S48" s="1">
        <f t="shared" si="12"/>
        <v>0</v>
      </c>
      <c r="T48" s="15">
        <f t="shared" si="13"/>
        <v>0</v>
      </c>
      <c r="U48" s="128">
        <f>_xlfn.IFNA(VLOOKUP(B48,[2]베타!$A$2:$C$1000,3,FALSE),0)</f>
        <v>8.9700000000000002E-2</v>
      </c>
      <c r="V48" s="128">
        <f>_xlfn.IFNA(VLOOKUP(B48,[2]베타!$A$2:$D$1000,4,FALSE),0)</f>
        <v>0.39810000000000001</v>
      </c>
      <c r="W48" s="128">
        <f>_xlfn.IFNA(VLOOKUP(B48,[2]베타!$A$2:$E$1000,5,FALSE),0)</f>
        <v>0.46710000000000002</v>
      </c>
      <c r="X48" s="1">
        <f t="shared" si="14"/>
        <v>0</v>
      </c>
      <c r="Y48" s="15">
        <f t="shared" si="15"/>
        <v>0</v>
      </c>
      <c r="Z48" s="13">
        <f t="shared" si="16"/>
        <v>0</v>
      </c>
      <c r="AA48" s="129">
        <f t="shared" si="3"/>
        <v>0</v>
      </c>
      <c r="AB48" s="129">
        <f t="shared" si="4"/>
        <v>0</v>
      </c>
      <c r="AC48" s="130">
        <f t="shared" si="5"/>
        <v>0</v>
      </c>
      <c r="AD48" s="131">
        <f t="shared" si="6"/>
        <v>0</v>
      </c>
      <c r="AF48" s="133"/>
      <c r="AG48" s="1" t="str">
        <f t="shared" si="18"/>
        <v>400970</v>
      </c>
      <c r="AH48" s="1">
        <f t="shared" si="19"/>
        <v>0</v>
      </c>
      <c r="AJ48" s="95">
        <f>ROUNDUP(VLOOKUP(B48,[2]베타!$A$2:$L$1000,12,FALSE),0)</f>
        <v>14</v>
      </c>
      <c r="AK48" s="95">
        <f>ROUNDUP(VLOOKUP(B48,[2]베타!$A$2:$M$1000,13,FALSE),0)</f>
        <v>-32</v>
      </c>
    </row>
    <row r="49" spans="1:37" x14ac:dyDescent="0.25">
      <c r="A49" s="4"/>
      <c r="B49" s="119" t="s">
        <v>132</v>
      </c>
      <c r="C49" s="120" t="s">
        <v>133</v>
      </c>
      <c r="D49" s="14">
        <f>VLOOKUP("A"&amp;B49,[2]ETF!$A$4:$M$10000,13,FALSE)</f>
        <v>20000</v>
      </c>
      <c r="E49" s="1">
        <f>[1]!'227540:VOL'+0</f>
        <v>10951</v>
      </c>
      <c r="F49" s="121" t="s">
        <v>64</v>
      </c>
      <c r="G49" s="122">
        <f>IF([1]!'019875^227540:SELL_TDY_QTY'="NO", 0, [1]!'019875^227540:SELL_TDY_QTY')</f>
        <v>0</v>
      </c>
      <c r="H49" s="122">
        <f>IF([1]!'019875^227540:SELL_TDY_AMT'="NO", 0, [1]!'019875^227540:SELL_TDY_AMT')</f>
        <v>0</v>
      </c>
      <c r="I49" s="122">
        <f t="shared" si="20"/>
        <v>0</v>
      </c>
      <c r="J49" s="123">
        <f>IF([1]!'019875^227540:BUY_TDY_QTY'="NO", 0, [1]!'019875^227540:BUY_TDY_QTY')</f>
        <v>0</v>
      </c>
      <c r="K49" s="122">
        <f>IF([1]!'019875^227540:BUY_TDY_AMT'="NO", 0, [1]!'019875^227540:BUY_TDY_AMT')</f>
        <v>0</v>
      </c>
      <c r="L49" s="124">
        <f t="shared" si="21"/>
        <v>0</v>
      </c>
      <c r="M49" s="125">
        <f t="shared" si="22"/>
        <v>0</v>
      </c>
      <c r="N49" s="126">
        <f t="shared" si="23"/>
        <v>0</v>
      </c>
      <c r="O49" s="127">
        <f t="shared" si="24"/>
        <v>0</v>
      </c>
      <c r="P49" s="1">
        <f>[1]!'227540:LAST'+0</f>
        <v>19765</v>
      </c>
      <c r="Q49" s="95">
        <f>[1]!'227540:NAV'+0</f>
        <v>19829.310000000001</v>
      </c>
      <c r="R49" s="14">
        <f t="shared" si="11"/>
        <v>0</v>
      </c>
      <c r="S49" s="1">
        <f t="shared" si="12"/>
        <v>0</v>
      </c>
      <c r="T49" s="15">
        <f t="shared" si="13"/>
        <v>0</v>
      </c>
      <c r="U49" s="128">
        <f>_xlfn.IFNA(VLOOKUP(B49,[2]베타!$A$2:$C$1000,3,FALSE),0)</f>
        <v>-4.5400000000000003E-2</v>
      </c>
      <c r="V49" s="128">
        <f>_xlfn.IFNA(VLOOKUP(B49,[2]베타!$A$2:$D$1000,4,FALSE),0)</f>
        <v>0.52410000000000001</v>
      </c>
      <c r="W49" s="128">
        <f>_xlfn.IFNA(VLOOKUP(B49,[2]베타!$A$2:$E$1000,5,FALSE),0)</f>
        <v>0.48680000000000001</v>
      </c>
      <c r="X49" s="1">
        <f t="shared" si="14"/>
        <v>0</v>
      </c>
      <c r="Y49" s="15">
        <f t="shared" si="15"/>
        <v>0</v>
      </c>
      <c r="Z49" s="13">
        <f t="shared" si="16"/>
        <v>0</v>
      </c>
      <c r="AA49" s="129">
        <f t="shared" si="3"/>
        <v>0</v>
      </c>
      <c r="AB49" s="129">
        <f t="shared" si="4"/>
        <v>0</v>
      </c>
      <c r="AC49" s="130">
        <f t="shared" si="5"/>
        <v>0</v>
      </c>
      <c r="AD49" s="131">
        <f t="shared" si="6"/>
        <v>0</v>
      </c>
      <c r="AF49" s="133"/>
      <c r="AG49" s="1" t="str">
        <f t="shared" si="18"/>
        <v>227540</v>
      </c>
      <c r="AH49" s="1">
        <f t="shared" si="19"/>
        <v>0</v>
      </c>
      <c r="AJ49" s="95">
        <f>ROUNDUP(VLOOKUP(B49,[2]베타!$A$2:$L$1000,12,FALSE),0)</f>
        <v>10</v>
      </c>
      <c r="AK49" s="95">
        <f>ROUNDUP(VLOOKUP(B49,[2]베타!$A$2:$M$1000,13,FALSE),0)</f>
        <v>-30</v>
      </c>
    </row>
    <row r="50" spans="1:37" x14ac:dyDescent="0.25">
      <c r="A50" s="4"/>
      <c r="B50" s="119" t="s">
        <v>134</v>
      </c>
      <c r="C50" s="120" t="s">
        <v>135</v>
      </c>
      <c r="D50" s="14">
        <f>VLOOKUP("A"&amp;B50,[2]ETF!$A$4:$M$10000,13,FALSE)</f>
        <v>30000</v>
      </c>
      <c r="E50" s="1">
        <f>[1]!'150460:VOL'+0</f>
        <v>30688</v>
      </c>
      <c r="F50" s="121" t="s">
        <v>64</v>
      </c>
      <c r="G50" s="122">
        <f>IF([1]!'019875^150460:SELL_TDY_QTY'="NO", 0, [1]!'019875^150460:SELL_TDY_QTY')</f>
        <v>0</v>
      </c>
      <c r="H50" s="122">
        <f>IF([1]!'019875^150460:SELL_TDY_AMT'="NO", 0, [1]!'019875^150460:SELL_TDY_AMT')</f>
        <v>0</v>
      </c>
      <c r="I50" s="122">
        <f t="shared" si="20"/>
        <v>0</v>
      </c>
      <c r="J50" s="123">
        <f>IF([1]!'019875^150460:BUY_TDY_QTY'="NO", 0, [1]!'019875^150460:BUY_TDY_QTY')</f>
        <v>0</v>
      </c>
      <c r="K50" s="122">
        <f>IF([1]!'019875^150460:BUY_TDY_AMT'="NO", 0, [1]!'019875^150460:BUY_TDY_AMT')</f>
        <v>0</v>
      </c>
      <c r="L50" s="124">
        <f t="shared" si="21"/>
        <v>0</v>
      </c>
      <c r="M50" s="125">
        <f t="shared" si="22"/>
        <v>0</v>
      </c>
      <c r="N50" s="126">
        <f t="shared" si="23"/>
        <v>0</v>
      </c>
      <c r="O50" s="127">
        <f t="shared" si="24"/>
        <v>0</v>
      </c>
      <c r="P50" s="1">
        <f>[1]!'150460:LAST'+0</f>
        <v>8145</v>
      </c>
      <c r="Q50" s="95">
        <f>[1]!'150460:NAV'+0</f>
        <v>8159.28</v>
      </c>
      <c r="R50" s="14">
        <f t="shared" si="11"/>
        <v>0</v>
      </c>
      <c r="S50" s="1">
        <f t="shared" si="12"/>
        <v>0</v>
      </c>
      <c r="T50" s="15">
        <f t="shared" si="13"/>
        <v>0</v>
      </c>
      <c r="U50" s="128">
        <f>_xlfn.IFNA(VLOOKUP(B50,[2]베타!$A$2:$C$1000,3,FALSE),0)</f>
        <v>-9.5100000000000004E-2</v>
      </c>
      <c r="V50" s="128">
        <f>_xlfn.IFNA(VLOOKUP(B50,[2]베타!$A$2:$D$1000,4,FALSE),0)</f>
        <v>0.46899999999999997</v>
      </c>
      <c r="W50" s="128">
        <f>_xlfn.IFNA(VLOOKUP(B50,[2]베타!$A$2:$E$1000,5,FALSE),0)</f>
        <v>0.50219999999999998</v>
      </c>
      <c r="X50" s="1">
        <f t="shared" si="14"/>
        <v>0</v>
      </c>
      <c r="Y50" s="15">
        <f t="shared" si="15"/>
        <v>0</v>
      </c>
      <c r="Z50" s="13">
        <f t="shared" si="16"/>
        <v>0</v>
      </c>
      <c r="AA50" s="129">
        <f t="shared" si="3"/>
        <v>0</v>
      </c>
      <c r="AB50" s="129">
        <f t="shared" si="4"/>
        <v>0</v>
      </c>
      <c r="AC50" s="130">
        <f t="shared" si="5"/>
        <v>0</v>
      </c>
      <c r="AD50" s="131">
        <f t="shared" si="6"/>
        <v>0</v>
      </c>
      <c r="AF50" s="133"/>
      <c r="AG50" s="1" t="str">
        <f t="shared" si="18"/>
        <v>150460</v>
      </c>
      <c r="AH50" s="1">
        <f t="shared" si="19"/>
        <v>0</v>
      </c>
      <c r="AJ50" s="95">
        <f>ROUNDUP(VLOOKUP(B50,[2]베타!$A$2:$L$1000,12,FALSE),0)</f>
        <v>14</v>
      </c>
      <c r="AK50" s="95">
        <f>ROUNDUP(VLOOKUP(B50,[2]베타!$A$2:$M$1000,13,FALSE),0)</f>
        <v>-40</v>
      </c>
    </row>
    <row r="51" spans="1:37" x14ac:dyDescent="0.25">
      <c r="A51" s="4"/>
      <c r="B51" s="119" t="s">
        <v>136</v>
      </c>
      <c r="C51" s="120" t="s">
        <v>137</v>
      </c>
      <c r="D51" s="14">
        <f>VLOOKUP("A"&amp;B51,[2]ETF!$A$4:$M$10000,13,FALSE)</f>
        <v>50000</v>
      </c>
      <c r="E51" s="1">
        <f>[1]!'417630:VOL'+0</f>
        <v>1654</v>
      </c>
      <c r="F51" s="121" t="s">
        <v>64</v>
      </c>
      <c r="G51" s="122">
        <f>IF([1]!'019875^417630:SELL_TDY_QTY'="NO", 0, [1]!'019875^417630:SELL_TDY_QTY')</f>
        <v>0</v>
      </c>
      <c r="H51" s="122">
        <f>IF([1]!'019875^417630:SELL_TDY_AMT'="NO", 0, [1]!'019875^417630:SELL_TDY_AMT')</f>
        <v>0</v>
      </c>
      <c r="I51" s="122">
        <f t="shared" si="20"/>
        <v>0</v>
      </c>
      <c r="J51" s="123">
        <f>IF([1]!'019875^417630:BUY_TDY_QTY'="NO", 0, [1]!'019875^417630:BUY_TDY_QTY')</f>
        <v>0</v>
      </c>
      <c r="K51" s="122">
        <f>IF([1]!'019875^417630:BUY_TDY_AMT'="NO", 0, [1]!'019875^417630:BUY_TDY_AMT')</f>
        <v>0</v>
      </c>
      <c r="L51" s="124">
        <f t="shared" si="21"/>
        <v>0</v>
      </c>
      <c r="M51" s="125">
        <f t="shared" si="22"/>
        <v>0</v>
      </c>
      <c r="N51" s="126">
        <f t="shared" si="23"/>
        <v>0</v>
      </c>
      <c r="O51" s="127">
        <f t="shared" si="24"/>
        <v>0</v>
      </c>
      <c r="P51" s="1">
        <f>[1]!'417630:LAST'+0</f>
        <v>20235</v>
      </c>
      <c r="Q51" s="95">
        <f>[1]!'417630:NAV'+0</f>
        <v>20196.41</v>
      </c>
      <c r="R51" s="14">
        <f t="shared" si="11"/>
        <v>0</v>
      </c>
      <c r="S51" s="1">
        <f t="shared" si="12"/>
        <v>0</v>
      </c>
      <c r="T51" s="15">
        <f t="shared" si="13"/>
        <v>0</v>
      </c>
      <c r="U51" s="128">
        <f>_xlfn.IFNA(VLOOKUP(B51,[2]베타!$A$2:$C$1000,3,FALSE),0)</f>
        <v>0.30009999999999998</v>
      </c>
      <c r="V51" s="128">
        <f>_xlfn.IFNA(VLOOKUP(B51,[2]베타!$A$2:$D$1000,4,FALSE),0)</f>
        <v>0.41160000000000002</v>
      </c>
      <c r="W51" s="128">
        <f>_xlfn.IFNA(VLOOKUP(B51,[2]베타!$A$2:$E$1000,5,FALSE),0)</f>
        <v>0.83899999999999997</v>
      </c>
      <c r="X51" s="1">
        <f t="shared" si="14"/>
        <v>0</v>
      </c>
      <c r="Y51" s="15">
        <f t="shared" si="15"/>
        <v>0</v>
      </c>
      <c r="Z51" s="13">
        <f t="shared" si="16"/>
        <v>0</v>
      </c>
      <c r="AA51" s="129">
        <f t="shared" si="3"/>
        <v>0</v>
      </c>
      <c r="AB51" s="129">
        <f t="shared" si="4"/>
        <v>0</v>
      </c>
      <c r="AC51" s="130">
        <f t="shared" si="5"/>
        <v>0</v>
      </c>
      <c r="AD51" s="131">
        <f t="shared" si="6"/>
        <v>0</v>
      </c>
      <c r="AF51" s="133"/>
      <c r="AG51" s="1" t="str">
        <f t="shared" si="18"/>
        <v>417630</v>
      </c>
      <c r="AH51" s="1">
        <f t="shared" si="19"/>
        <v>0</v>
      </c>
      <c r="AJ51" s="95">
        <f>ROUNDUP(VLOOKUP(B51,[2]베타!$A$2:$L$1000,12,FALSE),0)</f>
        <v>18</v>
      </c>
      <c r="AK51" s="95">
        <f>ROUNDUP(VLOOKUP(B51,[2]베타!$A$2:$M$1000,13,FALSE),0)</f>
        <v>-40</v>
      </c>
    </row>
    <row r="52" spans="1:37" x14ac:dyDescent="0.25">
      <c r="B52" s="132" t="s">
        <v>138</v>
      </c>
      <c r="C52" s="120" t="s">
        <v>139</v>
      </c>
      <c r="D52" s="14">
        <f>VLOOKUP("A"&amp;B52,[2]ETF!$A$4:$M$10000,13,FALSE)</f>
        <v>50000</v>
      </c>
      <c r="E52" s="1">
        <f>[1]!'0148J0:VOL'+0</f>
        <v>2208606</v>
      </c>
      <c r="F52" s="121" t="s">
        <v>64</v>
      </c>
      <c r="G52" s="122">
        <f>IF([1]!'019875^0148J0:SELL_TDY_QTY'="NO", 0, [1]!'019875^0148J0:SELL_TDY_QTY')</f>
        <v>2000</v>
      </c>
      <c r="H52" s="122">
        <f>IF([1]!'019875^0148J0:SELL_TDY_AMT'="NO", 0, [1]!'019875^0148J0:SELL_TDY_AMT')</f>
        <v>17690000</v>
      </c>
      <c r="I52" s="122">
        <f>IFERROR(H52/G52,0)</f>
        <v>8845</v>
      </c>
      <c r="J52" s="123">
        <f>IF([1]!'019875^0148J0:BUY_TDY_QTY'="NO", 0, [1]!'019875^0148J0:BUY_TDY_QTY')</f>
        <v>2000</v>
      </c>
      <c r="K52" s="122">
        <f>IF([1]!'019875^0148J0:BUY_TDY_AMT'="NO", 0, [1]!'019875^0148J0:BUY_TDY_AMT')</f>
        <v>17848995</v>
      </c>
      <c r="L52" s="124">
        <f>IFERROR(K52/J52,0)</f>
        <v>8924.4974999999995</v>
      </c>
      <c r="M52" s="125">
        <f>J52-G52</f>
        <v>0</v>
      </c>
      <c r="N52" s="126">
        <f>M52*P52</f>
        <v>0</v>
      </c>
      <c r="O52" s="127">
        <f>M52/D52</f>
        <v>0</v>
      </c>
      <c r="P52" s="1">
        <f>[1]!'0148J0:LAST'+0</f>
        <v>9120</v>
      </c>
      <c r="Q52" s="95">
        <f>[1]!'0148J0:NAV'+0</f>
        <v>9125.2999999999993</v>
      </c>
      <c r="R52" s="14">
        <f>(P52-I52)*-1*G52</f>
        <v>-550000</v>
      </c>
      <c r="S52" s="1">
        <f>(P52-L52)*J52</f>
        <v>391005.00000000105</v>
      </c>
      <c r="T52" s="15">
        <f>R52+S52</f>
        <v>-158994.99999999895</v>
      </c>
      <c r="U52" s="128">
        <f>_xlfn.IFNA(VLOOKUP(B52,[2]베타!$A$2:$C$1000,3,FALSE),0)</f>
        <v>0.4078</v>
      </c>
      <c r="V52" s="128">
        <f>_xlfn.IFNA(VLOOKUP(B52,[2]베타!$A$2:$D$1000,4,FALSE),0)</f>
        <v>0.64119999999999999</v>
      </c>
      <c r="W52" s="128">
        <f>_xlfn.IFNA(VLOOKUP(B52,[2]베타!$A$2:$E$1000,5,FALSE),0)</f>
        <v>0.60409999999999997</v>
      </c>
      <c r="X52" s="1">
        <f>M52*Q52*U52</f>
        <v>0</v>
      </c>
      <c r="Y52" s="15">
        <f>M52*Q52*V52</f>
        <v>0</v>
      </c>
      <c r="Z52" s="13">
        <f>(P52*M52)-(X52+Y52)</f>
        <v>0</v>
      </c>
      <c r="AA52" s="129">
        <f t="shared" si="3"/>
        <v>0</v>
      </c>
      <c r="AB52" s="129">
        <f t="shared" si="4"/>
        <v>0</v>
      </c>
      <c r="AC52" s="130">
        <f t="shared" si="5"/>
        <v>0</v>
      </c>
      <c r="AD52" s="131">
        <f t="shared" si="6"/>
        <v>0</v>
      </c>
      <c r="AG52" s="1" t="str">
        <f t="shared" si="18"/>
        <v>0148J0</v>
      </c>
      <c r="AH52" s="1">
        <f t="shared" si="19"/>
        <v>0</v>
      </c>
      <c r="AJ52" s="95">
        <f>ROUNDUP(VLOOKUP(B52,[2]베타!$A$2:$L$1000,12,FALSE),0)</f>
        <v>10</v>
      </c>
      <c r="AK52" s="95">
        <f>ROUNDUP(VLOOKUP(B52,[2]베타!$A$2:$M$1000,13,FALSE),0)</f>
        <v>-29</v>
      </c>
    </row>
  </sheetData>
  <mergeCells count="22">
    <mergeCell ref="Q7:Q8"/>
    <mergeCell ref="R7:R8"/>
    <mergeCell ref="S7:S8"/>
    <mergeCell ref="T7:T8"/>
    <mergeCell ref="U7:U8"/>
    <mergeCell ref="T12:V12"/>
    <mergeCell ref="K7:K8"/>
    <mergeCell ref="L7:L8"/>
    <mergeCell ref="M7:M8"/>
    <mergeCell ref="N7:N8"/>
    <mergeCell ref="O7:O8"/>
    <mergeCell ref="P7:P8"/>
    <mergeCell ref="U4:U5"/>
    <mergeCell ref="B7:B8"/>
    <mergeCell ref="C7:C8"/>
    <mergeCell ref="D7:D8"/>
    <mergeCell ref="E7:E8"/>
    <mergeCell ref="F7:F8"/>
    <mergeCell ref="G7:G8"/>
    <mergeCell ref="H7:H8"/>
    <mergeCell ref="I7:I8"/>
    <mergeCell ref="J7:J8"/>
  </mergeCells>
  <phoneticPr fontId="1" type="noConversion"/>
  <conditionalFormatting sqref="E15:E52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P15:P52">
    <cfRule type="cellIs" dxfId="13" priority="5" operator="greaterThan">
      <formula>29999</formula>
    </cfRule>
  </conditionalFormatting>
  <conditionalFormatting sqref="T4:T5">
    <cfRule type="cellIs" dxfId="12" priority="2" operator="lessThan">
      <formula>-0.99</formula>
    </cfRule>
    <cfRule type="cellIs" dxfId="11" priority="3" operator="greaterThan">
      <formula>0.99</formula>
    </cfRule>
  </conditionalFormatting>
  <conditionalFormatting sqref="T15:T52">
    <cfRule type="cellIs" dxfId="10" priority="6" operator="lessThan">
      <formula>0</formula>
    </cfRule>
    <cfRule type="cellIs" dxfId="9" priority="7" operator="greaterThan">
      <formula>0</formula>
    </cfRule>
  </conditionalFormatting>
  <conditionalFormatting sqref="W15:W52">
    <cfRule type="cellIs" dxfId="8" priority="1" operator="greaterThan">
      <formula>0.6</formula>
    </cfRule>
    <cfRule type="cellIs" dxfId="7" priority="4" operator="lessThan">
      <formula>0.6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35F9A-BAE8-4193-80C1-B89F8B31C9D0}">
  <dimension ref="A1:AL52"/>
  <sheetViews>
    <sheetView tabSelected="1" zoomScale="80" zoomScaleNormal="8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7" sqref="G17"/>
    </sheetView>
  </sheetViews>
  <sheetFormatPr defaultRowHeight="16.5" x14ac:dyDescent="0.3"/>
  <cols>
    <col min="1" max="1" width="4" style="1" customWidth="1"/>
    <col min="2" max="2" width="9.25" style="2" bestFit="1" customWidth="1"/>
    <col min="3" max="3" width="23.25" style="3" customWidth="1"/>
    <col min="4" max="4" width="7.125" style="1" customWidth="1"/>
    <col min="5" max="5" width="10" style="1" customWidth="1"/>
    <col min="6" max="6" width="9" style="2"/>
    <col min="7" max="7" width="13.375" style="1" bestFit="1" customWidth="1"/>
    <col min="8" max="8" width="13.875" style="1" bestFit="1" customWidth="1"/>
    <col min="9" max="9" width="9.375" style="1" customWidth="1"/>
    <col min="10" max="10" width="13.125" style="1" bestFit="1" customWidth="1"/>
    <col min="11" max="11" width="13.625" style="1" bestFit="1" customWidth="1"/>
    <col min="12" max="12" width="9.125" style="1" customWidth="1"/>
    <col min="13" max="13" width="10.125" style="1" bestFit="1" customWidth="1"/>
    <col min="14" max="14" width="13" style="1" bestFit="1" customWidth="1"/>
    <col min="15" max="15" width="11.625" style="1" customWidth="1"/>
    <col min="16" max="16" width="13" style="1" bestFit="1" customWidth="1"/>
    <col min="17" max="17" width="13" style="1" customWidth="1"/>
    <col min="18" max="19" width="13.25" style="1" bestFit="1" customWidth="1"/>
    <col min="20" max="20" width="10.5" style="1" customWidth="1"/>
    <col min="21" max="21" width="12.125" style="1" customWidth="1"/>
    <col min="22" max="22" width="13.125" style="1" bestFit="1" customWidth="1"/>
    <col min="23" max="23" width="13.125" style="1" customWidth="1"/>
    <col min="24" max="24" width="12.625" style="1" bestFit="1" customWidth="1"/>
    <col min="25" max="25" width="12.625" style="1" customWidth="1"/>
    <col min="26" max="26" width="13.25" style="1" bestFit="1" customWidth="1"/>
    <col min="27" max="27" width="9.5" style="1" bestFit="1" customWidth="1"/>
    <col min="28" max="28" width="9.25" style="1" customWidth="1"/>
    <col min="29" max="29" width="10.375" style="1" bestFit="1" customWidth="1"/>
    <col min="30" max="30" width="10.375" style="1" customWidth="1"/>
    <col min="31" max="31" width="12.25" style="1" bestFit="1" customWidth="1"/>
    <col min="32" max="16384" width="9" style="1"/>
  </cols>
  <sheetData>
    <row r="1" spans="1:38" x14ac:dyDescent="0.3">
      <c r="E1" s="4"/>
      <c r="F1" s="5"/>
      <c r="J1" s="2"/>
      <c r="R1" s="6">
        <v>1</v>
      </c>
    </row>
    <row r="2" spans="1:38" x14ac:dyDescent="0.3">
      <c r="E2" s="4"/>
      <c r="F2" s="7"/>
      <c r="G2" s="4"/>
      <c r="J2" s="4"/>
      <c r="P2" s="1">
        <v>0</v>
      </c>
      <c r="Q2" s="1">
        <v>0</v>
      </c>
      <c r="R2" s="1">
        <v>0</v>
      </c>
    </row>
    <row r="3" spans="1:38" x14ac:dyDescent="0.3">
      <c r="F3" s="7"/>
      <c r="J3" s="1" t="s">
        <v>0</v>
      </c>
      <c r="K3" s="1">
        <v>0</v>
      </c>
      <c r="O3" s="8" t="s">
        <v>1</v>
      </c>
      <c r="P3" s="9" t="s">
        <v>2</v>
      </c>
      <c r="Q3" s="10" t="s">
        <v>3</v>
      </c>
      <c r="R3" s="11" t="s">
        <v>4</v>
      </c>
      <c r="S3" s="9" t="s">
        <v>5</v>
      </c>
      <c r="T3" s="11" t="s">
        <v>6</v>
      </c>
      <c r="U3" s="11" t="s">
        <v>7</v>
      </c>
      <c r="V3" s="1" t="s">
        <v>8</v>
      </c>
    </row>
    <row r="4" spans="1:38" x14ac:dyDescent="0.3">
      <c r="J4" s="1" t="s">
        <v>9</v>
      </c>
      <c r="K4" s="1">
        <v>0</v>
      </c>
      <c r="N4" s="12" t="e">
        <v>#DIV/0!</v>
      </c>
      <c r="O4" s="13" t="s">
        <v>10</v>
      </c>
      <c r="P4" s="14">
        <v>0</v>
      </c>
      <c r="Q4" s="1">
        <v>0</v>
      </c>
      <c r="R4" s="15">
        <v>0</v>
      </c>
      <c r="S4" s="16">
        <v>0</v>
      </c>
      <c r="T4" s="17">
        <v>0</v>
      </c>
      <c r="U4" s="18">
        <v>-849919.99999987334</v>
      </c>
      <c r="V4" s="1" t="s">
        <v>11</v>
      </c>
    </row>
    <row r="5" spans="1:38" x14ac:dyDescent="0.3">
      <c r="G5" s="4"/>
      <c r="J5" s="1" t="s">
        <v>12</v>
      </c>
      <c r="K5" s="1">
        <v>0</v>
      </c>
      <c r="N5" s="12" t="e">
        <v>#DIV/0!</v>
      </c>
      <c r="O5" s="19" t="s">
        <v>13</v>
      </c>
      <c r="P5" s="20">
        <v>0</v>
      </c>
      <c r="Q5" s="21">
        <v>0</v>
      </c>
      <c r="R5" s="22">
        <v>0</v>
      </c>
      <c r="S5" s="23">
        <v>0</v>
      </c>
      <c r="T5" s="24">
        <v>0</v>
      </c>
      <c r="U5" s="25"/>
      <c r="V5" s="1" t="s">
        <v>14</v>
      </c>
    </row>
    <row r="7" spans="1:38" x14ac:dyDescent="0.3">
      <c r="B7" s="26" t="s">
        <v>15</v>
      </c>
      <c r="C7" s="27" t="s">
        <v>16</v>
      </c>
      <c r="D7" s="28" t="s">
        <v>17</v>
      </c>
      <c r="E7" s="29" t="s">
        <v>18</v>
      </c>
      <c r="F7" s="30" t="s">
        <v>19</v>
      </c>
      <c r="G7" s="31" t="s">
        <v>20</v>
      </c>
      <c r="H7" s="32" t="s">
        <v>21</v>
      </c>
      <c r="I7" s="33" t="s">
        <v>22</v>
      </c>
      <c r="J7" s="31" t="s">
        <v>23</v>
      </c>
      <c r="K7" s="32" t="s">
        <v>24</v>
      </c>
      <c r="L7" s="33" t="s">
        <v>25</v>
      </c>
      <c r="M7" s="34" t="s">
        <v>26</v>
      </c>
      <c r="N7" s="35" t="s">
        <v>27</v>
      </c>
      <c r="O7" s="33" t="s">
        <v>28</v>
      </c>
      <c r="P7" s="36" t="s">
        <v>29</v>
      </c>
      <c r="Q7" s="28" t="s">
        <v>30</v>
      </c>
      <c r="R7" s="29" t="s">
        <v>31</v>
      </c>
      <c r="S7" s="37" t="s">
        <v>7</v>
      </c>
      <c r="T7" s="28" t="s">
        <v>32</v>
      </c>
      <c r="U7" s="37" t="s">
        <v>33</v>
      </c>
    </row>
    <row r="8" spans="1:38" x14ac:dyDescent="0.3">
      <c r="B8" s="38"/>
      <c r="C8" s="39"/>
      <c r="D8" s="40"/>
      <c r="E8" s="41"/>
      <c r="F8" s="42"/>
      <c r="G8" s="43"/>
      <c r="H8" s="44"/>
      <c r="I8" s="45"/>
      <c r="J8" s="43"/>
      <c r="K8" s="44"/>
      <c r="L8" s="45"/>
      <c r="M8" s="43"/>
      <c r="N8" s="44"/>
      <c r="O8" s="45"/>
      <c r="P8" s="46"/>
      <c r="Q8" s="40"/>
      <c r="R8" s="41"/>
      <c r="S8" s="47"/>
      <c r="T8" s="40"/>
      <c r="U8" s="47"/>
    </row>
    <row r="9" spans="1:38" x14ac:dyDescent="0.3">
      <c r="B9" s="48" t="s">
        <v>34</v>
      </c>
      <c r="C9" s="49" t="s">
        <v>34</v>
      </c>
      <c r="D9" s="50" t="s">
        <v>34</v>
      </c>
      <c r="E9" s="51" t="s">
        <v>34</v>
      </c>
      <c r="F9" s="52" t="s">
        <v>34</v>
      </c>
      <c r="G9" s="53">
        <v>32</v>
      </c>
      <c r="H9" s="54">
        <v>1340816000</v>
      </c>
      <c r="I9" s="55" t="s">
        <v>34</v>
      </c>
      <c r="J9" s="53">
        <v>32</v>
      </c>
      <c r="K9" s="54">
        <v>1348785000</v>
      </c>
      <c r="L9" s="56" t="s">
        <v>34</v>
      </c>
      <c r="M9" s="53">
        <v>0</v>
      </c>
      <c r="N9" s="54">
        <v>0</v>
      </c>
      <c r="O9" s="55" t="s">
        <v>34</v>
      </c>
      <c r="P9" s="57" t="s">
        <v>34</v>
      </c>
      <c r="Q9" s="50">
        <v>-11894999.999999899</v>
      </c>
      <c r="R9" s="51">
        <v>3926000.0000000969</v>
      </c>
      <c r="S9" s="58">
        <v>-7968999.9999998007</v>
      </c>
      <c r="T9" s="50">
        <v>67569000</v>
      </c>
      <c r="U9" s="59">
        <v>0</v>
      </c>
    </row>
    <row r="10" spans="1:38" x14ac:dyDescent="0.3">
      <c r="B10" s="60" t="s">
        <v>35</v>
      </c>
      <c r="C10" s="61" t="s">
        <v>36</v>
      </c>
      <c r="D10" s="62">
        <v>0</v>
      </c>
      <c r="E10" s="63" t="s">
        <v>34</v>
      </c>
      <c r="F10" s="64" t="s">
        <v>37</v>
      </c>
      <c r="G10" s="65">
        <v>23</v>
      </c>
      <c r="H10" s="66">
        <v>1212927000</v>
      </c>
      <c r="I10" s="67">
        <v>1054.7191304347828</v>
      </c>
      <c r="J10" s="68">
        <v>23</v>
      </c>
      <c r="K10" s="69">
        <v>1221384000</v>
      </c>
      <c r="L10" s="70">
        <v>1062.0730434782608</v>
      </c>
      <c r="M10" s="71">
        <v>0</v>
      </c>
      <c r="N10" s="72">
        <v>0</v>
      </c>
      <c r="O10" s="73" t="s">
        <v>34</v>
      </c>
      <c r="P10" s="74">
        <v>1063.7</v>
      </c>
      <c r="Q10" s="62">
        <v>-10327999.999999885</v>
      </c>
      <c r="R10" s="63">
        <v>1871000.0000000831</v>
      </c>
      <c r="S10" s="75">
        <v>-8456999.9999998007</v>
      </c>
      <c r="T10" s="62">
        <v>53185000</v>
      </c>
      <c r="U10" s="75">
        <v>0</v>
      </c>
    </row>
    <row r="11" spans="1:38" x14ac:dyDescent="0.3">
      <c r="B11" s="76" t="s">
        <v>38</v>
      </c>
      <c r="C11" s="77" t="s">
        <v>39</v>
      </c>
      <c r="D11" s="20">
        <v>0</v>
      </c>
      <c r="E11" s="21" t="s">
        <v>34</v>
      </c>
      <c r="F11" s="78" t="s">
        <v>37</v>
      </c>
      <c r="G11" s="79">
        <v>9</v>
      </c>
      <c r="H11" s="80">
        <v>127889000</v>
      </c>
      <c r="I11" s="81">
        <v>1420.9888888888888</v>
      </c>
      <c r="J11" s="82">
        <v>9</v>
      </c>
      <c r="K11" s="83">
        <v>127401000</v>
      </c>
      <c r="L11" s="84">
        <v>1415.5666666666666</v>
      </c>
      <c r="M11" s="85">
        <v>0</v>
      </c>
      <c r="N11" s="86">
        <v>0</v>
      </c>
      <c r="O11" s="87" t="s">
        <v>34</v>
      </c>
      <c r="P11" s="88">
        <v>1438.4</v>
      </c>
      <c r="Q11" s="20">
        <v>-1567000.0000000142</v>
      </c>
      <c r="R11" s="21">
        <v>2055000.0000000137</v>
      </c>
      <c r="S11" s="22">
        <v>487999.99999999953</v>
      </c>
      <c r="T11" s="20">
        <v>14384000</v>
      </c>
      <c r="U11" s="22">
        <v>0</v>
      </c>
    </row>
    <row r="12" spans="1:38" x14ac:dyDescent="0.3">
      <c r="B12" s="89"/>
      <c r="F12" s="89"/>
      <c r="G12" s="90" t="s">
        <v>40</v>
      </c>
      <c r="H12" s="91"/>
      <c r="I12" s="92"/>
      <c r="J12" s="91"/>
      <c r="K12" s="91"/>
      <c r="L12" s="92"/>
      <c r="M12" s="91"/>
      <c r="N12" s="93">
        <v>0</v>
      </c>
      <c r="O12" s="94"/>
      <c r="P12" s="95"/>
      <c r="Q12" s="95"/>
      <c r="T12" s="96" t="s">
        <v>41</v>
      </c>
      <c r="U12" s="96"/>
      <c r="V12" s="96"/>
      <c r="W12" s="97"/>
      <c r="AA12" s="1" t="s">
        <v>42</v>
      </c>
    </row>
    <row r="13" spans="1:38" ht="26.25" customHeight="1" x14ac:dyDescent="0.3">
      <c r="B13" s="98" t="s">
        <v>15</v>
      </c>
      <c r="C13" s="99" t="s">
        <v>16</v>
      </c>
      <c r="D13" s="9" t="s">
        <v>17</v>
      </c>
      <c r="E13" s="10" t="s">
        <v>18</v>
      </c>
      <c r="F13" s="100" t="s">
        <v>19</v>
      </c>
      <c r="G13" s="10" t="s">
        <v>43</v>
      </c>
      <c r="H13" s="10" t="s">
        <v>44</v>
      </c>
      <c r="I13" s="101" t="s">
        <v>22</v>
      </c>
      <c r="J13" s="9" t="s">
        <v>45</v>
      </c>
      <c r="K13" s="10" t="s">
        <v>46</v>
      </c>
      <c r="L13" s="102" t="s">
        <v>25</v>
      </c>
      <c r="M13" s="103" t="s">
        <v>26</v>
      </c>
      <c r="N13" s="104" t="s">
        <v>47</v>
      </c>
      <c r="O13" s="11" t="s">
        <v>28</v>
      </c>
      <c r="P13" s="101" t="s">
        <v>29</v>
      </c>
      <c r="Q13" s="101" t="s">
        <v>48</v>
      </c>
      <c r="R13" s="9" t="s">
        <v>30</v>
      </c>
      <c r="S13" s="10" t="s">
        <v>31</v>
      </c>
      <c r="T13" s="11" t="s">
        <v>7</v>
      </c>
      <c r="U13" s="1" t="s">
        <v>49</v>
      </c>
      <c r="V13" s="1" t="s">
        <v>50</v>
      </c>
      <c r="W13" s="1" t="s">
        <v>51</v>
      </c>
      <c r="X13" s="10" t="s">
        <v>52</v>
      </c>
      <c r="Y13" s="11" t="s">
        <v>53</v>
      </c>
      <c r="Z13" s="105" t="s">
        <v>54</v>
      </c>
      <c r="AA13" s="106" t="s">
        <v>55</v>
      </c>
      <c r="AB13" s="106" t="s">
        <v>56</v>
      </c>
      <c r="AC13" s="106" t="s">
        <v>55</v>
      </c>
      <c r="AD13" s="106" t="s">
        <v>56</v>
      </c>
      <c r="AE13" s="106" t="s">
        <v>57</v>
      </c>
    </row>
    <row r="14" spans="1:38" x14ac:dyDescent="0.3">
      <c r="B14" s="107" t="s">
        <v>34</v>
      </c>
      <c r="C14" s="108" t="s">
        <v>34</v>
      </c>
      <c r="D14" s="109" t="s">
        <v>34</v>
      </c>
      <c r="E14" s="110" t="s">
        <v>34</v>
      </c>
      <c r="F14" s="111" t="s">
        <v>34</v>
      </c>
      <c r="G14" s="110">
        <v>99584</v>
      </c>
      <c r="H14" s="110">
        <v>2178340730</v>
      </c>
      <c r="I14" s="110" t="s">
        <v>34</v>
      </c>
      <c r="J14" s="109">
        <v>99584</v>
      </c>
      <c r="K14" s="110">
        <v>2171221650</v>
      </c>
      <c r="L14" s="112" t="s">
        <v>34</v>
      </c>
      <c r="M14" s="109">
        <v>0</v>
      </c>
      <c r="N14" s="113">
        <v>0</v>
      </c>
      <c r="O14" s="113" t="s">
        <v>34</v>
      </c>
      <c r="P14" s="110" t="s">
        <v>34</v>
      </c>
      <c r="Q14" s="110" t="s">
        <v>34</v>
      </c>
      <c r="R14" s="109">
        <v>-8653180.0000000559</v>
      </c>
      <c r="S14" s="110">
        <v>15772259.999999985</v>
      </c>
      <c r="T14" s="114">
        <v>7119079.9999999274</v>
      </c>
      <c r="U14" s="115">
        <v>0.26567368421052634</v>
      </c>
      <c r="V14" s="116">
        <v>0.48679736842105276</v>
      </c>
      <c r="W14" s="116">
        <v>0.63550526315789468</v>
      </c>
      <c r="X14" s="110">
        <v>0</v>
      </c>
      <c r="Y14" s="113">
        <v>0</v>
      </c>
      <c r="Z14" s="113">
        <v>0</v>
      </c>
      <c r="AA14" s="117">
        <v>0</v>
      </c>
      <c r="AB14" s="117">
        <v>0</v>
      </c>
      <c r="AC14" s="118">
        <v>0</v>
      </c>
      <c r="AD14" s="118">
        <v>0</v>
      </c>
      <c r="AE14" s="1">
        <v>0</v>
      </c>
      <c r="AG14" s="1" t="s">
        <v>58</v>
      </c>
      <c r="AH14" s="1" t="s">
        <v>59</v>
      </c>
      <c r="AJ14" s="1" t="s">
        <v>60</v>
      </c>
      <c r="AK14" s="1" t="s">
        <v>61</v>
      </c>
    </row>
    <row r="15" spans="1:38" x14ac:dyDescent="0.25">
      <c r="A15" s="4"/>
      <c r="B15" s="119" t="s">
        <v>62</v>
      </c>
      <c r="C15" s="120" t="s">
        <v>63</v>
      </c>
      <c r="D15" s="14">
        <v>50000</v>
      </c>
      <c r="E15" s="1">
        <v>8101179</v>
      </c>
      <c r="F15" s="121" t="s">
        <v>64</v>
      </c>
      <c r="G15" s="122">
        <v>13333</v>
      </c>
      <c r="H15" s="122">
        <v>463002795</v>
      </c>
      <c r="I15" s="122">
        <v>34726.077776944425</v>
      </c>
      <c r="J15" s="123">
        <v>13333</v>
      </c>
      <c r="K15" s="122">
        <v>460292640</v>
      </c>
      <c r="L15" s="124">
        <v>34522.811070276759</v>
      </c>
      <c r="M15" s="125">
        <v>0</v>
      </c>
      <c r="N15" s="126">
        <v>0</v>
      </c>
      <c r="O15" s="127">
        <v>0</v>
      </c>
      <c r="P15" s="1">
        <v>34760</v>
      </c>
      <c r="Q15" s="95">
        <v>34817.03</v>
      </c>
      <c r="R15" s="14">
        <v>-452284.99999998359</v>
      </c>
      <c r="S15" s="1">
        <v>3162439.9999999725</v>
      </c>
      <c r="T15" s="15">
        <v>2710154.9999999888</v>
      </c>
      <c r="U15" s="128">
        <v>1.1044</v>
      </c>
      <c r="V15" s="128">
        <v>0.18840000000000001</v>
      </c>
      <c r="W15" s="128">
        <v>0.92920000000000003</v>
      </c>
      <c r="X15" s="1">
        <v>0</v>
      </c>
      <c r="Y15" s="15">
        <v>0</v>
      </c>
      <c r="Z15" s="13">
        <v>0</v>
      </c>
      <c r="AA15" s="129">
        <v>0</v>
      </c>
      <c r="AB15" s="129">
        <v>0</v>
      </c>
      <c r="AC15" s="130">
        <v>0</v>
      </c>
      <c r="AD15" s="131">
        <v>0</v>
      </c>
      <c r="AE15" s="1">
        <v>0</v>
      </c>
      <c r="AG15" s="1" t="s">
        <v>62</v>
      </c>
      <c r="AH15" s="1">
        <v>0</v>
      </c>
      <c r="AJ15" s="95">
        <v>-1</v>
      </c>
      <c r="AK15" s="95">
        <v>-20</v>
      </c>
      <c r="AL15" s="95"/>
    </row>
    <row r="16" spans="1:38" x14ac:dyDescent="0.25">
      <c r="A16" s="4"/>
      <c r="B16" s="119" t="s">
        <v>65</v>
      </c>
      <c r="C16" s="120" t="s">
        <v>66</v>
      </c>
      <c r="D16" s="14">
        <v>30000</v>
      </c>
      <c r="E16" s="1">
        <v>10896492</v>
      </c>
      <c r="F16" s="121" t="s">
        <v>64</v>
      </c>
      <c r="G16" s="122">
        <v>1000</v>
      </c>
      <c r="H16" s="122">
        <v>5008700</v>
      </c>
      <c r="I16" s="122">
        <v>5008.7</v>
      </c>
      <c r="J16" s="123">
        <v>1000</v>
      </c>
      <c r="K16" s="122">
        <v>4940000</v>
      </c>
      <c r="L16" s="124">
        <v>4940</v>
      </c>
      <c r="M16" s="125">
        <v>0</v>
      </c>
      <c r="N16" s="126">
        <v>0</v>
      </c>
      <c r="O16" s="127">
        <v>0</v>
      </c>
      <c r="P16" s="1">
        <v>5010</v>
      </c>
      <c r="Q16" s="95">
        <v>5015.8500000000004</v>
      </c>
      <c r="R16" s="14">
        <v>-1300.0000000001819</v>
      </c>
      <c r="S16" s="1">
        <v>70000</v>
      </c>
      <c r="T16" s="15">
        <v>68699.999999999825</v>
      </c>
      <c r="U16" s="128">
        <v>-0.15659999999999999</v>
      </c>
      <c r="V16" s="128">
        <v>0.57120000000000004</v>
      </c>
      <c r="W16" s="128">
        <v>0.42730000000000001</v>
      </c>
      <c r="X16" s="1">
        <v>0</v>
      </c>
      <c r="Y16" s="15">
        <v>0</v>
      </c>
      <c r="Z16" s="13">
        <v>0</v>
      </c>
      <c r="AA16" s="129">
        <v>0</v>
      </c>
      <c r="AB16" s="129">
        <v>0</v>
      </c>
      <c r="AC16" s="130">
        <v>0</v>
      </c>
      <c r="AD16" s="131">
        <v>0</v>
      </c>
      <c r="AE16" s="1">
        <v>0</v>
      </c>
      <c r="AG16" s="1" t="s">
        <v>65</v>
      </c>
      <c r="AH16" s="1">
        <v>0</v>
      </c>
      <c r="AJ16" s="95">
        <v>13</v>
      </c>
      <c r="AK16" s="95">
        <v>-31</v>
      </c>
      <c r="AL16" s="95"/>
    </row>
    <row r="17" spans="1:38" x14ac:dyDescent="0.25">
      <c r="A17" s="4"/>
      <c r="B17" s="119" t="s">
        <v>67</v>
      </c>
      <c r="C17" s="120" t="s">
        <v>68</v>
      </c>
      <c r="D17" s="14">
        <v>50000</v>
      </c>
      <c r="E17" s="1">
        <v>4350129</v>
      </c>
      <c r="F17" s="121" t="s">
        <v>64</v>
      </c>
      <c r="G17" s="122">
        <v>1021</v>
      </c>
      <c r="H17" s="122">
        <v>5312310</v>
      </c>
      <c r="I17" s="122">
        <v>5203.0460333006858</v>
      </c>
      <c r="J17" s="123">
        <v>1021</v>
      </c>
      <c r="K17" s="122">
        <v>5174005</v>
      </c>
      <c r="L17" s="124">
        <v>5067.5857002938292</v>
      </c>
      <c r="M17" s="125">
        <v>0</v>
      </c>
      <c r="N17" s="126">
        <v>0</v>
      </c>
      <c r="O17" s="127">
        <v>0</v>
      </c>
      <c r="P17" s="1">
        <v>5190</v>
      </c>
      <c r="Q17" s="95">
        <v>5201.54</v>
      </c>
      <c r="R17" s="14">
        <v>13320.000000000251</v>
      </c>
      <c r="S17" s="1">
        <v>124985.00000000041</v>
      </c>
      <c r="T17" s="15">
        <v>138305.00000000067</v>
      </c>
      <c r="U17" s="128">
        <v>7.4200000000000002E-2</v>
      </c>
      <c r="V17" s="128">
        <v>0.86409999999999998</v>
      </c>
      <c r="W17" s="128">
        <v>0.69079999999999997</v>
      </c>
      <c r="X17" s="1">
        <v>0</v>
      </c>
      <c r="Y17" s="15">
        <v>0</v>
      </c>
      <c r="Z17" s="13">
        <v>0</v>
      </c>
      <c r="AA17" s="129">
        <v>0</v>
      </c>
      <c r="AB17" s="129">
        <v>0</v>
      </c>
      <c r="AC17" s="130">
        <v>0</v>
      </c>
      <c r="AD17" s="131">
        <v>0</v>
      </c>
      <c r="AE17" s="1">
        <v>0</v>
      </c>
      <c r="AG17" s="1" t="s">
        <v>67</v>
      </c>
      <c r="AH17" s="1">
        <v>0</v>
      </c>
      <c r="AJ17" s="95">
        <v>10</v>
      </c>
      <c r="AK17" s="95">
        <v>-30</v>
      </c>
      <c r="AL17" s="95"/>
    </row>
    <row r="18" spans="1:38" x14ac:dyDescent="0.25">
      <c r="A18" s="4"/>
      <c r="B18" s="132" t="s">
        <v>69</v>
      </c>
      <c r="C18" s="120" t="s">
        <v>70</v>
      </c>
      <c r="D18" s="14">
        <v>50000</v>
      </c>
      <c r="E18" s="1">
        <v>3719940</v>
      </c>
      <c r="F18" s="121" t="s">
        <v>64</v>
      </c>
      <c r="G18" s="122">
        <v>9501</v>
      </c>
      <c r="H18" s="122">
        <v>102021060</v>
      </c>
      <c r="I18" s="122">
        <v>10737.928639090622</v>
      </c>
      <c r="J18" s="123">
        <v>9501</v>
      </c>
      <c r="K18" s="122">
        <v>103224280</v>
      </c>
      <c r="L18" s="124">
        <v>10864.570045258393</v>
      </c>
      <c r="M18" s="125">
        <v>0</v>
      </c>
      <c r="N18" s="126">
        <v>0</v>
      </c>
      <c r="O18" s="127">
        <v>0</v>
      </c>
      <c r="P18" s="1">
        <v>10860</v>
      </c>
      <c r="Q18" s="95">
        <v>10866.51</v>
      </c>
      <c r="R18" s="14">
        <v>-1159800.0000000023</v>
      </c>
      <c r="S18" s="1">
        <v>-43419.999999994674</v>
      </c>
      <c r="T18" s="15">
        <v>-1203219.999999997</v>
      </c>
      <c r="U18" s="128">
        <v>9.1800000000000007E-2</v>
      </c>
      <c r="V18" s="128">
        <v>0.69969999999999999</v>
      </c>
      <c r="W18" s="128">
        <v>0.57189999999999996</v>
      </c>
      <c r="X18" s="1">
        <v>0</v>
      </c>
      <c r="Y18" s="15">
        <v>0</v>
      </c>
      <c r="Z18" s="13">
        <v>0</v>
      </c>
      <c r="AA18" s="129">
        <v>0</v>
      </c>
      <c r="AB18" s="129">
        <v>0</v>
      </c>
      <c r="AC18" s="130">
        <v>0</v>
      </c>
      <c r="AD18" s="131">
        <v>0</v>
      </c>
      <c r="AE18" s="1">
        <v>0</v>
      </c>
      <c r="AG18" s="1" t="s">
        <v>69</v>
      </c>
      <c r="AH18" s="1">
        <v>0</v>
      </c>
      <c r="AJ18" s="95">
        <v>9</v>
      </c>
      <c r="AK18" s="95">
        <v>-30</v>
      </c>
      <c r="AL18" s="95"/>
    </row>
    <row r="19" spans="1:38" x14ac:dyDescent="0.25">
      <c r="A19" s="4"/>
      <c r="B19" s="132" t="s">
        <v>71</v>
      </c>
      <c r="C19" s="120" t="s">
        <v>72</v>
      </c>
      <c r="D19" s="14">
        <v>50000</v>
      </c>
      <c r="E19" s="1">
        <v>1598064</v>
      </c>
      <c r="F19" s="121" t="s">
        <v>64</v>
      </c>
      <c r="G19" s="122">
        <v>11595</v>
      </c>
      <c r="H19" s="122">
        <v>219903775</v>
      </c>
      <c r="I19" s="122">
        <v>18965.396722725312</v>
      </c>
      <c r="J19" s="123">
        <v>11595</v>
      </c>
      <c r="K19" s="122">
        <v>221542945</v>
      </c>
      <c r="L19" s="124">
        <v>19106.76541612764</v>
      </c>
      <c r="M19" s="125">
        <v>0</v>
      </c>
      <c r="N19" s="126">
        <v>0</v>
      </c>
      <c r="O19" s="127">
        <v>0</v>
      </c>
      <c r="P19" s="1">
        <v>19090</v>
      </c>
      <c r="Q19" s="95">
        <v>19091.97</v>
      </c>
      <c r="R19" s="14">
        <v>-1444775.0000000023</v>
      </c>
      <c r="S19" s="1">
        <v>-194394.9999999915</v>
      </c>
      <c r="T19" s="15">
        <v>-1639169.9999999939</v>
      </c>
      <c r="U19" s="128">
        <v>0.43719999999999998</v>
      </c>
      <c r="V19" s="128">
        <v>0.65169999999999995</v>
      </c>
      <c r="W19" s="128">
        <v>0.68069999999999997</v>
      </c>
      <c r="X19" s="1">
        <v>0</v>
      </c>
      <c r="Y19" s="15">
        <v>0</v>
      </c>
      <c r="Z19" s="13">
        <v>0</v>
      </c>
      <c r="AA19" s="129">
        <v>0</v>
      </c>
      <c r="AB19" s="129">
        <v>0</v>
      </c>
      <c r="AC19" s="130">
        <v>0</v>
      </c>
      <c r="AD19" s="131">
        <v>0</v>
      </c>
      <c r="AE19" s="1">
        <v>0</v>
      </c>
      <c r="AG19" s="1" t="s">
        <v>71</v>
      </c>
      <c r="AH19" s="1">
        <v>0</v>
      </c>
      <c r="AJ19" s="95">
        <v>8</v>
      </c>
      <c r="AK19" s="95">
        <v>-29</v>
      </c>
      <c r="AL19" s="95"/>
    </row>
    <row r="20" spans="1:38" x14ac:dyDescent="0.25">
      <c r="A20" s="4"/>
      <c r="B20" s="119" t="s">
        <v>73</v>
      </c>
      <c r="C20" s="120" t="s">
        <v>74</v>
      </c>
      <c r="D20" s="14">
        <v>50000</v>
      </c>
      <c r="E20" s="1">
        <v>548099</v>
      </c>
      <c r="F20" s="121" t="s">
        <v>64</v>
      </c>
      <c r="G20" s="122">
        <v>0</v>
      </c>
      <c r="H20" s="122">
        <v>0</v>
      </c>
      <c r="I20" s="122">
        <v>0</v>
      </c>
      <c r="J20" s="123">
        <v>0</v>
      </c>
      <c r="K20" s="122">
        <v>0</v>
      </c>
      <c r="L20" s="124">
        <v>0</v>
      </c>
      <c r="M20" s="125">
        <v>0</v>
      </c>
      <c r="N20" s="126">
        <v>0</v>
      </c>
      <c r="O20" s="127">
        <v>0</v>
      </c>
      <c r="P20" s="1">
        <v>19575</v>
      </c>
      <c r="Q20" s="95">
        <v>19621.29</v>
      </c>
      <c r="R20" s="14">
        <v>0</v>
      </c>
      <c r="S20" s="1">
        <v>0</v>
      </c>
      <c r="T20" s="15">
        <v>0</v>
      </c>
      <c r="U20" s="128">
        <v>6.5000000000000002E-2</v>
      </c>
      <c r="V20" s="128">
        <v>0.73129999999999995</v>
      </c>
      <c r="W20" s="128">
        <v>0.6179</v>
      </c>
      <c r="X20" s="1">
        <v>0</v>
      </c>
      <c r="Y20" s="15">
        <v>0</v>
      </c>
      <c r="Z20" s="13">
        <v>0</v>
      </c>
      <c r="AA20" s="129">
        <v>0</v>
      </c>
      <c r="AB20" s="129">
        <v>0</v>
      </c>
      <c r="AC20" s="130">
        <v>0</v>
      </c>
      <c r="AD20" s="131">
        <v>0</v>
      </c>
      <c r="AE20" s="1">
        <v>0</v>
      </c>
      <c r="AG20" s="1" t="s">
        <v>73</v>
      </c>
      <c r="AH20" s="1">
        <v>0</v>
      </c>
      <c r="AJ20" s="95">
        <v>8</v>
      </c>
      <c r="AK20" s="95">
        <v>-29</v>
      </c>
      <c r="AL20" s="95"/>
    </row>
    <row r="21" spans="1:38" x14ac:dyDescent="0.25">
      <c r="A21" s="4"/>
      <c r="B21" s="119" t="s">
        <v>75</v>
      </c>
      <c r="C21" s="120" t="s">
        <v>76</v>
      </c>
      <c r="D21" s="14">
        <v>50000</v>
      </c>
      <c r="E21" s="1">
        <v>209925</v>
      </c>
      <c r="F21" s="121" t="s">
        <v>64</v>
      </c>
      <c r="G21" s="122">
        <v>2450</v>
      </c>
      <c r="H21" s="122">
        <v>53531840</v>
      </c>
      <c r="I21" s="122">
        <v>21849.730612244897</v>
      </c>
      <c r="J21" s="123">
        <v>2450</v>
      </c>
      <c r="K21" s="122">
        <v>53044365</v>
      </c>
      <c r="L21" s="124">
        <v>21650.761224489797</v>
      </c>
      <c r="M21" s="125">
        <v>0</v>
      </c>
      <c r="N21" s="126">
        <v>0</v>
      </c>
      <c r="O21" s="127">
        <v>0</v>
      </c>
      <c r="P21" s="1">
        <v>21855</v>
      </c>
      <c r="Q21" s="95">
        <v>21893.42</v>
      </c>
      <c r="R21" s="14">
        <v>-12910.000000001855</v>
      </c>
      <c r="S21" s="1">
        <v>500384.99999999657</v>
      </c>
      <c r="T21" s="15">
        <v>487474.9999999947</v>
      </c>
      <c r="U21" s="128">
        <v>0.15060000000000001</v>
      </c>
      <c r="V21" s="128">
        <v>0.50080000000000002</v>
      </c>
      <c r="W21" s="128">
        <v>0.47749999999999998</v>
      </c>
      <c r="X21" s="1">
        <v>0</v>
      </c>
      <c r="Y21" s="15">
        <v>0</v>
      </c>
      <c r="Z21" s="13">
        <v>0</v>
      </c>
      <c r="AA21" s="129">
        <v>0</v>
      </c>
      <c r="AB21" s="129">
        <v>0</v>
      </c>
      <c r="AC21" s="130">
        <v>0</v>
      </c>
      <c r="AD21" s="131">
        <v>0</v>
      </c>
      <c r="AE21" s="1">
        <v>0</v>
      </c>
      <c r="AG21" s="1" t="s">
        <v>75</v>
      </c>
      <c r="AH21" s="1">
        <v>0</v>
      </c>
      <c r="AJ21" s="95">
        <v>6</v>
      </c>
      <c r="AK21" s="95">
        <v>-26</v>
      </c>
      <c r="AL21" s="95"/>
    </row>
    <row r="22" spans="1:38" x14ac:dyDescent="0.25">
      <c r="A22" s="4"/>
      <c r="B22" s="119" t="s">
        <v>77</v>
      </c>
      <c r="C22" s="120" t="s">
        <v>78</v>
      </c>
      <c r="D22" s="14">
        <v>50000</v>
      </c>
      <c r="E22" s="1">
        <v>665581</v>
      </c>
      <c r="F22" s="121" t="s">
        <v>64</v>
      </c>
      <c r="G22" s="122">
        <v>447</v>
      </c>
      <c r="H22" s="122">
        <v>3336600</v>
      </c>
      <c r="I22" s="122">
        <v>7464.4295302013425</v>
      </c>
      <c r="J22" s="123">
        <v>447</v>
      </c>
      <c r="K22" s="122">
        <v>3345715</v>
      </c>
      <c r="L22" s="124">
        <v>7484.8210290827737</v>
      </c>
      <c r="M22" s="125">
        <v>0</v>
      </c>
      <c r="N22" s="126">
        <v>0</v>
      </c>
      <c r="O22" s="127">
        <v>0</v>
      </c>
      <c r="P22" s="1">
        <v>7490</v>
      </c>
      <c r="Q22" s="95">
        <v>7502.19</v>
      </c>
      <c r="R22" s="14">
        <v>-11429.99999999992</v>
      </c>
      <c r="S22" s="1">
        <v>2315.0000000001346</v>
      </c>
      <c r="T22" s="15">
        <v>-9114.9999999997854</v>
      </c>
      <c r="U22" s="128">
        <v>-2.9399999999999999E-2</v>
      </c>
      <c r="V22" s="128">
        <v>0.60109999999999997</v>
      </c>
      <c r="W22" s="128">
        <v>0.59389999999999998</v>
      </c>
      <c r="X22" s="1">
        <v>0</v>
      </c>
      <c r="Y22" s="15">
        <v>0</v>
      </c>
      <c r="Z22" s="13">
        <v>0</v>
      </c>
      <c r="AA22" s="129">
        <v>0</v>
      </c>
      <c r="AB22" s="129">
        <v>0</v>
      </c>
      <c r="AC22" s="130">
        <v>0</v>
      </c>
      <c r="AD22" s="131">
        <v>0</v>
      </c>
      <c r="AE22" s="1">
        <v>0</v>
      </c>
      <c r="AF22" s="133"/>
      <c r="AG22" s="1" t="s">
        <v>77</v>
      </c>
      <c r="AH22" s="1">
        <v>0</v>
      </c>
      <c r="AJ22" s="95">
        <v>6</v>
      </c>
      <c r="AK22" s="95">
        <v>-28</v>
      </c>
      <c r="AL22" s="95"/>
    </row>
    <row r="23" spans="1:38" x14ac:dyDescent="0.25">
      <c r="A23" s="4"/>
      <c r="B23" s="119" t="s">
        <v>79</v>
      </c>
      <c r="C23" s="120" t="s">
        <v>80</v>
      </c>
      <c r="D23" s="14">
        <v>50000</v>
      </c>
      <c r="E23" s="1">
        <v>1727508</v>
      </c>
      <c r="F23" s="121" t="s">
        <v>64</v>
      </c>
      <c r="G23" s="122">
        <v>1000</v>
      </c>
      <c r="H23" s="122">
        <v>16974840</v>
      </c>
      <c r="I23" s="122">
        <v>16974.84</v>
      </c>
      <c r="J23" s="123">
        <v>1000</v>
      </c>
      <c r="K23" s="122">
        <v>17113765</v>
      </c>
      <c r="L23" s="124">
        <v>17113.764999999999</v>
      </c>
      <c r="M23" s="125">
        <v>0</v>
      </c>
      <c r="N23" s="126">
        <v>0</v>
      </c>
      <c r="O23" s="127">
        <v>0</v>
      </c>
      <c r="P23" s="1">
        <v>17115</v>
      </c>
      <c r="Q23" s="95">
        <v>17106.22</v>
      </c>
      <c r="R23" s="14">
        <v>-140159.99999999985</v>
      </c>
      <c r="S23" s="1">
        <v>1235.0000000005821</v>
      </c>
      <c r="T23" s="15">
        <v>-138924.99999999927</v>
      </c>
      <c r="U23" s="128">
        <v>0.2049</v>
      </c>
      <c r="V23" s="128">
        <v>0.8377</v>
      </c>
      <c r="W23" s="128">
        <v>0.70050000000000001</v>
      </c>
      <c r="X23" s="1">
        <v>0</v>
      </c>
      <c r="Y23" s="15">
        <v>0</v>
      </c>
      <c r="Z23" s="13">
        <v>0</v>
      </c>
      <c r="AA23" s="129">
        <v>0</v>
      </c>
      <c r="AB23" s="129">
        <v>0</v>
      </c>
      <c r="AC23" s="130">
        <v>0</v>
      </c>
      <c r="AD23" s="131">
        <v>0</v>
      </c>
      <c r="AE23" s="1">
        <v>0</v>
      </c>
      <c r="AF23" s="133"/>
      <c r="AG23" s="1" t="s">
        <v>79</v>
      </c>
      <c r="AH23" s="1">
        <v>0</v>
      </c>
      <c r="AJ23" s="95">
        <v>10</v>
      </c>
      <c r="AK23" s="95">
        <v>-32</v>
      </c>
    </row>
    <row r="24" spans="1:38" x14ac:dyDescent="0.25">
      <c r="A24" s="4"/>
      <c r="B24" s="119" t="s">
        <v>81</v>
      </c>
      <c r="C24" s="120" t="s">
        <v>82</v>
      </c>
      <c r="D24" s="14">
        <v>50000</v>
      </c>
      <c r="E24" s="1">
        <v>222385</v>
      </c>
      <c r="F24" s="121" t="s">
        <v>64</v>
      </c>
      <c r="G24" s="122">
        <v>2015</v>
      </c>
      <c r="H24" s="122">
        <v>75210935</v>
      </c>
      <c r="I24" s="122">
        <v>37325.526054590569</v>
      </c>
      <c r="J24" s="123">
        <v>2015</v>
      </c>
      <c r="K24" s="122">
        <v>75483060</v>
      </c>
      <c r="L24" s="124">
        <v>37460.575682382136</v>
      </c>
      <c r="M24" s="125">
        <v>0</v>
      </c>
      <c r="N24" s="126">
        <v>0</v>
      </c>
      <c r="O24" s="127">
        <v>0</v>
      </c>
      <c r="P24" s="1">
        <v>37335</v>
      </c>
      <c r="Q24" s="95">
        <v>37383.22</v>
      </c>
      <c r="R24" s="14">
        <v>-19090.000000002656</v>
      </c>
      <c r="S24" s="1">
        <v>-253035.00000000346</v>
      </c>
      <c r="T24" s="15">
        <v>-272125.00000000611</v>
      </c>
      <c r="U24" s="128">
        <v>0.9718</v>
      </c>
      <c r="V24" s="128">
        <v>-1.1000000000000001E-3</v>
      </c>
      <c r="W24" s="128">
        <v>0.98240000000000005</v>
      </c>
      <c r="X24" s="1">
        <v>0</v>
      </c>
      <c r="Y24" s="15">
        <v>0</v>
      </c>
      <c r="Z24" s="13">
        <v>0</v>
      </c>
      <c r="AA24" s="129">
        <v>0</v>
      </c>
      <c r="AB24" s="129">
        <v>0</v>
      </c>
      <c r="AC24" s="130">
        <v>0</v>
      </c>
      <c r="AD24" s="131">
        <v>0</v>
      </c>
      <c r="AE24" s="1">
        <v>0</v>
      </c>
      <c r="AF24" s="133"/>
      <c r="AG24" s="1" t="s">
        <v>81</v>
      </c>
      <c r="AH24" s="1">
        <v>0</v>
      </c>
      <c r="AJ24" s="95">
        <v>4</v>
      </c>
      <c r="AK24" s="95">
        <v>-23</v>
      </c>
    </row>
    <row r="25" spans="1:38" x14ac:dyDescent="0.25">
      <c r="A25" s="4"/>
      <c r="B25" s="119" t="s">
        <v>83</v>
      </c>
      <c r="C25" s="120" t="s">
        <v>84</v>
      </c>
      <c r="D25" s="14">
        <v>20000</v>
      </c>
      <c r="E25" s="1">
        <v>54771</v>
      </c>
      <c r="F25" s="121" t="s">
        <v>64</v>
      </c>
      <c r="G25" s="122">
        <v>0</v>
      </c>
      <c r="H25" s="122">
        <v>0</v>
      </c>
      <c r="I25" s="122">
        <v>0</v>
      </c>
      <c r="J25" s="123">
        <v>0</v>
      </c>
      <c r="K25" s="122">
        <v>0</v>
      </c>
      <c r="L25" s="124">
        <v>0</v>
      </c>
      <c r="M25" s="125">
        <v>0</v>
      </c>
      <c r="N25" s="126">
        <v>0</v>
      </c>
      <c r="O25" s="127">
        <v>0</v>
      </c>
      <c r="P25" s="1">
        <v>13230</v>
      </c>
      <c r="Q25" s="95">
        <v>13230.19</v>
      </c>
      <c r="R25" s="14">
        <v>0</v>
      </c>
      <c r="S25" s="1">
        <v>0</v>
      </c>
      <c r="T25" s="15">
        <v>0</v>
      </c>
      <c r="U25" s="128">
        <v>0.23980000000000001</v>
      </c>
      <c r="V25" s="128">
        <v>0.57110000000000005</v>
      </c>
      <c r="W25" s="128">
        <v>0.68110000000000004</v>
      </c>
      <c r="X25" s="1">
        <v>0</v>
      </c>
      <c r="Y25" s="15">
        <v>0</v>
      </c>
      <c r="Z25" s="13">
        <v>0</v>
      </c>
      <c r="AA25" s="129">
        <v>0</v>
      </c>
      <c r="AB25" s="129">
        <v>0</v>
      </c>
      <c r="AC25" s="130">
        <v>0</v>
      </c>
      <c r="AD25" s="131">
        <v>0</v>
      </c>
      <c r="AE25" s="1">
        <v>0</v>
      </c>
      <c r="AF25" s="133"/>
      <c r="AG25" s="1" t="s">
        <v>83</v>
      </c>
      <c r="AH25" s="1">
        <v>0</v>
      </c>
      <c r="AJ25" s="95">
        <v>13</v>
      </c>
      <c r="AK25" s="95">
        <v>-30</v>
      </c>
    </row>
    <row r="26" spans="1:38" x14ac:dyDescent="0.25">
      <c r="A26" s="4"/>
      <c r="B26" s="119" t="s">
        <v>85</v>
      </c>
      <c r="C26" s="120" t="s">
        <v>86</v>
      </c>
      <c r="D26" s="14">
        <v>50000</v>
      </c>
      <c r="E26" s="1">
        <v>55297</v>
      </c>
      <c r="F26" s="121" t="s">
        <v>64</v>
      </c>
      <c r="G26" s="122">
        <v>159</v>
      </c>
      <c r="H26" s="122">
        <v>762425</v>
      </c>
      <c r="I26" s="122">
        <v>4795.1257861635222</v>
      </c>
      <c r="J26" s="123">
        <v>159</v>
      </c>
      <c r="K26" s="122">
        <v>758430</v>
      </c>
      <c r="L26" s="124">
        <v>4770</v>
      </c>
      <c r="M26" s="125">
        <v>0</v>
      </c>
      <c r="N26" s="126">
        <v>0</v>
      </c>
      <c r="O26" s="127">
        <v>0</v>
      </c>
      <c r="P26" s="1">
        <v>4795</v>
      </c>
      <c r="Q26" s="95">
        <v>4804.17</v>
      </c>
      <c r="R26" s="14">
        <v>20.000000000030923</v>
      </c>
      <c r="S26" s="1">
        <v>3975</v>
      </c>
      <c r="T26" s="15">
        <v>3995.0000000000309</v>
      </c>
      <c r="U26" s="128">
        <v>-8.77E-2</v>
      </c>
      <c r="V26" s="128">
        <v>0.38729999999999998</v>
      </c>
      <c r="W26" s="128">
        <v>0.2429</v>
      </c>
      <c r="X26" s="1">
        <v>0</v>
      </c>
      <c r="Y26" s="15">
        <v>0</v>
      </c>
      <c r="Z26" s="13">
        <v>0</v>
      </c>
      <c r="AA26" s="129">
        <v>0</v>
      </c>
      <c r="AB26" s="129">
        <v>0</v>
      </c>
      <c r="AC26" s="130">
        <v>0</v>
      </c>
      <c r="AD26" s="131">
        <v>0</v>
      </c>
      <c r="AE26" s="1">
        <v>0</v>
      </c>
      <c r="AF26" s="133"/>
      <c r="AG26" s="1" t="s">
        <v>85</v>
      </c>
      <c r="AH26" s="1">
        <v>0</v>
      </c>
      <c r="AJ26" s="95">
        <v>23</v>
      </c>
      <c r="AK26" s="95">
        <v>-35</v>
      </c>
    </row>
    <row r="27" spans="1:38" x14ac:dyDescent="0.25">
      <c r="A27" s="4"/>
      <c r="B27" s="119" t="s">
        <v>87</v>
      </c>
      <c r="C27" s="120" t="s">
        <v>88</v>
      </c>
      <c r="D27" s="14">
        <v>20000</v>
      </c>
      <c r="E27" s="1">
        <v>238165</v>
      </c>
      <c r="F27" s="121" t="s">
        <v>64</v>
      </c>
      <c r="G27" s="122">
        <v>0</v>
      </c>
      <c r="H27" s="122">
        <v>0</v>
      </c>
      <c r="I27" s="122">
        <v>0</v>
      </c>
      <c r="J27" s="123">
        <v>0</v>
      </c>
      <c r="K27" s="122">
        <v>0</v>
      </c>
      <c r="L27" s="124">
        <v>0</v>
      </c>
      <c r="M27" s="125">
        <v>0</v>
      </c>
      <c r="N27" s="126">
        <v>0</v>
      </c>
      <c r="O27" s="127">
        <v>0</v>
      </c>
      <c r="P27" s="1">
        <v>12515</v>
      </c>
      <c r="Q27" s="95">
        <v>12548.38</v>
      </c>
      <c r="R27" s="14">
        <v>0</v>
      </c>
      <c r="S27" s="1">
        <v>0</v>
      </c>
      <c r="T27" s="15">
        <v>0</v>
      </c>
      <c r="U27" s="128">
        <v>0.47820000000000001</v>
      </c>
      <c r="V27" s="128">
        <v>0.44819999999999999</v>
      </c>
      <c r="W27" s="128">
        <v>0.69120000000000004</v>
      </c>
      <c r="X27" s="1">
        <v>0</v>
      </c>
      <c r="Y27" s="15">
        <v>0</v>
      </c>
      <c r="Z27" s="13">
        <v>0</v>
      </c>
      <c r="AA27" s="129">
        <v>0</v>
      </c>
      <c r="AB27" s="129">
        <v>0</v>
      </c>
      <c r="AC27" s="130">
        <v>0</v>
      </c>
      <c r="AD27" s="131">
        <v>0</v>
      </c>
      <c r="AE27" s="1">
        <v>0</v>
      </c>
      <c r="AF27" s="133"/>
      <c r="AG27" s="1" t="s">
        <v>87</v>
      </c>
      <c r="AH27" s="1">
        <v>0</v>
      </c>
      <c r="AJ27" s="95">
        <v>7</v>
      </c>
      <c r="AK27" s="95">
        <v>-30</v>
      </c>
    </row>
    <row r="28" spans="1:38" x14ac:dyDescent="0.25">
      <c r="A28" s="4"/>
      <c r="B28" s="119" t="s">
        <v>89</v>
      </c>
      <c r="C28" s="120" t="s">
        <v>90</v>
      </c>
      <c r="D28" s="14">
        <v>30000</v>
      </c>
      <c r="E28" s="1">
        <v>57376</v>
      </c>
      <c r="F28" s="121" t="s">
        <v>64</v>
      </c>
      <c r="G28" s="122">
        <v>1</v>
      </c>
      <c r="H28" s="122">
        <v>3055</v>
      </c>
      <c r="I28" s="122">
        <v>3055</v>
      </c>
      <c r="J28" s="123">
        <v>1</v>
      </c>
      <c r="K28" s="122">
        <v>3120</v>
      </c>
      <c r="L28" s="124">
        <v>3120</v>
      </c>
      <c r="M28" s="125">
        <v>0</v>
      </c>
      <c r="N28" s="126">
        <v>0</v>
      </c>
      <c r="O28" s="127">
        <v>0</v>
      </c>
      <c r="P28" s="1">
        <v>3125</v>
      </c>
      <c r="Q28" s="95">
        <v>3137.92</v>
      </c>
      <c r="R28" s="14">
        <v>-70</v>
      </c>
      <c r="S28" s="1">
        <v>5</v>
      </c>
      <c r="T28" s="15">
        <v>-65</v>
      </c>
      <c r="U28" s="128">
        <v>-0.16639999999999999</v>
      </c>
      <c r="V28" s="128">
        <v>0.67720000000000002</v>
      </c>
      <c r="W28" s="128">
        <v>0.58430000000000004</v>
      </c>
      <c r="X28" s="1">
        <v>0</v>
      </c>
      <c r="Y28" s="15">
        <v>0</v>
      </c>
      <c r="Z28" s="13">
        <v>0</v>
      </c>
      <c r="AA28" s="129">
        <v>0</v>
      </c>
      <c r="AB28" s="129">
        <v>0</v>
      </c>
      <c r="AC28" s="130">
        <v>0</v>
      </c>
      <c r="AD28" s="131">
        <v>0</v>
      </c>
      <c r="AE28" s="1">
        <v>0</v>
      </c>
      <c r="AF28" s="133"/>
      <c r="AG28" s="1" t="s">
        <v>89</v>
      </c>
      <c r="AH28" s="1">
        <v>0</v>
      </c>
      <c r="AJ28" s="95">
        <v>22</v>
      </c>
      <c r="AK28" s="95">
        <v>-33</v>
      </c>
    </row>
    <row r="29" spans="1:38" x14ac:dyDescent="0.25">
      <c r="A29" s="4"/>
      <c r="B29" s="134" t="s">
        <v>91</v>
      </c>
      <c r="C29" s="135" t="s">
        <v>92</v>
      </c>
      <c r="D29" s="136">
        <v>10000</v>
      </c>
      <c r="E29" s="137">
        <v>3051463</v>
      </c>
      <c r="F29" s="138" t="s">
        <v>93</v>
      </c>
      <c r="G29" s="122">
        <v>43891</v>
      </c>
      <c r="H29" s="122">
        <v>871224050</v>
      </c>
      <c r="I29" s="122">
        <v>19849.719760315325</v>
      </c>
      <c r="J29" s="123">
        <v>43891</v>
      </c>
      <c r="K29" s="122">
        <v>865102915</v>
      </c>
      <c r="L29" s="124">
        <v>19710.257569889043</v>
      </c>
      <c r="M29" s="125">
        <v>0</v>
      </c>
      <c r="N29" s="126">
        <v>0</v>
      </c>
      <c r="O29" s="127">
        <v>0</v>
      </c>
      <c r="P29" s="1">
        <v>19955</v>
      </c>
      <c r="Q29" s="95">
        <v>19971.57</v>
      </c>
      <c r="R29" s="14">
        <v>-4620855.0000000531</v>
      </c>
      <c r="S29" s="1">
        <v>10741990.000000004</v>
      </c>
      <c r="T29" s="15">
        <v>6121134.9999999506</v>
      </c>
      <c r="U29" s="128">
        <v>0.97460000000000002</v>
      </c>
      <c r="V29" s="128">
        <v>6.9999999999999999E-4</v>
      </c>
      <c r="W29" s="128">
        <v>0.98899999999999999</v>
      </c>
      <c r="X29" s="1">
        <v>0</v>
      </c>
      <c r="Y29" s="15">
        <v>0</v>
      </c>
      <c r="Z29" s="13">
        <v>0</v>
      </c>
      <c r="AA29" s="129">
        <v>0</v>
      </c>
      <c r="AB29" s="129">
        <v>0</v>
      </c>
      <c r="AC29" s="130">
        <v>0</v>
      </c>
      <c r="AD29" s="131">
        <v>0</v>
      </c>
      <c r="AE29" s="1">
        <v>0</v>
      </c>
      <c r="AF29" s="133"/>
      <c r="AG29" s="1" t="s">
        <v>91</v>
      </c>
      <c r="AH29" s="1">
        <v>0</v>
      </c>
      <c r="AJ29" s="95">
        <v>13</v>
      </c>
      <c r="AK29" s="95">
        <v>-11</v>
      </c>
    </row>
    <row r="30" spans="1:38" x14ac:dyDescent="0.25">
      <c r="A30" s="4"/>
      <c r="B30" s="119" t="s">
        <v>94</v>
      </c>
      <c r="C30" s="120" t="s">
        <v>95</v>
      </c>
      <c r="D30" s="14">
        <v>50000</v>
      </c>
      <c r="E30" s="1">
        <v>323866</v>
      </c>
      <c r="F30" s="121" t="s">
        <v>64</v>
      </c>
      <c r="G30" s="122">
        <v>0</v>
      </c>
      <c r="H30" s="122">
        <v>0</v>
      </c>
      <c r="I30" s="122">
        <v>0</v>
      </c>
      <c r="J30" s="123">
        <v>0</v>
      </c>
      <c r="K30" s="122">
        <v>0</v>
      </c>
      <c r="L30" s="124">
        <v>0</v>
      </c>
      <c r="M30" s="125">
        <v>0</v>
      </c>
      <c r="N30" s="126">
        <v>0</v>
      </c>
      <c r="O30" s="127">
        <v>0</v>
      </c>
      <c r="P30" s="1">
        <v>22620</v>
      </c>
      <c r="Q30" s="95">
        <v>22665.47</v>
      </c>
      <c r="R30" s="14">
        <v>0</v>
      </c>
      <c r="S30" s="1">
        <v>0</v>
      </c>
      <c r="T30" s="15">
        <v>0</v>
      </c>
      <c r="U30" s="128">
        <v>0.37959999999999999</v>
      </c>
      <c r="V30" s="128">
        <v>0.39200000000000002</v>
      </c>
      <c r="W30" s="128">
        <v>0.79459999999999997</v>
      </c>
      <c r="X30" s="1">
        <v>0</v>
      </c>
      <c r="Y30" s="15">
        <v>0</v>
      </c>
      <c r="Z30" s="13">
        <v>0</v>
      </c>
      <c r="AA30" s="129">
        <v>0</v>
      </c>
      <c r="AB30" s="129">
        <v>0</v>
      </c>
      <c r="AC30" s="130">
        <v>0</v>
      </c>
      <c r="AD30" s="131">
        <v>0</v>
      </c>
      <c r="AE30" s="1">
        <v>0</v>
      </c>
      <c r="AF30" s="133"/>
      <c r="AG30" s="1" t="s">
        <v>94</v>
      </c>
      <c r="AH30" s="1">
        <v>0</v>
      </c>
      <c r="AJ30" s="95">
        <v>6</v>
      </c>
      <c r="AK30" s="95">
        <v>-31</v>
      </c>
    </row>
    <row r="31" spans="1:38" x14ac:dyDescent="0.25">
      <c r="A31" s="4"/>
      <c r="B31" s="119" t="s">
        <v>96</v>
      </c>
      <c r="C31" s="120" t="s">
        <v>97</v>
      </c>
      <c r="D31" s="14">
        <v>20000</v>
      </c>
      <c r="E31" s="1">
        <v>113728</v>
      </c>
      <c r="F31" s="121" t="s">
        <v>64</v>
      </c>
      <c r="G31" s="122">
        <v>0</v>
      </c>
      <c r="H31" s="122">
        <v>0</v>
      </c>
      <c r="I31" s="122">
        <v>0</v>
      </c>
      <c r="J31" s="123">
        <v>0</v>
      </c>
      <c r="K31" s="122">
        <v>0</v>
      </c>
      <c r="L31" s="124">
        <v>0</v>
      </c>
      <c r="M31" s="125">
        <v>0</v>
      </c>
      <c r="N31" s="126">
        <v>0</v>
      </c>
      <c r="O31" s="127">
        <v>0</v>
      </c>
      <c r="P31" s="1">
        <v>8555</v>
      </c>
      <c r="Q31" s="95">
        <v>8581.68</v>
      </c>
      <c r="R31" s="14">
        <v>0</v>
      </c>
      <c r="S31" s="1">
        <v>0</v>
      </c>
      <c r="T31" s="15">
        <v>0</v>
      </c>
      <c r="U31" s="128">
        <v>0.20250000000000001</v>
      </c>
      <c r="V31" s="128">
        <v>0.3402</v>
      </c>
      <c r="W31" s="128">
        <v>0.45729999999999998</v>
      </c>
      <c r="X31" s="1">
        <v>0</v>
      </c>
      <c r="Y31" s="15">
        <v>0</v>
      </c>
      <c r="Z31" s="13">
        <v>0</v>
      </c>
      <c r="AA31" s="129">
        <v>0</v>
      </c>
      <c r="AB31" s="129">
        <v>0</v>
      </c>
      <c r="AC31" s="130">
        <v>0</v>
      </c>
      <c r="AD31" s="131">
        <v>0</v>
      </c>
      <c r="AE31" s="1">
        <v>0</v>
      </c>
      <c r="AF31" s="133"/>
      <c r="AG31" s="1" t="s">
        <v>96</v>
      </c>
      <c r="AH31" s="1">
        <v>0</v>
      </c>
      <c r="AJ31" s="95">
        <v>12</v>
      </c>
      <c r="AK31" s="95">
        <v>-33</v>
      </c>
    </row>
    <row r="32" spans="1:38" x14ac:dyDescent="0.25">
      <c r="A32" s="4"/>
      <c r="B32" s="119" t="s">
        <v>98</v>
      </c>
      <c r="C32" s="120" t="s">
        <v>99</v>
      </c>
      <c r="D32" s="14">
        <v>50000</v>
      </c>
      <c r="E32" s="1">
        <v>812967</v>
      </c>
      <c r="F32" s="121" t="s">
        <v>64</v>
      </c>
      <c r="G32" s="122">
        <v>0</v>
      </c>
      <c r="H32" s="122">
        <v>0</v>
      </c>
      <c r="I32" s="122">
        <v>0</v>
      </c>
      <c r="J32" s="123">
        <v>0</v>
      </c>
      <c r="K32" s="122">
        <v>0</v>
      </c>
      <c r="L32" s="124">
        <v>0</v>
      </c>
      <c r="M32" s="125">
        <v>0</v>
      </c>
      <c r="N32" s="126">
        <v>0</v>
      </c>
      <c r="O32" s="127">
        <v>0</v>
      </c>
      <c r="P32" s="1">
        <v>14640</v>
      </c>
      <c r="Q32" s="95">
        <v>14660.9</v>
      </c>
      <c r="R32" s="14">
        <v>0</v>
      </c>
      <c r="S32" s="1">
        <v>0</v>
      </c>
      <c r="T32" s="15">
        <v>0</v>
      </c>
      <c r="U32" s="128">
        <v>0.49519999999999997</v>
      </c>
      <c r="V32" s="128">
        <v>0.80810000000000004</v>
      </c>
      <c r="W32" s="128">
        <v>0.81710000000000005</v>
      </c>
      <c r="X32" s="1">
        <v>0</v>
      </c>
      <c r="Y32" s="15">
        <v>0</v>
      </c>
      <c r="Z32" s="13">
        <v>0</v>
      </c>
      <c r="AA32" s="129">
        <v>0</v>
      </c>
      <c r="AB32" s="129">
        <v>0</v>
      </c>
      <c r="AC32" s="130">
        <v>0</v>
      </c>
      <c r="AD32" s="131">
        <v>0</v>
      </c>
      <c r="AE32" s="1">
        <v>0</v>
      </c>
      <c r="AF32" s="133"/>
      <c r="AG32" s="1" t="s">
        <v>98</v>
      </c>
      <c r="AH32" s="1">
        <v>0</v>
      </c>
      <c r="AJ32" s="95">
        <v>9</v>
      </c>
      <c r="AK32" s="95">
        <v>-32</v>
      </c>
    </row>
    <row r="33" spans="1:37" x14ac:dyDescent="0.25">
      <c r="A33" s="4"/>
      <c r="B33" s="119" t="s">
        <v>100</v>
      </c>
      <c r="C33" s="120" t="s">
        <v>101</v>
      </c>
      <c r="D33" s="14">
        <v>50000</v>
      </c>
      <c r="E33" s="1">
        <v>95697</v>
      </c>
      <c r="F33" s="121" t="s">
        <v>64</v>
      </c>
      <c r="G33" s="122">
        <v>3555</v>
      </c>
      <c r="H33" s="122">
        <v>55376290</v>
      </c>
      <c r="I33" s="122">
        <v>15577.015471167369</v>
      </c>
      <c r="J33" s="123">
        <v>3555</v>
      </c>
      <c r="K33" s="122">
        <v>55278160</v>
      </c>
      <c r="L33" s="124">
        <v>15549.412095639944</v>
      </c>
      <c r="M33" s="125">
        <v>0</v>
      </c>
      <c r="N33" s="126">
        <v>0</v>
      </c>
      <c r="O33" s="127">
        <v>0</v>
      </c>
      <c r="P33" s="1">
        <v>15570</v>
      </c>
      <c r="Q33" s="95">
        <v>15575.05</v>
      </c>
      <c r="R33" s="14">
        <v>24939.999999998465</v>
      </c>
      <c r="S33" s="1">
        <v>73189.999999999796</v>
      </c>
      <c r="T33" s="15">
        <v>98129.999999998254</v>
      </c>
      <c r="U33" s="128">
        <v>0.11360000000000001</v>
      </c>
      <c r="V33" s="128">
        <v>0.29970000000000002</v>
      </c>
      <c r="W33" s="128">
        <v>0.52470000000000006</v>
      </c>
      <c r="X33" s="1">
        <v>0</v>
      </c>
      <c r="Y33" s="15">
        <v>0</v>
      </c>
      <c r="Z33" s="13">
        <v>0</v>
      </c>
      <c r="AA33" s="129">
        <v>0</v>
      </c>
      <c r="AB33" s="129">
        <v>0</v>
      </c>
      <c r="AC33" s="130">
        <v>0</v>
      </c>
      <c r="AD33" s="131">
        <v>0</v>
      </c>
      <c r="AE33" s="1">
        <v>0</v>
      </c>
      <c r="AF33" s="133"/>
      <c r="AG33" s="1" t="s">
        <v>100</v>
      </c>
      <c r="AH33" s="1">
        <v>0</v>
      </c>
      <c r="AJ33" s="95">
        <v>6</v>
      </c>
      <c r="AK33" s="95">
        <v>-24</v>
      </c>
    </row>
    <row r="34" spans="1:37" x14ac:dyDescent="0.25">
      <c r="A34" s="4"/>
      <c r="B34" s="119" t="s">
        <v>102</v>
      </c>
      <c r="C34" s="120" t="s">
        <v>103</v>
      </c>
      <c r="D34" s="14">
        <v>50000</v>
      </c>
      <c r="E34" s="1">
        <v>689359</v>
      </c>
      <c r="F34" s="121" t="s">
        <v>64</v>
      </c>
      <c r="G34" s="122">
        <v>4504</v>
      </c>
      <c r="H34" s="122">
        <v>120665510</v>
      </c>
      <c r="I34" s="122">
        <v>26790.743783303729</v>
      </c>
      <c r="J34" s="123">
        <v>4504</v>
      </c>
      <c r="K34" s="122">
        <v>119827440</v>
      </c>
      <c r="L34" s="124">
        <v>26604.671403197157</v>
      </c>
      <c r="M34" s="125">
        <v>0</v>
      </c>
      <c r="N34" s="126">
        <v>0</v>
      </c>
      <c r="O34" s="127">
        <v>0</v>
      </c>
      <c r="P34" s="1">
        <v>26745</v>
      </c>
      <c r="Q34" s="95">
        <v>26737.9</v>
      </c>
      <c r="R34" s="14">
        <v>206029.99999999671</v>
      </c>
      <c r="S34" s="1">
        <v>632040.00000000536</v>
      </c>
      <c r="T34" s="15">
        <v>838070.0000000021</v>
      </c>
      <c r="U34" s="128">
        <v>0.1148</v>
      </c>
      <c r="V34" s="128">
        <v>0.2364</v>
      </c>
      <c r="W34" s="128">
        <v>0.37919999999999998</v>
      </c>
      <c r="X34" s="1">
        <v>0</v>
      </c>
      <c r="Y34" s="15">
        <v>0</v>
      </c>
      <c r="Z34" s="13">
        <v>0</v>
      </c>
      <c r="AA34" s="129">
        <v>0</v>
      </c>
      <c r="AB34" s="129">
        <v>0</v>
      </c>
      <c r="AC34" s="130">
        <v>0</v>
      </c>
      <c r="AD34" s="131">
        <v>0</v>
      </c>
      <c r="AE34" s="1">
        <v>0</v>
      </c>
      <c r="AF34" s="133"/>
      <c r="AG34" s="1" t="s">
        <v>102</v>
      </c>
      <c r="AH34" s="1">
        <v>0</v>
      </c>
      <c r="AJ34" s="95">
        <v>3</v>
      </c>
      <c r="AK34" s="95">
        <v>-23</v>
      </c>
    </row>
    <row r="35" spans="1:37" x14ac:dyDescent="0.25">
      <c r="A35" s="4"/>
      <c r="B35" s="119" t="s">
        <v>104</v>
      </c>
      <c r="C35" s="120" t="s">
        <v>105</v>
      </c>
      <c r="D35" s="14">
        <v>20000</v>
      </c>
      <c r="E35" s="1">
        <v>398714</v>
      </c>
      <c r="F35" s="121" t="s">
        <v>64</v>
      </c>
      <c r="G35" s="122">
        <v>0</v>
      </c>
      <c r="H35" s="122">
        <v>0</v>
      </c>
      <c r="I35" s="122">
        <v>0</v>
      </c>
      <c r="J35" s="123">
        <v>0</v>
      </c>
      <c r="K35" s="122">
        <v>0</v>
      </c>
      <c r="L35" s="124">
        <v>0</v>
      </c>
      <c r="M35" s="125">
        <v>0</v>
      </c>
      <c r="N35" s="126">
        <v>0</v>
      </c>
      <c r="O35" s="127">
        <v>0</v>
      </c>
      <c r="P35" s="1">
        <v>7790</v>
      </c>
      <c r="Q35" s="95">
        <v>7789.45</v>
      </c>
      <c r="R35" s="14">
        <v>0</v>
      </c>
      <c r="S35" s="1">
        <v>0</v>
      </c>
      <c r="T35" s="15">
        <v>0</v>
      </c>
      <c r="U35" s="128">
        <v>0.432</v>
      </c>
      <c r="V35" s="128">
        <v>0.51619999999999999</v>
      </c>
      <c r="W35" s="128">
        <v>0.67610000000000003</v>
      </c>
      <c r="X35" s="1">
        <v>0</v>
      </c>
      <c r="Y35" s="15">
        <v>0</v>
      </c>
      <c r="Z35" s="13">
        <v>0</v>
      </c>
      <c r="AA35" s="129">
        <v>0</v>
      </c>
      <c r="AB35" s="129">
        <v>0</v>
      </c>
      <c r="AC35" s="130">
        <v>0</v>
      </c>
      <c r="AD35" s="131">
        <v>0</v>
      </c>
      <c r="AE35" s="1">
        <v>0</v>
      </c>
      <c r="AF35" s="133"/>
      <c r="AG35" s="1" t="s">
        <v>104</v>
      </c>
      <c r="AH35" s="1">
        <v>0</v>
      </c>
      <c r="AJ35" s="95">
        <v>13</v>
      </c>
      <c r="AK35" s="95">
        <v>-34</v>
      </c>
    </row>
    <row r="36" spans="1:37" x14ac:dyDescent="0.25">
      <c r="A36" s="4"/>
      <c r="B36" s="119" t="s">
        <v>106</v>
      </c>
      <c r="C36" s="120" t="s">
        <v>107</v>
      </c>
      <c r="D36" s="14">
        <v>50000</v>
      </c>
      <c r="E36" s="1">
        <v>163324</v>
      </c>
      <c r="F36" s="121" t="s">
        <v>64</v>
      </c>
      <c r="G36" s="122">
        <v>0</v>
      </c>
      <c r="H36" s="122">
        <v>0</v>
      </c>
      <c r="I36" s="122">
        <v>0</v>
      </c>
      <c r="J36" s="123">
        <v>0</v>
      </c>
      <c r="K36" s="122">
        <v>0</v>
      </c>
      <c r="L36" s="124">
        <v>0</v>
      </c>
      <c r="M36" s="125">
        <v>0</v>
      </c>
      <c r="N36" s="126">
        <v>0</v>
      </c>
      <c r="O36" s="127">
        <v>0</v>
      </c>
      <c r="P36" s="1">
        <v>3705</v>
      </c>
      <c r="Q36" s="95">
        <v>3705.04</v>
      </c>
      <c r="R36" s="14">
        <v>0</v>
      </c>
      <c r="S36" s="1">
        <v>0</v>
      </c>
      <c r="T36" s="15">
        <v>0</v>
      </c>
      <c r="U36" s="128">
        <v>9.8199999999999996E-2</v>
      </c>
      <c r="V36" s="128">
        <v>0.46820000000000001</v>
      </c>
      <c r="W36" s="128">
        <v>0.59519999999999995</v>
      </c>
      <c r="X36" s="1">
        <v>0</v>
      </c>
      <c r="Y36" s="15">
        <v>0</v>
      </c>
      <c r="Z36" s="13">
        <v>0</v>
      </c>
      <c r="AA36" s="129">
        <v>0</v>
      </c>
      <c r="AB36" s="129">
        <v>0</v>
      </c>
      <c r="AC36" s="130">
        <v>0</v>
      </c>
      <c r="AD36" s="131">
        <v>0</v>
      </c>
      <c r="AE36" s="1">
        <v>0</v>
      </c>
      <c r="AF36" s="133"/>
      <c r="AG36" s="1" t="s">
        <v>106</v>
      </c>
      <c r="AH36" s="1">
        <v>0</v>
      </c>
      <c r="AJ36" s="95">
        <v>17</v>
      </c>
      <c r="AK36" s="95">
        <v>-38</v>
      </c>
    </row>
    <row r="37" spans="1:37" x14ac:dyDescent="0.25">
      <c r="A37" s="4"/>
      <c r="B37" s="119" t="s">
        <v>108</v>
      </c>
      <c r="C37" s="120" t="s">
        <v>109</v>
      </c>
      <c r="D37" s="14">
        <v>30000</v>
      </c>
      <c r="E37" s="1">
        <v>89523</v>
      </c>
      <c r="F37" s="121" t="s">
        <v>64</v>
      </c>
      <c r="G37" s="122">
        <v>28</v>
      </c>
      <c r="H37" s="122">
        <v>75600</v>
      </c>
      <c r="I37" s="122">
        <v>2700</v>
      </c>
      <c r="J37" s="123">
        <v>28</v>
      </c>
      <c r="K37" s="122">
        <v>75740</v>
      </c>
      <c r="L37" s="124">
        <v>2705</v>
      </c>
      <c r="M37" s="125">
        <v>0</v>
      </c>
      <c r="N37" s="126">
        <v>0</v>
      </c>
      <c r="O37" s="127">
        <v>0</v>
      </c>
      <c r="P37" s="1">
        <v>2705</v>
      </c>
      <c r="Q37" s="95">
        <v>2705.66</v>
      </c>
      <c r="R37" s="14">
        <v>-140</v>
      </c>
      <c r="S37" s="1">
        <v>0</v>
      </c>
      <c r="T37" s="15">
        <v>-140</v>
      </c>
      <c r="U37" s="128">
        <v>1.3100000000000001E-2</v>
      </c>
      <c r="V37" s="128">
        <v>0.38009999999999999</v>
      </c>
      <c r="W37" s="128">
        <v>0.41770000000000002</v>
      </c>
      <c r="X37" s="1">
        <v>0</v>
      </c>
      <c r="Y37" s="15">
        <v>0</v>
      </c>
      <c r="Z37" s="13">
        <v>0</v>
      </c>
      <c r="AA37" s="129">
        <v>0</v>
      </c>
      <c r="AB37" s="129">
        <v>0</v>
      </c>
      <c r="AC37" s="130">
        <v>0</v>
      </c>
      <c r="AD37" s="131">
        <v>0</v>
      </c>
      <c r="AE37" s="1">
        <v>0</v>
      </c>
      <c r="AF37" s="133"/>
      <c r="AG37" s="1" t="s">
        <v>108</v>
      </c>
      <c r="AH37" s="1">
        <v>0</v>
      </c>
      <c r="AJ37" s="95">
        <v>18</v>
      </c>
      <c r="AK37" s="95">
        <v>-33</v>
      </c>
    </row>
    <row r="38" spans="1:37" x14ac:dyDescent="0.25">
      <c r="A38" s="4"/>
      <c r="B38" s="119" t="s">
        <v>110</v>
      </c>
      <c r="C38" s="120" t="s">
        <v>111</v>
      </c>
      <c r="D38" s="14">
        <v>20000</v>
      </c>
      <c r="E38" s="1">
        <v>83950</v>
      </c>
      <c r="F38" s="121" t="s">
        <v>64</v>
      </c>
      <c r="G38" s="122">
        <v>304</v>
      </c>
      <c r="H38" s="122">
        <v>15663435</v>
      </c>
      <c r="I38" s="122">
        <v>51524.457236842107</v>
      </c>
      <c r="J38" s="123">
        <v>304</v>
      </c>
      <c r="K38" s="122">
        <v>15566070</v>
      </c>
      <c r="L38" s="124">
        <v>51204.177631578947</v>
      </c>
      <c r="M38" s="125">
        <v>0</v>
      </c>
      <c r="N38" s="126">
        <v>0</v>
      </c>
      <c r="O38" s="127">
        <v>0</v>
      </c>
      <c r="P38" s="1">
        <v>51555</v>
      </c>
      <c r="Q38" s="95">
        <v>51622.879999999997</v>
      </c>
      <c r="R38" s="14">
        <v>-9284.9999999995343</v>
      </c>
      <c r="S38" s="1">
        <v>106650.00000000023</v>
      </c>
      <c r="T38" s="15">
        <v>97365.000000000698</v>
      </c>
      <c r="U38" s="128">
        <v>0.40379999999999999</v>
      </c>
      <c r="V38" s="128">
        <v>0.33589999999999998</v>
      </c>
      <c r="W38" s="128">
        <v>0.61280000000000001</v>
      </c>
      <c r="X38" s="1">
        <v>0</v>
      </c>
      <c r="Y38" s="15">
        <v>0</v>
      </c>
      <c r="Z38" s="13">
        <v>0</v>
      </c>
      <c r="AA38" s="129">
        <v>0</v>
      </c>
      <c r="AB38" s="129">
        <v>0</v>
      </c>
      <c r="AC38" s="130">
        <v>0</v>
      </c>
      <c r="AD38" s="131">
        <v>0</v>
      </c>
      <c r="AF38" s="133"/>
      <c r="AG38" s="1" t="s">
        <v>110</v>
      </c>
      <c r="AH38" s="1">
        <v>0</v>
      </c>
      <c r="AJ38" s="95">
        <v>7</v>
      </c>
      <c r="AK38" s="95">
        <v>-24</v>
      </c>
    </row>
    <row r="39" spans="1:37" x14ac:dyDescent="0.25">
      <c r="A39" s="4"/>
      <c r="B39" s="119" t="s">
        <v>112</v>
      </c>
      <c r="C39" s="120" t="s">
        <v>113</v>
      </c>
      <c r="D39" s="14">
        <v>50000</v>
      </c>
      <c r="E39" s="1">
        <v>100449</v>
      </c>
      <c r="F39" s="121" t="s">
        <v>64</v>
      </c>
      <c r="G39" s="122">
        <v>0</v>
      </c>
      <c r="H39" s="122">
        <v>0</v>
      </c>
      <c r="I39" s="122">
        <v>0</v>
      </c>
      <c r="J39" s="123">
        <v>0</v>
      </c>
      <c r="K39" s="122">
        <v>0</v>
      </c>
      <c r="L39" s="124">
        <v>0</v>
      </c>
      <c r="M39" s="125">
        <v>0</v>
      </c>
      <c r="N39" s="126">
        <v>0</v>
      </c>
      <c r="O39" s="127">
        <v>0</v>
      </c>
      <c r="P39" s="1">
        <v>25335</v>
      </c>
      <c r="Q39" s="95">
        <v>25344.720000000001</v>
      </c>
      <c r="R39" s="14">
        <v>0</v>
      </c>
      <c r="S39" s="1">
        <v>0</v>
      </c>
      <c r="T39" s="15">
        <v>0</v>
      </c>
      <c r="U39" s="128">
        <v>0.2041</v>
      </c>
      <c r="V39" s="128">
        <v>0.8175</v>
      </c>
      <c r="W39" s="128">
        <v>0.6946</v>
      </c>
      <c r="X39" s="1">
        <v>0</v>
      </c>
      <c r="Y39" s="15">
        <v>0</v>
      </c>
      <c r="Z39" s="13">
        <v>0</v>
      </c>
      <c r="AA39" s="129">
        <v>0</v>
      </c>
      <c r="AB39" s="129">
        <v>0</v>
      </c>
      <c r="AC39" s="130">
        <v>0</v>
      </c>
      <c r="AD39" s="131">
        <v>0</v>
      </c>
      <c r="AE39" s="1">
        <v>0</v>
      </c>
      <c r="AF39" s="133"/>
      <c r="AG39" s="1" t="s">
        <v>112</v>
      </c>
      <c r="AH39" s="1">
        <v>0</v>
      </c>
      <c r="AJ39" s="95">
        <v>11</v>
      </c>
      <c r="AK39" s="95">
        <v>-32</v>
      </c>
    </row>
    <row r="40" spans="1:37" x14ac:dyDescent="0.25">
      <c r="A40" s="4"/>
      <c r="B40" s="139" t="s">
        <v>114</v>
      </c>
      <c r="C40" s="140" t="s">
        <v>115</v>
      </c>
      <c r="D40" s="14">
        <v>50000</v>
      </c>
      <c r="E40" s="141">
        <v>853598</v>
      </c>
      <c r="F40" s="142" t="s">
        <v>64</v>
      </c>
      <c r="G40" s="122">
        <v>2780</v>
      </c>
      <c r="H40" s="122">
        <v>152577510</v>
      </c>
      <c r="I40" s="122">
        <v>54883.996402877696</v>
      </c>
      <c r="J40" s="123">
        <v>2780</v>
      </c>
      <c r="K40" s="122">
        <v>152600005</v>
      </c>
      <c r="L40" s="124">
        <v>54892.088129496406</v>
      </c>
      <c r="M40" s="125">
        <v>0</v>
      </c>
      <c r="N40" s="126">
        <v>0</v>
      </c>
      <c r="O40" s="127">
        <v>0</v>
      </c>
      <c r="P40" s="1">
        <v>55055</v>
      </c>
      <c r="Q40" s="95">
        <v>55087.09</v>
      </c>
      <c r="R40" s="14">
        <v>-475390.0000000057</v>
      </c>
      <c r="S40" s="1">
        <v>452894.99999999243</v>
      </c>
      <c r="T40" s="15">
        <v>-22495.000000013271</v>
      </c>
      <c r="U40" s="128">
        <v>1.1691</v>
      </c>
      <c r="V40" s="128">
        <v>9.0499999999999997E-2</v>
      </c>
      <c r="W40" s="128">
        <v>0.91949999999999998</v>
      </c>
      <c r="X40" s="1">
        <v>0</v>
      </c>
      <c r="Y40" s="15">
        <v>0</v>
      </c>
      <c r="Z40" s="13">
        <v>0</v>
      </c>
      <c r="AA40" s="129">
        <v>0</v>
      </c>
      <c r="AB40" s="129">
        <v>0</v>
      </c>
      <c r="AC40" s="130">
        <v>0</v>
      </c>
      <c r="AD40" s="131">
        <v>0</v>
      </c>
      <c r="AE40" s="1">
        <v>0</v>
      </c>
      <c r="AG40" s="1" t="s">
        <v>114</v>
      </c>
      <c r="AH40" s="1">
        <v>0</v>
      </c>
      <c r="AJ40" s="95">
        <v>3</v>
      </c>
      <c r="AK40" s="95">
        <v>-24</v>
      </c>
    </row>
    <row r="41" spans="1:37" x14ac:dyDescent="0.25">
      <c r="A41" s="4"/>
      <c r="B41" s="143" t="s">
        <v>116</v>
      </c>
      <c r="C41" s="77" t="s">
        <v>117</v>
      </c>
      <c r="D41" s="14">
        <v>20000</v>
      </c>
      <c r="E41" s="21">
        <v>42571</v>
      </c>
      <c r="F41" s="144" t="s">
        <v>64</v>
      </c>
      <c r="G41" s="80">
        <v>0</v>
      </c>
      <c r="H41" s="80">
        <v>0</v>
      </c>
      <c r="I41" s="80">
        <v>0</v>
      </c>
      <c r="J41" s="79">
        <v>0</v>
      </c>
      <c r="K41" s="80">
        <v>0</v>
      </c>
      <c r="L41" s="145">
        <v>0</v>
      </c>
      <c r="M41" s="146">
        <v>0</v>
      </c>
      <c r="N41" s="147">
        <v>0</v>
      </c>
      <c r="O41" s="148">
        <v>0</v>
      </c>
      <c r="P41" s="21">
        <v>17085</v>
      </c>
      <c r="Q41" s="149">
        <v>17083.87</v>
      </c>
      <c r="R41" s="14">
        <v>0</v>
      </c>
      <c r="S41" s="1">
        <v>0</v>
      </c>
      <c r="T41" s="15">
        <v>0</v>
      </c>
      <c r="U41" s="128">
        <v>6.0100000000000001E-2</v>
      </c>
      <c r="V41" s="128">
        <v>0.26590000000000003</v>
      </c>
      <c r="W41" s="128">
        <v>0.29909999999999998</v>
      </c>
      <c r="X41" s="1">
        <v>0</v>
      </c>
      <c r="Y41" s="15">
        <v>0</v>
      </c>
      <c r="Z41" s="13">
        <v>0</v>
      </c>
      <c r="AA41" s="129">
        <v>0</v>
      </c>
      <c r="AB41" s="129">
        <v>0</v>
      </c>
      <c r="AC41" s="130">
        <v>0</v>
      </c>
      <c r="AD41" s="131">
        <v>0</v>
      </c>
      <c r="AE41" s="1">
        <v>0</v>
      </c>
      <c r="AG41" s="1" t="s">
        <v>116</v>
      </c>
      <c r="AH41" s="1">
        <v>0</v>
      </c>
      <c r="AJ41" s="95">
        <v>9</v>
      </c>
      <c r="AK41" s="95">
        <v>-32</v>
      </c>
    </row>
    <row r="42" spans="1:37" x14ac:dyDescent="0.25">
      <c r="A42" s="4"/>
      <c r="B42" s="119" t="s">
        <v>118</v>
      </c>
      <c r="C42" s="120" t="s">
        <v>119</v>
      </c>
      <c r="D42" s="14">
        <v>20000</v>
      </c>
      <c r="E42" s="1">
        <v>93585</v>
      </c>
      <c r="F42" s="121" t="s">
        <v>64</v>
      </c>
      <c r="G42" s="122">
        <v>0</v>
      </c>
      <c r="H42" s="122">
        <v>0</v>
      </c>
      <c r="I42" s="122">
        <v>0</v>
      </c>
      <c r="J42" s="123">
        <v>0</v>
      </c>
      <c r="K42" s="122">
        <v>0</v>
      </c>
      <c r="L42" s="124">
        <v>0</v>
      </c>
      <c r="M42" s="125">
        <v>0</v>
      </c>
      <c r="N42" s="126">
        <v>0</v>
      </c>
      <c r="O42" s="127">
        <v>0</v>
      </c>
      <c r="P42" s="1">
        <v>12875</v>
      </c>
      <c r="Q42" s="95">
        <v>12911.8</v>
      </c>
      <c r="R42" s="14">
        <v>0</v>
      </c>
      <c r="S42" s="1">
        <v>0</v>
      </c>
      <c r="T42" s="15">
        <v>0</v>
      </c>
      <c r="U42" s="128">
        <v>-0.253</v>
      </c>
      <c r="V42" s="128">
        <v>1.0714999999999999</v>
      </c>
      <c r="W42" s="128">
        <v>0.75229999999999997</v>
      </c>
      <c r="X42" s="1">
        <v>0</v>
      </c>
      <c r="Y42" s="15">
        <v>0</v>
      </c>
      <c r="Z42" s="13">
        <v>0</v>
      </c>
      <c r="AA42" s="129">
        <v>0</v>
      </c>
      <c r="AB42" s="129">
        <v>0</v>
      </c>
      <c r="AC42" s="130">
        <v>0</v>
      </c>
      <c r="AD42" s="131">
        <v>0</v>
      </c>
      <c r="AF42" s="133"/>
      <c r="AG42" s="1" t="s">
        <v>118</v>
      </c>
      <c r="AH42" s="1">
        <v>0</v>
      </c>
      <c r="AJ42" s="95">
        <v>12</v>
      </c>
      <c r="AK42" s="95">
        <v>-37</v>
      </c>
    </row>
    <row r="43" spans="1:37" x14ac:dyDescent="0.25">
      <c r="A43" s="4"/>
      <c r="B43" s="119" t="s">
        <v>120</v>
      </c>
      <c r="C43" s="120" t="s">
        <v>121</v>
      </c>
      <c r="D43" s="14">
        <v>20000</v>
      </c>
      <c r="E43" s="1">
        <v>10524</v>
      </c>
      <c r="F43" s="121" t="s">
        <v>64</v>
      </c>
      <c r="G43" s="122">
        <v>0</v>
      </c>
      <c r="H43" s="122">
        <v>0</v>
      </c>
      <c r="I43" s="122">
        <v>0</v>
      </c>
      <c r="J43" s="123">
        <v>0</v>
      </c>
      <c r="K43" s="122">
        <v>0</v>
      </c>
      <c r="L43" s="124">
        <v>0</v>
      </c>
      <c r="M43" s="125">
        <v>0</v>
      </c>
      <c r="N43" s="126">
        <v>0</v>
      </c>
      <c r="O43" s="127">
        <v>0</v>
      </c>
      <c r="P43" s="1">
        <v>23305</v>
      </c>
      <c r="Q43" s="95">
        <v>23359.72</v>
      </c>
      <c r="R43" s="14">
        <v>0</v>
      </c>
      <c r="S43" s="1">
        <v>0</v>
      </c>
      <c r="T43" s="15">
        <v>0</v>
      </c>
      <c r="U43" s="128">
        <v>0.19370000000000001</v>
      </c>
      <c r="V43" s="128">
        <v>1.0421</v>
      </c>
      <c r="W43" s="128">
        <v>0.85599999999999998</v>
      </c>
      <c r="X43" s="1">
        <v>0</v>
      </c>
      <c r="Y43" s="15">
        <v>0</v>
      </c>
      <c r="Z43" s="13">
        <v>0</v>
      </c>
      <c r="AA43" s="129">
        <v>0</v>
      </c>
      <c r="AB43" s="129">
        <v>0</v>
      </c>
      <c r="AC43" s="130">
        <v>0</v>
      </c>
      <c r="AD43" s="131">
        <v>0</v>
      </c>
      <c r="AF43" s="133"/>
      <c r="AG43" s="1" t="s">
        <v>120</v>
      </c>
      <c r="AH43" s="1">
        <v>0</v>
      </c>
      <c r="AJ43" s="95">
        <v>18</v>
      </c>
      <c r="AK43" s="95">
        <v>-43</v>
      </c>
    </row>
    <row r="44" spans="1:37" x14ac:dyDescent="0.25">
      <c r="A44" s="4"/>
      <c r="B44" s="119" t="s">
        <v>122</v>
      </c>
      <c r="C44" s="120" t="s">
        <v>123</v>
      </c>
      <c r="D44" s="14">
        <v>20000</v>
      </c>
      <c r="E44" s="1">
        <v>5233</v>
      </c>
      <c r="F44" s="121" t="s">
        <v>64</v>
      </c>
      <c r="G44" s="122">
        <v>0</v>
      </c>
      <c r="H44" s="122">
        <v>0</v>
      </c>
      <c r="I44" s="122">
        <v>0</v>
      </c>
      <c r="J44" s="123">
        <v>0</v>
      </c>
      <c r="K44" s="122">
        <v>0</v>
      </c>
      <c r="L44" s="124">
        <v>0</v>
      </c>
      <c r="M44" s="125">
        <v>0</v>
      </c>
      <c r="N44" s="126">
        <v>0</v>
      </c>
      <c r="O44" s="127">
        <v>0</v>
      </c>
      <c r="P44" s="1">
        <v>37000</v>
      </c>
      <c r="Q44" s="95">
        <v>37066</v>
      </c>
      <c r="R44" s="14">
        <v>0</v>
      </c>
      <c r="S44" s="1">
        <v>0</v>
      </c>
      <c r="T44" s="15">
        <v>0</v>
      </c>
      <c r="U44" s="128">
        <v>0.80620000000000003</v>
      </c>
      <c r="V44" s="128">
        <v>8.7499999999999994E-2</v>
      </c>
      <c r="W44" s="128">
        <v>0.92390000000000005</v>
      </c>
      <c r="X44" s="1">
        <v>0</v>
      </c>
      <c r="Y44" s="15">
        <v>0</v>
      </c>
      <c r="Z44" s="13">
        <v>0</v>
      </c>
      <c r="AA44" s="129">
        <v>0</v>
      </c>
      <c r="AB44" s="129">
        <v>0</v>
      </c>
      <c r="AC44" s="130">
        <v>0</v>
      </c>
      <c r="AD44" s="131">
        <v>0</v>
      </c>
      <c r="AF44" s="133"/>
      <c r="AG44" s="1" t="s">
        <v>122</v>
      </c>
      <c r="AH44" s="1">
        <v>0</v>
      </c>
      <c r="AJ44" s="95">
        <v>13</v>
      </c>
      <c r="AK44" s="95">
        <v>-33</v>
      </c>
    </row>
    <row r="45" spans="1:37" x14ac:dyDescent="0.25">
      <c r="A45" s="4"/>
      <c r="B45" s="119" t="s">
        <v>124</v>
      </c>
      <c r="C45" s="120" t="s">
        <v>125</v>
      </c>
      <c r="D45" s="14">
        <v>20000</v>
      </c>
      <c r="E45" s="1">
        <v>23527</v>
      </c>
      <c r="F45" s="121" t="s">
        <v>64</v>
      </c>
      <c r="G45" s="122">
        <v>0</v>
      </c>
      <c r="H45" s="122">
        <v>0</v>
      </c>
      <c r="I45" s="122">
        <v>0</v>
      </c>
      <c r="J45" s="123">
        <v>0</v>
      </c>
      <c r="K45" s="122">
        <v>0</v>
      </c>
      <c r="L45" s="124">
        <v>0</v>
      </c>
      <c r="M45" s="125">
        <v>0</v>
      </c>
      <c r="N45" s="126">
        <v>0</v>
      </c>
      <c r="O45" s="127">
        <v>0</v>
      </c>
      <c r="P45" s="1">
        <v>18010</v>
      </c>
      <c r="Q45" s="95">
        <v>18014.599999999999</v>
      </c>
      <c r="R45" s="14">
        <v>0</v>
      </c>
      <c r="S45" s="1">
        <v>0</v>
      </c>
      <c r="T45" s="15">
        <v>0</v>
      </c>
      <c r="U45" s="128">
        <v>0.27329999999999999</v>
      </c>
      <c r="V45" s="128">
        <v>0.4254</v>
      </c>
      <c r="W45" s="128">
        <v>0.68310000000000004</v>
      </c>
      <c r="X45" s="1">
        <v>0</v>
      </c>
      <c r="Y45" s="15">
        <v>0</v>
      </c>
      <c r="Z45" s="13">
        <v>0</v>
      </c>
      <c r="AA45" s="129">
        <v>0</v>
      </c>
      <c r="AB45" s="129">
        <v>0</v>
      </c>
      <c r="AC45" s="130">
        <v>0</v>
      </c>
      <c r="AD45" s="131">
        <v>0</v>
      </c>
      <c r="AF45" s="133"/>
      <c r="AG45" s="1" t="s">
        <v>124</v>
      </c>
      <c r="AH45" s="1">
        <v>0</v>
      </c>
      <c r="AJ45" s="95">
        <v>20</v>
      </c>
      <c r="AK45" s="95">
        <v>-35</v>
      </c>
    </row>
    <row r="46" spans="1:37" x14ac:dyDescent="0.25">
      <c r="A46" s="4"/>
      <c r="B46" s="119" t="s">
        <v>126</v>
      </c>
      <c r="C46" s="120" t="s">
        <v>127</v>
      </c>
      <c r="D46" s="14">
        <v>20000</v>
      </c>
      <c r="E46" s="1">
        <v>91988</v>
      </c>
      <c r="F46" s="121" t="s">
        <v>64</v>
      </c>
      <c r="G46" s="122">
        <v>0</v>
      </c>
      <c r="H46" s="122">
        <v>0</v>
      </c>
      <c r="I46" s="122">
        <v>0</v>
      </c>
      <c r="J46" s="123">
        <v>0</v>
      </c>
      <c r="K46" s="122">
        <v>0</v>
      </c>
      <c r="L46" s="124">
        <v>0</v>
      </c>
      <c r="M46" s="125">
        <v>0</v>
      </c>
      <c r="N46" s="126">
        <v>0</v>
      </c>
      <c r="O46" s="127">
        <v>0</v>
      </c>
      <c r="P46" s="1">
        <v>12900</v>
      </c>
      <c r="Q46" s="95">
        <v>12905.94</v>
      </c>
      <c r="R46" s="14">
        <v>0</v>
      </c>
      <c r="S46" s="1">
        <v>0</v>
      </c>
      <c r="T46" s="15">
        <v>0</v>
      </c>
      <c r="U46" s="128">
        <v>0.3493</v>
      </c>
      <c r="V46" s="128">
        <v>0.25890000000000002</v>
      </c>
      <c r="W46" s="128">
        <v>0.377</v>
      </c>
      <c r="X46" s="1">
        <v>0</v>
      </c>
      <c r="Y46" s="15">
        <v>0</v>
      </c>
      <c r="Z46" s="13">
        <v>0</v>
      </c>
      <c r="AA46" s="129">
        <v>0</v>
      </c>
      <c r="AB46" s="129">
        <v>0</v>
      </c>
      <c r="AC46" s="130">
        <v>0</v>
      </c>
      <c r="AD46" s="131">
        <v>0</v>
      </c>
      <c r="AF46" s="133"/>
      <c r="AG46" s="1" t="s">
        <v>126</v>
      </c>
      <c r="AH46" s="1">
        <v>0</v>
      </c>
      <c r="AJ46" s="95">
        <v>7</v>
      </c>
      <c r="AK46" s="95">
        <v>-29</v>
      </c>
    </row>
    <row r="47" spans="1:37" x14ac:dyDescent="0.25">
      <c r="A47" s="4"/>
      <c r="B47" s="119" t="s">
        <v>128</v>
      </c>
      <c r="C47" s="120" t="s">
        <v>129</v>
      </c>
      <c r="D47" s="14">
        <v>50000</v>
      </c>
      <c r="E47" s="1">
        <v>14908</v>
      </c>
      <c r="F47" s="121" t="s">
        <v>64</v>
      </c>
      <c r="G47" s="122">
        <v>0</v>
      </c>
      <c r="H47" s="122">
        <v>0</v>
      </c>
      <c r="I47" s="122">
        <v>0</v>
      </c>
      <c r="J47" s="123">
        <v>0</v>
      </c>
      <c r="K47" s="122">
        <v>0</v>
      </c>
      <c r="L47" s="124">
        <v>0</v>
      </c>
      <c r="M47" s="125">
        <v>0</v>
      </c>
      <c r="N47" s="126">
        <v>0</v>
      </c>
      <c r="O47" s="127">
        <v>0</v>
      </c>
      <c r="P47" s="1">
        <v>6745</v>
      </c>
      <c r="Q47" s="95">
        <v>6752.48</v>
      </c>
      <c r="R47" s="14">
        <v>0</v>
      </c>
      <c r="S47" s="1">
        <v>0</v>
      </c>
      <c r="T47" s="15">
        <v>0</v>
      </c>
      <c r="U47" s="128">
        <v>3.0499999999999999E-2</v>
      </c>
      <c r="V47" s="128">
        <v>0.48880000000000001</v>
      </c>
      <c r="W47" s="128">
        <v>0.60919999999999996</v>
      </c>
      <c r="X47" s="1">
        <v>0</v>
      </c>
      <c r="Y47" s="15">
        <v>0</v>
      </c>
      <c r="Z47" s="13">
        <v>0</v>
      </c>
      <c r="AA47" s="129">
        <v>0</v>
      </c>
      <c r="AB47" s="129">
        <v>0</v>
      </c>
      <c r="AC47" s="130">
        <v>0</v>
      </c>
      <c r="AD47" s="131">
        <v>0</v>
      </c>
      <c r="AF47" s="133"/>
      <c r="AG47" s="1" t="s">
        <v>128</v>
      </c>
      <c r="AH47" s="1">
        <v>0</v>
      </c>
      <c r="AJ47" s="95">
        <v>15</v>
      </c>
      <c r="AK47" s="95">
        <v>-37</v>
      </c>
    </row>
    <row r="48" spans="1:37" x14ac:dyDescent="0.25">
      <c r="A48" s="4"/>
      <c r="B48" s="119" t="s">
        <v>130</v>
      </c>
      <c r="C48" s="120" t="s">
        <v>131</v>
      </c>
      <c r="D48" s="14">
        <v>50000</v>
      </c>
      <c r="E48" s="1">
        <v>22194</v>
      </c>
      <c r="F48" s="121" t="s">
        <v>64</v>
      </c>
      <c r="G48" s="122">
        <v>0</v>
      </c>
      <c r="H48" s="122">
        <v>0</v>
      </c>
      <c r="I48" s="122">
        <v>0</v>
      </c>
      <c r="J48" s="123">
        <v>0</v>
      </c>
      <c r="K48" s="122">
        <v>0</v>
      </c>
      <c r="L48" s="124">
        <v>0</v>
      </c>
      <c r="M48" s="125">
        <v>0</v>
      </c>
      <c r="N48" s="126">
        <v>0</v>
      </c>
      <c r="O48" s="127">
        <v>0</v>
      </c>
      <c r="P48" s="1">
        <v>7580</v>
      </c>
      <c r="Q48" s="95">
        <v>7596.37</v>
      </c>
      <c r="R48" s="14">
        <v>0</v>
      </c>
      <c r="S48" s="1">
        <v>0</v>
      </c>
      <c r="T48" s="15">
        <v>0</v>
      </c>
      <c r="U48" s="128">
        <v>8.9700000000000002E-2</v>
      </c>
      <c r="V48" s="128">
        <v>0.39810000000000001</v>
      </c>
      <c r="W48" s="128">
        <v>0.46710000000000002</v>
      </c>
      <c r="X48" s="1">
        <v>0</v>
      </c>
      <c r="Y48" s="15">
        <v>0</v>
      </c>
      <c r="Z48" s="13">
        <v>0</v>
      </c>
      <c r="AA48" s="129">
        <v>0</v>
      </c>
      <c r="AB48" s="129">
        <v>0</v>
      </c>
      <c r="AC48" s="130">
        <v>0</v>
      </c>
      <c r="AD48" s="131">
        <v>0</v>
      </c>
      <c r="AF48" s="133"/>
      <c r="AG48" s="1" t="s">
        <v>130</v>
      </c>
      <c r="AH48" s="1">
        <v>0</v>
      </c>
      <c r="AJ48" s="95">
        <v>14</v>
      </c>
      <c r="AK48" s="95">
        <v>-32</v>
      </c>
    </row>
    <row r="49" spans="1:37" x14ac:dyDescent="0.25">
      <c r="A49" s="4"/>
      <c r="B49" s="119" t="s">
        <v>132</v>
      </c>
      <c r="C49" s="120" t="s">
        <v>133</v>
      </c>
      <c r="D49" s="14">
        <v>20000</v>
      </c>
      <c r="E49" s="1">
        <v>10951</v>
      </c>
      <c r="F49" s="121" t="s">
        <v>64</v>
      </c>
      <c r="G49" s="122">
        <v>0</v>
      </c>
      <c r="H49" s="122">
        <v>0</v>
      </c>
      <c r="I49" s="122">
        <v>0</v>
      </c>
      <c r="J49" s="123">
        <v>0</v>
      </c>
      <c r="K49" s="122">
        <v>0</v>
      </c>
      <c r="L49" s="124">
        <v>0</v>
      </c>
      <c r="M49" s="125">
        <v>0</v>
      </c>
      <c r="N49" s="126">
        <v>0</v>
      </c>
      <c r="O49" s="127">
        <v>0</v>
      </c>
      <c r="P49" s="1">
        <v>19765</v>
      </c>
      <c r="Q49" s="95">
        <v>19827.28</v>
      </c>
      <c r="R49" s="14">
        <v>0</v>
      </c>
      <c r="S49" s="1">
        <v>0</v>
      </c>
      <c r="T49" s="15">
        <v>0</v>
      </c>
      <c r="U49" s="128">
        <v>-4.5400000000000003E-2</v>
      </c>
      <c r="V49" s="128">
        <v>0.52410000000000001</v>
      </c>
      <c r="W49" s="128">
        <v>0.48680000000000001</v>
      </c>
      <c r="X49" s="1">
        <v>0</v>
      </c>
      <c r="Y49" s="15">
        <v>0</v>
      </c>
      <c r="Z49" s="13">
        <v>0</v>
      </c>
      <c r="AA49" s="129">
        <v>0</v>
      </c>
      <c r="AB49" s="129">
        <v>0</v>
      </c>
      <c r="AC49" s="130">
        <v>0</v>
      </c>
      <c r="AD49" s="131">
        <v>0</v>
      </c>
      <c r="AF49" s="133"/>
      <c r="AG49" s="1" t="s">
        <v>132</v>
      </c>
      <c r="AH49" s="1">
        <v>0</v>
      </c>
      <c r="AJ49" s="95">
        <v>10</v>
      </c>
      <c r="AK49" s="95">
        <v>-30</v>
      </c>
    </row>
    <row r="50" spans="1:37" x14ac:dyDescent="0.25">
      <c r="A50" s="4"/>
      <c r="B50" s="119" t="s">
        <v>134</v>
      </c>
      <c r="C50" s="120" t="s">
        <v>135</v>
      </c>
      <c r="D50" s="14">
        <v>30000</v>
      </c>
      <c r="E50" s="1">
        <v>30688</v>
      </c>
      <c r="F50" s="121" t="s">
        <v>64</v>
      </c>
      <c r="G50" s="122">
        <v>0</v>
      </c>
      <c r="H50" s="122">
        <v>0</v>
      </c>
      <c r="I50" s="122">
        <v>0</v>
      </c>
      <c r="J50" s="123">
        <v>0</v>
      </c>
      <c r="K50" s="122">
        <v>0</v>
      </c>
      <c r="L50" s="124">
        <v>0</v>
      </c>
      <c r="M50" s="125">
        <v>0</v>
      </c>
      <c r="N50" s="126">
        <v>0</v>
      </c>
      <c r="O50" s="127">
        <v>0</v>
      </c>
      <c r="P50" s="1">
        <v>8145</v>
      </c>
      <c r="Q50" s="95">
        <v>8158.93</v>
      </c>
      <c r="R50" s="14">
        <v>0</v>
      </c>
      <c r="S50" s="1">
        <v>0</v>
      </c>
      <c r="T50" s="15">
        <v>0</v>
      </c>
      <c r="U50" s="128">
        <v>-9.5100000000000004E-2</v>
      </c>
      <c r="V50" s="128">
        <v>0.46899999999999997</v>
      </c>
      <c r="W50" s="128">
        <v>0.50219999999999998</v>
      </c>
      <c r="X50" s="1">
        <v>0</v>
      </c>
      <c r="Y50" s="15">
        <v>0</v>
      </c>
      <c r="Z50" s="13">
        <v>0</v>
      </c>
      <c r="AA50" s="129">
        <v>0</v>
      </c>
      <c r="AB50" s="129">
        <v>0</v>
      </c>
      <c r="AC50" s="130">
        <v>0</v>
      </c>
      <c r="AD50" s="131">
        <v>0</v>
      </c>
      <c r="AF50" s="133"/>
      <c r="AG50" s="1" t="s">
        <v>134</v>
      </c>
      <c r="AH50" s="1">
        <v>0</v>
      </c>
      <c r="AJ50" s="95">
        <v>14</v>
      </c>
      <c r="AK50" s="95">
        <v>-40</v>
      </c>
    </row>
    <row r="51" spans="1:37" x14ac:dyDescent="0.25">
      <c r="A51" s="4"/>
      <c r="B51" s="119" t="s">
        <v>136</v>
      </c>
      <c r="C51" s="120" t="s">
        <v>137</v>
      </c>
      <c r="D51" s="14">
        <v>50000</v>
      </c>
      <c r="E51" s="1">
        <v>1654</v>
      </c>
      <c r="F51" s="121" t="s">
        <v>64</v>
      </c>
      <c r="G51" s="122">
        <v>0</v>
      </c>
      <c r="H51" s="122">
        <v>0</v>
      </c>
      <c r="I51" s="122">
        <v>0</v>
      </c>
      <c r="J51" s="123">
        <v>0</v>
      </c>
      <c r="K51" s="122">
        <v>0</v>
      </c>
      <c r="L51" s="124">
        <v>0</v>
      </c>
      <c r="M51" s="125">
        <v>0</v>
      </c>
      <c r="N51" s="126">
        <v>0</v>
      </c>
      <c r="O51" s="127">
        <v>0</v>
      </c>
      <c r="P51" s="1">
        <v>20235</v>
      </c>
      <c r="Q51" s="95">
        <v>20195.810000000001</v>
      </c>
      <c r="R51" s="14">
        <v>0</v>
      </c>
      <c r="S51" s="1">
        <v>0</v>
      </c>
      <c r="T51" s="15">
        <v>0</v>
      </c>
      <c r="U51" s="128">
        <v>0.30009999999999998</v>
      </c>
      <c r="V51" s="128">
        <v>0.41160000000000002</v>
      </c>
      <c r="W51" s="128">
        <v>0.83899999999999997</v>
      </c>
      <c r="X51" s="1">
        <v>0</v>
      </c>
      <c r="Y51" s="15">
        <v>0</v>
      </c>
      <c r="Z51" s="13">
        <v>0</v>
      </c>
      <c r="AA51" s="129">
        <v>0</v>
      </c>
      <c r="AB51" s="129">
        <v>0</v>
      </c>
      <c r="AC51" s="130">
        <v>0</v>
      </c>
      <c r="AD51" s="131">
        <v>0</v>
      </c>
      <c r="AF51" s="133"/>
      <c r="AG51" s="1" t="s">
        <v>136</v>
      </c>
      <c r="AH51" s="1">
        <v>0</v>
      </c>
      <c r="AJ51" s="95">
        <v>18</v>
      </c>
      <c r="AK51" s="95">
        <v>-40</v>
      </c>
    </row>
    <row r="52" spans="1:37" x14ac:dyDescent="0.25">
      <c r="B52" s="132" t="s">
        <v>138</v>
      </c>
      <c r="C52" s="120" t="s">
        <v>139</v>
      </c>
      <c r="D52" s="14">
        <v>50000</v>
      </c>
      <c r="E52" s="1">
        <v>2208606</v>
      </c>
      <c r="F52" s="121" t="s">
        <v>64</v>
      </c>
      <c r="G52" s="122">
        <v>2000</v>
      </c>
      <c r="H52" s="122">
        <v>17690000</v>
      </c>
      <c r="I52" s="122">
        <v>8845</v>
      </c>
      <c r="J52" s="123">
        <v>2000</v>
      </c>
      <c r="K52" s="122">
        <v>17848995</v>
      </c>
      <c r="L52" s="124">
        <v>8924.4974999999995</v>
      </c>
      <c r="M52" s="125">
        <v>0</v>
      </c>
      <c r="N52" s="126">
        <v>0</v>
      </c>
      <c r="O52" s="127">
        <v>0</v>
      </c>
      <c r="P52" s="1">
        <v>9120</v>
      </c>
      <c r="Q52" s="95">
        <v>9125.2999999999993</v>
      </c>
      <c r="R52" s="14">
        <v>-550000</v>
      </c>
      <c r="S52" s="1">
        <v>391005.00000000105</v>
      </c>
      <c r="T52" s="15">
        <v>-158994.99999999895</v>
      </c>
      <c r="U52" s="128">
        <v>0.4078</v>
      </c>
      <c r="V52" s="128">
        <v>0.64119999999999999</v>
      </c>
      <c r="W52" s="128">
        <v>0.60409999999999997</v>
      </c>
      <c r="X52" s="1">
        <v>0</v>
      </c>
      <c r="Y52" s="15">
        <v>0</v>
      </c>
      <c r="Z52" s="13">
        <v>0</v>
      </c>
      <c r="AA52" s="129">
        <v>0</v>
      </c>
      <c r="AB52" s="129">
        <v>0</v>
      </c>
      <c r="AC52" s="130">
        <v>0</v>
      </c>
      <c r="AD52" s="131">
        <v>0</v>
      </c>
      <c r="AG52" s="1" t="s">
        <v>140</v>
      </c>
      <c r="AH52" s="1">
        <v>0</v>
      </c>
      <c r="AJ52" s="95">
        <v>10</v>
      </c>
      <c r="AK52" s="95">
        <v>-29</v>
      </c>
    </row>
  </sheetData>
  <mergeCells count="22">
    <mergeCell ref="Q7:Q8"/>
    <mergeCell ref="R7:R8"/>
    <mergeCell ref="S7:S8"/>
    <mergeCell ref="T7:T8"/>
    <mergeCell ref="U7:U8"/>
    <mergeCell ref="T12:V12"/>
    <mergeCell ref="K7:K8"/>
    <mergeCell ref="L7:L8"/>
    <mergeCell ref="M7:M8"/>
    <mergeCell ref="N7:N8"/>
    <mergeCell ref="O7:O8"/>
    <mergeCell ref="P7:P8"/>
    <mergeCell ref="U4:U5"/>
    <mergeCell ref="B7:B8"/>
    <mergeCell ref="C7:C8"/>
    <mergeCell ref="D7:D8"/>
    <mergeCell ref="E7:E8"/>
    <mergeCell ref="F7:F8"/>
    <mergeCell ref="G7:G8"/>
    <mergeCell ref="H7:H8"/>
    <mergeCell ref="I7:I8"/>
    <mergeCell ref="J7:J8"/>
  </mergeCells>
  <phoneticPr fontId="1" type="noConversion"/>
  <conditionalFormatting sqref="E15:E52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P15:P52">
    <cfRule type="cellIs" dxfId="6" priority="5" operator="greaterThan">
      <formula>29999</formula>
    </cfRule>
  </conditionalFormatting>
  <conditionalFormatting sqref="T4:T5">
    <cfRule type="cellIs" dxfId="5" priority="2" operator="lessThan">
      <formula>-0.99</formula>
    </cfRule>
    <cfRule type="cellIs" dxfId="4" priority="3" operator="greaterThan">
      <formula>0.99</formula>
    </cfRule>
  </conditionalFormatting>
  <conditionalFormatting sqref="T15:T52">
    <cfRule type="cellIs" dxfId="3" priority="6" operator="lessThan">
      <formula>0</formula>
    </cfRule>
    <cfRule type="cellIs" dxfId="2" priority="7" operator="greaterThan">
      <formula>0</formula>
    </cfRule>
  </conditionalFormatting>
  <conditionalFormatting sqref="W15:W52">
    <cfRule type="cellIs" dxfId="1" priority="1" operator="greaterThan">
      <formula>0.6</formula>
    </cfRule>
    <cfRule type="cellIs" dxfId="0" priority="4" operator="lessThan">
      <formula>0.6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고은환</dc:creator>
  <cp:lastModifiedBy>고은환</cp:lastModifiedBy>
  <dcterms:created xsi:type="dcterms:W3CDTF">2026-08-31T02:19:40Z</dcterms:created>
  <dcterms:modified xsi:type="dcterms:W3CDTF">2026-08-31T06:09:24Z</dcterms:modified>
</cp:coreProperties>
</file>