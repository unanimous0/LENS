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0C918E60-D59A-4D3B-BDD2-C6DBE1633BA4}" xr6:coauthVersionLast="47" xr6:coauthVersionMax="47" xr10:uidLastSave="{00000000-0000-0000-0000-000000000000}"/>
  <bookViews>
    <workbookView xWindow="-60" yWindow="-16320" windowWidth="29040" windowHeight="15720" activeTab="2" xr2:uid="{0405D439-9FB7-422D-B05C-4FFCB2118EA2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AK52" i="1"/>
  <c r="AJ52" i="1"/>
  <c r="AG52" i="1"/>
  <c r="W52" i="1"/>
  <c r="V52" i="1"/>
  <c r="U52" i="1"/>
  <c r="Q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Q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Q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Q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Q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Q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Q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Q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Q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Q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Q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Q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Q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Q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Q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Q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Q36" i="1"/>
  <c r="P36" i="1"/>
  <c r="K36" i="1"/>
  <c r="J36" i="1"/>
  <c r="H36" i="1"/>
  <c r="G36" i="1"/>
  <c r="E36" i="1"/>
  <c r="D36" i="1"/>
  <c r="AK35" i="1"/>
  <c r="AJ35" i="1"/>
  <c r="AG35" i="1"/>
  <c r="W35" i="1"/>
  <c r="V35" i="1"/>
  <c r="U35" i="1"/>
  <c r="Q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Q34" i="1"/>
  <c r="P34" i="1"/>
  <c r="K34" i="1"/>
  <c r="J34" i="1"/>
  <c r="H34" i="1"/>
  <c r="G34" i="1"/>
  <c r="E34" i="1"/>
  <c r="D34" i="1"/>
  <c r="AK33" i="1"/>
  <c r="AJ33" i="1"/>
  <c r="AG33" i="1"/>
  <c r="W33" i="1"/>
  <c r="V33" i="1"/>
  <c r="U33" i="1"/>
  <c r="Q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Q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Q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Q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Q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Q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Q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Q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Q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Q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Q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Q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Q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Q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Q19" i="1"/>
  <c r="P19" i="1"/>
  <c r="K19" i="1"/>
  <c r="J19" i="1"/>
  <c r="H19" i="1"/>
  <c r="G19" i="1"/>
  <c r="E19" i="1"/>
  <c r="D19" i="1"/>
  <c r="AK18" i="1"/>
  <c r="AJ18" i="1"/>
  <c r="AG18" i="1"/>
  <c r="W18" i="1"/>
  <c r="V18" i="1"/>
  <c r="U18" i="1"/>
  <c r="P18" i="1"/>
  <c r="K18" i="1"/>
  <c r="J18" i="1"/>
  <c r="H18" i="1"/>
  <c r="G18" i="1"/>
  <c r="E18" i="1"/>
  <c r="D18" i="1"/>
  <c r="AK17" i="1"/>
  <c r="AJ17" i="1"/>
  <c r="AG17" i="1"/>
  <c r="W17" i="1"/>
  <c r="V17" i="1"/>
  <c r="U17" i="1"/>
  <c r="Q17" i="1"/>
  <c r="P17" i="1"/>
  <c r="K17" i="1"/>
  <c r="J17" i="1"/>
  <c r="H17" i="1"/>
  <c r="G17" i="1"/>
  <c r="E17" i="1"/>
  <c r="D17" i="1"/>
  <c r="AK16" i="1"/>
  <c r="AJ16" i="1"/>
  <c r="AG16" i="1"/>
  <c r="W16" i="1"/>
  <c r="V16" i="1"/>
  <c r="V14" i="1" s="1"/>
  <c r="U16" i="1"/>
  <c r="Q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Q15" i="1"/>
  <c r="P15" i="1"/>
  <c r="K15" i="1"/>
  <c r="J15" i="1"/>
  <c r="H15" i="1"/>
  <c r="G15" i="1"/>
  <c r="E15" i="1"/>
  <c r="D15" i="1"/>
  <c r="U11" i="1"/>
  <c r="P11" i="1"/>
  <c r="K11" i="1"/>
  <c r="J11" i="1"/>
  <c r="H11" i="1"/>
  <c r="G11" i="1"/>
  <c r="U10" i="1"/>
  <c r="P10" i="1"/>
  <c r="K10" i="1"/>
  <c r="J10" i="1"/>
  <c r="H10" i="1"/>
  <c r="G10" i="1"/>
  <c r="I34" i="1" l="1"/>
  <c r="R34" i="1" s="1"/>
  <c r="L51" i="1"/>
  <c r="S51" i="1" s="1"/>
  <c r="M51" i="1"/>
  <c r="AH51" i="1" s="1"/>
  <c r="L38" i="1"/>
  <c r="S38" i="1" s="1"/>
  <c r="M26" i="1"/>
  <c r="AB26" i="1" s="1"/>
  <c r="AD26" i="1" s="1"/>
  <c r="I40" i="1"/>
  <c r="R40" i="1" s="1"/>
  <c r="I41" i="1"/>
  <c r="R41" i="1" s="1"/>
  <c r="L25" i="1"/>
  <c r="S25" i="1" s="1"/>
  <c r="L49" i="1"/>
  <c r="S49" i="1" s="1"/>
  <c r="M17" i="1"/>
  <c r="AH17" i="1" s="1"/>
  <c r="J9" i="1"/>
  <c r="I17" i="1"/>
  <c r="R17" i="1" s="1"/>
  <c r="L10" i="1"/>
  <c r="R10" i="1" s="1"/>
  <c r="U9" i="1"/>
  <c r="I35" i="1"/>
  <c r="R35" i="1" s="1"/>
  <c r="L20" i="1"/>
  <c r="S20" i="1" s="1"/>
  <c r="M22" i="1"/>
  <c r="AA22" i="1" s="1"/>
  <c r="AC22" i="1" s="1"/>
  <c r="M41" i="1"/>
  <c r="AH41" i="1" s="1"/>
  <c r="I44" i="1"/>
  <c r="R44" i="1" s="1"/>
  <c r="I21" i="1"/>
  <c r="R21" i="1" s="1"/>
  <c r="L22" i="1"/>
  <c r="S22" i="1" s="1"/>
  <c r="M30" i="1"/>
  <c r="AA30" i="1" s="1"/>
  <c r="AC30" i="1" s="1"/>
  <c r="M34" i="1"/>
  <c r="AA34" i="1" s="1"/>
  <c r="AC34" i="1" s="1"/>
  <c r="L21" i="1"/>
  <c r="S21" i="1" s="1"/>
  <c r="I48" i="1"/>
  <c r="R48" i="1" s="1"/>
  <c r="L28" i="1"/>
  <c r="S28" i="1" s="1"/>
  <c r="I43" i="1"/>
  <c r="R43" i="1" s="1"/>
  <c r="I47" i="1"/>
  <c r="R47" i="1" s="1"/>
  <c r="G9" i="1"/>
  <c r="M15" i="1"/>
  <c r="AH15" i="1" s="1"/>
  <c r="I30" i="1"/>
  <c r="R30" i="1" s="1"/>
  <c r="L43" i="1"/>
  <c r="S43" i="1" s="1"/>
  <c r="L47" i="1"/>
  <c r="S47" i="1" s="1"/>
  <c r="I25" i="1"/>
  <c r="R25" i="1" s="1"/>
  <c r="I38" i="1"/>
  <c r="R38" i="1" s="1"/>
  <c r="I33" i="1"/>
  <c r="R33" i="1" s="1"/>
  <c r="M33" i="1"/>
  <c r="AB33" i="1" s="1"/>
  <c r="AD33" i="1" s="1"/>
  <c r="H9" i="1"/>
  <c r="I36" i="1"/>
  <c r="R36" i="1" s="1"/>
  <c r="I31" i="1"/>
  <c r="R31" i="1" s="1"/>
  <c r="L37" i="1"/>
  <c r="S37" i="1" s="1"/>
  <c r="M18" i="1"/>
  <c r="Y18" i="1" s="1"/>
  <c r="M21" i="1"/>
  <c r="AA21" i="1" s="1"/>
  <c r="AC21" i="1" s="1"/>
  <c r="I26" i="1"/>
  <c r="R26" i="1" s="1"/>
  <c r="M27" i="1"/>
  <c r="AH27" i="1" s="1"/>
  <c r="M31" i="1"/>
  <c r="AH31" i="1" s="1"/>
  <c r="M36" i="1"/>
  <c r="AA36" i="1" s="1"/>
  <c r="AC36" i="1" s="1"/>
  <c r="M40" i="1"/>
  <c r="AH40" i="1" s="1"/>
  <c r="L45" i="1"/>
  <c r="S45" i="1" s="1"/>
  <c r="I27" i="1"/>
  <c r="R27" i="1" s="1"/>
  <c r="L26" i="1"/>
  <c r="S26" i="1" s="1"/>
  <c r="M11" i="1"/>
  <c r="N11" i="1" s="1"/>
  <c r="Q5" i="1" s="1"/>
  <c r="I32" i="1"/>
  <c r="R32" i="1" s="1"/>
  <c r="L34" i="1"/>
  <c r="S34" i="1" s="1"/>
  <c r="I42" i="1"/>
  <c r="R42" i="1" s="1"/>
  <c r="I50" i="1"/>
  <c r="R50" i="1" s="1"/>
  <c r="M19" i="1"/>
  <c r="AB19" i="1" s="1"/>
  <c r="AD19" i="1" s="1"/>
  <c r="M25" i="1"/>
  <c r="O25" i="1" s="1"/>
  <c r="H14" i="1"/>
  <c r="I23" i="1"/>
  <c r="R23" i="1" s="1"/>
  <c r="I52" i="1"/>
  <c r="R52" i="1" s="1"/>
  <c r="I46" i="1"/>
  <c r="R46" i="1" s="1"/>
  <c r="L52" i="1"/>
  <c r="S52" i="1" s="1"/>
  <c r="L29" i="1"/>
  <c r="S29" i="1" s="1"/>
  <c r="T11" i="1"/>
  <c r="L27" i="1"/>
  <c r="S27" i="1" s="1"/>
  <c r="M38" i="1"/>
  <c r="O38" i="1" s="1"/>
  <c r="I11" i="1"/>
  <c r="Q11" i="1" s="1"/>
  <c r="J14" i="1"/>
  <c r="M20" i="1"/>
  <c r="N20" i="1" s="1"/>
  <c r="AE20" i="1" s="1"/>
  <c r="I22" i="1"/>
  <c r="R22" i="1" s="1"/>
  <c r="M23" i="1"/>
  <c r="Y23" i="1" s="1"/>
  <c r="L31" i="1"/>
  <c r="S31" i="1" s="1"/>
  <c r="L39" i="1"/>
  <c r="S39" i="1" s="1"/>
  <c r="L40" i="1"/>
  <c r="S40" i="1" s="1"/>
  <c r="L42" i="1"/>
  <c r="S42" i="1" s="1"/>
  <c r="M45" i="1"/>
  <c r="AB45" i="1" s="1"/>
  <c r="AD45" i="1" s="1"/>
  <c r="M47" i="1"/>
  <c r="AH47" i="1" s="1"/>
  <c r="I49" i="1"/>
  <c r="R49" i="1" s="1"/>
  <c r="I51" i="1"/>
  <c r="R51" i="1" s="1"/>
  <c r="M28" i="1"/>
  <c r="N28" i="1" s="1"/>
  <c r="AE28" i="1" s="1"/>
  <c r="L16" i="1"/>
  <c r="S16" i="1" s="1"/>
  <c r="I20" i="1"/>
  <c r="R20" i="1" s="1"/>
  <c r="I45" i="1"/>
  <c r="R45" i="1" s="1"/>
  <c r="M29" i="1"/>
  <c r="Y29" i="1" s="1"/>
  <c r="L30" i="1"/>
  <c r="S30" i="1" s="1"/>
  <c r="M32" i="1"/>
  <c r="AH32" i="1" s="1"/>
  <c r="L33" i="1"/>
  <c r="S33" i="1" s="1"/>
  <c r="L41" i="1"/>
  <c r="S41" i="1" s="1"/>
  <c r="M49" i="1"/>
  <c r="X49" i="1" s="1"/>
  <c r="M50" i="1"/>
  <c r="N50" i="1" s="1"/>
  <c r="M16" i="1"/>
  <c r="AA16" i="1" s="1"/>
  <c r="AC16" i="1" s="1"/>
  <c r="L24" i="1"/>
  <c r="S24" i="1" s="1"/>
  <c r="I10" i="1"/>
  <c r="Q10" i="1" s="1"/>
  <c r="M10" i="1"/>
  <c r="I18" i="1"/>
  <c r="R18" i="1" s="1"/>
  <c r="L19" i="1"/>
  <c r="S19" i="1" s="1"/>
  <c r="I29" i="1"/>
  <c r="R29" i="1" s="1"/>
  <c r="M44" i="1"/>
  <c r="O44" i="1" s="1"/>
  <c r="M46" i="1"/>
  <c r="N46" i="1" s="1"/>
  <c r="M48" i="1"/>
  <c r="O48" i="1" s="1"/>
  <c r="M52" i="1"/>
  <c r="N52" i="1" s="1"/>
  <c r="G14" i="1"/>
  <c r="M37" i="1"/>
  <c r="AB37" i="1" s="1"/>
  <c r="AD37" i="1" s="1"/>
  <c r="L18" i="1"/>
  <c r="S18" i="1" s="1"/>
  <c r="I15" i="1"/>
  <c r="R15" i="1" s="1"/>
  <c r="I16" i="1"/>
  <c r="R16" i="1" s="1"/>
  <c r="L17" i="1"/>
  <c r="S17" i="1" s="1"/>
  <c r="I24" i="1"/>
  <c r="R24" i="1" s="1"/>
  <c r="L35" i="1"/>
  <c r="S35" i="1" s="1"/>
  <c r="L36" i="1"/>
  <c r="S36" i="1" s="1"/>
  <c r="I39" i="1"/>
  <c r="R39" i="1" s="1"/>
  <c r="M43" i="1"/>
  <c r="Y43" i="1" s="1"/>
  <c r="K9" i="1"/>
  <c r="L11" i="1"/>
  <c r="R11" i="1" s="1"/>
  <c r="U14" i="1"/>
  <c r="L23" i="1"/>
  <c r="S23" i="1" s="1"/>
  <c r="I28" i="1"/>
  <c r="R28" i="1" s="1"/>
  <c r="I37" i="1"/>
  <c r="R37" i="1" s="1"/>
  <c r="T10" i="1"/>
  <c r="L15" i="1"/>
  <c r="S15" i="1" s="1"/>
  <c r="K14" i="1"/>
  <c r="L44" i="1"/>
  <c r="S44" i="1" s="1"/>
  <c r="L48" i="1"/>
  <c r="S48" i="1" s="1"/>
  <c r="I19" i="1"/>
  <c r="R19" i="1" s="1"/>
  <c r="M39" i="1"/>
  <c r="W14" i="1"/>
  <c r="M24" i="1"/>
  <c r="M35" i="1"/>
  <c r="M42" i="1"/>
  <c r="L32" i="1"/>
  <c r="S32" i="1" s="1"/>
  <c r="L46" i="1"/>
  <c r="S46" i="1" s="1"/>
  <c r="L50" i="1"/>
  <c r="S50" i="1" s="1"/>
  <c r="T27" i="1" l="1"/>
  <c r="Y28" i="1"/>
  <c r="X28" i="1"/>
  <c r="AB51" i="1"/>
  <c r="AD51" i="1" s="1"/>
  <c r="Y51" i="1"/>
  <c r="O51" i="1"/>
  <c r="AH28" i="1"/>
  <c r="N26" i="1"/>
  <c r="AE26" i="1" s="1"/>
  <c r="X51" i="1"/>
  <c r="AA51" i="1"/>
  <c r="AC51" i="1" s="1"/>
  <c r="N51" i="1"/>
  <c r="N19" i="1"/>
  <c r="AE19" i="1" s="1"/>
  <c r="Y26" i="1"/>
  <c r="O26" i="1"/>
  <c r="AH26" i="1"/>
  <c r="AA26" i="1"/>
  <c r="AC26" i="1" s="1"/>
  <c r="X26" i="1"/>
  <c r="AH45" i="1"/>
  <c r="O52" i="1"/>
  <c r="Y25" i="1"/>
  <c r="Y44" i="1"/>
  <c r="N33" i="1"/>
  <c r="AE33" i="1" s="1"/>
  <c r="T32" i="1"/>
  <c r="X34" i="1"/>
  <c r="AH34" i="1"/>
  <c r="AA44" i="1"/>
  <c r="AC44" i="1" s="1"/>
  <c r="O33" i="1"/>
  <c r="AH33" i="1"/>
  <c r="O19" i="1"/>
  <c r="Y45" i="1"/>
  <c r="AA33" i="1"/>
  <c r="AC33" i="1" s="1"/>
  <c r="X33" i="1"/>
  <c r="Y33" i="1"/>
  <c r="Y27" i="1"/>
  <c r="AA52" i="1"/>
  <c r="AC52" i="1" s="1"/>
  <c r="O45" i="1"/>
  <c r="Y19" i="1"/>
  <c r="X36" i="1"/>
  <c r="O17" i="1"/>
  <c r="Y34" i="1"/>
  <c r="AH22" i="1"/>
  <c r="Y36" i="1"/>
  <c r="AB36" i="1"/>
  <c r="AD36" i="1" s="1"/>
  <c r="Y17" i="1"/>
  <c r="AB23" i="1"/>
  <c r="AD23" i="1" s="1"/>
  <c r="X44" i="1"/>
  <c r="AB29" i="1"/>
  <c r="AD29" i="1" s="1"/>
  <c r="AA46" i="1"/>
  <c r="AC46" i="1" s="1"/>
  <c r="AB46" i="1"/>
  <c r="AD46" i="1" s="1"/>
  <c r="AA45" i="1"/>
  <c r="AC45" i="1" s="1"/>
  <c r="AB44" i="1"/>
  <c r="AD44" i="1" s="1"/>
  <c r="N44" i="1"/>
  <c r="AH19" i="1"/>
  <c r="O32" i="1"/>
  <c r="N47" i="1"/>
  <c r="AB22" i="1"/>
  <c r="AD22" i="1" s="1"/>
  <c r="X47" i="1"/>
  <c r="AH30" i="1"/>
  <c r="AA17" i="1"/>
  <c r="AC17" i="1" s="1"/>
  <c r="AB17" i="1"/>
  <c r="AD17" i="1" s="1"/>
  <c r="X15" i="1"/>
  <c r="X17" i="1"/>
  <c r="AB30" i="1"/>
  <c r="AD30" i="1" s="1"/>
  <c r="AB32" i="1"/>
  <c r="AD32" i="1" s="1"/>
  <c r="Y32" i="1"/>
  <c r="O30" i="1"/>
  <c r="Y22" i="1"/>
  <c r="AB38" i="1"/>
  <c r="AD38" i="1" s="1"/>
  <c r="AA31" i="1"/>
  <c r="AC31" i="1" s="1"/>
  <c r="AH46" i="1"/>
  <c r="AB50" i="1"/>
  <c r="AD50" i="1" s="1"/>
  <c r="AA27" i="1"/>
  <c r="AC27" i="1" s="1"/>
  <c r="N23" i="1"/>
  <c r="AE23" i="1" s="1"/>
  <c r="AB27" i="1"/>
  <c r="AD27" i="1" s="1"/>
  <c r="AH23" i="1"/>
  <c r="O15" i="1"/>
  <c r="AA48" i="1"/>
  <c r="AC48" i="1" s="1"/>
  <c r="N48" i="1"/>
  <c r="O40" i="1"/>
  <c r="O21" i="1"/>
  <c r="N17" i="1"/>
  <c r="AE17" i="1" s="1"/>
  <c r="AB20" i="1"/>
  <c r="AD20" i="1" s="1"/>
  <c r="T18" i="1"/>
  <c r="T45" i="1"/>
  <c r="AH21" i="1"/>
  <c r="N30" i="1"/>
  <c r="AE30" i="1" s="1"/>
  <c r="N40" i="1"/>
  <c r="AE40" i="1" s="1"/>
  <c r="X21" i="1"/>
  <c r="Y21" i="1"/>
  <c r="Y30" i="1"/>
  <c r="AH20" i="1"/>
  <c r="AA15" i="1"/>
  <c r="AC15" i="1" s="1"/>
  <c r="Y37" i="1"/>
  <c r="AB41" i="1"/>
  <c r="AD41" i="1" s="1"/>
  <c r="N41" i="1"/>
  <c r="AE41" i="1" s="1"/>
  <c r="AA37" i="1"/>
  <c r="AC37" i="1" s="1"/>
  <c r="X31" i="1"/>
  <c r="AA49" i="1"/>
  <c r="AC49" i="1" s="1"/>
  <c r="AA41" i="1"/>
  <c r="AC41" i="1" s="1"/>
  <c r="O37" i="1"/>
  <c r="O23" i="1"/>
  <c r="Y41" i="1"/>
  <c r="Y31" i="1"/>
  <c r="O41" i="1"/>
  <c r="X41" i="1"/>
  <c r="AB25" i="1"/>
  <c r="AD25" i="1" s="1"/>
  <c r="O28" i="1"/>
  <c r="N27" i="1"/>
  <c r="AE27" i="1" s="1"/>
  <c r="X23" i="1"/>
  <c r="Z23" i="1" s="1"/>
  <c r="AH37" i="1"/>
  <c r="Y40" i="1"/>
  <c r="T28" i="1"/>
  <c r="O18" i="1"/>
  <c r="X22" i="1"/>
  <c r="AB18" i="1"/>
  <c r="AD18" i="1" s="1"/>
  <c r="O22" i="1"/>
  <c r="AA28" i="1"/>
  <c r="AC28" i="1" s="1"/>
  <c r="N16" i="1"/>
  <c r="AE16" i="1" s="1"/>
  <c r="N22" i="1"/>
  <c r="AE22" i="1" s="1"/>
  <c r="T49" i="1"/>
  <c r="AA18" i="1"/>
  <c r="AC18" i="1" s="1"/>
  <c r="T48" i="1"/>
  <c r="AA40" i="1"/>
  <c r="AC40" i="1" s="1"/>
  <c r="AB28" i="1"/>
  <c r="AD28" i="1" s="1"/>
  <c r="X16" i="1"/>
  <c r="O50" i="1"/>
  <c r="N49" i="1"/>
  <c r="AH50" i="1"/>
  <c r="Y50" i="1"/>
  <c r="AB49" i="1"/>
  <c r="AD49" i="1" s="1"/>
  <c r="T44" i="1"/>
  <c r="AH49" i="1"/>
  <c r="T50" i="1"/>
  <c r="AA50" i="1"/>
  <c r="AC50" i="1" s="1"/>
  <c r="Y49" i="1"/>
  <c r="Z49" i="1" s="1"/>
  <c r="AH29" i="1"/>
  <c r="N45" i="1"/>
  <c r="AA38" i="1"/>
  <c r="AC38" i="1" s="1"/>
  <c r="AA19" i="1"/>
  <c r="AC19" i="1" s="1"/>
  <c r="O27" i="1"/>
  <c r="T9" i="1"/>
  <c r="Y47" i="1"/>
  <c r="AA43" i="1"/>
  <c r="AC43" i="1" s="1"/>
  <c r="T21" i="1"/>
  <c r="X48" i="1"/>
  <c r="N32" i="1"/>
  <c r="AE32" i="1" s="1"/>
  <c r="N18" i="1"/>
  <c r="AE18" i="1" s="1"/>
  <c r="O20" i="1"/>
  <c r="N15" i="1"/>
  <c r="AE15" i="1" s="1"/>
  <c r="AB34" i="1"/>
  <c r="AD34" i="1" s="1"/>
  <c r="N34" i="1"/>
  <c r="AE34" i="1" s="1"/>
  <c r="AA47" i="1"/>
  <c r="AC47" i="1" s="1"/>
  <c r="AB43" i="1"/>
  <c r="AD43" i="1" s="1"/>
  <c r="N21" i="1"/>
  <c r="AE21" i="1" s="1"/>
  <c r="O49" i="1"/>
  <c r="AH48" i="1"/>
  <c r="X30" i="1"/>
  <c r="X32" i="1"/>
  <c r="X18" i="1"/>
  <c r="Z18" i="1" s="1"/>
  <c r="X20" i="1"/>
  <c r="Y15" i="1"/>
  <c r="O34" i="1"/>
  <c r="AB47" i="1"/>
  <c r="AD47" i="1" s="1"/>
  <c r="N43" i="1"/>
  <c r="Y48" i="1"/>
  <c r="AB21" i="1"/>
  <c r="AD21" i="1" s="1"/>
  <c r="AH18" i="1"/>
  <c r="Y20" i="1"/>
  <c r="AB15" i="1"/>
  <c r="AD15" i="1" s="1"/>
  <c r="T46" i="1"/>
  <c r="T33" i="1"/>
  <c r="N31" i="1"/>
  <c r="AE31" i="1" s="1"/>
  <c r="O31" i="1"/>
  <c r="X27" i="1"/>
  <c r="AB31" i="1"/>
  <c r="AD31" i="1" s="1"/>
  <c r="T17" i="1"/>
  <c r="T39" i="1"/>
  <c r="T36" i="1"/>
  <c r="T51" i="1"/>
  <c r="T40" i="1"/>
  <c r="Q9" i="1"/>
  <c r="O16" i="1"/>
  <c r="AH36" i="1"/>
  <c r="X45" i="1"/>
  <c r="N37" i="1"/>
  <c r="AE37" i="1" s="1"/>
  <c r="AB48" i="1"/>
  <c r="AD48" i="1" s="1"/>
  <c r="AA32" i="1"/>
  <c r="AC32" i="1" s="1"/>
  <c r="AH16" i="1"/>
  <c r="T20" i="1"/>
  <c r="T42" i="1"/>
  <c r="Y16" i="1"/>
  <c r="T34" i="1"/>
  <c r="X37" i="1"/>
  <c r="AB16" i="1"/>
  <c r="AD16" i="1" s="1"/>
  <c r="S10" i="1"/>
  <c r="M9" i="1"/>
  <c r="N36" i="1"/>
  <c r="AE36" i="1" s="1"/>
  <c r="T37" i="1"/>
  <c r="O36" i="1"/>
  <c r="AB40" i="1"/>
  <c r="AD40" i="1" s="1"/>
  <c r="X40" i="1"/>
  <c r="M14" i="1"/>
  <c r="T35" i="1"/>
  <c r="AH52" i="1"/>
  <c r="N38" i="1"/>
  <c r="Y52" i="1"/>
  <c r="AH25" i="1"/>
  <c r="N25" i="1"/>
  <c r="AE25" i="1" s="1"/>
  <c r="O46" i="1"/>
  <c r="X52" i="1"/>
  <c r="X19" i="1"/>
  <c r="T19" i="1"/>
  <c r="AH44" i="1"/>
  <c r="X46" i="1"/>
  <c r="AB52" i="1"/>
  <c r="AD52" i="1" s="1"/>
  <c r="AA25" i="1"/>
  <c r="AC25" i="1" s="1"/>
  <c r="X25" i="1"/>
  <c r="T41" i="1"/>
  <c r="AA29" i="1"/>
  <c r="AC29" i="1" s="1"/>
  <c r="N29" i="1"/>
  <c r="AE29" i="1" s="1"/>
  <c r="X29" i="1"/>
  <c r="Z29" i="1" s="1"/>
  <c r="O29" i="1"/>
  <c r="Y46" i="1"/>
  <c r="O47" i="1"/>
  <c r="X50" i="1"/>
  <c r="T22" i="1"/>
  <c r="AA23" i="1"/>
  <c r="AC23" i="1" s="1"/>
  <c r="N10" i="1"/>
  <c r="Q4" i="1" s="1"/>
  <c r="Q2" i="1" s="1"/>
  <c r="AA20" i="1"/>
  <c r="AC20" i="1" s="1"/>
  <c r="AH43" i="1"/>
  <c r="O43" i="1"/>
  <c r="X43" i="1"/>
  <c r="Z43" i="1" s="1"/>
  <c r="S11" i="1"/>
  <c r="R9" i="1"/>
  <c r="T29" i="1"/>
  <c r="T47" i="1"/>
  <c r="X38" i="1"/>
  <c r="Y38" i="1"/>
  <c r="AH38" i="1"/>
  <c r="T31" i="1"/>
  <c r="S14" i="1"/>
  <c r="T52" i="1"/>
  <c r="T16" i="1"/>
  <c r="R14" i="1"/>
  <c r="T15" i="1"/>
  <c r="T26" i="1"/>
  <c r="AB35" i="1"/>
  <c r="AD35" i="1" s="1"/>
  <c r="AA35" i="1"/>
  <c r="AC35" i="1" s="1"/>
  <c r="AH35" i="1"/>
  <c r="Y35" i="1"/>
  <c r="X35" i="1"/>
  <c r="O35" i="1"/>
  <c r="N35" i="1"/>
  <c r="AE35" i="1" s="1"/>
  <c r="T23" i="1"/>
  <c r="N24" i="1"/>
  <c r="AE24" i="1" s="1"/>
  <c r="AA24" i="1"/>
  <c r="AC24" i="1" s="1"/>
  <c r="O24" i="1"/>
  <c r="Y24" i="1"/>
  <c r="AH24" i="1"/>
  <c r="X24" i="1"/>
  <c r="AB24" i="1"/>
  <c r="AD24" i="1" s="1"/>
  <c r="AH39" i="1"/>
  <c r="Y39" i="1"/>
  <c r="X39" i="1"/>
  <c r="N39" i="1"/>
  <c r="AE39" i="1" s="1"/>
  <c r="AB39" i="1"/>
  <c r="AD39" i="1" s="1"/>
  <c r="O39" i="1"/>
  <c r="AA39" i="1"/>
  <c r="AC39" i="1" s="1"/>
  <c r="T43" i="1"/>
  <c r="AB42" i="1"/>
  <c r="AD42" i="1" s="1"/>
  <c r="AA42" i="1"/>
  <c r="AC42" i="1" s="1"/>
  <c r="Y42" i="1"/>
  <c r="AH42" i="1"/>
  <c r="X42" i="1"/>
  <c r="O42" i="1"/>
  <c r="N42" i="1"/>
  <c r="T38" i="1"/>
  <c r="T30" i="1"/>
  <c r="T24" i="1"/>
  <c r="T25" i="1"/>
  <c r="Z28" i="1" l="1"/>
  <c r="Z51" i="1"/>
  <c r="Z26" i="1"/>
  <c r="Z33" i="1"/>
  <c r="Z25" i="1"/>
  <c r="Z17" i="1"/>
  <c r="Z36" i="1"/>
  <c r="Z34" i="1"/>
  <c r="Z44" i="1"/>
  <c r="Z15" i="1"/>
  <c r="Z22" i="1"/>
  <c r="Z37" i="1"/>
  <c r="Z27" i="1"/>
  <c r="Z45" i="1"/>
  <c r="Z19" i="1"/>
  <c r="Z40" i="1"/>
  <c r="Z32" i="1"/>
  <c r="Z48" i="1"/>
  <c r="Z30" i="1"/>
  <c r="Z47" i="1"/>
  <c r="Z31" i="1"/>
  <c r="Z21" i="1"/>
  <c r="Z50" i="1"/>
  <c r="Z41" i="1"/>
  <c r="Z16" i="1"/>
  <c r="Z20" i="1"/>
  <c r="Y14" i="1"/>
  <c r="P5" i="1" s="1"/>
  <c r="R5" i="1" s="1"/>
  <c r="S5" i="1" s="1"/>
  <c r="T5" i="1" s="1"/>
  <c r="Z39" i="1"/>
  <c r="X14" i="1"/>
  <c r="P4" i="1" s="1"/>
  <c r="R4" i="1" s="1"/>
  <c r="T14" i="1"/>
  <c r="S9" i="1"/>
  <c r="Z35" i="1"/>
  <c r="N9" i="1"/>
  <c r="Z42" i="1"/>
  <c r="Z38" i="1"/>
  <c r="K5" i="1"/>
  <c r="Z52" i="1"/>
  <c r="Z46" i="1"/>
  <c r="K4" i="1"/>
  <c r="AC14" i="1"/>
  <c r="AD14" i="1"/>
  <c r="AB14" i="1"/>
  <c r="Z24" i="1"/>
  <c r="AE14" i="1"/>
  <c r="N12" i="1" s="1"/>
  <c r="N14" i="1"/>
  <c r="AA14" i="1"/>
  <c r="U4" i="1" l="1"/>
  <c r="N4" i="1" s="1"/>
  <c r="Z14" i="1"/>
  <c r="P2" i="1"/>
  <c r="K3" i="1"/>
  <c r="R2" i="1"/>
  <c r="S4" i="1"/>
  <c r="T4" i="1" s="1"/>
  <c r="N5" i="1" l="1"/>
</calcChain>
</file>

<file path=xl/sharedStrings.xml><?xml version="1.0" encoding="utf-8"?>
<sst xmlns="http://schemas.openxmlformats.org/spreadsheetml/2006/main" count="8208" uniqueCount="177">
  <si>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</si>
  <si>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</si>
  <si>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</si>
  <si>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</si>
  <si>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</si>
  <si>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</si>
  <si>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</si>
  <si>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</si>
  <si>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</si>
  <si>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</si>
  <si>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</si>
  <si>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</si>
  <si>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</si>
  <si>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</si>
  <si>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</si>
  <si>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</si>
  <si>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</si>
  <si>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</si>
  <si>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</si>
  <si>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</si>
  <si>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</si>
  <si>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</si>
  <si>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</si>
  <si>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</si>
  <si>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</si>
  <si>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</si>
  <si>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</si>
  <si>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</si>
  <si>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</si>
  <si>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</si>
  <si>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</si>
  <si>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</si>
  <si>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</si>
  <si>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</si>
  <si>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</si>
  <si>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</si>
  <si>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</si>
  <si>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</si>
  <si>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</si>
  <si>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</si>
  <si>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</si>
  <si>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</si>
  <si>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</si>
  <si>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</si>
  <si>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</si>
  <si>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</si>
  <si>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</si>
  <si>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</si>
  <si>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NAV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</si>
  <si>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</si>
  <si>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</si>
  <si>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</si>
  <si>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</si>
  <si>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</si>
  <si>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</si>
  <si>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</si>
  <si>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</si>
  <si>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</si>
  <si>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매도 bp</t>
    <phoneticPr fontId="1" type="noConversion"/>
  </si>
  <si>
    <t>매수 bp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</si>
  <si>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</si>
  <si>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</si>
  <si>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</si>
  <si>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</si>
  <si>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</si>
  <si>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</si>
  <si>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</si>
  <si>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</si>
  <si>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</si>
  <si>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</si>
  <si>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</si>
  <si>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</si>
  <si>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</si>
  <si>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</si>
  <si>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</si>
  <si>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</si>
  <si>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</si>
  <si>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</si>
  <si>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</si>
  <si>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</si>
  <si>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</si>
  <si>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</si>
  <si>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</si>
  <si>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</si>
  <si>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</si>
  <si>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</si>
  <si>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</si>
  <si>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</si>
  <si>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</si>
  <si>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</si>
  <si>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</si>
  <si>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</si>
  <si>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</si>
  <si>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</si>
  <si>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</si>
  <si>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</si>
  <si>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</si>
  <si>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</si>
  <si>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</si>
  <si>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</si>
  <si>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</si>
  <si>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</si>
  <si>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</si>
  <si>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</si>
  <si>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</si>
  <si>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</si>
  <si>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</si>
  <si>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</si>
  <si>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</si>
  <si>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</si>
  <si>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</si>
  <si>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</si>
  <si>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</si>
  <si>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</si>
  <si>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</si>
  <si>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</si>
  <si>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</si>
  <si>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</si>
  <si>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</si>
  <si>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</si>
  <si>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</si>
  <si>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</si>
  <si>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</si>
  <si>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</si>
  <si>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</si>
  <si>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</si>
  <si>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</si>
  <si>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</si>
  <si>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</si>
  <si>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</si>
  <si>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</si>
  <si>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</si>
  <si>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</si>
  <si>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</si>
  <si>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</si>
  <si>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</si>
  <si>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</si>
  <si>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</si>
  <si>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0148J0</t>
  </si>
  <si>
    <t>종목코드</t>
  </si>
  <si>
    <t>종목명</t>
  </si>
  <si>
    <t>구분</t>
  </si>
  <si>
    <t>유형</t>
  </si>
  <si>
    <t>주문수량</t>
  </si>
  <si>
    <t>미체결</t>
  </si>
  <si>
    <t>체결수량</t>
  </si>
  <si>
    <t>주문가격</t>
  </si>
  <si>
    <t>체결가격</t>
  </si>
  <si>
    <t>주문시간</t>
  </si>
  <si>
    <t>체결시간</t>
  </si>
  <si>
    <t>상태</t>
  </si>
  <si>
    <t>에러</t>
  </si>
  <si>
    <t>주문번호</t>
  </si>
  <si>
    <t>주문Seq</t>
  </si>
  <si>
    <t>원주문Seq</t>
  </si>
  <si>
    <t>정정취소</t>
  </si>
  <si>
    <t>공매도</t>
  </si>
  <si>
    <t>거부</t>
  </si>
  <si>
    <t>가격유형</t>
  </si>
  <si>
    <t>원주문번호</t>
  </si>
  <si>
    <t>자전방지</t>
  </si>
  <si>
    <t>알고전략구분</t>
  </si>
  <si>
    <t>프로그램</t>
  </si>
  <si>
    <t>매도</t>
  </si>
  <si>
    <t>정정</t>
  </si>
  <si>
    <t>체결</t>
  </si>
  <si>
    <t>일반</t>
  </si>
  <si>
    <t>지정가</t>
  </si>
  <si>
    <t>알고리즘</t>
  </si>
  <si>
    <t>매수</t>
  </si>
  <si>
    <t>신규</t>
  </si>
  <si>
    <t>TIGER 코리아휴머노이드로봇산업</t>
  </si>
  <si>
    <t>TIGER 현대차그룹플러스</t>
  </si>
  <si>
    <t>TIGER 은행</t>
  </si>
  <si>
    <t>부분체결</t>
  </si>
  <si>
    <t>PLUS 고배당주</t>
  </si>
  <si>
    <t>161510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</si>
</sst>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1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6" fillId="8" borderId="7" xfId="0" applyNumberFormat="1" applyFont="1" applyFill="1" applyBorder="1" applyAlignment="1">
      <alignment horizontal="left" vertical="center"/>
    </xf>
    <xf numFmtId="3" fontId="8" fillId="8" borderId="0" xfId="0" applyNumberFormat="1" applyFont="1" applyFill="1" applyAlignment="1">
      <alignment horizontal="center" vertical="center"/>
    </xf>
    <xf numFmtId="49" fontId="16" fillId="8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21" fontId="0" fillId="0" borderId="0" xfId="0" applyNumberFormat="1">
      <alignment vertical="center"/>
    </xf>
  </cellXfs>
  <cellStyles count="3">
    <cellStyle name="표준" xfId="0" builtinId="0"/>
    <cellStyle name="표준 2" xfId="2" xr:uid="{EA02148B-4BA9-461B-ADF5-44625C8816C2}"/>
    <cellStyle name="하이퍼링크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15450</val>
          </value>
        </values>
      </ddeItem>
      <ddeItem name="0052D0:NAV" advise="1">
        <values>
          <value>
            <val>15454.61</val>
          </value>
        </values>
      </ddeItem>
      <ddeItem name="0052D0:VOL" advise="1">
        <values>
          <value>
            <val>89425</val>
          </value>
        </values>
      </ddeItem>
      <ddeItem name="0091P0:LAST" advise="1">
        <values>
          <value>
            <val>17950</val>
          </value>
        </values>
      </ddeItem>
      <ddeItem name="0091P0:NAV" advise="1">
        <values>
          <value>
            <val>17982.73</val>
          </value>
        </values>
      </ddeItem>
      <ddeItem name="0091P0:VOL" advise="1">
        <values>
          <value>
            <val>3997902</val>
          </value>
        </values>
      </ddeItem>
      <ddeItem name="0117V0:LAST" advise="1">
        <values>
          <value>
            <val>19705</val>
          </value>
        </values>
      </ddeItem>
      <ddeItem name="0117V0:NAV" advise="1">
        <values>
          <value>
            <val>19739.54</val>
          </value>
        </values>
      </ddeItem>
      <ddeItem name="0117V0:VOL" advise="1">
        <values>
          <value>
            <val>3420066</val>
          </value>
        </values>
      </ddeItem>
      <ddeItem name="0148J0:LAST" advise="1">
        <values>
          <value>
            <val>9210</val>
          </value>
        </values>
      </ddeItem>
      <ddeItem name="0148J0:NAV" advise="1">
        <values>
          <value>
            <val>9221.25</val>
          </value>
        </values>
      </ddeItem>
      <ddeItem name="0148J0:VOL" advise="1">
        <values>
          <value>
            <val>3338872</val>
          </value>
        </values>
      </ddeItem>
      <ddeItem name="019870^472150:BUY_TDY_AMT" advise="1">
        <values>
          <value>
            <val>0</val>
          </value>
        </values>
      </ddeItem>
      <ddeItem name="019870^472150:BUY_TDY_QTY" advise="1">
        <values>
          <value>
            <val>0</val>
          </value>
        </values>
      </ddeItem>
      <ddeItem name="019870^472150:SELL_TDY_AMT" advise="1">
        <values>
          <value>
            <val>0</val>
          </value>
        </values>
      </ddeItem>
      <ddeItem name="019870^472150:SELL_TDY_QTY" advise="1">
        <values>
          <value>
            <val>0</val>
          </value>
        </values>
      </ddeItem>
      <ddeItem name="019875^0052D0:BUY_TDY_AMT" advise="1">
        <values>
          <value>
            <val>114571655</val>
          </value>
        </values>
      </ddeItem>
      <ddeItem name="019875^0052D0:BUY_TDY_QTY" advise="1">
        <values>
          <value>
            <val>7372</val>
          </value>
        </values>
      </ddeItem>
      <ddeItem name="019875^0052D0:SELL_TDY_AMT" advise="1">
        <values>
          <value>
            <val>113898630</val>
          </value>
        </values>
      </ddeItem>
      <ddeItem name="019875^0052D0:SELL_TDY_QTY" advise="1">
        <values>
          <value>
            <val>7372</val>
          </value>
        </values>
      </ddeItem>
      <ddeItem name="019875^0091P0:BUY_TDY_AMT" advise="1">
        <values>
          <value>
            <val>692694175</val>
          </value>
        </values>
      </ddeItem>
      <ddeItem name="019875^0091P0:BUY_TDY_QTY" advise="1">
        <values>
          <value>
            <val>38448</val>
          </value>
        </values>
      </ddeItem>
      <ddeItem name="019875^0091P0:SELL_TDY_AMT" advise="1">
        <values>
          <value>
            <val>691124830</val>
          </value>
        </values>
      </ddeItem>
      <ddeItem name="019875^0091P0:SELL_TDY_QTY" advise="1">
        <values>
          <value>
            <val>38448</val>
          </value>
        </values>
      </ddeItem>
      <ddeItem name="019875^0117V0:BUY_TDY_AMT" advise="1">
        <values>
          <value>
            <val>698177099</val>
          </value>
        </values>
      </ddeItem>
      <ddeItem name="019875^0117V0:BUY_TDY_QTY" advise="1">
        <values>
          <value>
            <val>35981</val>
          </value>
        </values>
      </ddeItem>
      <ddeItem name="019875^0117V0:SELL_TDY_AMT" advise="1">
        <values>
          <value>
            <val>690841280</val>
          </value>
        </values>
      </ddeItem>
      <ddeItem name="019875^0117V0:SELL_TDY_QTY" advise="1">
        <values>
          <value>
            <val>35981</val>
          </value>
        </values>
      </ddeItem>
      <ddeItem name="019875^0148J0:BUY_TDY_AMT" advise="1">
        <values>
          <value>
            <val>177667425</val>
          </value>
        </values>
      </ddeItem>
      <ddeItem name="019875^0148J0:BUY_TDY_QTY" advise="1">
        <values>
          <value>
            <val>19406</val>
          </value>
        </values>
      </ddeItem>
      <ddeItem name="019875^0148J0:SELL_TDY_AMT" advise="1">
        <values>
          <value>
            <val>177544715</val>
          </value>
        </values>
      </ddeItem>
      <ddeItem name="019875^0148J0:SELL_TDY_QTY" advise="1">
        <values>
          <value>
            <val>19406</val>
          </value>
        </values>
      </ddeItem>
      <ddeItem name="019875^091220:BUY_TDY_AMT" advise="1">
        <values>
          <value>
            <val>168350</val>
          </value>
        </values>
      </ddeItem>
      <ddeItem name="019875^091220:BUY_TDY_QTY" advise="1">
        <values>
          <value>
            <val>10</val>
          </value>
        </values>
      </ddeItem>
      <ddeItem name="019875^091220:SELL_TDY_AMT" advise="1">
        <values>
          <value>
            <val>166750</val>
          </value>
        </values>
      </ddeItem>
      <ddeItem name="019875^091220:SELL_TDY_QTY" advise="1">
        <values>
          <value>
            <val>10</val>
          </value>
        </values>
      </ddeItem>
      <ddeItem name="019875^138520:BUY_TDY_AMT" advise="1">
        <values>
          <value>
            <val>410225</val>
          </value>
        </values>
      </ddeItem>
      <ddeItem name="019875^138520:BUY_TDY_QTY" advise="1">
        <values>
          <value>
            <val>11</val>
          </value>
        </values>
      </ddeItem>
      <ddeItem name="019875^138520:SELL_TDY_AMT" advise="1">
        <values>
          <value>
            <val>409530</val>
          </value>
        </values>
      </ddeItem>
      <ddeItem name="019875^138520:SELL_TDY_QTY" advise="1">
        <values>
          <value>
            <val>11</val>
          </value>
        </values>
      </ddeItem>
      <ddeItem name="019875^138530:BUY_TDY_AMT" advise="1">
        <values>
          <value>
            <val>957210</val>
          </value>
        </values>
      </ddeItem>
      <ddeItem name="019875^138530:BUY_TDY_QTY" advise="1">
        <values>
          <value>
            <val>76</val>
          </value>
        </values>
      </ddeItem>
      <ddeItem name="019875^138530:SELL_TDY_AMT" advise="1">
        <values>
          <value>
            <val>948930</val>
          </value>
        </values>
      </ddeItem>
      <ddeItem name="019875^138530:SELL_TDY_QTY" advise="1">
        <values>
          <value>
            <val>76</val>
          </value>
        </values>
      </ddeItem>
      <ddeItem name="019875^138540:BUY_TDY_AMT" advise="1">
        <values>
          <value>
            <val>47076585</val>
          </value>
        </values>
      </ddeItem>
      <ddeItem name="019875^138540:BUY_TDY_QTY" advise="1">
        <values>
          <value>
            <val>920</val>
          </value>
        </values>
      </ddeItem>
      <ddeItem name="019875^138540:SELL_TDY_AMT" advise="1">
        <values>
          <value>
            <val>47601105</val>
          </value>
        </values>
      </ddeItem>
      <ddeItem name="019875^138540:SELL_TDY_QTY" advise="1">
        <values>
          <value>
            <val>920</val>
          </value>
        </values>
      </ddeItem>
      <ddeItem name="019875^139220:BUY_TDY_AMT" advise="1">
        <values>
          <value>
            <val>37112700</val>
          </value>
        </values>
      </ddeItem>
      <ddeItem name="019875^139220:BUY_TDY_QTY" advise="1">
        <values>
          <value>
            <val>4596</val>
          </value>
        </values>
      </ddeItem>
      <ddeItem name="019875^139220:SELL_TDY_AMT" advise="1">
        <values>
          <value>
            <val>37897305</val>
          </value>
        </values>
      </ddeItem>
      <ddeItem name="019875^139220:SELL_TDY_QTY" advise="1">
        <values>
          <value>
            <val>4596</val>
          </value>
        </values>
      </ddeItem>
      <ddeItem name="019875^139230:BUY_TDY_AMT" advise="1">
        <values>
          <value>
            <val>5339585</val>
          </value>
        </values>
      </ddeItem>
      <ddeItem name="019875^139230:BUY_TDY_QTY" advise="1">
        <values>
          <value>
            <val>396</val>
          </value>
        </values>
      </ddeItem>
      <ddeItem name="019875^139230:SELL_TDY_AMT" advise="1">
        <values>
          <value>
            <val>5340060</val>
          </value>
        </values>
      </ddeItem>
      <ddeItem name="019875^139230:SELL_TDY_QTY" advise="1">
        <values>
          <value>
            <val>396</val>
          </value>
        </values>
      </ddeItem>
      <ddeItem name="019875^139250:BUY_TDY_AMT" advise="1">
        <values>
          <value>
            <val>0</val>
          </value>
        </values>
      </ddeItem>
      <ddeItem name="019875^139250:BUY_TDY_QTY" advise="1">
        <values>
          <value>
            <val>0</val>
          </value>
        </values>
      </ddeItem>
      <ddeItem name="019875^139250:SELL_TDY_AMT" advise="1">
        <values>
          <value>
            <val>0</val>
          </value>
        </values>
      </ddeItem>
      <ddeItem name="019875^139250:SELL_TDY_QTY" advise="1">
        <values>
          <value>
            <val>0</val>
          </value>
        </values>
      </ddeItem>
      <ddeItem name="019875^150460:BUY_TDY_AMT" advise="1">
        <values>
          <value>
            <val>0</val>
          </value>
        </values>
      </ddeItem>
      <ddeItem name="019875^150460:BUY_TDY_QTY" advise="1">
        <values>
          <value>
            <val>0</val>
          </value>
        </values>
      </ddeItem>
      <ddeItem name="019875^150460:SELL_TDY_AMT" advise="1">
        <values>
          <value>
            <val>0</val>
          </value>
        </values>
      </ddeItem>
      <ddeItem name="019875^150460:SELL_TDY_QTY" advise="1">
        <values>
          <value>
            <val>0</val>
          </value>
        </values>
      </ddeItem>
      <ddeItem name="019875^157490:BUY_TDY_AMT" advise="1">
        <values>
          <value>
            <val>120484280</val>
          </value>
        </values>
      </ddeItem>
      <ddeItem name="019875^157490:BUY_TDY_QTY" advise="1">
        <values>
          <value>
            <val>14240</val>
          </value>
        </values>
      </ddeItem>
      <ddeItem name="019875^157490:SELL_TDY_AMT" advise="1">
        <values>
          <value>
            <val>120171970</val>
          </value>
        </values>
      </ddeItem>
      <ddeItem name="019875^157490:SELL_TDY_QTY" advise="1">
        <values>
          <value>
            <val>14240</val>
          </value>
        </values>
      </ddeItem>
      <ddeItem name="019875^157500:BUY_TDY_AMT" advise="1">
        <values>
          <value>
            <val>14247795</val>
          </value>
        </values>
      </ddeItem>
      <ddeItem name="019875^157500:BUY_TDY_QTY" advise="1">
        <values>
          <value>
            <val>1131</val>
          </value>
        </values>
      </ddeItem>
      <ddeItem name="019875^157500:SELL_TDY_AMT" advise="1">
        <values>
          <value>
            <val>14318965</val>
          </value>
        </values>
      </ddeItem>
      <ddeItem name="019875^157500:SELL_TDY_QTY" advise="1">
        <values>
          <value>
            <val>1131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479329965</val>
          </value>
        </values>
      </ddeItem>
      <ddeItem name="019875^228790:BUY_TDY_QTY" advise="1">
        <values>
          <value>
            <val>101422</val>
          </value>
        </values>
      </ddeItem>
      <ddeItem name="019875^228790:SELL_TDY_AMT" advise="1">
        <values>
          <value>
            <val>480830847</val>
          </value>
        </values>
      </ddeItem>
      <ddeItem name="019875^228790:SELL_TDY_QTY" advise="1">
        <values>
          <value>
            <val>101422</val>
          </value>
        </values>
      </ddeItem>
      <ddeItem name="019875^228800:BUY_TDY_AMT" advise="1">
        <values>
          <value>
            <val>9416030</val>
          </value>
        </values>
      </ddeItem>
      <ddeItem name="019875^228800:BUY_TDY_QTY" advise="1">
        <values>
          <value>
            <val>3520</val>
          </value>
        </values>
      </ddeItem>
      <ddeItem name="019875^228800:SELL_TDY_AMT" advise="1">
        <values>
          <value>
            <val>9441350</val>
          </value>
        </values>
      </ddeItem>
      <ddeItem name="019875^228800:SELL_TDY_QTY" advise="1">
        <values>
          <value>
            <val>3520</val>
          </value>
        </values>
      </ddeItem>
      <ddeItem name="019875^228810:BUY_TDY_AMT" advise="1">
        <values>
          <value>
            <val>4884480</val>
          </value>
        </values>
      </ddeItem>
      <ddeItem name="019875^228810:BUY_TDY_QTY" advise="1">
        <values>
          <value>
            <val>1581</val>
          </value>
        </values>
      </ddeItem>
      <ddeItem name="019875^228810:SELL_TDY_AMT" advise="1">
        <values>
          <value>
            <val>4974065</val>
          </value>
        </values>
      </ddeItem>
      <ddeItem name="019875^228810:SELL_TDY_QTY" advise="1">
        <values>
          <value>
            <val>1581</val>
          </value>
        </values>
      </ddeItem>
      <ddeItem name="019875^261060:BUY_TDY_AMT" advise="1">
        <values>
          <value>
            <val>0</val>
          </value>
        </values>
      </ddeItem>
      <ddeItem name="019875^261060:BUY_TDY_QTY" advise="1">
        <values>
          <value>
            <val>0</val>
          </value>
        </values>
      </ddeItem>
      <ddeItem name="019875^261060:SELL_TDY_AMT" advise="1">
        <values>
          <value>
            <val>0</val>
          </value>
        </values>
      </ddeItem>
      <ddeItem name="019875^261060:SELL_TDY_QTY" advise="1">
        <values>
          <value>
            <val>0</val>
          </value>
        </values>
      </ddeItem>
      <ddeItem name="019875^261070:BUY_TDY_AMT" advise="1">
        <values>
          <value>
            <val>758930</val>
          </value>
        </values>
      </ddeItem>
      <ddeItem name="019875^261070:BUY_TDY_QTY" advise="1">
        <values>
          <value>
            <val>58</val>
          </value>
        </values>
      </ddeItem>
      <ddeItem name="019875^261070:SELL_TDY_AMT" advise="1">
        <values>
          <value>
            <val>758930</val>
          </value>
        </values>
      </ddeItem>
      <ddeItem name="019875^261070:SELL_TDY_QTY" advise="1">
        <values>
          <value>
            <val>58</val>
          </value>
        </values>
      </ddeItem>
      <ddeItem name="019875^292150:BUY_TDY_AMT" advise="1">
        <values>
          <value>
            <val>266982650</val>
          </value>
        </values>
      </ddeItem>
      <ddeItem name="019875^292150:BUY_TDY_QTY" advise="1">
        <values>
          <value>
            <val>6977</val>
          </value>
        </values>
      </ddeItem>
      <ddeItem name="019875^292150:SELL_TDY_AMT" advise="1">
        <values>
          <value>
            <val>265941510</val>
          </value>
        </values>
      </ddeItem>
      <ddeItem name="019875^292150:SELL_TDY_QTY" advise="1">
        <values>
          <value>
            <val>6977</val>
          </value>
        </values>
      </ddeItem>
      <ddeItem name="019875^305540:BUY_TDY_AMT" advise="1">
        <values>
          <value>
            <val>386277850</val>
          </value>
        </values>
      </ddeItem>
      <ddeItem name="019875^305540:BUY_TDY_QTY" advise="1">
        <values>
          <value>
            <val>20535</val>
          </value>
        </values>
      </ddeItem>
      <ddeItem name="019875^305540:SELL_TDY_AMT" advise="1">
        <values>
          <value>
            <val>388285730</val>
          </value>
        </values>
      </ddeItem>
      <ddeItem name="019875^305540:SELL_TDY_QTY" advise="1">
        <values>
          <value>
            <val>20535</val>
          </value>
        </values>
      </ddeItem>
      <ddeItem name="019875^307520:BUY_TDY_AMT" advise="1">
        <values>
          <value>
            <val>50415940</val>
          </value>
        </values>
      </ddeItem>
      <ddeItem name="019875^307520:BUY_TDY_QTY" advise="1">
        <values>
          <value>
            <val>2272</val>
          </value>
        </values>
      </ddeItem>
      <ddeItem name="019875^307520:SELL_TDY_AMT" advise="1">
        <values>
          <value>
            <val>50532220</val>
          </value>
        </values>
      </ddeItem>
      <ddeItem name="019875^307520:SELL_TDY_QTY" advise="1">
        <values>
          <value>
            <val>2272</val>
          </value>
        </values>
      </ddeItem>
      <ddeItem name="019875^364960:BUY_TDY_AMT" advise="1">
        <values>
          <value>
            <val>0</val>
          </value>
        </values>
      </ddeItem>
      <ddeItem name="019875^364960:BUY_TDY_QTY" advise="1">
        <values>
          <value>
            <val>0</val>
          </value>
        </values>
      </ddeItem>
      <ddeItem name="019875^364960:SELL_TDY_AMT" advise="1">
        <values>
          <value>
            <val>0</val>
          </value>
        </values>
      </ddeItem>
      <ddeItem name="019875^364960:SELL_TDY_QTY" advise="1">
        <values>
          <value>
            <val>0</val>
          </value>
        </values>
      </ddeItem>
      <ddeItem name="019875^364970:BUY_TDY_AMT" advise="1">
        <values>
          <value>
            <val>15325000</val>
          </value>
        </values>
      </ddeItem>
      <ddeItem name="019875^364970:BUY_TDY_QTY" advise="1">
        <values>
          <value>
            <val>2000</val>
          </value>
        </values>
      </ddeItem>
      <ddeItem name="019875^364970:SELL_TDY_AMT" advise="1">
        <values>
          <value>
            <val>15331765</val>
          </value>
        </values>
      </ddeItem>
      <ddeItem name="019875^364970:SELL_TDY_QTY" advise="1">
        <values>
          <value>
            <val>2000</val>
          </value>
        </values>
      </ddeItem>
      <ddeItem name="019875^364980:BUY_TDY_AMT" advise="1">
        <values>
          <value>
            <val>539525575</val>
          </value>
        </values>
      </ddeItem>
      <ddeItem name="019875^364980:BUY_TDY_QTY" advise="1">
        <values>
          <value>
            <val>51023</val>
          </value>
        </values>
      </ddeItem>
      <ddeItem name="019875^364980:SELL_TDY_AMT" advise="1">
        <values>
          <value>
            <val>538393491</val>
          </value>
        </values>
      </ddeItem>
      <ddeItem name="019875^364980:SELL_TDY_QTY" advise="1">
        <values>
          <value>
            <val>51023</val>
          </value>
        </values>
      </ddeItem>
      <ddeItem name="019875^364990:BUY_TDY_AMT" advise="1">
        <values>
          <value>
            <val>6894900</val>
          </value>
        </values>
      </ddeItem>
      <ddeItem name="019875^364990:BUY_TDY_QTY" advise="1">
        <values>
          <value>
            <val>1467</val>
          </value>
        </values>
      </ddeItem>
      <ddeItem name="019875^364990:SELL_TDY_AMT" advise="1">
        <values>
          <value>
            <val>6979285</val>
          </value>
        </values>
      </ddeItem>
      <ddeItem name="019875^364990:SELL_TDY_QTY" advise="1">
        <values>
          <value>
            <val>1467</val>
          </value>
        </values>
      </ddeItem>
      <ddeItem name="019875^365000:BUY_TDY_AMT" advise="1">
        <values>
          <value>
            <val>3572730</val>
          </value>
        </values>
      </ddeItem>
      <ddeItem name="019875^365000:BUY_TDY_QTY" advise="1">
        <values>
          <value>
            <val>963</val>
          </value>
        </values>
      </ddeItem>
      <ddeItem name="019875^365000:SELL_TDY_AMT" advise="1">
        <values>
          <value>
            <val>3577650</val>
          </value>
        </values>
      </ddeItem>
      <ddeItem name="019875^365000:SELL_TDY_QTY" advise="1">
        <values>
          <value>
            <val>963</val>
          </value>
        </values>
      </ddeItem>
      <ddeItem name="019875^377990:BUY_TDY_AMT" advise="1">
        <values>
          <value>
            <val>25355000</val>
          </value>
        </values>
      </ddeItem>
      <ddeItem name="019875^377990:BUY_TDY_QTY" advise="1">
        <values>
          <value>
            <val>1000</val>
          </value>
        </values>
      </ddeItem>
      <ddeItem name="019875^377990:SELL_TDY_AMT" advise="1">
        <values>
          <value>
            <val>25740000</val>
          </value>
        </values>
      </ddeItem>
      <ddeItem name="019875^377990:SELL_TDY_QTY" advise="1">
        <values>
          <value>
            <val>1000</val>
          </value>
        </values>
      </ddeItem>
      <ddeItem name="019875^395270:BUY_TDY_AMT" advise="1">
        <values>
          <value>
            <val>474731085</val>
          </value>
        </values>
      </ddeItem>
      <ddeItem name="019875^395270:BUY_TDY_QTY" advise="1">
        <values>
          <value>
            <val>8425</val>
          </value>
        </values>
      </ddeItem>
      <ddeItem name="019875^395270:SELL_TDY_AMT" advise="1">
        <values>
          <value>
            <val>471563425</val>
          </value>
        </values>
      </ddeItem>
      <ddeItem name="019875^395270:SELL_TDY_QTY" advise="1">
        <values>
          <value>
            <val>8425</val>
          </value>
        </values>
      </ddeItem>
      <ddeItem name="019875^396500:BUY_TDY_AMT" advise="1">
        <values>
          <value>
            <val>179881495</val>
          </value>
        </values>
      </ddeItem>
      <ddeItem name="019875^396500:BUY_TDY_QTY" advise="1">
        <values>
          <value>
            <val>4995</val>
          </value>
        </values>
      </ddeItem>
      <ddeItem name="019875^396500:SELL_TDY_AMT" advise="1">
        <values>
          <value>
            <val>178173125</val>
          </value>
        </values>
      </ddeItem>
      <ddeItem name="019875^396500:SELL_TDY_QTY" advise="1">
        <values>
          <value>
            <val>4995</val>
          </value>
        </values>
      </ddeItem>
      <ddeItem name="019875^400970:BUY_TDY_AMT" advise="1">
        <values>
          <value>
            <val>0</val>
          </value>
        </values>
      </ddeItem>
      <ddeItem name="019875^400970:BUY_TDY_QTY" advise="1">
        <values>
          <value>
            <val>0</val>
          </value>
        </values>
      </ddeItem>
      <ddeItem name="019875^400970:SELL_TDY_AMT" advise="1">
        <values>
          <value>
            <val>0</val>
          </value>
        </values>
      </ddeItem>
      <ddeItem name="019875^400970:SELL_TDY_QTY" advise="1">
        <values>
          <value>
            <val>0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131250250</val>
          </value>
        </values>
      </ddeItem>
      <ddeItem name="019875^462010:BUY_TDY_QTY" advise="1">
        <values>
          <value>
            <val>26269</val>
          </value>
        </values>
      </ddeItem>
      <ddeItem name="019875^462010:SELL_TDY_AMT" advise="1">
        <values>
          <value>
            <val>132269795</val>
          </value>
        </values>
      </ddeItem>
      <ddeItem name="019875^462010:SELL_TDY_QTY" advise="1">
        <values>
          <value>
            <val>26269</val>
          </value>
        </values>
      </ddeItem>
      <ddeItem name="019875^466940:BUY_TDY_AMT" advise="1">
        <values>
          <value>
            <val>451760475</val>
          </value>
        </values>
      </ddeItem>
      <ddeItem name="019875^466940:BUY_TDY_QTY" advise="1">
        <values>
          <value>
            <val>17107</val>
          </value>
        </values>
      </ddeItem>
      <ddeItem name="019875^466940:SELL_TDY_AMT" advise="1">
        <values>
          <value>
            <val>449417525</val>
          </value>
        </values>
      </ddeItem>
      <ddeItem name="019875^466940:SELL_TDY_QTY" advise="1">
        <values>
          <value>
            <val>17107</val>
          </value>
        </values>
      </ddeItem>
      <ddeItem name="019875^471760:BUY_TDY_AMT" advise="1">
        <values>
          <value>
            <val>41628450</val>
          </value>
        </values>
      </ddeItem>
      <ddeItem name="019875^471760:BUY_TDY_QTY" advise="1">
        <values>
          <value>
            <val>2906</val>
          </value>
        </values>
      </ddeItem>
      <ddeItem name="019875^471760:SELL_TDY_AMT" advise="1">
        <values>
          <value>
            <val>41162105</val>
          </value>
        </values>
      </ddeItem>
      <ddeItem name="019875^471760:SELL_TDY_QTY" advise="1">
        <values>
          <value>
            <val>2906</val>
          </value>
        </values>
      </ddeItem>
      <ddeItem name="019875^494670:BUY_TDY_AMT" advise="1">
        <values>
          <value>
            <val>150538835</val>
          </value>
        </values>
      </ddeItem>
      <ddeItem name="019875^494670:BUY_TDY_QTY" advise="1">
        <values>
          <value>
            <val>6667</val>
          </value>
        </values>
      </ddeItem>
      <ddeItem name="019875^494670:SELL_TDY_AMT" advise="1">
        <values>
          <value>
            <val>149412545</val>
          </value>
        </values>
      </ddeItem>
      <ddeItem name="019875^494670:SELL_TDY_QTY" advise="1">
        <values>
          <value>
            <val>6667</val>
          </value>
        </values>
      </ddeItem>
      <ddeItem name="028875^A0569:BUY_TDY_AMT" advise="1">
        <values>
          <value>
            <val>706016000</val>
          </value>
        </values>
      </ddeItem>
      <ddeItem name="028875^A0569:BUY_TDY_QTY" advise="1">
        <values>
          <value>
            <val>13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711099000</val>
          </value>
        </values>
      </ddeItem>
      <ddeItem name="028875^A0569:SELL_TDY_QTY" advise="1">
        <values>
          <value>
            <val>13</val>
          </value>
        </values>
      </ddeItem>
      <ddeItem name="028875^A0669:BUY_TDY_AMT" advise="1">
        <values>
          <value>
            <val>884072000</val>
          </value>
        </values>
      </ddeItem>
      <ddeItem name="028875^A0669:BUY_TDY_QTY" advise="1">
        <values>
          <value>
            <val>61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881541000</val>
          </value>
        </values>
      </ddeItem>
      <ddeItem name="028875^A0669:SELL_TDY_QTY" advise="1">
        <values>
          <value>
            <val>61</val>
          </value>
        </values>
      </ddeItem>
      <ddeItem name="091220:LAST" advise="1">
        <values>
          <value>
            <val>16710</val>
          </value>
        </values>
      </ddeItem>
      <ddeItem name="091220:NAV" advise="1">
        <values>
          <value>
            <val>16734.95</val>
          </value>
        </values>
      </ddeItem>
      <ddeItem name="091220:VOL" advise="1">
        <values>
          <value>
            <val>22990</val>
          </value>
        </values>
      </ddeItem>
      <ddeItem name="138520:LAST" advise="1">
        <values>
          <value>
            <val>37245</val>
          </value>
        </values>
      </ddeItem>
      <ddeItem name="138520:NAV" advise="1">
        <values>
          <value>
            <val>37366.35</val>
          </value>
        </values>
      </ddeItem>
      <ddeItem name="138520:VOL" advise="1">
        <values>
          <value>
            <val>15573</val>
          </value>
        </values>
      </ddeItem>
      <ddeItem name="138530:LAST" advise="1">
        <values>
          <value>
            <val>12530</val>
          </value>
        </values>
      </ddeItem>
      <ddeItem name="138530:NAV" advise="1">
        <values>
          <value>
            <val>12554.46</val>
          </value>
        </values>
      </ddeItem>
      <ddeItem name="138530:VOL" advise="1">
        <values>
          <value>
            <val>38434</val>
          </value>
        </values>
      </ddeItem>
      <ddeItem name="138540:LAST" advise="1">
        <values>
          <value>
            <val>51065</val>
          </value>
        </values>
      </ddeItem>
      <ddeItem name="138540:NAV" advise="1">
        <values>
          <value>
            <val>51059.74</val>
          </value>
        </values>
      </ddeItem>
      <ddeItem name="138540:VOL" advise="1">
        <values>
          <value>
            <val>112884</val>
          </value>
        </values>
      </ddeItem>
      <ddeItem name="139220:LAST" advise="1">
        <values>
          <value>
            <val>8100</val>
          </value>
        </values>
      </ddeItem>
      <ddeItem name="139220:NAV" advise="1">
        <values>
          <value>
            <val>8100.1</val>
          </value>
        </values>
      </ddeItem>
      <ddeItem name="139220:VOL" advise="1">
        <values>
          <value>
            <val>697787</val>
          </value>
        </values>
      </ddeItem>
      <ddeItem name="139230:LAST" advise="1">
        <values>
          <value>
            <val>13515</val>
          </value>
        </values>
      </ddeItem>
      <ddeItem name="139230:NAV" advise="1">
        <values>
          <value>
            <val>13546.11</val>
          </value>
        </values>
      </ddeItem>
      <ddeItem name="139230:VOL" advise="1">
        <values>
          <value>
            <val>226761</val>
          </value>
        </values>
      </ddeItem>
      <ddeItem name="139250:LAST" advise="1">
        <values>
          <value>
            <val>17500</val>
          </value>
        </values>
      </ddeItem>
      <ddeItem name="139250:NAV" advise="1">
        <values>
          <value>
            <val>17534.22</val>
          </value>
        </values>
      </ddeItem>
      <ddeItem name="139250:VOL" advise="1">
        <values>
          <value>
            <val>15911</val>
          </value>
        </values>
      </ddeItem>
      <ddeItem name="150460:LAST" advise="1">
        <values>
          <value>
            <val>7845</val>
          </value>
        </values>
      </ddeItem>
      <ddeItem name="150460:NAV" advise="1">
        <values>
          <value>
            <val>7857.17</val>
          </value>
        </values>
      </ddeItem>
      <ddeItem name="150460:VOL" advise="1">
        <values>
          <value>
            <val>9748</val>
          </value>
        </values>
      </ddeItem>
      <ddeItem name="157490:LAST" advise="1">
        <values>
          <value>
            <val>8450</val>
          </value>
        </values>
      </ddeItem>
      <ddeItem name="157490:NAV" advise="1">
        <values>
          <value>
            <val>8469.89</val>
          </value>
        </values>
      </ddeItem>
      <ddeItem name="157490:VOL" advise="1">
        <values>
          <value>
            <val>237161</val>
          </value>
        </values>
      </ddeItem>
      <ddeItem name="157500:LAST" advise="1">
        <values>
          <value>
            <val>12535</val>
          </value>
        </values>
      </ddeItem>
      <ddeItem name="157500:NAV" advise="1">
        <values>
          <value>
            <val>12560.92</val>
          </value>
        </values>
      </ddeItem>
      <ddeItem name="157500:VOL" advise="1">
        <values>
          <value>
            <val>298530</val>
          </value>
        </values>
      </ddeItem>
      <ddeItem name="227540:LAST" advise="1">
        <values>
          <value>
            <val>20110</val>
          </value>
        </values>
      </ddeItem>
      <ddeItem name="227540:NAV" advise="1">
        <values>
          <value>
            <val>20134.63</val>
          </value>
        </values>
      </ddeItem>
      <ddeItem name="227540:VOL" advise="1">
        <values>
          <value>
            <val>19334</val>
          </value>
        </values>
      </ddeItem>
      <ddeItem name="228790:LAST" advise="1">
        <values>
          <value>
            <val>4740</val>
          </value>
        </values>
      </ddeItem>
      <ddeItem name="228790:NAV" advise="1">
        <values>
          <value>
            <val>4736.3500000000004</val>
          </value>
        </values>
      </ddeItem>
      <ddeItem name="228790:VOL" advise="1">
        <values>
          <value>
            <val>6940082</val>
          </value>
        </values>
      </ddeItem>
      <ddeItem name="228800:LAST" advise="1">
        <values>
          <value>
            <val>2675</val>
          </value>
        </values>
      </ddeItem>
      <ddeItem name="228800:NAV" advise="1">
        <values>
          <value>
            <val>2674.94</val>
          </value>
        </values>
      </ddeItem>
      <ddeItem name="228800:VOL" advise="1">
        <values>
          <value>
            <val>156774</val>
          </value>
        </values>
      </ddeItem>
      <ddeItem name="228810:LAST" advise="1">
        <values>
          <value>
            <val>3085</val>
          </value>
        </values>
      </ddeItem>
      <ddeItem name="228810:NAV" advise="1">
        <values>
          <value>
            <val>3083.49</val>
          </value>
        </values>
      </ddeItem>
      <ddeItem name="228810:VOL" advise="1">
        <values>
          <value>
            <val>248847</val>
          </value>
        </values>
      </ddeItem>
      <ddeItem name="261060:LAST" advise="1">
        <values>
          <value>
            <val>23700</val>
          </value>
        </values>
      </ddeItem>
      <ddeItem name="261060:NAV" advise="1">
        <values>
          <value>
            <val>23748.39</val>
          </value>
        </values>
      </ddeItem>
      <ddeItem name="261060:VOL" advise="1">
        <values>
          <value>
            <val>14636</val>
          </value>
        </values>
      </ddeItem>
      <ddeItem name="261070:LAST" advise="1">
        <values>
          <value>
            <val>13085</val>
          </value>
        </values>
      </ddeItem>
      <ddeItem name="261070:NAV" advise="1">
        <values>
          <value>
            <val>13096.78</val>
          </value>
        </values>
      </ddeItem>
      <ddeItem name="261070:VOL" advise="1">
        <values>
          <value>
            <val>128747</val>
          </value>
        </values>
      </ddeItem>
      <ddeItem name="292150:LAST" advise="1">
        <values>
          <value>
            <val>38210</val>
          </value>
        </values>
      </ddeItem>
      <ddeItem name="292150:NAV" advise="1">
        <values>
          <value>
            <val>38273.65</val>
          </value>
        </values>
      </ddeItem>
      <ddeItem name="292150:VOL" advise="1">
        <values>
          <value>
            <val>296325</val>
          </value>
        </values>
      </ddeItem>
      <ddeItem name="305540:LAST" advise="1">
        <values>
          <value>
            <val>19050</val>
          </value>
        </values>
      </ddeItem>
      <ddeItem name="305540:NAV" advise="1">
        <values>
          <value>
            <val>19092.5</val>
          </value>
        </values>
      </ddeItem>
      <ddeItem name="305540:VOL" advise="1">
        <values>
          <value>
            <val>613424</val>
          </value>
        </values>
      </ddeItem>
      <ddeItem name="307520:LAST" advise="1">
        <values>
          <value>
            <val>22270</val>
          </value>
        </values>
      </ddeItem>
      <ddeItem name="307520:NAV" advise="1">
        <values>
          <value>
            <val>22314.38</val>
          </value>
        </values>
      </ddeItem>
      <ddeItem name="307520:VOL" advise="1">
        <values>
          <value>
            <val>309407</val>
          </value>
        </values>
      </ddeItem>
      <ddeItem name="364960:LAST" advise="1">
        <values>
          <value>
            <val>6735</val>
          </value>
        </values>
      </ddeItem>
      <ddeItem name="364960:NAV" advise="1">
        <values>
          <value>
            <val>6743.63</val>
          </value>
        </values>
      </ddeItem>
      <ddeItem name="364960:VOL" advise="1">
        <values>
          <value>
            <val>13593</val>
          </value>
        </values>
      </ddeItem>
      <ddeItem name="364970:LAST" advise="1">
        <values>
          <value>
            <val>7665</val>
          </value>
        </values>
      </ddeItem>
      <ddeItem name="364970:NAV" advise="1">
        <values>
          <value>
            <val>7660.62</val>
          </value>
        </values>
      </ddeItem>
      <ddeItem name="364970:VOL" advise="1">
        <values>
          <value>
            <val>721069</val>
          </value>
        </values>
      </ddeItem>
      <ddeItem name="364980:LAST" advise="1">
        <values>
          <value>
            <val>10655</val>
          </value>
        </values>
      </ddeItem>
      <ddeItem name="364980:NAV" advise="1">
        <values>
          <value>
            <val>10676.47</val>
          </value>
        </values>
      </ddeItem>
      <ddeItem name="364980:VOL" advise="1">
        <values>
          <value>
            <val>3636198</val>
          </value>
        </values>
      </ddeItem>
      <ddeItem name="364990:LAST" advise="1">
        <values>
          <value>
            <val>4705</val>
          </value>
        </values>
      </ddeItem>
      <ddeItem name="364990:NAV" advise="1">
        <values>
          <value>
            <val>4710.4399999999996</val>
          </value>
        </values>
      </ddeItem>
      <ddeItem name="364990:VOL" advise="1">
        <values>
          <value>
            <val>101715</val>
          </value>
        </values>
      </ddeItem>
      <ddeItem name="365000:LAST" advise="1">
        <values>
          <value>
            <val>3725</val>
          </value>
        </values>
      </ddeItem>
      <ddeItem name="365000:NAV" advise="1">
        <values>
          <value>
            <val>3720.56</val>
          </value>
        </values>
      </ddeItem>
      <ddeItem name="365000:VOL" advise="1">
        <values>
          <value>
            <val>60413</val>
          </value>
        </values>
      </ddeItem>
      <ddeItem name="377990:LAST" advise="1">
        <values>
          <value>
            <val>25820</val>
          </value>
        </values>
      </ddeItem>
      <ddeItem name="377990:NAV" advise="1">
        <values>
          <value>
            <val>25889.9</val>
          </value>
        </values>
      </ddeItem>
      <ddeItem name="377990:VOL" advise="1">
        <values>
          <value>
            <val>152242</val>
          </value>
        </values>
      </ddeItem>
      <ddeItem name="395270:LAST" advise="1">
        <values>
          <value>
            <val>56200</val>
          </value>
        </values>
      </ddeItem>
      <ddeItem name="395270:NAV" advise="1">
        <values>
          <value>
            <val>56261.59</val>
          </value>
        </values>
      </ddeItem>
      <ddeItem name="395270:VOL" advise="1">
        <values>
          <value>
            <val>704590</val>
          </value>
        </values>
      </ddeItem>
      <ddeItem name="396500:LAST" advise="1">
        <values>
          <value>
            <val>35865</val>
          </value>
        </values>
      </ddeItem>
      <ddeItem name="396500:NAV" advise="1">
        <values>
          <value>
            <val>35878.57</val>
          </value>
        </values>
      </ddeItem>
      <ddeItem name="396500:VOL" advise="1">
        <values>
          <value>
            <val>10073000</val>
          </value>
        </values>
      </ddeItem>
      <ddeItem name="400970:LAST" advise="1">
        <values>
          <value>
            <val>7485</val>
          </value>
        </values>
      </ddeItem>
      <ddeItem name="400970:NAV" advise="1">
        <values>
          <value>
            <val>7490.89</val>
          </value>
        </values>
      </ddeItem>
      <ddeItem name="400970:VOL" advise="1">
        <values>
          <value>
            <val>13075</val>
          </value>
        </values>
      </ddeItem>
      <ddeItem name="417630:LAST" advise="1">
        <values>
          <value>
            <val>20050</val>
          </value>
        </values>
      </ddeItem>
      <ddeItem name="417630:NAV" advise="1">
        <values>
          <value>
            <val>20083.04</val>
          </value>
        </values>
      </ddeItem>
      <ddeItem name="417630:VOL" advise="1">
        <values>
          <value>
            <val>993</val>
          </value>
        </values>
      </ddeItem>
      <ddeItem name="462010:LAST" advise="1">
        <values>
          <value>
            <val>5080</val>
          </value>
        </values>
      </ddeItem>
      <ddeItem name="462010:NAV" advise="1">
        <values>
          <value>
            <val>5087.1000000000004</val>
          </value>
        </values>
      </ddeItem>
      <ddeItem name="462010:VOL" advise="1">
        <values>
          <value>
            <val>5603384</val>
          </value>
        </values>
      </ddeItem>
      <ddeItem name="466940:LAST" advise="1">
        <values>
          <value>
            <val>26320</val>
          </value>
        </values>
      </ddeItem>
      <ddeItem name="466940:NAV" advise="1">
        <values>
          <value>
            <val>26332.639999999999</val>
          </value>
        </values>
      </ddeItem>
      <ddeItem name="466940:VOL" advise="1">
        <values>
          <value>
            <val>546166</val>
          </value>
        </values>
      </ddeItem>
      <ddeItem name="471760:LAST" advise="1">
        <values>
          <value>
            <val>14380</val>
          </value>
        </values>
      </ddeItem>
      <ddeItem name="471760:NAV" advise="1">
        <values>
          <value>
            <val>14382.73</val>
          </value>
        </values>
      </ddeItem>
      <ddeItem name="471760:VOL" advise="1">
        <values>
          <value>
            <val>515361</val>
          </value>
        </values>
      </ddeItem>
      <ddeItem name="472150:LAST" advise="1">
        <values>
          <value>
            <val>20870</val>
          </value>
        </values>
      </ddeItem>
      <ddeItem name="472150:NAV" advise="1">
        <values>
          <value>
            <val>20878.91</val>
          </value>
        </values>
      </ddeItem>
      <ddeItem name="472150:VOL" advise="1">
        <values>
          <value>
            <val>5119230</val>
          </value>
        </values>
      </ddeItem>
      <ddeItem name="494670:LAST" advise="1">
        <values>
          <value>
            <val>22450</val>
          </value>
        </values>
      </ddeItem>
      <ddeItem name="494670:NAV" advise="1">
        <values>
          <value>
            <val>22470.21</val>
          </value>
        </values>
      </ddeItem>
      <ddeItem name="494670:VOL" advise="1">
        <values>
          <value>
            <val>209692</val>
          </value>
        </values>
      </ddeItem>
      <ddeItem name="A0569:LAST" advise="1">
        <values>
          <value>
            <val>1088.5</val>
          </value>
        </values>
      </ddeItem>
      <ddeItem name="A0669:LAST" advise="1">
        <values>
          <value>
            <val>1456.2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바스켓 손익"/>
      <sheetName val="베타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</row>
        <row r="639">
          <cell r="A639" t="str">
            <v>A</v>
          </cell>
        </row>
        <row r="640">
          <cell r="A640" t="str">
            <v>A</v>
          </cell>
        </row>
        <row r="641">
          <cell r="A641" t="str">
            <v>A</v>
          </cell>
        </row>
        <row r="642">
          <cell r="A642" t="str">
            <v>A</v>
          </cell>
        </row>
        <row r="643">
          <cell r="A643" t="str">
            <v>A</v>
          </cell>
        </row>
        <row r="644">
          <cell r="A644" t="str">
            <v>A</v>
          </cell>
        </row>
        <row r="645">
          <cell r="A645" t="str">
            <v>A</v>
          </cell>
        </row>
        <row r="646">
          <cell r="A646" t="str">
            <v>A</v>
          </cell>
        </row>
        <row r="647">
          <cell r="A647" t="str">
            <v>A</v>
          </cell>
        </row>
        <row r="648">
          <cell r="A648" t="str">
            <v>A</v>
          </cell>
        </row>
        <row r="649">
          <cell r="A649" t="str">
            <v>A</v>
          </cell>
        </row>
        <row r="650">
          <cell r="A650" t="str">
            <v>A</v>
          </cell>
        </row>
        <row r="651">
          <cell r="A651" t="str">
            <v>A</v>
          </cell>
        </row>
        <row r="652">
          <cell r="A652" t="str">
            <v>A</v>
          </cell>
        </row>
        <row r="653">
          <cell r="A653" t="str">
            <v>A</v>
          </cell>
        </row>
        <row r="654">
          <cell r="A654" t="str">
            <v>A</v>
          </cell>
        </row>
        <row r="655">
          <cell r="A655" t="str">
            <v>A</v>
          </cell>
        </row>
        <row r="656">
          <cell r="A656" t="str">
            <v>A</v>
          </cell>
        </row>
        <row r="657">
          <cell r="A657" t="str">
            <v>A</v>
          </cell>
        </row>
        <row r="658">
          <cell r="A658" t="str">
            <v>A</v>
          </cell>
        </row>
        <row r="659">
          <cell r="A659" t="str">
            <v>A</v>
          </cell>
        </row>
        <row r="660">
          <cell r="A660" t="str">
            <v>A</v>
          </cell>
        </row>
        <row r="661">
          <cell r="A661" t="str">
            <v>A</v>
          </cell>
        </row>
        <row r="662">
          <cell r="A662" t="str">
            <v>A</v>
          </cell>
        </row>
        <row r="663">
          <cell r="A663" t="str">
            <v>A</v>
          </cell>
        </row>
        <row r="664">
          <cell r="A664" t="str">
            <v>A</v>
          </cell>
        </row>
        <row r="665">
          <cell r="A665" t="str">
            <v>A</v>
          </cell>
        </row>
        <row r="666">
          <cell r="A666" t="str">
            <v>A</v>
          </cell>
        </row>
        <row r="667">
          <cell r="A667" t="str">
            <v>A</v>
          </cell>
        </row>
        <row r="668">
          <cell r="A668" t="str">
            <v>A</v>
          </cell>
        </row>
        <row r="669">
          <cell r="A669" t="str">
            <v>A</v>
          </cell>
        </row>
        <row r="670">
          <cell r="A670" t="str">
            <v>A</v>
          </cell>
        </row>
        <row r="671">
          <cell r="A671" t="str">
            <v>A</v>
          </cell>
        </row>
        <row r="672">
          <cell r="A672" t="str">
            <v>A</v>
          </cell>
        </row>
        <row r="673">
          <cell r="A673" t="str">
            <v>A</v>
          </cell>
        </row>
        <row r="674">
          <cell r="A674" t="str">
            <v>A</v>
          </cell>
        </row>
        <row r="675">
          <cell r="A675" t="str">
            <v>A</v>
          </cell>
        </row>
        <row r="676">
          <cell r="A676" t="str">
            <v>A</v>
          </cell>
        </row>
        <row r="677">
          <cell r="A677" t="str">
            <v>A</v>
          </cell>
        </row>
        <row r="678">
          <cell r="A678" t="str">
            <v>A</v>
          </cell>
        </row>
        <row r="679">
          <cell r="A679" t="str">
            <v>A</v>
          </cell>
        </row>
        <row r="680">
          <cell r="A680" t="str">
            <v>A</v>
          </cell>
        </row>
        <row r="681">
          <cell r="A681" t="str">
            <v>A</v>
          </cell>
        </row>
        <row r="682">
          <cell r="A682" t="str">
            <v>A</v>
          </cell>
        </row>
        <row r="683">
          <cell r="A683" t="str">
            <v>A</v>
          </cell>
        </row>
        <row r="684">
          <cell r="A684" t="str">
            <v>A</v>
          </cell>
        </row>
        <row r="685">
          <cell r="A685" t="str">
            <v>A</v>
          </cell>
        </row>
        <row r="686">
          <cell r="A686" t="str">
            <v>A</v>
          </cell>
        </row>
        <row r="687">
          <cell r="A687" t="str">
            <v>A</v>
          </cell>
        </row>
        <row r="688">
          <cell r="A688" t="str">
            <v>A</v>
          </cell>
        </row>
        <row r="689">
          <cell r="A689" t="str">
            <v>A</v>
          </cell>
        </row>
        <row r="690">
          <cell r="A690" t="str">
            <v>A</v>
          </cell>
        </row>
        <row r="691">
          <cell r="A691" t="str">
            <v>A</v>
          </cell>
        </row>
        <row r="692">
          <cell r="A692" t="str">
            <v>A</v>
          </cell>
        </row>
        <row r="693">
          <cell r="A693" t="str">
            <v>A</v>
          </cell>
        </row>
        <row r="694">
          <cell r="A694" t="str">
            <v>A</v>
          </cell>
        </row>
        <row r="695">
          <cell r="A695" t="str">
            <v>A</v>
          </cell>
        </row>
        <row r="696">
          <cell r="A696" t="str">
            <v>A</v>
          </cell>
        </row>
        <row r="697">
          <cell r="A697" t="str">
            <v>A</v>
          </cell>
        </row>
        <row r="698">
          <cell r="A698" t="str">
            <v>A</v>
          </cell>
        </row>
        <row r="699">
          <cell r="A699" t="str">
            <v>A</v>
          </cell>
        </row>
        <row r="700">
          <cell r="A700" t="str">
            <v>A</v>
          </cell>
        </row>
        <row r="701">
          <cell r="A701" t="str">
            <v>A</v>
          </cell>
        </row>
        <row r="702">
          <cell r="A702" t="str">
            <v>A</v>
          </cell>
        </row>
        <row r="703">
          <cell r="A703" t="str">
            <v>A</v>
          </cell>
        </row>
        <row r="704">
          <cell r="A704" t="str">
            <v>A</v>
          </cell>
        </row>
        <row r="705">
          <cell r="A705" t="str">
            <v>A</v>
          </cell>
        </row>
        <row r="706">
          <cell r="A706" t="str">
            <v>A</v>
          </cell>
        </row>
        <row r="707">
          <cell r="A707" t="str">
            <v>A</v>
          </cell>
        </row>
        <row r="708">
          <cell r="A708" t="str">
            <v>A</v>
          </cell>
        </row>
        <row r="709">
          <cell r="A709" t="str">
            <v>A</v>
          </cell>
        </row>
        <row r="710">
          <cell r="A710" t="str">
            <v>A</v>
          </cell>
        </row>
        <row r="711">
          <cell r="A711" t="str">
            <v>A</v>
          </cell>
        </row>
        <row r="712">
          <cell r="A712" t="str">
            <v>A</v>
          </cell>
        </row>
        <row r="713">
          <cell r="A713" t="str">
            <v>A</v>
          </cell>
        </row>
        <row r="714">
          <cell r="A714" t="str">
            <v>A</v>
          </cell>
        </row>
        <row r="715">
          <cell r="A715" t="str">
            <v>A</v>
          </cell>
        </row>
        <row r="716">
          <cell r="A716" t="str">
            <v>A</v>
          </cell>
        </row>
        <row r="717">
          <cell r="A717" t="str">
            <v>A</v>
          </cell>
        </row>
        <row r="718">
          <cell r="A718" t="str">
            <v>A</v>
          </cell>
        </row>
        <row r="719">
          <cell r="A719" t="str">
            <v>A</v>
          </cell>
        </row>
        <row r="720">
          <cell r="A720" t="str">
            <v>A</v>
          </cell>
        </row>
        <row r="721">
          <cell r="A721" t="str">
            <v>A</v>
          </cell>
        </row>
        <row r="722">
          <cell r="A722" t="str">
            <v>A</v>
          </cell>
        </row>
        <row r="723">
          <cell r="A723" t="str">
            <v>A</v>
          </cell>
        </row>
        <row r="724">
          <cell r="A724" t="str">
            <v>A</v>
          </cell>
        </row>
        <row r="725">
          <cell r="A725" t="str">
            <v>A</v>
          </cell>
        </row>
        <row r="726">
          <cell r="A726" t="str">
            <v>A</v>
          </cell>
        </row>
        <row r="727">
          <cell r="A727" t="str">
            <v>A</v>
          </cell>
        </row>
        <row r="728">
          <cell r="A728" t="str">
            <v>A</v>
          </cell>
        </row>
        <row r="729">
          <cell r="A729" t="str">
            <v>A</v>
          </cell>
        </row>
        <row r="730">
          <cell r="A730" t="str">
            <v>A</v>
          </cell>
        </row>
        <row r="731">
          <cell r="A731" t="str">
            <v>A</v>
          </cell>
        </row>
        <row r="732">
          <cell r="A732" t="str">
            <v>A</v>
          </cell>
        </row>
        <row r="733">
          <cell r="A733" t="str">
            <v>A</v>
          </cell>
        </row>
        <row r="734">
          <cell r="A734" t="str">
            <v>A</v>
          </cell>
        </row>
        <row r="735">
          <cell r="A735" t="str">
            <v>A</v>
          </cell>
        </row>
        <row r="736">
          <cell r="A736" t="str">
            <v>A</v>
          </cell>
        </row>
        <row r="737">
          <cell r="A737" t="str">
            <v>A</v>
          </cell>
        </row>
        <row r="738">
          <cell r="A738" t="str">
            <v>A</v>
          </cell>
        </row>
        <row r="739">
          <cell r="A739" t="str">
            <v>A</v>
          </cell>
        </row>
        <row r="740">
          <cell r="A740" t="str">
            <v>A</v>
          </cell>
        </row>
        <row r="741">
          <cell r="A741" t="str">
            <v>A</v>
          </cell>
        </row>
        <row r="742">
          <cell r="A742" t="str">
            <v>A</v>
          </cell>
        </row>
        <row r="743">
          <cell r="A743" t="str">
            <v>A</v>
          </cell>
        </row>
        <row r="744">
          <cell r="A744" t="str">
            <v>A</v>
          </cell>
        </row>
        <row r="745">
          <cell r="A745" t="str">
            <v>A</v>
          </cell>
        </row>
        <row r="746">
          <cell r="A746" t="str">
            <v>A</v>
          </cell>
        </row>
        <row r="747">
          <cell r="A747" t="str">
            <v>A</v>
          </cell>
        </row>
        <row r="748">
          <cell r="A748" t="str">
            <v>A</v>
          </cell>
        </row>
        <row r="749">
          <cell r="A749" t="str">
            <v>A</v>
          </cell>
        </row>
        <row r="750">
          <cell r="A750" t="str">
            <v>A</v>
          </cell>
        </row>
        <row r="751">
          <cell r="A751" t="str">
            <v>A</v>
          </cell>
        </row>
        <row r="752">
          <cell r="A752" t="str">
            <v>A</v>
          </cell>
        </row>
        <row r="753">
          <cell r="A753" t="str">
            <v>A</v>
          </cell>
        </row>
        <row r="754">
          <cell r="A754" t="str">
            <v>A</v>
          </cell>
        </row>
        <row r="755">
          <cell r="A755" t="str">
            <v>A</v>
          </cell>
        </row>
        <row r="756">
          <cell r="A756" t="str">
            <v>A</v>
          </cell>
        </row>
        <row r="757">
          <cell r="A757" t="str">
            <v>A</v>
          </cell>
        </row>
        <row r="758">
          <cell r="A758" t="str">
            <v>A</v>
          </cell>
        </row>
        <row r="759">
          <cell r="A759" t="str">
            <v>A</v>
          </cell>
        </row>
        <row r="760">
          <cell r="A760" t="str">
            <v>A</v>
          </cell>
        </row>
        <row r="761">
          <cell r="A761" t="str">
            <v>A</v>
          </cell>
        </row>
        <row r="762">
          <cell r="A762" t="str">
            <v>A</v>
          </cell>
        </row>
        <row r="763">
          <cell r="A763" t="str">
            <v>A</v>
          </cell>
        </row>
        <row r="764">
          <cell r="A764" t="str">
            <v>A</v>
          </cell>
        </row>
        <row r="765">
          <cell r="A765" t="str">
            <v>A</v>
          </cell>
        </row>
        <row r="766">
          <cell r="A766" t="str">
            <v>A</v>
          </cell>
        </row>
        <row r="767">
          <cell r="A767" t="str">
            <v>A</v>
          </cell>
        </row>
        <row r="768">
          <cell r="A768" t="str">
            <v>A</v>
          </cell>
        </row>
        <row r="769">
          <cell r="A769" t="str">
            <v>A</v>
          </cell>
        </row>
        <row r="770">
          <cell r="A770" t="str">
            <v>A</v>
          </cell>
        </row>
        <row r="771">
          <cell r="A771" t="str">
            <v>A</v>
          </cell>
        </row>
        <row r="772">
          <cell r="A772" t="str">
            <v>A</v>
          </cell>
        </row>
        <row r="773">
          <cell r="A773" t="str">
            <v>A</v>
          </cell>
        </row>
        <row r="774">
          <cell r="A774" t="str">
            <v>A</v>
          </cell>
        </row>
        <row r="775">
          <cell r="A775" t="str">
            <v>A</v>
          </cell>
        </row>
        <row r="776">
          <cell r="A776" t="str">
            <v>A</v>
          </cell>
        </row>
        <row r="777">
          <cell r="A777" t="str">
            <v>A</v>
          </cell>
        </row>
        <row r="778">
          <cell r="A778" t="str">
            <v>A</v>
          </cell>
        </row>
        <row r="779">
          <cell r="A779" t="str">
            <v>A</v>
          </cell>
        </row>
        <row r="780">
          <cell r="A780" t="str">
            <v>A</v>
          </cell>
        </row>
        <row r="781">
          <cell r="A781" t="str">
            <v>A</v>
          </cell>
        </row>
        <row r="782">
          <cell r="A782" t="str">
            <v>A</v>
          </cell>
        </row>
        <row r="783">
          <cell r="A783" t="str">
            <v>A</v>
          </cell>
        </row>
        <row r="784">
          <cell r="A784" t="str">
            <v>A</v>
          </cell>
        </row>
        <row r="785">
          <cell r="A785" t="str">
            <v>A</v>
          </cell>
        </row>
        <row r="786">
          <cell r="A786" t="str">
            <v>A</v>
          </cell>
        </row>
        <row r="787">
          <cell r="A787" t="str">
            <v>A</v>
          </cell>
        </row>
        <row r="788">
          <cell r="A788" t="str">
            <v>A</v>
          </cell>
        </row>
        <row r="789">
          <cell r="A789" t="str">
            <v>A</v>
          </cell>
        </row>
        <row r="790">
          <cell r="A790" t="str">
            <v>A</v>
          </cell>
        </row>
        <row r="791">
          <cell r="A791" t="str">
            <v>A</v>
          </cell>
        </row>
        <row r="792">
          <cell r="A792" t="str">
            <v>A</v>
          </cell>
        </row>
        <row r="793">
          <cell r="A793" t="str">
            <v>A</v>
          </cell>
        </row>
        <row r="794">
          <cell r="A794" t="str">
            <v>A</v>
          </cell>
        </row>
        <row r="795">
          <cell r="A795" t="str">
            <v>A</v>
          </cell>
        </row>
        <row r="796">
          <cell r="A796" t="str">
            <v>A</v>
          </cell>
        </row>
        <row r="797">
          <cell r="A797" t="str">
            <v>A</v>
          </cell>
        </row>
        <row r="798">
          <cell r="A798" t="str">
            <v>A</v>
          </cell>
        </row>
        <row r="799">
          <cell r="A799" t="str">
            <v>A</v>
          </cell>
        </row>
        <row r="800">
          <cell r="A800" t="str">
            <v>A</v>
          </cell>
        </row>
        <row r="801">
          <cell r="A801" t="str">
            <v>A</v>
          </cell>
        </row>
        <row r="802">
          <cell r="A802" t="str">
            <v>A</v>
          </cell>
        </row>
        <row r="803">
          <cell r="A803" t="str">
            <v>A</v>
          </cell>
        </row>
        <row r="804">
          <cell r="A804" t="str">
            <v>A</v>
          </cell>
        </row>
        <row r="805">
          <cell r="A805" t="str">
            <v>A</v>
          </cell>
        </row>
        <row r="806">
          <cell r="A806" t="str">
            <v>A</v>
          </cell>
        </row>
        <row r="807">
          <cell r="A807" t="str">
            <v>A</v>
          </cell>
        </row>
        <row r="808">
          <cell r="A808" t="str">
            <v>A</v>
          </cell>
        </row>
        <row r="809">
          <cell r="A809" t="str">
            <v>A</v>
          </cell>
        </row>
        <row r="810">
          <cell r="A810" t="str">
            <v>A</v>
          </cell>
        </row>
        <row r="811">
          <cell r="A811" t="str">
            <v>A</v>
          </cell>
        </row>
        <row r="812">
          <cell r="A812" t="str">
            <v>A</v>
          </cell>
        </row>
        <row r="813">
          <cell r="A813" t="str">
            <v>A</v>
          </cell>
        </row>
        <row r="814">
          <cell r="A814" t="str">
            <v>A</v>
          </cell>
        </row>
        <row r="815">
          <cell r="A815" t="str">
            <v>A</v>
          </cell>
        </row>
        <row r="816">
          <cell r="A816" t="str">
            <v>A</v>
          </cell>
        </row>
        <row r="817">
          <cell r="A817" t="str">
            <v>A</v>
          </cell>
        </row>
        <row r="818">
          <cell r="A818" t="str">
            <v>A</v>
          </cell>
        </row>
        <row r="819">
          <cell r="A819" t="str">
            <v>A</v>
          </cell>
        </row>
        <row r="820">
          <cell r="A820" t="str">
            <v>A</v>
          </cell>
        </row>
        <row r="821">
          <cell r="A821" t="str">
            <v>A</v>
          </cell>
        </row>
        <row r="822">
          <cell r="A822" t="str">
            <v>A</v>
          </cell>
        </row>
        <row r="823">
          <cell r="A823" t="str">
            <v>A</v>
          </cell>
        </row>
        <row r="824">
          <cell r="A824" t="str">
            <v>A</v>
          </cell>
        </row>
        <row r="825">
          <cell r="A825" t="str">
            <v>A</v>
          </cell>
        </row>
        <row r="826">
          <cell r="A826" t="str">
            <v>A</v>
          </cell>
        </row>
        <row r="827">
          <cell r="A827" t="str">
            <v>A</v>
          </cell>
        </row>
        <row r="828">
          <cell r="A828" t="str">
            <v>A</v>
          </cell>
        </row>
        <row r="829">
          <cell r="A829" t="str">
            <v>A</v>
          </cell>
        </row>
        <row r="830">
          <cell r="A830" t="str">
            <v>A</v>
          </cell>
        </row>
        <row r="831">
          <cell r="A831" t="str">
            <v>A</v>
          </cell>
        </row>
        <row r="832">
          <cell r="A832" t="str">
            <v>A</v>
          </cell>
        </row>
        <row r="833">
          <cell r="A833" t="str">
            <v>A</v>
          </cell>
        </row>
        <row r="834">
          <cell r="A834" t="str">
            <v>A</v>
          </cell>
        </row>
        <row r="835">
          <cell r="A835" t="str">
            <v>A</v>
          </cell>
        </row>
        <row r="836">
          <cell r="A836" t="str">
            <v>A</v>
          </cell>
        </row>
        <row r="837">
          <cell r="A837" t="str">
            <v>A</v>
          </cell>
        </row>
        <row r="838">
          <cell r="A838" t="str">
            <v>A</v>
          </cell>
        </row>
        <row r="839">
          <cell r="A839" t="str">
            <v>A</v>
          </cell>
        </row>
        <row r="840">
          <cell r="A840" t="str">
            <v>A</v>
          </cell>
        </row>
        <row r="841">
          <cell r="A841" t="str">
            <v>A</v>
          </cell>
        </row>
        <row r="842">
          <cell r="A842" t="str">
            <v>A</v>
          </cell>
        </row>
        <row r="843">
          <cell r="A843" t="str">
            <v>A</v>
          </cell>
        </row>
        <row r="844">
          <cell r="A844" t="str">
            <v>A</v>
          </cell>
        </row>
        <row r="845">
          <cell r="A845" t="str">
            <v>A</v>
          </cell>
        </row>
        <row r="846">
          <cell r="A846" t="str">
            <v>A</v>
          </cell>
        </row>
        <row r="847">
          <cell r="A847" t="str">
            <v>A</v>
          </cell>
        </row>
        <row r="848">
          <cell r="A848" t="str">
            <v>A</v>
          </cell>
        </row>
        <row r="849">
          <cell r="A849" t="str">
            <v>A</v>
          </cell>
        </row>
        <row r="850">
          <cell r="A850" t="str">
            <v>A</v>
          </cell>
        </row>
        <row r="851">
          <cell r="A851" t="str">
            <v>A</v>
          </cell>
        </row>
        <row r="852">
          <cell r="A852" t="str">
            <v>A</v>
          </cell>
        </row>
        <row r="853">
          <cell r="A853" t="str">
            <v>A</v>
          </cell>
        </row>
        <row r="854">
          <cell r="A854" t="str">
            <v>A</v>
          </cell>
        </row>
        <row r="855">
          <cell r="A855" t="str">
            <v>A</v>
          </cell>
        </row>
        <row r="856">
          <cell r="A856" t="str">
            <v>A</v>
          </cell>
        </row>
        <row r="857">
          <cell r="A857" t="str">
            <v>A</v>
          </cell>
        </row>
        <row r="858">
          <cell r="A858" t="str">
            <v>A</v>
          </cell>
        </row>
        <row r="859">
          <cell r="A859" t="str">
            <v>A</v>
          </cell>
        </row>
        <row r="860">
          <cell r="A860" t="str">
            <v>A</v>
          </cell>
        </row>
        <row r="861">
          <cell r="A861" t="str">
            <v>A</v>
          </cell>
        </row>
        <row r="862">
          <cell r="A862" t="str">
            <v>A</v>
          </cell>
        </row>
        <row r="863">
          <cell r="A863" t="str">
            <v>A</v>
          </cell>
        </row>
        <row r="864">
          <cell r="A864" t="str">
            <v>A</v>
          </cell>
        </row>
        <row r="865">
          <cell r="A865" t="str">
            <v>A</v>
          </cell>
        </row>
        <row r="866">
          <cell r="A866" t="str">
            <v>A</v>
          </cell>
        </row>
        <row r="867">
          <cell r="A867" t="str">
            <v>A</v>
          </cell>
        </row>
        <row r="868">
          <cell r="A868" t="str">
            <v>A</v>
          </cell>
        </row>
        <row r="869">
          <cell r="A869" t="str">
            <v>A</v>
          </cell>
        </row>
        <row r="870">
          <cell r="A870" t="str">
            <v>A</v>
          </cell>
        </row>
        <row r="871">
          <cell r="A871" t="str">
            <v>A</v>
          </cell>
        </row>
        <row r="872">
          <cell r="A872" t="str">
            <v>A</v>
          </cell>
        </row>
        <row r="873">
          <cell r="A873" t="str">
            <v>A</v>
          </cell>
        </row>
        <row r="874">
          <cell r="A874" t="str">
            <v>A</v>
          </cell>
        </row>
        <row r="875">
          <cell r="A875" t="str">
            <v>A</v>
          </cell>
        </row>
        <row r="876">
          <cell r="A876" t="str">
            <v>A</v>
          </cell>
        </row>
        <row r="877">
          <cell r="A877" t="str">
            <v>A</v>
          </cell>
        </row>
        <row r="878">
          <cell r="A878" t="str">
            <v>A</v>
          </cell>
        </row>
        <row r="879">
          <cell r="A879" t="str">
            <v>A</v>
          </cell>
        </row>
        <row r="880">
          <cell r="A880" t="str">
            <v>A</v>
          </cell>
        </row>
        <row r="881">
          <cell r="A881" t="str">
            <v>A</v>
          </cell>
        </row>
        <row r="882">
          <cell r="A882" t="str">
            <v>A</v>
          </cell>
        </row>
        <row r="883">
          <cell r="A883" t="str">
            <v>A</v>
          </cell>
        </row>
        <row r="884">
          <cell r="A884" t="str">
            <v>A</v>
          </cell>
        </row>
        <row r="885">
          <cell r="A885" t="str">
            <v>A</v>
          </cell>
        </row>
        <row r="886">
          <cell r="A886" t="str">
            <v>A</v>
          </cell>
        </row>
        <row r="887">
          <cell r="A887" t="str">
            <v>A</v>
          </cell>
        </row>
        <row r="888">
          <cell r="A888" t="str">
            <v>A</v>
          </cell>
        </row>
        <row r="889">
          <cell r="A889" t="str">
            <v>A</v>
          </cell>
        </row>
        <row r="890">
          <cell r="A890" t="str">
            <v>A</v>
          </cell>
        </row>
        <row r="891">
          <cell r="A891" t="str">
            <v>A</v>
          </cell>
        </row>
        <row r="892">
          <cell r="A892" t="str">
            <v>A</v>
          </cell>
        </row>
        <row r="893">
          <cell r="A893" t="str">
            <v>A</v>
          </cell>
        </row>
        <row r="894">
          <cell r="A894" t="str">
            <v>A</v>
          </cell>
        </row>
        <row r="895">
          <cell r="A895" t="str">
            <v>A</v>
          </cell>
        </row>
        <row r="896">
          <cell r="A896" t="str">
            <v>A</v>
          </cell>
        </row>
        <row r="897">
          <cell r="A897" t="str">
            <v>A</v>
          </cell>
        </row>
        <row r="898">
          <cell r="A898" t="str">
            <v>A</v>
          </cell>
        </row>
        <row r="899">
          <cell r="A899" t="str">
            <v>A</v>
          </cell>
        </row>
        <row r="900">
          <cell r="A900" t="str">
            <v>A</v>
          </cell>
        </row>
        <row r="901">
          <cell r="A901" t="str">
            <v>A</v>
          </cell>
        </row>
        <row r="902">
          <cell r="A902" t="str">
            <v>A</v>
          </cell>
        </row>
        <row r="903">
          <cell r="A903" t="str">
            <v>A</v>
          </cell>
        </row>
        <row r="904">
          <cell r="A904" t="str">
            <v>A</v>
          </cell>
        </row>
        <row r="905">
          <cell r="A905" t="str">
            <v>A</v>
          </cell>
        </row>
        <row r="906">
          <cell r="A906" t="str">
            <v>A</v>
          </cell>
        </row>
        <row r="907">
          <cell r="A907" t="str">
            <v>A</v>
          </cell>
        </row>
        <row r="908">
          <cell r="A908" t="str">
            <v>A</v>
          </cell>
        </row>
        <row r="909">
          <cell r="A909" t="str">
            <v>A</v>
          </cell>
        </row>
        <row r="910">
          <cell r="A910" t="str">
            <v>A</v>
          </cell>
        </row>
        <row r="911">
          <cell r="A911" t="str">
            <v>A</v>
          </cell>
        </row>
        <row r="912">
          <cell r="A912" t="str">
            <v>A</v>
          </cell>
        </row>
        <row r="913">
          <cell r="A913" t="str">
            <v>A</v>
          </cell>
        </row>
        <row r="914">
          <cell r="A914" t="str">
            <v>A</v>
          </cell>
        </row>
        <row r="915">
          <cell r="A915" t="str">
            <v>A</v>
          </cell>
        </row>
        <row r="916">
          <cell r="A916" t="str">
            <v>A</v>
          </cell>
        </row>
        <row r="917">
          <cell r="A917" t="str">
            <v>A</v>
          </cell>
        </row>
        <row r="918">
          <cell r="A918" t="str">
            <v>A</v>
          </cell>
        </row>
        <row r="919">
          <cell r="A919" t="str">
            <v>A</v>
          </cell>
        </row>
        <row r="920">
          <cell r="A920" t="str">
            <v>A</v>
          </cell>
        </row>
        <row r="921">
          <cell r="A921" t="str">
            <v>A</v>
          </cell>
        </row>
        <row r="922">
          <cell r="A922" t="str">
            <v>A</v>
          </cell>
        </row>
        <row r="923">
          <cell r="A923" t="str">
            <v>A</v>
          </cell>
        </row>
        <row r="924">
          <cell r="A924" t="str">
            <v>A</v>
          </cell>
        </row>
        <row r="925">
          <cell r="A925" t="str">
            <v>A</v>
          </cell>
        </row>
        <row r="926">
          <cell r="A926" t="str">
            <v>A</v>
          </cell>
        </row>
        <row r="927">
          <cell r="A927" t="str">
            <v>A</v>
          </cell>
        </row>
        <row r="928">
          <cell r="A928" t="str">
            <v>A</v>
          </cell>
        </row>
        <row r="929">
          <cell r="A929" t="str">
            <v>A</v>
          </cell>
        </row>
        <row r="930">
          <cell r="A930" t="str">
            <v>A</v>
          </cell>
        </row>
        <row r="931">
          <cell r="A931" t="str">
            <v>A</v>
          </cell>
        </row>
        <row r="932">
          <cell r="A932" t="str">
            <v>A</v>
          </cell>
        </row>
        <row r="933">
          <cell r="A933" t="str">
            <v>A</v>
          </cell>
        </row>
        <row r="934">
          <cell r="A934" t="str">
            <v>A</v>
          </cell>
        </row>
        <row r="935">
          <cell r="A935" t="str">
            <v>A</v>
          </cell>
        </row>
        <row r="936">
          <cell r="A936" t="str">
            <v>A</v>
          </cell>
        </row>
        <row r="937">
          <cell r="A937" t="str">
            <v>A</v>
          </cell>
        </row>
        <row r="938">
          <cell r="A938" t="str">
            <v>A</v>
          </cell>
        </row>
        <row r="939">
          <cell r="A939" t="str">
            <v>A</v>
          </cell>
        </row>
        <row r="940">
          <cell r="A940" t="str">
            <v>A</v>
          </cell>
        </row>
        <row r="941">
          <cell r="A941" t="str">
            <v>A</v>
          </cell>
        </row>
        <row r="942">
          <cell r="A942" t="str">
            <v>A</v>
          </cell>
        </row>
        <row r="943">
          <cell r="A943" t="str">
            <v>A</v>
          </cell>
        </row>
        <row r="944">
          <cell r="A944" t="str">
            <v>A</v>
          </cell>
        </row>
        <row r="945">
          <cell r="A945" t="str">
            <v>A</v>
          </cell>
        </row>
        <row r="946">
          <cell r="A946" t="str">
            <v>A</v>
          </cell>
        </row>
        <row r="947">
          <cell r="A947" t="str">
            <v>A</v>
          </cell>
        </row>
        <row r="948">
          <cell r="A948" t="str">
            <v>A</v>
          </cell>
        </row>
        <row r="949">
          <cell r="A949" t="str">
            <v>A</v>
          </cell>
        </row>
        <row r="950">
          <cell r="A950" t="str">
            <v>A</v>
          </cell>
        </row>
        <row r="951">
          <cell r="A951" t="str">
            <v>A</v>
          </cell>
        </row>
        <row r="952">
          <cell r="A952" t="str">
            <v>A</v>
          </cell>
        </row>
        <row r="953">
          <cell r="A953" t="str">
            <v>A</v>
          </cell>
        </row>
        <row r="954">
          <cell r="A954" t="str">
            <v>A</v>
          </cell>
        </row>
        <row r="955">
          <cell r="A955" t="str">
            <v>A</v>
          </cell>
        </row>
        <row r="956">
          <cell r="A956" t="str">
            <v>A</v>
          </cell>
        </row>
        <row r="957">
          <cell r="A957" t="str">
            <v>A</v>
          </cell>
        </row>
        <row r="958">
          <cell r="A958" t="str">
            <v>A</v>
          </cell>
        </row>
        <row r="959">
          <cell r="A959" t="str">
            <v>A</v>
          </cell>
        </row>
        <row r="960">
          <cell r="A960" t="str">
            <v>A</v>
          </cell>
        </row>
        <row r="961">
          <cell r="A961" t="str">
            <v>A</v>
          </cell>
        </row>
        <row r="962">
          <cell r="A962" t="str">
            <v>A</v>
          </cell>
        </row>
        <row r="963">
          <cell r="A963" t="str">
            <v>A</v>
          </cell>
        </row>
        <row r="964">
          <cell r="A964" t="str">
            <v>A</v>
          </cell>
        </row>
        <row r="965">
          <cell r="A965" t="str">
            <v>A</v>
          </cell>
        </row>
        <row r="966">
          <cell r="A966" t="str">
            <v>A</v>
          </cell>
        </row>
        <row r="967">
          <cell r="A967" t="str">
            <v>A</v>
          </cell>
        </row>
        <row r="968">
          <cell r="A968" t="str">
            <v>A</v>
          </cell>
        </row>
        <row r="969">
          <cell r="A969" t="str">
            <v>A</v>
          </cell>
        </row>
        <row r="970">
          <cell r="A970" t="str">
            <v>A</v>
          </cell>
        </row>
        <row r="971">
          <cell r="A971" t="str">
            <v>A</v>
          </cell>
        </row>
        <row r="972">
          <cell r="A972" t="str">
            <v>A</v>
          </cell>
        </row>
        <row r="973">
          <cell r="A973" t="str">
            <v>A</v>
          </cell>
        </row>
        <row r="974">
          <cell r="A974" t="str">
            <v>A</v>
          </cell>
        </row>
        <row r="975">
          <cell r="A975" t="str">
            <v>A</v>
          </cell>
        </row>
        <row r="976">
          <cell r="A976" t="str">
            <v>A</v>
          </cell>
        </row>
        <row r="977">
          <cell r="A977" t="str">
            <v>A</v>
          </cell>
        </row>
        <row r="978">
          <cell r="A978" t="str">
            <v>A</v>
          </cell>
        </row>
        <row r="979">
          <cell r="A979" t="str">
            <v>A</v>
          </cell>
        </row>
        <row r="980">
          <cell r="A980" t="str">
            <v>A</v>
          </cell>
        </row>
        <row r="981">
          <cell r="A981" t="str">
            <v>A</v>
          </cell>
        </row>
        <row r="982">
          <cell r="A982" t="str">
            <v>A</v>
          </cell>
        </row>
        <row r="983">
          <cell r="A983" t="str">
            <v>A</v>
          </cell>
        </row>
        <row r="984">
          <cell r="A984" t="str">
            <v>A</v>
          </cell>
        </row>
        <row r="985">
          <cell r="A985" t="str">
            <v>A</v>
          </cell>
        </row>
        <row r="986">
          <cell r="A986" t="str">
            <v>A</v>
          </cell>
        </row>
        <row r="987">
          <cell r="A987" t="str">
            <v>A</v>
          </cell>
        </row>
        <row r="988">
          <cell r="A988" t="str">
            <v>A</v>
          </cell>
        </row>
        <row r="989">
          <cell r="A989" t="str">
            <v>A</v>
          </cell>
        </row>
        <row r="990">
          <cell r="A990" t="str">
            <v>A</v>
          </cell>
        </row>
        <row r="991">
          <cell r="A991" t="str">
            <v>A</v>
          </cell>
        </row>
        <row r="992">
          <cell r="A992" t="str">
            <v>A</v>
          </cell>
        </row>
        <row r="993">
          <cell r="A993" t="str">
            <v>A</v>
          </cell>
        </row>
        <row r="994">
          <cell r="A994" t="str">
            <v>A</v>
          </cell>
        </row>
        <row r="995">
          <cell r="A995" t="str">
            <v>A</v>
          </cell>
        </row>
        <row r="996">
          <cell r="A996" t="str">
            <v>A</v>
          </cell>
        </row>
        <row r="997">
          <cell r="A997" t="str">
            <v>A</v>
          </cell>
        </row>
        <row r="998">
          <cell r="A998" t="str">
            <v>A</v>
          </cell>
        </row>
        <row r="999">
          <cell r="A999" t="str">
            <v>A</v>
          </cell>
        </row>
        <row r="1000">
          <cell r="A1000" t="str">
            <v>A</v>
          </cell>
        </row>
        <row r="1001">
          <cell r="A1001" t="str">
            <v>A</v>
          </cell>
        </row>
        <row r="1002">
          <cell r="A1002" t="str">
            <v>A</v>
          </cell>
        </row>
        <row r="1003">
          <cell r="A1003" t="str">
            <v>A</v>
          </cell>
        </row>
        <row r="1004">
          <cell r="A1004" t="str">
            <v>A</v>
          </cell>
        </row>
        <row r="1005">
          <cell r="A1005" t="str">
            <v>A</v>
          </cell>
        </row>
        <row r="1006">
          <cell r="A1006" t="str">
            <v>A</v>
          </cell>
        </row>
        <row r="1007">
          <cell r="A1007" t="str">
            <v>A</v>
          </cell>
        </row>
        <row r="1008">
          <cell r="A1008" t="str">
            <v>A</v>
          </cell>
        </row>
        <row r="1009">
          <cell r="A1009" t="str">
            <v>A</v>
          </cell>
        </row>
        <row r="1010">
          <cell r="A1010" t="str">
            <v>A</v>
          </cell>
        </row>
        <row r="1011">
          <cell r="A1011" t="str">
            <v>A</v>
          </cell>
        </row>
        <row r="1012">
          <cell r="A1012" t="str">
            <v>A</v>
          </cell>
        </row>
        <row r="1013">
          <cell r="A1013" t="str">
            <v>A</v>
          </cell>
        </row>
        <row r="1014">
          <cell r="A1014" t="str">
            <v>A</v>
          </cell>
        </row>
        <row r="1015">
          <cell r="A1015" t="str">
            <v>A</v>
          </cell>
        </row>
        <row r="1016">
          <cell r="A1016" t="str">
            <v>A</v>
          </cell>
        </row>
        <row r="1017">
          <cell r="A1017" t="str">
            <v>A</v>
          </cell>
        </row>
        <row r="1018">
          <cell r="A1018" t="str">
            <v>A</v>
          </cell>
        </row>
        <row r="1019">
          <cell r="A1019" t="str">
            <v>A</v>
          </cell>
        </row>
        <row r="1020">
          <cell r="A1020" t="str">
            <v>A</v>
          </cell>
        </row>
        <row r="1021">
          <cell r="A1021" t="str">
            <v>A</v>
          </cell>
        </row>
        <row r="1022">
          <cell r="A1022" t="str">
            <v>A</v>
          </cell>
        </row>
        <row r="1023">
          <cell r="A1023" t="str">
            <v>A</v>
          </cell>
        </row>
        <row r="1024">
          <cell r="A1024" t="str">
            <v>A</v>
          </cell>
        </row>
        <row r="1025">
          <cell r="A1025" t="str">
            <v>A</v>
          </cell>
        </row>
        <row r="1026">
          <cell r="A1026" t="str">
            <v>A</v>
          </cell>
        </row>
        <row r="1027">
          <cell r="A1027" t="str">
            <v>A</v>
          </cell>
        </row>
        <row r="1028">
          <cell r="A1028" t="str">
            <v>A</v>
          </cell>
        </row>
        <row r="1029">
          <cell r="A1029" t="str">
            <v>A</v>
          </cell>
        </row>
        <row r="1030">
          <cell r="A1030" t="str">
            <v>A</v>
          </cell>
        </row>
        <row r="1031">
          <cell r="A1031" t="str">
            <v>A</v>
          </cell>
        </row>
        <row r="1032">
          <cell r="A1032" t="str">
            <v>A</v>
          </cell>
        </row>
        <row r="1033">
          <cell r="A1033" t="str">
            <v>A</v>
          </cell>
        </row>
        <row r="1034">
          <cell r="A1034" t="str">
            <v>A</v>
          </cell>
        </row>
        <row r="1035">
          <cell r="A1035" t="str">
            <v>A</v>
          </cell>
        </row>
        <row r="1036">
          <cell r="A1036" t="str">
            <v>A</v>
          </cell>
        </row>
        <row r="1037">
          <cell r="A1037" t="str">
            <v>A</v>
          </cell>
        </row>
        <row r="1038">
          <cell r="A1038" t="str">
            <v>A</v>
          </cell>
        </row>
        <row r="1039">
          <cell r="A1039" t="str">
            <v>A</v>
          </cell>
        </row>
        <row r="1040">
          <cell r="A1040" t="str">
            <v>A</v>
          </cell>
        </row>
        <row r="1041">
          <cell r="A1041" t="str">
            <v>A</v>
          </cell>
        </row>
        <row r="1042">
          <cell r="A1042" t="str">
            <v>A</v>
          </cell>
        </row>
        <row r="1043">
          <cell r="A1043" t="str">
            <v>A</v>
          </cell>
        </row>
        <row r="1044">
          <cell r="A1044" t="str">
            <v>A</v>
          </cell>
        </row>
        <row r="1045">
          <cell r="A1045" t="str">
            <v>A</v>
          </cell>
        </row>
        <row r="1046">
          <cell r="A1046" t="str">
            <v>A</v>
          </cell>
        </row>
        <row r="1047">
          <cell r="A1047" t="str">
            <v>A</v>
          </cell>
        </row>
        <row r="1048">
          <cell r="A1048" t="str">
            <v>A</v>
          </cell>
        </row>
        <row r="1049">
          <cell r="A1049" t="str">
            <v>A</v>
          </cell>
        </row>
        <row r="1050">
          <cell r="A1050" t="str">
            <v>A</v>
          </cell>
        </row>
        <row r="1051">
          <cell r="A1051" t="str">
            <v>A</v>
          </cell>
        </row>
        <row r="1052">
          <cell r="A1052" t="str">
            <v>A</v>
          </cell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396500</v>
          </cell>
          <cell r="B2" t="str">
            <v>TIGER 반도체TOP10</v>
          </cell>
          <cell r="C2">
            <v>1.1067</v>
          </cell>
          <cell r="D2">
            <v>0.18840000000000001</v>
          </cell>
          <cell r="E2">
            <v>0.92800000000000005</v>
          </cell>
          <cell r="F2">
            <v>167.51</v>
          </cell>
          <cell r="G2">
            <v>-9.7799999999999994</v>
          </cell>
          <cell r="H2">
            <v>5.0999999999999996</v>
          </cell>
          <cell r="I2">
            <v>4.5199999999999996</v>
          </cell>
          <cell r="J2">
            <v>-1.26</v>
          </cell>
          <cell r="K2">
            <v>-18.3</v>
          </cell>
        </row>
        <row r="3">
          <cell r="A3" t="str">
            <v>305540</v>
          </cell>
          <cell r="B3" t="str">
            <v>TIGER 2차전지테마</v>
          </cell>
          <cell r="C3">
            <v>4.8000000000000001E-2</v>
          </cell>
          <cell r="D3">
            <v>0.73419999999999996</v>
          </cell>
          <cell r="E3">
            <v>0.61499999999999999</v>
          </cell>
          <cell r="F3">
            <v>267.91000000000003</v>
          </cell>
          <cell r="G3">
            <v>-9.7100000000000009</v>
          </cell>
          <cell r="H3">
            <v>8.4499999999999993</v>
          </cell>
          <cell r="I3">
            <v>8.9600000000000009</v>
          </cell>
          <cell r="J3">
            <v>5.69</v>
          </cell>
          <cell r="K3">
            <v>-25.11</v>
          </cell>
        </row>
        <row r="4">
          <cell r="A4" t="str">
            <v>494670</v>
          </cell>
          <cell r="B4" t="str">
            <v>TIGER 조선TOP10</v>
          </cell>
          <cell r="C4">
            <v>0.1542</v>
          </cell>
          <cell r="D4">
            <v>0.49980000000000002</v>
          </cell>
          <cell r="E4">
            <v>0.47570000000000001</v>
          </cell>
          <cell r="F4">
            <v>291.54000000000002</v>
          </cell>
          <cell r="G4">
            <v>-9.74</v>
          </cell>
          <cell r="H4">
            <v>7.7</v>
          </cell>
          <cell r="I4">
            <v>7.52</v>
          </cell>
          <cell r="J4">
            <v>3.71</v>
          </cell>
          <cell r="K4">
            <v>-23.19</v>
          </cell>
        </row>
        <row r="5">
          <cell r="A5" t="str">
            <v>364970</v>
          </cell>
          <cell r="B5" t="str">
            <v>TIGER 바이오TOP10</v>
          </cell>
          <cell r="C5">
            <v>-4.0099999999999997E-2</v>
          </cell>
          <cell r="D5">
            <v>0.6018</v>
          </cell>
          <cell r="E5">
            <v>0.59060000000000001</v>
          </cell>
          <cell r="F5">
            <v>207.99</v>
          </cell>
          <cell r="G5">
            <v>-11.18</v>
          </cell>
          <cell r="H5">
            <v>7.48</v>
          </cell>
          <cell r="I5">
            <v>8.7200000000000006</v>
          </cell>
          <cell r="J5">
            <v>3.18</v>
          </cell>
          <cell r="K5">
            <v>-25.54</v>
          </cell>
        </row>
        <row r="6">
          <cell r="A6" t="str">
            <v>364990</v>
          </cell>
          <cell r="B6" t="str">
            <v>TIGER 게임TOP10</v>
          </cell>
          <cell r="C6">
            <v>-9.0800000000000006E-2</v>
          </cell>
          <cell r="D6">
            <v>0.38729999999999998</v>
          </cell>
          <cell r="E6">
            <v>0.2399</v>
          </cell>
          <cell r="F6">
            <v>251.39</v>
          </cell>
          <cell r="G6">
            <v>-6.32</v>
          </cell>
          <cell r="H6">
            <v>18.25</v>
          </cell>
          <cell r="I6">
            <v>8.86</v>
          </cell>
          <cell r="J6">
            <v>19.04</v>
          </cell>
          <cell r="K6">
            <v>-31.68</v>
          </cell>
        </row>
        <row r="7">
          <cell r="A7" t="str">
            <v>228790</v>
          </cell>
          <cell r="B7" t="str">
            <v>TIGER 화장품</v>
          </cell>
          <cell r="C7">
            <v>-0.1759</v>
          </cell>
          <cell r="D7">
            <v>0.57389999999999997</v>
          </cell>
          <cell r="E7">
            <v>0.43149999999999999</v>
          </cell>
          <cell r="F7">
            <v>228.39</v>
          </cell>
          <cell r="G7">
            <v>-11.22</v>
          </cell>
          <cell r="H7">
            <v>9.6999999999999993</v>
          </cell>
          <cell r="I7">
            <v>11.12</v>
          </cell>
          <cell r="J7">
            <v>7.23</v>
          </cell>
          <cell r="K7">
            <v>-29.67</v>
          </cell>
        </row>
        <row r="8">
          <cell r="A8" t="str">
            <v>228800</v>
          </cell>
          <cell r="B8" t="str">
            <v>TIGER 여행레저</v>
          </cell>
          <cell r="C8">
            <v>2.8999999999999998E-3</v>
          </cell>
          <cell r="D8">
            <v>0.37959999999999999</v>
          </cell>
          <cell r="E8">
            <v>0.40500000000000003</v>
          </cell>
          <cell r="F8">
            <v>202.69</v>
          </cell>
          <cell r="G8">
            <v>-6.74</v>
          </cell>
          <cell r="H8">
            <v>14.28</v>
          </cell>
          <cell r="I8">
            <v>10.98</v>
          </cell>
          <cell r="J8">
            <v>15.78</v>
          </cell>
          <cell r="K8">
            <v>-29.26</v>
          </cell>
        </row>
        <row r="9">
          <cell r="A9" t="str">
            <v>364980</v>
          </cell>
          <cell r="B9" t="str">
            <v>TIGER 2차전지TOP10</v>
          </cell>
          <cell r="C9">
            <v>7.9799999999999996E-2</v>
          </cell>
          <cell r="D9">
            <v>0.70189999999999997</v>
          </cell>
          <cell r="E9">
            <v>0.56630000000000003</v>
          </cell>
          <cell r="F9">
            <v>294.27999999999997</v>
          </cell>
          <cell r="G9">
            <v>-10.32</v>
          </cell>
          <cell r="H9">
            <v>8.7100000000000009</v>
          </cell>
          <cell r="I9">
            <v>8.9600000000000009</v>
          </cell>
          <cell r="J9">
            <v>5.3</v>
          </cell>
          <cell r="K9">
            <v>-25.94</v>
          </cell>
        </row>
        <row r="10">
          <cell r="A10" t="str">
            <v>462010</v>
          </cell>
          <cell r="B10" t="str">
            <v>TIGER 2차전지소재Fn</v>
          </cell>
          <cell r="C10">
            <v>5.7099999999999998E-2</v>
          </cell>
          <cell r="D10">
            <v>0.86599999999999999</v>
          </cell>
          <cell r="E10">
            <v>0.69</v>
          </cell>
          <cell r="F10">
            <v>267.82</v>
          </cell>
          <cell r="G10">
            <v>-8.5399999999999991</v>
          </cell>
          <cell r="H10">
            <v>8.6</v>
          </cell>
          <cell r="I10">
            <v>10.83</v>
          </cell>
          <cell r="J10">
            <v>8.75</v>
          </cell>
          <cell r="K10">
            <v>-25.83</v>
          </cell>
        </row>
        <row r="11">
          <cell r="A11" t="str">
            <v>365000</v>
          </cell>
          <cell r="B11" t="str">
            <v>TIGER 인터넷TOP10</v>
          </cell>
          <cell r="C11">
            <v>8.9700000000000002E-2</v>
          </cell>
          <cell r="D11">
            <v>0.46929999999999999</v>
          </cell>
          <cell r="E11">
            <v>0.58989999999999998</v>
          </cell>
          <cell r="F11">
            <v>199.08</v>
          </cell>
          <cell r="G11">
            <v>-9.85</v>
          </cell>
          <cell r="H11">
            <v>14.89</v>
          </cell>
          <cell r="I11">
            <v>9.7799999999999994</v>
          </cell>
          <cell r="J11">
            <v>12.42</v>
          </cell>
          <cell r="K11">
            <v>-32.119999999999997</v>
          </cell>
        </row>
        <row r="12">
          <cell r="A12" t="str">
            <v>139230</v>
          </cell>
          <cell r="B12" t="str">
            <v>TIGER 200 중공업</v>
          </cell>
          <cell r="C12">
            <v>0.24260000000000001</v>
          </cell>
          <cell r="D12">
            <v>0.56950000000000001</v>
          </cell>
          <cell r="E12">
            <v>0.67630000000000001</v>
          </cell>
          <cell r="F12">
            <v>238.05</v>
          </cell>
          <cell r="G12">
            <v>-8.32</v>
          </cell>
          <cell r="H12">
            <v>9.74</v>
          </cell>
          <cell r="I12">
            <v>10.48</v>
          </cell>
          <cell r="J12">
            <v>9.56</v>
          </cell>
          <cell r="K12">
            <v>-26.2</v>
          </cell>
        </row>
        <row r="13">
          <cell r="A13" t="str">
            <v>471760</v>
          </cell>
          <cell r="B13" t="str">
            <v>TIGER AI반도체핵심공정</v>
          </cell>
          <cell r="C13">
            <v>0.50109999999999999</v>
          </cell>
          <cell r="D13">
            <v>0.80800000000000005</v>
          </cell>
          <cell r="E13">
            <v>0.81640000000000001</v>
          </cell>
          <cell r="F13">
            <v>263.44</v>
          </cell>
          <cell r="G13">
            <v>-11.55</v>
          </cell>
          <cell r="H13">
            <v>7.79</v>
          </cell>
          <cell r="I13">
            <v>10.72</v>
          </cell>
          <cell r="J13">
            <v>5.01</v>
          </cell>
          <cell r="K13">
            <v>-28.11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0.10780000000000001</v>
          </cell>
          <cell r="D14">
            <v>0.2999</v>
          </cell>
          <cell r="E14">
            <v>0.51639999999999997</v>
          </cell>
          <cell r="F14">
            <v>167.31</v>
          </cell>
          <cell r="G14">
            <v>-8.91</v>
          </cell>
          <cell r="H14">
            <v>8.4</v>
          </cell>
          <cell r="I14">
            <v>6.13</v>
          </cell>
          <cell r="J14">
            <v>4.09</v>
          </cell>
          <cell r="K14">
            <v>-21.91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0.11360000000000001</v>
          </cell>
          <cell r="D15">
            <v>0.2359</v>
          </cell>
          <cell r="E15">
            <v>0.37219999999999998</v>
          </cell>
          <cell r="F15">
            <v>192.27</v>
          </cell>
          <cell r="G15">
            <v>-8.6</v>
          </cell>
          <cell r="H15">
            <v>7.15</v>
          </cell>
          <cell r="I15">
            <v>5.75</v>
          </cell>
          <cell r="J15">
            <v>2.87</v>
          </cell>
          <cell r="K15">
            <v>-20.07</v>
          </cell>
        </row>
        <row r="16">
          <cell r="A16" t="str">
            <v>157500</v>
          </cell>
          <cell r="B16" t="str">
            <v>TIGER 증권</v>
          </cell>
          <cell r="C16">
            <v>0.47489999999999999</v>
          </cell>
          <cell r="D16">
            <v>0.44840000000000002</v>
          </cell>
          <cell r="E16">
            <v>0.68569999999999998</v>
          </cell>
          <cell r="F16">
            <v>268.45999999999998</v>
          </cell>
          <cell r="G16">
            <v>-10.52</v>
          </cell>
          <cell r="H16">
            <v>8.4600000000000009</v>
          </cell>
          <cell r="I16">
            <v>9.64</v>
          </cell>
          <cell r="J16">
            <v>5.51</v>
          </cell>
          <cell r="K16">
            <v>-26.55</v>
          </cell>
        </row>
        <row r="17">
          <cell r="A17" t="str">
            <v>400970</v>
          </cell>
          <cell r="B17" t="str">
            <v>TIGER Fn메타버스</v>
          </cell>
          <cell r="C17">
            <v>8.2000000000000003E-2</v>
          </cell>
          <cell r="D17">
            <v>0.39829999999999999</v>
          </cell>
          <cell r="E17">
            <v>0.4587</v>
          </cell>
          <cell r="F17">
            <v>222.64</v>
          </cell>
          <cell r="G17">
            <v>-8.75</v>
          </cell>
          <cell r="H17">
            <v>14.84</v>
          </cell>
          <cell r="I17">
            <v>7.6</v>
          </cell>
          <cell r="J17">
            <v>12.09</v>
          </cell>
          <cell r="K17">
            <v>-29.59</v>
          </cell>
        </row>
        <row r="18">
          <cell r="A18" t="str">
            <v>228810</v>
          </cell>
          <cell r="B18" t="str">
            <v>TIGER 미디어컨텐츠</v>
          </cell>
          <cell r="C18">
            <v>-0.1774</v>
          </cell>
          <cell r="D18">
            <v>0.67710000000000004</v>
          </cell>
          <cell r="E18">
            <v>0.58069999999999999</v>
          </cell>
          <cell r="F18">
            <v>205.67</v>
          </cell>
          <cell r="G18">
            <v>-4.74</v>
          </cell>
          <cell r="H18">
            <v>14.67</v>
          </cell>
          <cell r="I18">
            <v>12.3</v>
          </cell>
          <cell r="J18">
            <v>19.190000000000001</v>
          </cell>
          <cell r="K18">
            <v>-28.67</v>
          </cell>
        </row>
        <row r="19">
          <cell r="A19" t="str">
            <v>157490</v>
          </cell>
          <cell r="B19" t="str">
            <v>TIGER 소프트웨어</v>
          </cell>
          <cell r="C19">
            <v>0.18990000000000001</v>
          </cell>
          <cell r="D19">
            <v>0.3417</v>
          </cell>
          <cell r="E19">
            <v>0.44790000000000002</v>
          </cell>
          <cell r="F19">
            <v>250.22</v>
          </cell>
          <cell r="G19">
            <v>-10.1</v>
          </cell>
          <cell r="H19">
            <v>12.18</v>
          </cell>
          <cell r="I19">
            <v>10</v>
          </cell>
          <cell r="J19">
            <v>9.6</v>
          </cell>
          <cell r="K19">
            <v>-29.8</v>
          </cell>
        </row>
        <row r="20">
          <cell r="A20" t="str">
            <v>307520</v>
          </cell>
          <cell r="B20" t="str">
            <v>TIGER 지주회사</v>
          </cell>
          <cell r="C20">
            <v>0.37690000000000001</v>
          </cell>
          <cell r="D20">
            <v>0.3911</v>
          </cell>
          <cell r="E20">
            <v>0.78759999999999997</v>
          </cell>
          <cell r="F20">
            <v>170.77</v>
          </cell>
          <cell r="G20">
            <v>-12.24</v>
          </cell>
          <cell r="H20">
            <v>9.67</v>
          </cell>
          <cell r="I20">
            <v>8.1</v>
          </cell>
          <cell r="J20">
            <v>3.53</v>
          </cell>
          <cell r="K20">
            <v>-28.01</v>
          </cell>
        </row>
        <row r="21">
          <cell r="A21" t="str">
            <v>139250</v>
          </cell>
          <cell r="B21" t="str">
            <v>TIGER 200 에너지화학</v>
          </cell>
          <cell r="C21">
            <v>0.27500000000000002</v>
          </cell>
          <cell r="D21">
            <v>0.42570000000000002</v>
          </cell>
          <cell r="E21">
            <v>0.68030000000000002</v>
          </cell>
          <cell r="F21">
            <v>203.94</v>
          </cell>
          <cell r="G21">
            <v>-8.3800000000000008</v>
          </cell>
          <cell r="H21">
            <v>15.68</v>
          </cell>
          <cell r="I21">
            <v>9.06</v>
          </cell>
          <cell r="J21">
            <v>14.26</v>
          </cell>
          <cell r="K21">
            <v>-31.02</v>
          </cell>
        </row>
        <row r="22">
          <cell r="A22" t="str">
            <v>292150</v>
          </cell>
          <cell r="B22" t="str">
            <v>TIGER 코리아TOP10</v>
          </cell>
          <cell r="C22">
            <v>0.96830000000000005</v>
          </cell>
          <cell r="D22">
            <v>-5.0000000000000001E-4</v>
          </cell>
          <cell r="E22">
            <v>0.98219999999999996</v>
          </cell>
          <cell r="F22">
            <v>63.41</v>
          </cell>
          <cell r="G22">
            <v>-10.199999999999999</v>
          </cell>
          <cell r="H22">
            <v>6.68</v>
          </cell>
          <cell r="I22">
            <v>7.09</v>
          </cell>
          <cell r="J22">
            <v>1.98</v>
          </cell>
          <cell r="K22">
            <v>-22.38</v>
          </cell>
        </row>
        <row r="23">
          <cell r="A23" t="str">
            <v>139220</v>
          </cell>
          <cell r="B23" t="str">
            <v>TIGER 200 건설</v>
          </cell>
          <cell r="C23">
            <v>0.4294</v>
          </cell>
          <cell r="D23">
            <v>0.51380000000000003</v>
          </cell>
          <cell r="E23">
            <v>0.66310000000000002</v>
          </cell>
          <cell r="F23">
            <v>286.74</v>
          </cell>
          <cell r="G23">
            <v>-10.72</v>
          </cell>
          <cell r="H23">
            <v>9.98</v>
          </cell>
          <cell r="I23">
            <v>11.73</v>
          </cell>
          <cell r="J23">
            <v>8.5299999999999994</v>
          </cell>
          <cell r="K23">
            <v>-29.97</v>
          </cell>
        </row>
        <row r="24">
          <cell r="A24" t="str">
            <v>377990</v>
          </cell>
          <cell r="B24" t="str">
            <v>TIGER Fn신재생에너지</v>
          </cell>
          <cell r="C24">
            <v>0.19989999999999999</v>
          </cell>
          <cell r="D24">
            <v>0.81720000000000004</v>
          </cell>
          <cell r="E24">
            <v>0.68969999999999998</v>
          </cell>
          <cell r="F24">
            <v>290.39999999999998</v>
          </cell>
          <cell r="G24">
            <v>-10.1</v>
          </cell>
          <cell r="H24">
            <v>8.6300000000000008</v>
          </cell>
          <cell r="I24">
            <v>11.37</v>
          </cell>
          <cell r="J24">
            <v>7.74</v>
          </cell>
          <cell r="K24">
            <v>-27.94</v>
          </cell>
        </row>
        <row r="25">
          <cell r="A25" t="str">
            <v>0091P0</v>
          </cell>
          <cell r="B25" t="str">
            <v>TIGER 코리아원자력</v>
          </cell>
          <cell r="C25">
            <v>0.20200000000000001</v>
          </cell>
          <cell r="D25">
            <v>0.83479999999999999</v>
          </cell>
          <cell r="E25">
            <v>0.68700000000000006</v>
          </cell>
          <cell r="F25">
            <v>297.95999999999998</v>
          </cell>
          <cell r="G25">
            <v>-10.34</v>
          </cell>
          <cell r="H25">
            <v>6.81</v>
          </cell>
          <cell r="I25">
            <v>9.93</v>
          </cell>
          <cell r="J25">
            <v>4.71</v>
          </cell>
          <cell r="K25">
            <v>-25.39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0.43290000000000001</v>
          </cell>
          <cell r="D26">
            <v>0.65159999999999996</v>
          </cell>
          <cell r="E26">
            <v>0.67510000000000003</v>
          </cell>
          <cell r="F26">
            <v>319.57</v>
          </cell>
          <cell r="G26">
            <v>-10.06</v>
          </cell>
          <cell r="H26">
            <v>7.27</v>
          </cell>
          <cell r="I26">
            <v>8.7200000000000006</v>
          </cell>
          <cell r="J26">
            <v>4.13</v>
          </cell>
          <cell r="K26">
            <v>-24.25</v>
          </cell>
        </row>
        <row r="27">
          <cell r="A27" t="str">
            <v>091220</v>
          </cell>
          <cell r="B27" t="str">
            <v>TIGER 은행</v>
          </cell>
          <cell r="C27">
            <v>5.8400000000000001E-2</v>
          </cell>
          <cell r="D27">
            <v>0.26590000000000003</v>
          </cell>
          <cell r="E27">
            <v>0.29430000000000001</v>
          </cell>
          <cell r="F27">
            <v>214.07</v>
          </cell>
          <cell r="G27">
            <v>-11.35</v>
          </cell>
          <cell r="H27">
            <v>12.28</v>
          </cell>
          <cell r="I27">
            <v>6.77</v>
          </cell>
          <cell r="J27">
            <v>6.18</v>
          </cell>
          <cell r="K27">
            <v>-28.88</v>
          </cell>
        </row>
        <row r="28">
          <cell r="A28" t="str">
            <v>138540</v>
          </cell>
          <cell r="B28" t="str">
            <v>TIGER 현대차그룹플러스</v>
          </cell>
          <cell r="C28">
            <v>0.3866</v>
          </cell>
          <cell r="D28">
            <v>0.33910000000000001</v>
          </cell>
          <cell r="E28">
            <v>0.60460000000000003</v>
          </cell>
          <cell r="F28">
            <v>252.69</v>
          </cell>
          <cell r="G28">
            <v>-8.56</v>
          </cell>
          <cell r="H28">
            <v>6.99</v>
          </cell>
          <cell r="I28">
            <v>7.95</v>
          </cell>
          <cell r="J28">
            <v>4.67</v>
          </cell>
          <cell r="K28">
            <v>-21.79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0.40450000000000003</v>
          </cell>
          <cell r="D29">
            <v>0.64239999999999997</v>
          </cell>
          <cell r="E29">
            <v>0.59860000000000002</v>
          </cell>
          <cell r="F29">
            <v>363.84</v>
          </cell>
          <cell r="G29">
            <v>-10.17</v>
          </cell>
          <cell r="H29">
            <v>7.88</v>
          </cell>
          <cell r="I29">
            <v>9.0399999999999991</v>
          </cell>
          <cell r="J29">
            <v>4.82</v>
          </cell>
          <cell r="K29">
            <v>-25.16</v>
          </cell>
        </row>
        <row r="30">
          <cell r="A30" t="str">
            <v>395270</v>
          </cell>
          <cell r="B30" t="str">
            <v>HANARO Fn K-반도체</v>
          </cell>
          <cell r="C30">
            <v>1.171</v>
          </cell>
          <cell r="D30">
            <v>9.11E-2</v>
          </cell>
          <cell r="E30">
            <v>0.91759999999999997</v>
          </cell>
          <cell r="F30">
            <v>179.75</v>
          </cell>
          <cell r="G30">
            <v>-10.29</v>
          </cell>
          <cell r="H30">
            <v>6.32</v>
          </cell>
          <cell r="I30">
            <v>7.23</v>
          </cell>
          <cell r="J30">
            <v>1.71</v>
          </cell>
          <cell r="K30">
            <v>-22.29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-0.25369999999999998</v>
          </cell>
          <cell r="D31">
            <v>1.071</v>
          </cell>
          <cell r="E31">
            <v>0.75049999999999994</v>
          </cell>
          <cell r="F31">
            <v>224.75</v>
          </cell>
          <cell r="G31">
            <v>-12.33</v>
          </cell>
          <cell r="H31">
            <v>11.45</v>
          </cell>
          <cell r="I31">
            <v>11.38</v>
          </cell>
          <cell r="J31">
            <v>7.85</v>
          </cell>
          <cell r="K31">
            <v>-32.51</v>
          </cell>
        </row>
        <row r="32">
          <cell r="A32" t="str">
            <v>138530</v>
          </cell>
          <cell r="B32" t="str">
            <v>TIGER LG그룹플러스</v>
          </cell>
          <cell r="C32">
            <v>0.33389999999999997</v>
          </cell>
          <cell r="D32">
            <v>0.26079999999999998</v>
          </cell>
          <cell r="E32">
            <v>0.36480000000000001</v>
          </cell>
          <cell r="F32">
            <v>339.36</v>
          </cell>
          <cell r="G32">
            <v>-10.43</v>
          </cell>
          <cell r="H32">
            <v>9.17</v>
          </cell>
          <cell r="I32">
            <v>8.61</v>
          </cell>
          <cell r="J32">
            <v>5.29</v>
          </cell>
          <cell r="K32">
            <v>-26.15</v>
          </cell>
        </row>
        <row r="33">
          <cell r="A33" t="str">
            <v>261060</v>
          </cell>
          <cell r="B33" t="str">
            <v>TIGER 코스닥150IT</v>
          </cell>
          <cell r="C33">
            <v>0.20219999999999999</v>
          </cell>
          <cell r="D33">
            <v>1.0415000000000001</v>
          </cell>
          <cell r="E33">
            <v>0.85740000000000005</v>
          </cell>
          <cell r="F33">
            <v>216.59</v>
          </cell>
          <cell r="G33">
            <v>-12.59</v>
          </cell>
          <cell r="H33">
            <v>15.75</v>
          </cell>
          <cell r="I33">
            <v>13</v>
          </cell>
          <cell r="J33">
            <v>12.94</v>
          </cell>
          <cell r="K33">
            <v>-38.119999999999997</v>
          </cell>
        </row>
        <row r="34">
          <cell r="A34" t="str">
            <v>227540</v>
          </cell>
          <cell r="B34" t="str">
            <v>TIGER 200 헬스케어</v>
          </cell>
          <cell r="C34">
            <v>-5.3699999999999998E-2</v>
          </cell>
          <cell r="D34">
            <v>0.52359999999999995</v>
          </cell>
          <cell r="E34">
            <v>0.47820000000000001</v>
          </cell>
          <cell r="F34">
            <v>220.68</v>
          </cell>
          <cell r="G34">
            <v>-9.98</v>
          </cell>
          <cell r="H34">
            <v>11.64</v>
          </cell>
          <cell r="I34">
            <v>8.26</v>
          </cell>
          <cell r="J34">
            <v>7.86</v>
          </cell>
          <cell r="K34">
            <v>-27.82</v>
          </cell>
        </row>
        <row r="35">
          <cell r="A35" t="str">
            <v>138520</v>
          </cell>
          <cell r="B35" t="str">
            <v>TIGER 삼성그룹</v>
          </cell>
          <cell r="C35">
            <v>0.80259999999999998</v>
          </cell>
          <cell r="D35">
            <v>8.7400000000000005E-2</v>
          </cell>
          <cell r="E35">
            <v>0.92190000000000005</v>
          </cell>
          <cell r="F35">
            <v>122.04</v>
          </cell>
          <cell r="G35">
            <v>-8.9600000000000009</v>
          </cell>
          <cell r="H35">
            <v>12.16</v>
          </cell>
          <cell r="I35">
            <v>10.79</v>
          </cell>
          <cell r="J35">
            <v>11.36</v>
          </cell>
          <cell r="K35">
            <v>-29.28</v>
          </cell>
        </row>
        <row r="36">
          <cell r="A36" t="str">
            <v>364960</v>
          </cell>
          <cell r="B36" t="str">
            <v>TIGER BBIG</v>
          </cell>
          <cell r="C36">
            <v>2.1600000000000001E-2</v>
          </cell>
          <cell r="D36">
            <v>0.48959999999999998</v>
          </cell>
          <cell r="E36">
            <v>0.60550000000000004</v>
          </cell>
          <cell r="F36">
            <v>179.22</v>
          </cell>
          <cell r="G36">
            <v>-11.34</v>
          </cell>
          <cell r="H36">
            <v>16.25</v>
          </cell>
          <cell r="I36">
            <v>8.89</v>
          </cell>
          <cell r="J36">
            <v>11.81</v>
          </cell>
          <cell r="K36">
            <v>-34.49</v>
          </cell>
        </row>
        <row r="37">
          <cell r="A37" t="str">
            <v>150460</v>
          </cell>
          <cell r="B37" t="str">
            <v>TIGER 중국소비테마</v>
          </cell>
          <cell r="C37">
            <v>-0.1041</v>
          </cell>
          <cell r="D37">
            <v>0.46929999999999999</v>
          </cell>
          <cell r="E37">
            <v>0.499</v>
          </cell>
          <cell r="F37">
            <v>173.07</v>
          </cell>
          <cell r="G37">
            <v>-11.23</v>
          </cell>
          <cell r="H37">
            <v>18.78</v>
          </cell>
          <cell r="I37">
            <v>7.76</v>
          </cell>
          <cell r="J37">
            <v>14.17</v>
          </cell>
          <cell r="K37">
            <v>-36.630000000000003</v>
          </cell>
        </row>
        <row r="38">
          <cell r="A38" t="str">
            <v>472150</v>
          </cell>
          <cell r="B38" t="str">
            <v>TIGER 배당커버드콜액티브</v>
          </cell>
          <cell r="C38">
            <v>0.97460000000000002</v>
          </cell>
          <cell r="D38">
            <v>6.9999999999999999E-4</v>
          </cell>
          <cell r="E38">
            <v>0.98899999999999999</v>
          </cell>
          <cell r="F38">
            <v>50.14</v>
          </cell>
          <cell r="G38">
            <v>-4.79</v>
          </cell>
          <cell r="H38">
            <v>14.12</v>
          </cell>
          <cell r="I38">
            <v>4.8</v>
          </cell>
          <cell r="J38">
            <v>13.85</v>
          </cell>
          <cell r="K38">
            <v>-23.43</v>
          </cell>
        </row>
        <row r="39">
          <cell r="A39" t="str">
            <v>417630</v>
          </cell>
          <cell r="B39" t="str">
            <v>TIGER KEDI혁신기업ESG30</v>
          </cell>
          <cell r="C39">
            <v>0.30009999999999998</v>
          </cell>
          <cell r="D39">
            <v>0.41160000000000002</v>
          </cell>
          <cell r="E39">
            <v>0.83899999999999997</v>
          </cell>
          <cell r="F39">
            <v>132.62</v>
          </cell>
          <cell r="G39">
            <v>-10.55</v>
          </cell>
          <cell r="H39">
            <v>19.239999999999998</v>
          </cell>
          <cell r="I39">
            <v>8.2100000000000009</v>
          </cell>
          <cell r="J39">
            <v>15.6</v>
          </cell>
          <cell r="K39">
            <v>-36.700000000000003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2511-5344-4F72-9FA1-D09851491059}">
  <dimension ref="A1:AL52"/>
  <sheetViews>
    <sheetView topLeftCell="B1" zoomScale="80" zoomScaleNormal="80" workbookViewId="0">
      <pane xSplit="5" ySplit="14" topLeftCell="G15" activePane="bottomRight" state="frozen"/>
      <selection activeCell="B1" sqref="B1"/>
      <selection pane="topRight" activeCell="G1" sqref="G1"/>
      <selection pane="bottomLeft" activeCell="B15" sqref="B15"/>
      <selection pane="bottomRight" activeCell="J25" sqref="A1:XFD1048576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4.5" style="1" bestFit="1" customWidth="1"/>
    <col min="15" max="15" width="11.625" style="1" customWidth="1"/>
    <col min="16" max="16" width="14.5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f>SUM(P4:P5)</f>
        <v>0</v>
      </c>
      <c r="Q2" s="1">
        <f>SUM(Q4:Q5)</f>
        <v>0</v>
      </c>
      <c r="R2" s="1">
        <f>SUM(R4:R5)</f>
        <v>0</v>
      </c>
    </row>
    <row r="3" spans="1:38" x14ac:dyDescent="0.3">
      <c r="F3" s="7"/>
      <c r="J3" s="1" t="s">
        <v>0</v>
      </c>
      <c r="K3" s="1">
        <f>ABS(K4)+K5</f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f>SUMIFS($N$15:$N$977,$N$15:$N$977,"&lt;0")</f>
        <v>0</v>
      </c>
      <c r="N4" s="12" t="e">
        <f>U4/ABS(N14)</f>
        <v>#DIV/0!</v>
      </c>
      <c r="O4" s="13" t="s">
        <v>10</v>
      </c>
      <c r="P4" s="14">
        <f>X14</f>
        <v>0</v>
      </c>
      <c r="Q4" s="1">
        <f>N10</f>
        <v>0</v>
      </c>
      <c r="R4" s="15">
        <f>(P4+Q4)*R1</f>
        <v>0</v>
      </c>
      <c r="S4" s="16">
        <f>R4/T10</f>
        <v>0</v>
      </c>
      <c r="T4" s="17">
        <f>S4*-1</f>
        <v>0</v>
      </c>
      <c r="U4" s="141">
        <f>S9+T14</f>
        <v>-11835290.999999933</v>
      </c>
      <c r="V4" s="1" t="s">
        <v>11</v>
      </c>
    </row>
    <row r="5" spans="1:38" x14ac:dyDescent="0.3">
      <c r="G5" s="4"/>
      <c r="J5" s="1" t="s">
        <v>12</v>
      </c>
      <c r="K5" s="1">
        <f>SUMIFS($N$15:$N$977,$N$15:$N$977,"&gt;0")</f>
        <v>0</v>
      </c>
      <c r="N5" s="12" t="e">
        <f>U4/N12</f>
        <v>#DIV/0!</v>
      </c>
      <c r="O5" s="18" t="s">
        <v>13</v>
      </c>
      <c r="P5" s="19">
        <f>Y14</f>
        <v>0</v>
      </c>
      <c r="Q5" s="20">
        <f>N11</f>
        <v>0</v>
      </c>
      <c r="R5" s="21">
        <f>(P5+Q5)*R1</f>
        <v>0</v>
      </c>
      <c r="S5" s="22">
        <f>R5/T11</f>
        <v>0</v>
      </c>
      <c r="T5" s="23">
        <f>S5*-1</f>
        <v>0</v>
      </c>
      <c r="U5" s="142"/>
      <c r="V5" s="1" t="s">
        <v>14</v>
      </c>
    </row>
    <row r="7" spans="1:38" x14ac:dyDescent="0.3">
      <c r="B7" s="143" t="s">
        <v>15</v>
      </c>
      <c r="C7" s="145" t="s">
        <v>16</v>
      </c>
      <c r="D7" s="125" t="s">
        <v>17</v>
      </c>
      <c r="E7" s="127" t="s">
        <v>18</v>
      </c>
      <c r="F7" s="147" t="s">
        <v>19</v>
      </c>
      <c r="G7" s="149" t="s">
        <v>20</v>
      </c>
      <c r="H7" s="132" t="s">
        <v>21</v>
      </c>
      <c r="I7" s="134" t="s">
        <v>22</v>
      </c>
      <c r="J7" s="149" t="s">
        <v>23</v>
      </c>
      <c r="K7" s="132" t="s">
        <v>24</v>
      </c>
      <c r="L7" s="134" t="s">
        <v>25</v>
      </c>
      <c r="M7" s="136" t="s">
        <v>26</v>
      </c>
      <c r="N7" s="138" t="s">
        <v>27</v>
      </c>
      <c r="O7" s="134" t="s">
        <v>28</v>
      </c>
      <c r="P7" s="139" t="s">
        <v>29</v>
      </c>
      <c r="Q7" s="125" t="s">
        <v>30</v>
      </c>
      <c r="R7" s="127" t="s">
        <v>31</v>
      </c>
      <c r="S7" s="129" t="s">
        <v>7</v>
      </c>
      <c r="T7" s="125" t="s">
        <v>32</v>
      </c>
      <c r="U7" s="129" t="s">
        <v>33</v>
      </c>
    </row>
    <row r="8" spans="1:38" x14ac:dyDescent="0.3">
      <c r="B8" s="144"/>
      <c r="C8" s="146"/>
      <c r="D8" s="126"/>
      <c r="E8" s="128"/>
      <c r="F8" s="148"/>
      <c r="G8" s="137"/>
      <c r="H8" s="133"/>
      <c r="I8" s="135"/>
      <c r="J8" s="137"/>
      <c r="K8" s="133"/>
      <c r="L8" s="135"/>
      <c r="M8" s="137"/>
      <c r="N8" s="133"/>
      <c r="O8" s="135"/>
      <c r="P8" s="140"/>
      <c r="Q8" s="126"/>
      <c r="R8" s="128"/>
      <c r="S8" s="130"/>
      <c r="T8" s="126"/>
      <c r="U8" s="130"/>
    </row>
    <row r="9" spans="1:38" x14ac:dyDescent="0.3">
      <c r="B9" s="24" t="s">
        <v>34</v>
      </c>
      <c r="C9" s="25" t="s">
        <v>34</v>
      </c>
      <c r="D9" s="26" t="s">
        <v>34</v>
      </c>
      <c r="E9" s="27" t="s">
        <v>34</v>
      </c>
      <c r="F9" s="28" t="s">
        <v>34</v>
      </c>
      <c r="G9" s="29">
        <f>SUM(G10:G11)</f>
        <v>74</v>
      </c>
      <c r="H9" s="30">
        <f t="shared" ref="H9:M9" si="0">SUM(H10:H11)</f>
        <v>1592640000</v>
      </c>
      <c r="I9" s="31" t="s">
        <v>34</v>
      </c>
      <c r="J9" s="29">
        <f t="shared" si="0"/>
        <v>74</v>
      </c>
      <c r="K9" s="30">
        <f t="shared" si="0"/>
        <v>1590088000</v>
      </c>
      <c r="L9" s="32" t="s">
        <v>34</v>
      </c>
      <c r="M9" s="29">
        <f t="shared" si="0"/>
        <v>0</v>
      </c>
      <c r="N9" s="30">
        <f>SUM(N10:N11)</f>
        <v>0</v>
      </c>
      <c r="O9" s="31" t="s">
        <v>34</v>
      </c>
      <c r="P9" s="33" t="s">
        <v>34</v>
      </c>
      <c r="Q9" s="26">
        <f>SUM(Q10:Q11)</f>
        <v>-3166999.999999918</v>
      </c>
      <c r="R9" s="27">
        <f>SUM(R10:R11)</f>
        <v>5719000.0000000186</v>
      </c>
      <c r="S9" s="34">
        <f>SUM(S10:S11)</f>
        <v>2552000.0000001006</v>
      </c>
      <c r="T9" s="26">
        <f>SUM(T10:T11)</f>
        <v>68987000</v>
      </c>
      <c r="U9" s="35">
        <f>SUM(U10:U11)</f>
        <v>0</v>
      </c>
    </row>
    <row r="10" spans="1:38" x14ac:dyDescent="0.3">
      <c r="B10" s="36" t="s">
        <v>35</v>
      </c>
      <c r="C10" s="37" t="s">
        <v>36</v>
      </c>
      <c r="D10" s="38">
        <v>0</v>
      </c>
      <c r="E10" s="39" t="s">
        <v>34</v>
      </c>
      <c r="F10" s="40" t="s">
        <v>37</v>
      </c>
      <c r="G10" s="41">
        <f>IF([1]!'028875^A0569:SELL_TDY_QTY'="NO", 0, [1]!'028875^A0569:SELL_TDY_QTY')</f>
        <v>13</v>
      </c>
      <c r="H10" s="42">
        <f>IF([1]!'028875^A0569:SELL_TDY_AMT'="NO", 0, [1]!'028875^A0569:SELL_TDY_AMT')</f>
        <v>711099000</v>
      </c>
      <c r="I10" s="43">
        <f>IFERROR(H10/G10/50000,0)</f>
        <v>1093.9984615384617</v>
      </c>
      <c r="J10" s="44">
        <f>IF([1]!'028875^A0569:BUY_TDY_QTY'="NO", 0, [1]!'028875^A0569:BUY_TDY_QTY')</f>
        <v>13</v>
      </c>
      <c r="K10" s="45">
        <f>IF([1]!'028875^A0569:BUY_TDY_AMT'="NO", 0, [1]!'028875^A0569:BUY_TDY_AMT')</f>
        <v>706016000</v>
      </c>
      <c r="L10" s="46">
        <f>IFERROR(K10/J10/50000,0)</f>
        <v>1086.1784615384615</v>
      </c>
      <c r="M10" s="47">
        <f>J10-G10</f>
        <v>0</v>
      </c>
      <c r="N10" s="48">
        <f>M10*P10*50000</f>
        <v>0</v>
      </c>
      <c r="O10" s="49" t="s">
        <v>34</v>
      </c>
      <c r="P10" s="50">
        <f>[1]!'A0569:LAST'</f>
        <v>1088.5</v>
      </c>
      <c r="Q10" s="38">
        <f>(P10-I10)*-1*G10*50000</f>
        <v>3574000.0000001034</v>
      </c>
      <c r="R10" s="39">
        <f>(P10-L10)*J10*50000</f>
        <v>1509000.0000000033</v>
      </c>
      <c r="S10" s="51">
        <f>Q10+R10</f>
        <v>5083000.0000001062</v>
      </c>
      <c r="T10" s="38">
        <f>P10*50000</f>
        <v>54425000</v>
      </c>
      <c r="U10" s="51">
        <f>IF([1]!'028875^A0569:QTY'="NO", 0, [1]!'028875^A0569:QTY')</f>
        <v>0</v>
      </c>
    </row>
    <row r="11" spans="1:38" x14ac:dyDescent="0.3">
      <c r="B11" s="52" t="s">
        <v>38</v>
      </c>
      <c r="C11" s="53" t="s">
        <v>39</v>
      </c>
      <c r="D11" s="19">
        <v>0</v>
      </c>
      <c r="E11" s="20" t="s">
        <v>34</v>
      </c>
      <c r="F11" s="54" t="s">
        <v>37</v>
      </c>
      <c r="G11" s="55">
        <f>IF([1]!'028875^A0669:SELL_TDY_QTY'="NO", 0, [1]!'028875^A0669:SELL_TDY_QTY')</f>
        <v>61</v>
      </c>
      <c r="H11" s="56">
        <f>IF([1]!'028875^A0669:SELL_TDY_AMT'="NO", 0, [1]!'028875^A0669:SELL_TDY_AMT')</f>
        <v>881541000</v>
      </c>
      <c r="I11" s="57">
        <f>IFERROR(H11/G11/10000,0)</f>
        <v>1445.1491803278689</v>
      </c>
      <c r="J11" s="58">
        <f>IF([1]!'028875^A0669:BUY_TDY_QTY'="NO", 0, [1]!'028875^A0669:BUY_TDY_QTY')</f>
        <v>61</v>
      </c>
      <c r="K11" s="59">
        <f>IF([1]!'028875^A0669:BUY_TDY_AMT'="NO", 0, [1]!'028875^A0669:BUY_TDY_AMT')</f>
        <v>884072000</v>
      </c>
      <c r="L11" s="60">
        <f>IFERROR(K11/J11/10000,0)</f>
        <v>1449.2983606557377</v>
      </c>
      <c r="M11" s="61">
        <f>J11-G11</f>
        <v>0</v>
      </c>
      <c r="N11" s="62">
        <f>M11*P11*10000</f>
        <v>0</v>
      </c>
      <c r="O11" s="63" t="s">
        <v>34</v>
      </c>
      <c r="P11" s="64">
        <f>[1]!'A0669:LAST'</f>
        <v>1456.2</v>
      </c>
      <c r="Q11" s="19">
        <f>(P11-I11)*-1*G11*10000</f>
        <v>-6741000.0000000214</v>
      </c>
      <c r="R11" s="20">
        <f>(P11-L11)*J11*10000</f>
        <v>4210000.0000000158</v>
      </c>
      <c r="S11" s="21">
        <f>Q11+R11</f>
        <v>-2531000.0000000056</v>
      </c>
      <c r="T11" s="19">
        <f>P11*10000</f>
        <v>14562000</v>
      </c>
      <c r="U11" s="21">
        <f>IF([1]!'028875^A0669:QTY'="NO", 0, [1]!'028875^A0669:QTY')</f>
        <v>0</v>
      </c>
    </row>
    <row r="12" spans="1:38" x14ac:dyDescent="0.3">
      <c r="B12" s="65"/>
      <c r="F12" s="65"/>
      <c r="G12" s="66" t="s">
        <v>40</v>
      </c>
      <c r="H12" s="67"/>
      <c r="I12" s="68"/>
      <c r="J12" s="67"/>
      <c r="K12" s="67"/>
      <c r="L12" s="68"/>
      <c r="M12" s="67"/>
      <c r="N12" s="69">
        <f>AE14</f>
        <v>0</v>
      </c>
      <c r="O12" s="70"/>
      <c r="P12" s="71"/>
      <c r="Q12" s="71"/>
      <c r="T12" s="131" t="s">
        <v>41</v>
      </c>
      <c r="U12" s="131"/>
      <c r="V12" s="131"/>
      <c r="W12" s="72"/>
      <c r="AA12" s="1" t="s">
        <v>42</v>
      </c>
    </row>
    <row r="13" spans="1:38" ht="26.25" customHeight="1" x14ac:dyDescent="0.3">
      <c r="B13" s="73" t="s">
        <v>15</v>
      </c>
      <c r="C13" s="74" t="s">
        <v>16</v>
      </c>
      <c r="D13" s="9" t="s">
        <v>17</v>
      </c>
      <c r="E13" s="10" t="s">
        <v>18</v>
      </c>
      <c r="F13" s="75" t="s">
        <v>19</v>
      </c>
      <c r="G13" s="10" t="s">
        <v>43</v>
      </c>
      <c r="H13" s="10" t="s">
        <v>44</v>
      </c>
      <c r="I13" s="76" t="s">
        <v>22</v>
      </c>
      <c r="J13" s="9" t="s">
        <v>45</v>
      </c>
      <c r="K13" s="10" t="s">
        <v>46</v>
      </c>
      <c r="L13" s="77" t="s">
        <v>25</v>
      </c>
      <c r="M13" s="78" t="s">
        <v>26</v>
      </c>
      <c r="N13" s="79" t="s">
        <v>47</v>
      </c>
      <c r="O13" s="11" t="s">
        <v>28</v>
      </c>
      <c r="P13" s="76" t="s">
        <v>29</v>
      </c>
      <c r="Q13" s="76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80" t="s">
        <v>54</v>
      </c>
      <c r="AA13" s="81" t="s">
        <v>55</v>
      </c>
      <c r="AB13" s="81" t="s">
        <v>56</v>
      </c>
      <c r="AC13" s="81" t="s">
        <v>55</v>
      </c>
      <c r="AD13" s="81" t="s">
        <v>56</v>
      </c>
      <c r="AE13" s="81" t="s">
        <v>57</v>
      </c>
    </row>
    <row r="14" spans="1:38" x14ac:dyDescent="0.3">
      <c r="B14" s="82" t="s">
        <v>34</v>
      </c>
      <c r="C14" s="83" t="s">
        <v>34</v>
      </c>
      <c r="D14" s="84" t="s">
        <v>34</v>
      </c>
      <c r="E14" s="85" t="s">
        <v>34</v>
      </c>
      <c r="F14" s="86" t="s">
        <v>34</v>
      </c>
      <c r="G14" s="85">
        <f>SUM(G15:G943)</f>
        <v>381774</v>
      </c>
      <c r="H14" s="85">
        <f>SUM(H15:H943)</f>
        <v>5113049433</v>
      </c>
      <c r="I14" s="85" t="s">
        <v>34</v>
      </c>
      <c r="J14" s="84">
        <f>SUM(J15:J943)</f>
        <v>381774</v>
      </c>
      <c r="K14" s="85">
        <f>SUM(K15:K943)</f>
        <v>5127436724</v>
      </c>
      <c r="L14" s="87" t="s">
        <v>34</v>
      </c>
      <c r="M14" s="84">
        <f>SUM(M15:M943)</f>
        <v>0</v>
      </c>
      <c r="N14" s="88">
        <f>SUM(N15:N943)</f>
        <v>0</v>
      </c>
      <c r="O14" s="88" t="s">
        <v>34</v>
      </c>
      <c r="P14" s="85" t="s">
        <v>34</v>
      </c>
      <c r="Q14" s="85"/>
      <c r="R14" s="84">
        <f>SUM(R15:R943)</f>
        <v>-31576226.999999933</v>
      </c>
      <c r="S14" s="85">
        <f>SUM(S15:S943)</f>
        <v>17188935.999999911</v>
      </c>
      <c r="T14" s="89">
        <f>SUM(T15:T943)</f>
        <v>-14387291.000000034</v>
      </c>
      <c r="U14" s="90">
        <f>AVERAGE(U15:U978)</f>
        <v>0.26038157894736846</v>
      </c>
      <c r="V14" s="91">
        <f>AVERAGE(V15:V978)</f>
        <v>0.4870710526315789</v>
      </c>
      <c r="W14" s="91">
        <f>AVERAGE(W15:W978)</f>
        <v>0.6308315789473683</v>
      </c>
      <c r="X14" s="85">
        <f t="shared" ref="X14:AE14" si="1">SUM(X15:X978)</f>
        <v>0</v>
      </c>
      <c r="Y14" s="88">
        <f t="shared" si="1"/>
        <v>0</v>
      </c>
      <c r="Z14" s="88">
        <f t="shared" si="1"/>
        <v>0</v>
      </c>
      <c r="AA14" s="92">
        <f t="shared" si="1"/>
        <v>0</v>
      </c>
      <c r="AB14" s="92">
        <f t="shared" si="1"/>
        <v>0</v>
      </c>
      <c r="AC14" s="93">
        <f t="shared" si="1"/>
        <v>0</v>
      </c>
      <c r="AD14" s="93">
        <f t="shared" si="1"/>
        <v>0</v>
      </c>
      <c r="AE14" s="1">
        <f t="shared" si="1"/>
        <v>0</v>
      </c>
      <c r="AJ14" s="1" t="s">
        <v>58</v>
      </c>
      <c r="AK14" s="1" t="s">
        <v>59</v>
      </c>
    </row>
    <row r="15" spans="1:38" x14ac:dyDescent="0.25">
      <c r="A15" s="4"/>
      <c r="B15" s="94" t="s">
        <v>60</v>
      </c>
      <c r="C15" s="95" t="s">
        <v>61</v>
      </c>
      <c r="D15" s="14">
        <f>VLOOKUP("A"&amp;B15,[2]ETF!$A$4:$M$10000,13,FALSE)</f>
        <v>50000</v>
      </c>
      <c r="E15" s="1">
        <f>[1]!'396500:VOL'+0</f>
        <v>10073000</v>
      </c>
      <c r="F15" s="96" t="s">
        <v>62</v>
      </c>
      <c r="G15" s="97">
        <f>IF([1]!'019875^396500:SELL_TDY_QTY'="NO", 0, [1]!'019875^396500:SELL_TDY_QTY')</f>
        <v>4995</v>
      </c>
      <c r="H15" s="97">
        <f>IF([1]!'019875^396500:SELL_TDY_AMT'="NO", 0, [1]!'019875^396500:SELL_TDY_AMT')</f>
        <v>178173125</v>
      </c>
      <c r="I15" s="97">
        <f>IFERROR(H15/G15,0)</f>
        <v>35670.295295295298</v>
      </c>
      <c r="J15" s="98">
        <f>IF([1]!'019875^396500:BUY_TDY_QTY'="NO", 0, [1]!'019875^396500:BUY_TDY_QTY')</f>
        <v>4995</v>
      </c>
      <c r="K15" s="97">
        <f>IF([1]!'019875^396500:BUY_TDY_AMT'="NO", 0, [1]!'019875^396500:BUY_TDY_AMT')</f>
        <v>179881495</v>
      </c>
      <c r="L15" s="99">
        <f>IFERROR(K15/J15,0)</f>
        <v>36012.311311311314</v>
      </c>
      <c r="M15" s="100">
        <f>J15-G15</f>
        <v>0</v>
      </c>
      <c r="N15" s="101">
        <f>M15*P15</f>
        <v>0</v>
      </c>
      <c r="O15" s="102">
        <f t="shared" ref="O15:O40" si="2">M15/D15</f>
        <v>0</v>
      </c>
      <c r="P15" s="1">
        <f>[1]!'396500:LAST'</f>
        <v>35865</v>
      </c>
      <c r="Q15" s="71">
        <f>[1]!'396500:NAV'</f>
        <v>35878.57</v>
      </c>
      <c r="R15" s="14">
        <f>(P15-I15)*-1*G15</f>
        <v>-972549.9999999851</v>
      </c>
      <c r="S15" s="1">
        <f>(P15-L15)*J15</f>
        <v>-735820.00000001374</v>
      </c>
      <c r="T15" s="15">
        <f>R15+S15</f>
        <v>-1708369.9999999988</v>
      </c>
      <c r="U15" s="103">
        <f>_xlfn.IFNA(VLOOKUP(B15,[2]베타!$A$2:$C$1000,3,FALSE),0)</f>
        <v>1.1067</v>
      </c>
      <c r="V15" s="103">
        <f>_xlfn.IFNA(VLOOKUP(B15,[2]베타!$A$2:$D$1000,4,FALSE),0)</f>
        <v>0.18840000000000001</v>
      </c>
      <c r="W15" s="103">
        <f>_xlfn.IFNA(VLOOKUP(B15,[2]베타!$A$2:$E$1000,5,FALSE),0)</f>
        <v>0.92800000000000005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04">
        <f t="shared" ref="AA15:AA52" si="3">IF(M15&lt;0, P15-Q15, 0)</f>
        <v>0</v>
      </c>
      <c r="AB15" s="104">
        <f t="shared" ref="AB15:AB52" si="4">IF(M15&gt;0, Q15*(1-0.2%)-P15, 0)</f>
        <v>0</v>
      </c>
      <c r="AC15" s="105">
        <f t="shared" ref="AC15:AC52" si="5">AA15/Q15*10000</f>
        <v>0</v>
      </c>
      <c r="AD15" s="106">
        <f t="shared" ref="AD15:AD52" si="6">AB15/Q15*10000</f>
        <v>0</v>
      </c>
      <c r="AE15" s="1">
        <f>ABS(N15)</f>
        <v>0</v>
      </c>
      <c r="AG15" s="1" t="str">
        <f>B15</f>
        <v>396500</v>
      </c>
      <c r="AH15" s="1">
        <f>-1*M15</f>
        <v>0</v>
      </c>
      <c r="AJ15" s="71">
        <f>ROUNDUP(VLOOKUP(B15,[2]베타!$A$2:$J$1000,10,FALSE),0)</f>
        <v>-2</v>
      </c>
      <c r="AK15" s="71">
        <f>ROUNDUP(VLOOKUP(B15,[2]베타!$A$2:$K$1000,11,FALSE),0)</f>
        <v>-19</v>
      </c>
      <c r="AL15" s="71"/>
    </row>
    <row r="16" spans="1:38" x14ac:dyDescent="0.25">
      <c r="A16" s="4"/>
      <c r="B16" s="94" t="s">
        <v>63</v>
      </c>
      <c r="C16" s="95" t="s">
        <v>64</v>
      </c>
      <c r="D16" s="14">
        <f>VLOOKUP("A"&amp;B16,[2]ETF!$A$4:$M$10000,13,FALSE)</f>
        <v>30000</v>
      </c>
      <c r="E16" s="1">
        <f>[1]!'228790:VOL'+0</f>
        <v>6940082</v>
      </c>
      <c r="F16" s="96" t="s">
        <v>62</v>
      </c>
      <c r="G16" s="97">
        <f>IF([1]!'019875^228790:SELL_TDY_QTY'="NO", 0, [1]!'019875^228790:SELL_TDY_QTY')</f>
        <v>101422</v>
      </c>
      <c r="H16" s="97">
        <f>IF([1]!'019875^228790:SELL_TDY_AMT'="NO", 0, [1]!'019875^228790:SELL_TDY_AMT')</f>
        <v>480830847</v>
      </c>
      <c r="I16" s="97">
        <f t="shared" ref="I16:I40" si="7">IFERROR(H16/G16,0)</f>
        <v>4740.8929719390271</v>
      </c>
      <c r="J16" s="98">
        <f>IF([1]!'019875^228790:BUY_TDY_QTY'="NO", 0, [1]!'019875^228790:BUY_TDY_QTY')</f>
        <v>101422</v>
      </c>
      <c r="K16" s="97">
        <f>IF([1]!'019875^228790:BUY_TDY_AMT'="NO", 0, [1]!'019875^228790:BUY_TDY_AMT')</f>
        <v>479329965</v>
      </c>
      <c r="L16" s="99">
        <f t="shared" ref="L16:L40" si="8">IFERROR(K16/J16,0)</f>
        <v>4726.0945850012822</v>
      </c>
      <c r="M16" s="100">
        <f t="shared" ref="M16:M40" si="9">J16-G16</f>
        <v>0</v>
      </c>
      <c r="N16" s="101">
        <f t="shared" ref="N16:N40" si="10">M16*P16</f>
        <v>0</v>
      </c>
      <c r="O16" s="102">
        <f t="shared" si="2"/>
        <v>0</v>
      </c>
      <c r="P16" s="1">
        <f>[1]!'228790:LAST'</f>
        <v>4740</v>
      </c>
      <c r="Q16" s="71">
        <f>[1]!'228790:NAV'</f>
        <v>4736.3500000000004</v>
      </c>
      <c r="R16" s="14">
        <f t="shared" ref="R16:R51" si="11">(P16-I16)*-1*G16</f>
        <v>90567.000000008586</v>
      </c>
      <c r="S16" s="1">
        <f t="shared" ref="S16:S51" si="12">(P16-L16)*J16</f>
        <v>1410314.9999999555</v>
      </c>
      <c r="T16" s="15">
        <f t="shared" ref="T16:T51" si="13">R16+S16</f>
        <v>1500881.9999999641</v>
      </c>
      <c r="U16" s="103">
        <f>_xlfn.IFNA(VLOOKUP(B16,[2]베타!$A$2:$C$1000,3,FALSE),0)</f>
        <v>-0.1759</v>
      </c>
      <c r="V16" s="103">
        <f>_xlfn.IFNA(VLOOKUP(B16,[2]베타!$A$2:$D$1000,4,FALSE),0)</f>
        <v>0.57389999999999997</v>
      </c>
      <c r="W16" s="103">
        <f>_xlfn.IFNA(VLOOKUP(B16,[2]베타!$A$2:$E$1000,5,FALSE),0)</f>
        <v>0.43149999999999999</v>
      </c>
      <c r="X16" s="1">
        <f t="shared" ref="X16:X51" si="14">M16*Q16*U16</f>
        <v>0</v>
      </c>
      <c r="Y16" s="15">
        <f t="shared" ref="Y16:Y51" si="15">M16*Q16*V16</f>
        <v>0</v>
      </c>
      <c r="Z16" s="13">
        <f t="shared" ref="Z16:Z51" si="16">(P16*M16)-(X16+Y16)</f>
        <v>0</v>
      </c>
      <c r="AA16" s="104">
        <f t="shared" si="3"/>
        <v>0</v>
      </c>
      <c r="AB16" s="104">
        <f t="shared" si="4"/>
        <v>0</v>
      </c>
      <c r="AC16" s="105">
        <f t="shared" si="5"/>
        <v>0</v>
      </c>
      <c r="AD16" s="106">
        <f t="shared" si="6"/>
        <v>0</v>
      </c>
      <c r="AE16" s="1">
        <f t="shared" ref="AE16:AE41" si="17">ABS(N16)</f>
        <v>0</v>
      </c>
      <c r="AG16" s="1" t="str">
        <f t="shared" ref="AG16:AG52" si="18">B16</f>
        <v>228790</v>
      </c>
      <c r="AH16" s="1">
        <f t="shared" ref="AH16:AH52" si="19">-1*M16</f>
        <v>0</v>
      </c>
      <c r="AJ16" s="71">
        <f>ROUNDUP(VLOOKUP(B16,[2]베타!$A$2:$J$1000,10,FALSE),0)</f>
        <v>8</v>
      </c>
      <c r="AK16" s="71">
        <f>ROUNDUP(VLOOKUP(B16,[2]베타!$A$2:$K$1000,11,FALSE),0)</f>
        <v>-30</v>
      </c>
      <c r="AL16" s="71"/>
    </row>
    <row r="17" spans="1:38" x14ac:dyDescent="0.25">
      <c r="A17" s="4"/>
      <c r="B17" s="94" t="s">
        <v>65</v>
      </c>
      <c r="C17" s="95" t="s">
        <v>66</v>
      </c>
      <c r="D17" s="14">
        <f>VLOOKUP("A"&amp;B17,[2]ETF!$A$4:$M$10000,13,FALSE)</f>
        <v>50000</v>
      </c>
      <c r="E17" s="1">
        <f>[1]!'462010:VOL'+0</f>
        <v>5603384</v>
      </c>
      <c r="F17" s="96" t="s">
        <v>62</v>
      </c>
      <c r="G17" s="97">
        <f>IF([1]!'019875^462010:SELL_TDY_QTY'="NO", 0, [1]!'019875^462010:SELL_TDY_QTY')</f>
        <v>26269</v>
      </c>
      <c r="H17" s="97">
        <f>IF([1]!'019875^462010:SELL_TDY_AMT'="NO", 0, [1]!'019875^462010:SELL_TDY_AMT')</f>
        <v>132269795</v>
      </c>
      <c r="I17" s="97">
        <f t="shared" si="7"/>
        <v>5035.2048041417638</v>
      </c>
      <c r="J17" s="98">
        <f>IF([1]!'019875^462010:BUY_TDY_QTY'="NO", 0, [1]!'019875^462010:BUY_TDY_QTY')</f>
        <v>26269</v>
      </c>
      <c r="K17" s="97">
        <f>IF([1]!'019875^462010:BUY_TDY_AMT'="NO", 0, [1]!'019875^462010:BUY_TDY_AMT')</f>
        <v>131250250</v>
      </c>
      <c r="L17" s="99">
        <f t="shared" si="8"/>
        <v>4996.3930869085234</v>
      </c>
      <c r="M17" s="100">
        <f t="shared" si="9"/>
        <v>0</v>
      </c>
      <c r="N17" s="101">
        <f t="shared" si="10"/>
        <v>0</v>
      </c>
      <c r="O17" s="102">
        <f t="shared" si="2"/>
        <v>0</v>
      </c>
      <c r="P17" s="1">
        <f>[1]!'462010:LAST'</f>
        <v>5080</v>
      </c>
      <c r="Q17" s="71">
        <f>[1]!'462010:NAV'</f>
        <v>5087.1000000000004</v>
      </c>
      <c r="R17" s="14">
        <f t="shared" si="11"/>
        <v>-1176725.0000000063</v>
      </c>
      <c r="S17" s="1">
        <f t="shared" si="12"/>
        <v>2196269.9999999986</v>
      </c>
      <c r="T17" s="15">
        <f t="shared" si="13"/>
        <v>1019544.9999999923</v>
      </c>
      <c r="U17" s="103">
        <f>_xlfn.IFNA(VLOOKUP(B17,[2]베타!$A$2:$C$1000,3,FALSE),0)</f>
        <v>5.7099999999999998E-2</v>
      </c>
      <c r="V17" s="103">
        <f>_xlfn.IFNA(VLOOKUP(B17,[2]베타!$A$2:$D$1000,4,FALSE),0)</f>
        <v>0.86599999999999999</v>
      </c>
      <c r="W17" s="103">
        <f>_xlfn.IFNA(VLOOKUP(B17,[2]베타!$A$2:$E$1000,5,FALSE),0)</f>
        <v>0.69</v>
      </c>
      <c r="X17" s="1">
        <f t="shared" si="14"/>
        <v>0</v>
      </c>
      <c r="Y17" s="15">
        <f t="shared" si="15"/>
        <v>0</v>
      </c>
      <c r="Z17" s="13">
        <f t="shared" si="16"/>
        <v>0</v>
      </c>
      <c r="AA17" s="104">
        <f t="shared" si="3"/>
        <v>0</v>
      </c>
      <c r="AB17" s="104">
        <f t="shared" si="4"/>
        <v>0</v>
      </c>
      <c r="AC17" s="105">
        <f t="shared" si="5"/>
        <v>0</v>
      </c>
      <c r="AD17" s="106">
        <f t="shared" si="6"/>
        <v>0</v>
      </c>
      <c r="AE17" s="1">
        <f t="shared" si="17"/>
        <v>0</v>
      </c>
      <c r="AG17" s="1" t="str">
        <f t="shared" si="18"/>
        <v>462010</v>
      </c>
      <c r="AH17" s="1">
        <f t="shared" si="19"/>
        <v>0</v>
      </c>
      <c r="AJ17" s="71">
        <f>ROUNDUP(VLOOKUP(B17,[2]베타!$A$2:$J$1000,10,FALSE),0)</f>
        <v>9</v>
      </c>
      <c r="AK17" s="71">
        <f>ROUNDUP(VLOOKUP(B17,[2]베타!$A$2:$K$1000,11,FALSE),0)</f>
        <v>-26</v>
      </c>
      <c r="AL17" s="71"/>
    </row>
    <row r="18" spans="1:38" x14ac:dyDescent="0.25">
      <c r="A18" s="4"/>
      <c r="B18" s="107" t="s">
        <v>67</v>
      </c>
      <c r="C18" s="95" t="s">
        <v>68</v>
      </c>
      <c r="D18" s="14">
        <f>VLOOKUP("A"&amp;B18,[2]ETF!$A$4:$M$10000,13,FALSE)</f>
        <v>50000</v>
      </c>
      <c r="E18" s="1">
        <f>[1]!'364980:VOL'+0</f>
        <v>3636198</v>
      </c>
      <c r="F18" s="96" t="s">
        <v>62</v>
      </c>
      <c r="G18" s="97">
        <f>IF([1]!'019875^364980:SELL_TDY_QTY'="NO", 0, [1]!'019875^364980:SELL_TDY_QTY')</f>
        <v>51023</v>
      </c>
      <c r="H18" s="97">
        <f>IF([1]!'019875^364980:SELL_TDY_AMT'="NO", 0, [1]!'019875^364980:SELL_TDY_AMT')</f>
        <v>538393491</v>
      </c>
      <c r="I18" s="97">
        <f t="shared" si="7"/>
        <v>10551.976383199733</v>
      </c>
      <c r="J18" s="98">
        <f>IF([1]!'019875^364980:BUY_TDY_QTY'="NO", 0, [1]!'019875^364980:BUY_TDY_QTY')</f>
        <v>51023</v>
      </c>
      <c r="K18" s="97">
        <f>IF([1]!'019875^364980:BUY_TDY_AMT'="NO", 0, [1]!'019875^364980:BUY_TDY_AMT')</f>
        <v>539525575</v>
      </c>
      <c r="L18" s="99">
        <f>IFERROR(K18/J18,0)</f>
        <v>10574.164102463596</v>
      </c>
      <c r="M18" s="100">
        <f t="shared" si="9"/>
        <v>0</v>
      </c>
      <c r="N18" s="101">
        <f t="shared" si="10"/>
        <v>0</v>
      </c>
      <c r="O18" s="102">
        <f t="shared" si="2"/>
        <v>0</v>
      </c>
      <c r="P18" s="1">
        <f>[1]!'364980:LAST'</f>
        <v>10655</v>
      </c>
      <c r="Q18" s="71">
        <f>[1]!'364980:NAV'</f>
        <v>10676.47</v>
      </c>
      <c r="R18" s="14">
        <f t="shared" si="11"/>
        <v>-5256574.0000000028</v>
      </c>
      <c r="S18" s="1">
        <f t="shared" si="12"/>
        <v>4124489.9999999641</v>
      </c>
      <c r="T18" s="15">
        <f t="shared" si="13"/>
        <v>-1132084.0000000386</v>
      </c>
      <c r="U18" s="103">
        <f>_xlfn.IFNA(VLOOKUP(B18,[2]베타!$A$2:$C$1000,3,FALSE),0)</f>
        <v>7.9799999999999996E-2</v>
      </c>
      <c r="V18" s="103">
        <f>_xlfn.IFNA(VLOOKUP(B18,[2]베타!$A$2:$D$1000,4,FALSE),0)</f>
        <v>0.70189999999999997</v>
      </c>
      <c r="W18" s="103">
        <f>_xlfn.IFNA(VLOOKUP(B18,[2]베타!$A$2:$E$1000,5,FALSE),0)</f>
        <v>0.56630000000000003</v>
      </c>
      <c r="X18" s="1">
        <f t="shared" si="14"/>
        <v>0</v>
      </c>
      <c r="Y18" s="15">
        <f t="shared" si="15"/>
        <v>0</v>
      </c>
      <c r="Z18" s="13">
        <f t="shared" si="16"/>
        <v>0</v>
      </c>
      <c r="AA18" s="104">
        <f t="shared" si="3"/>
        <v>0</v>
      </c>
      <c r="AB18" s="104">
        <f t="shared" si="4"/>
        <v>0</v>
      </c>
      <c r="AC18" s="105">
        <f t="shared" si="5"/>
        <v>0</v>
      </c>
      <c r="AD18" s="106">
        <f t="shared" si="6"/>
        <v>0</v>
      </c>
      <c r="AE18" s="1">
        <f t="shared" si="17"/>
        <v>0</v>
      </c>
      <c r="AG18" s="1" t="str">
        <f t="shared" si="18"/>
        <v>364980</v>
      </c>
      <c r="AH18" s="1">
        <f t="shared" si="19"/>
        <v>0</v>
      </c>
      <c r="AJ18" s="71">
        <f>ROUNDUP(VLOOKUP(B18,[2]베타!$A$2:$J$1000,10,FALSE),0)</f>
        <v>6</v>
      </c>
      <c r="AK18" s="71">
        <f>ROUNDUP(VLOOKUP(B18,[2]베타!$A$2:$K$1000,11,FALSE),0)</f>
        <v>-26</v>
      </c>
      <c r="AL18" s="71"/>
    </row>
    <row r="19" spans="1:38" x14ac:dyDescent="0.25">
      <c r="A19" s="4"/>
      <c r="B19" s="107" t="s">
        <v>69</v>
      </c>
      <c r="C19" s="95" t="s">
        <v>70</v>
      </c>
      <c r="D19" s="14">
        <f>VLOOKUP("A"&amp;B19,[2]ETF!$A$4:$M$10000,13,FALSE)</f>
        <v>50000</v>
      </c>
      <c r="E19" s="1">
        <f>[1]!'0117V0:VOL'+0</f>
        <v>3420066</v>
      </c>
      <c r="F19" s="96" t="s">
        <v>62</v>
      </c>
      <c r="G19" s="97">
        <f>IF([1]!'019875^0117V0:SELL_TDY_QTY'="NO", 0, [1]!'019875^0117V0:SELL_TDY_QTY')</f>
        <v>35981</v>
      </c>
      <c r="H19" s="97">
        <f>IF([1]!'019875^0117V0:SELL_TDY_AMT'="NO", 0, [1]!'019875^0117V0:SELL_TDY_AMT')</f>
        <v>690841280</v>
      </c>
      <c r="I19" s="97">
        <f t="shared" si="7"/>
        <v>19200.168978071761</v>
      </c>
      <c r="J19" s="98">
        <f>IF([1]!'019875^0117V0:BUY_TDY_QTY'="NO", 0, [1]!'019875^0117V0:BUY_TDY_QTY')</f>
        <v>35981</v>
      </c>
      <c r="K19" s="97">
        <f>IF([1]!'019875^0117V0:BUY_TDY_AMT'="NO", 0, [1]!'019875^0117V0:BUY_TDY_AMT')</f>
        <v>698177099</v>
      </c>
      <c r="L19" s="99">
        <f t="shared" si="8"/>
        <v>19404.049331591672</v>
      </c>
      <c r="M19" s="100">
        <f>J19-G19</f>
        <v>0</v>
      </c>
      <c r="N19" s="101">
        <f t="shared" si="10"/>
        <v>0</v>
      </c>
      <c r="O19" s="102">
        <f>M19/D19</f>
        <v>0</v>
      </c>
      <c r="P19" s="1">
        <f>[1]!'0117V0:LAST'</f>
        <v>19705</v>
      </c>
      <c r="Q19" s="71">
        <f>[1]!'0117V0:NAV'</f>
        <v>19739.54</v>
      </c>
      <c r="R19" s="14">
        <f t="shared" si="11"/>
        <v>-18164324.999999981</v>
      </c>
      <c r="S19" s="1">
        <f t="shared" si="12"/>
        <v>10828506.000000052</v>
      </c>
      <c r="T19" s="15">
        <f t="shared" si="13"/>
        <v>-7335818.9999999292</v>
      </c>
      <c r="U19" s="103">
        <f>_xlfn.IFNA(VLOOKUP(B19,[2]베타!$A$2:$C$1000,3,FALSE),0)</f>
        <v>0.43290000000000001</v>
      </c>
      <c r="V19" s="103">
        <f>_xlfn.IFNA(VLOOKUP(B19,[2]베타!$A$2:$D$1000,4,FALSE),0)</f>
        <v>0.65159999999999996</v>
      </c>
      <c r="W19" s="103">
        <f>_xlfn.IFNA(VLOOKUP(B19,[2]베타!$A$2:$E$1000,5,FALSE),0)</f>
        <v>0.67510000000000003</v>
      </c>
      <c r="X19" s="1">
        <f t="shared" si="14"/>
        <v>0</v>
      </c>
      <c r="Y19" s="15">
        <f t="shared" si="15"/>
        <v>0</v>
      </c>
      <c r="Z19" s="13">
        <f t="shared" si="16"/>
        <v>0</v>
      </c>
      <c r="AA19" s="104">
        <f t="shared" si="3"/>
        <v>0</v>
      </c>
      <c r="AB19" s="104">
        <f t="shared" si="4"/>
        <v>0</v>
      </c>
      <c r="AC19" s="105">
        <f t="shared" si="5"/>
        <v>0</v>
      </c>
      <c r="AD19" s="106">
        <f t="shared" si="6"/>
        <v>0</v>
      </c>
      <c r="AE19" s="1">
        <f t="shared" si="17"/>
        <v>0</v>
      </c>
      <c r="AG19" s="1" t="str">
        <f t="shared" si="18"/>
        <v>0117V0</v>
      </c>
      <c r="AH19" s="1">
        <f t="shared" si="19"/>
        <v>0</v>
      </c>
      <c r="AJ19" s="71">
        <f>ROUNDUP(VLOOKUP(B19,[2]베타!$A$2:$J$1000,10,FALSE),0)</f>
        <v>5</v>
      </c>
      <c r="AK19" s="71">
        <f>ROUNDUP(VLOOKUP(B19,[2]베타!$A$2:$K$1000,11,FALSE),0)</f>
        <v>-25</v>
      </c>
      <c r="AL19" s="71"/>
    </row>
    <row r="20" spans="1:38" x14ac:dyDescent="0.25">
      <c r="A20" s="4"/>
      <c r="B20" s="94" t="s">
        <v>71</v>
      </c>
      <c r="C20" s="95" t="s">
        <v>72</v>
      </c>
      <c r="D20" s="14">
        <f>VLOOKUP("A"&amp;B20,[2]ETF!$A$4:$M$10000,13,FALSE)</f>
        <v>50000</v>
      </c>
      <c r="E20" s="1">
        <f>[1]!'305540:VOL'+0</f>
        <v>613424</v>
      </c>
      <c r="F20" s="96" t="s">
        <v>62</v>
      </c>
      <c r="G20" s="97">
        <f>IF([1]!'019875^305540:SELL_TDY_QTY'="NO", 0, [1]!'019875^305540:SELL_TDY_QTY')</f>
        <v>20535</v>
      </c>
      <c r="H20" s="97">
        <f>IF([1]!'019875^305540:SELL_TDY_AMT'="NO", 0, [1]!'019875^305540:SELL_TDY_AMT')</f>
        <v>388285730</v>
      </c>
      <c r="I20" s="97">
        <f t="shared" si="7"/>
        <v>18908.484538592646</v>
      </c>
      <c r="J20" s="98">
        <f>IF([1]!'019875^305540:BUY_TDY_QTY'="NO", 0, [1]!'019875^305540:BUY_TDY_QTY')</f>
        <v>20535</v>
      </c>
      <c r="K20" s="97">
        <f>IF([1]!'019875^305540:BUY_TDY_AMT'="NO", 0, [1]!'019875^305540:BUY_TDY_AMT')</f>
        <v>386277850</v>
      </c>
      <c r="L20" s="99">
        <f t="shared" si="8"/>
        <v>18810.706111516924</v>
      </c>
      <c r="M20" s="100">
        <f t="shared" si="9"/>
        <v>0</v>
      </c>
      <c r="N20" s="101">
        <f t="shared" si="10"/>
        <v>0</v>
      </c>
      <c r="O20" s="102">
        <f t="shared" si="2"/>
        <v>0</v>
      </c>
      <c r="P20" s="1">
        <f>[1]!'305540:LAST'</f>
        <v>19050</v>
      </c>
      <c r="Q20" s="71">
        <f>[1]!'305540:NAV'</f>
        <v>19092.5</v>
      </c>
      <c r="R20" s="14">
        <f t="shared" si="11"/>
        <v>-2906020.0000000237</v>
      </c>
      <c r="S20" s="1">
        <f t="shared" si="12"/>
        <v>4913899.9999999749</v>
      </c>
      <c r="T20" s="15">
        <f t="shared" si="13"/>
        <v>2007879.9999999511</v>
      </c>
      <c r="U20" s="103">
        <f>_xlfn.IFNA(VLOOKUP(B20,[2]베타!$A$2:$C$1000,3,FALSE),0)</f>
        <v>4.8000000000000001E-2</v>
      </c>
      <c r="V20" s="103">
        <f>_xlfn.IFNA(VLOOKUP(B20,[2]베타!$A$2:$D$1000,4,FALSE),0)</f>
        <v>0.73419999999999996</v>
      </c>
      <c r="W20" s="103">
        <f>_xlfn.IFNA(VLOOKUP(B20,[2]베타!$A$2:$E$1000,5,FALSE),0)</f>
        <v>0.61499999999999999</v>
      </c>
      <c r="X20" s="1">
        <f t="shared" si="14"/>
        <v>0</v>
      </c>
      <c r="Y20" s="15">
        <f t="shared" si="15"/>
        <v>0</v>
      </c>
      <c r="Z20" s="13">
        <f t="shared" si="16"/>
        <v>0</v>
      </c>
      <c r="AA20" s="104">
        <f t="shared" si="3"/>
        <v>0</v>
      </c>
      <c r="AB20" s="104">
        <f t="shared" si="4"/>
        <v>0</v>
      </c>
      <c r="AC20" s="105">
        <f t="shared" si="5"/>
        <v>0</v>
      </c>
      <c r="AD20" s="106">
        <f t="shared" si="6"/>
        <v>0</v>
      </c>
      <c r="AE20" s="1">
        <f t="shared" si="17"/>
        <v>0</v>
      </c>
      <c r="AG20" s="1" t="str">
        <f t="shared" si="18"/>
        <v>305540</v>
      </c>
      <c r="AH20" s="1">
        <f t="shared" si="19"/>
        <v>0</v>
      </c>
      <c r="AJ20" s="71">
        <f>ROUNDUP(VLOOKUP(B20,[2]베타!$A$2:$J$1000,10,FALSE),0)</f>
        <v>6</v>
      </c>
      <c r="AK20" s="71">
        <f>ROUNDUP(VLOOKUP(B20,[2]베타!$A$2:$K$1000,11,FALSE),0)</f>
        <v>-26</v>
      </c>
      <c r="AL20" s="71"/>
    </row>
    <row r="21" spans="1:38" x14ac:dyDescent="0.25">
      <c r="A21" s="4"/>
      <c r="B21" s="94" t="s">
        <v>73</v>
      </c>
      <c r="C21" s="95" t="s">
        <v>74</v>
      </c>
      <c r="D21" s="14">
        <f>VLOOKUP("A"&amp;B21,[2]ETF!$A$4:$M$10000,13,FALSE)</f>
        <v>50000</v>
      </c>
      <c r="E21" s="1">
        <f>[1]!'494670:VOL'+0</f>
        <v>209692</v>
      </c>
      <c r="F21" s="96" t="s">
        <v>62</v>
      </c>
      <c r="G21" s="97">
        <f>IF([1]!'019875^494670:SELL_TDY_QTY'="NO", 0, [1]!'019875^494670:SELL_TDY_QTY')</f>
        <v>6667</v>
      </c>
      <c r="H21" s="97">
        <f>IF([1]!'019875^494670:SELL_TDY_AMT'="NO", 0, [1]!'019875^494670:SELL_TDY_AMT')</f>
        <v>149412545</v>
      </c>
      <c r="I21" s="97">
        <f t="shared" si="7"/>
        <v>22410.761211939403</v>
      </c>
      <c r="J21" s="98">
        <f>IF([1]!'019875^494670:BUY_TDY_QTY'="NO", 0, [1]!'019875^494670:BUY_TDY_QTY')</f>
        <v>6667</v>
      </c>
      <c r="K21" s="97">
        <f>IF([1]!'019875^494670:BUY_TDY_AMT'="NO", 0, [1]!'019875^494670:BUY_TDY_AMT')</f>
        <v>150538835</v>
      </c>
      <c r="L21" s="99">
        <f t="shared" si="8"/>
        <v>22579.69626518674</v>
      </c>
      <c r="M21" s="100">
        <f t="shared" si="9"/>
        <v>0</v>
      </c>
      <c r="N21" s="101">
        <f t="shared" si="10"/>
        <v>0</v>
      </c>
      <c r="O21" s="102">
        <f t="shared" si="2"/>
        <v>0</v>
      </c>
      <c r="P21" s="1">
        <f>[1]!'494670:LAST'</f>
        <v>22450</v>
      </c>
      <c r="Q21" s="71">
        <f>[1]!'494670:NAV'</f>
        <v>22470.21</v>
      </c>
      <c r="R21" s="14">
        <f t="shared" si="11"/>
        <v>-261604.99999999726</v>
      </c>
      <c r="S21" s="1">
        <f t="shared" si="12"/>
        <v>-864684.99999999406</v>
      </c>
      <c r="T21" s="15">
        <f t="shared" si="13"/>
        <v>-1126289.9999999914</v>
      </c>
      <c r="U21" s="103">
        <f>_xlfn.IFNA(VLOOKUP(B21,[2]베타!$A$2:$C$1000,3,FALSE),0)</f>
        <v>0.1542</v>
      </c>
      <c r="V21" s="103">
        <f>_xlfn.IFNA(VLOOKUP(B21,[2]베타!$A$2:$D$1000,4,FALSE),0)</f>
        <v>0.49980000000000002</v>
      </c>
      <c r="W21" s="103">
        <f>_xlfn.IFNA(VLOOKUP(B21,[2]베타!$A$2:$E$1000,5,FALSE),0)</f>
        <v>0.47570000000000001</v>
      </c>
      <c r="X21" s="1">
        <f t="shared" si="14"/>
        <v>0</v>
      </c>
      <c r="Y21" s="15">
        <f t="shared" si="15"/>
        <v>0</v>
      </c>
      <c r="Z21" s="13">
        <f t="shared" si="16"/>
        <v>0</v>
      </c>
      <c r="AA21" s="104">
        <f t="shared" si="3"/>
        <v>0</v>
      </c>
      <c r="AB21" s="104">
        <f t="shared" si="4"/>
        <v>0</v>
      </c>
      <c r="AC21" s="105">
        <f t="shared" si="5"/>
        <v>0</v>
      </c>
      <c r="AD21" s="106">
        <f t="shared" si="6"/>
        <v>0</v>
      </c>
      <c r="AE21" s="1">
        <f t="shared" si="17"/>
        <v>0</v>
      </c>
      <c r="AG21" s="1" t="str">
        <f t="shared" si="18"/>
        <v>494670</v>
      </c>
      <c r="AH21" s="1">
        <f t="shared" si="19"/>
        <v>0</v>
      </c>
      <c r="AJ21" s="71">
        <f>ROUNDUP(VLOOKUP(B21,[2]베타!$A$2:$J$1000,10,FALSE),0)</f>
        <v>4</v>
      </c>
      <c r="AK21" s="71">
        <f>ROUNDUP(VLOOKUP(B21,[2]베타!$A$2:$K$1000,11,FALSE),0)</f>
        <v>-24</v>
      </c>
      <c r="AL21" s="71"/>
    </row>
    <row r="22" spans="1:38" x14ac:dyDescent="0.25">
      <c r="A22" s="4"/>
      <c r="B22" s="94" t="s">
        <v>75</v>
      </c>
      <c r="C22" s="95" t="s">
        <v>76</v>
      </c>
      <c r="D22" s="14">
        <f>VLOOKUP("A"&amp;B22,[2]ETF!$A$4:$M$10000,13,FALSE)</f>
        <v>50000</v>
      </c>
      <c r="E22" s="1">
        <f>[1]!'364970:VOL'+0</f>
        <v>721069</v>
      </c>
      <c r="F22" s="96" t="s">
        <v>62</v>
      </c>
      <c r="G22" s="97">
        <f>IF([1]!'019875^364970:SELL_TDY_QTY'="NO", 0, [1]!'019875^364970:SELL_TDY_QTY')</f>
        <v>2000</v>
      </c>
      <c r="H22" s="97">
        <f>IF([1]!'019875^364970:SELL_TDY_AMT'="NO", 0, [1]!'019875^364970:SELL_TDY_AMT')</f>
        <v>15331765</v>
      </c>
      <c r="I22" s="97">
        <f t="shared" si="7"/>
        <v>7665.8824999999997</v>
      </c>
      <c r="J22" s="98">
        <f>IF([1]!'019875^364970:BUY_TDY_QTY'="NO", 0, [1]!'019875^364970:BUY_TDY_QTY')</f>
        <v>2000</v>
      </c>
      <c r="K22" s="97">
        <f>IF([1]!'019875^364970:BUY_TDY_AMT'="NO", 0, [1]!'019875^364970:BUY_TDY_AMT')</f>
        <v>15325000</v>
      </c>
      <c r="L22" s="99">
        <f t="shared" si="8"/>
        <v>7662.5</v>
      </c>
      <c r="M22" s="100">
        <f t="shared" si="9"/>
        <v>0</v>
      </c>
      <c r="N22" s="101">
        <f t="shared" si="10"/>
        <v>0</v>
      </c>
      <c r="O22" s="102">
        <f t="shared" si="2"/>
        <v>0</v>
      </c>
      <c r="P22" s="1">
        <f>[1]!'364970:LAST'</f>
        <v>7665</v>
      </c>
      <c r="Q22" s="71">
        <f>[1]!'364970:NAV'</f>
        <v>7660.62</v>
      </c>
      <c r="R22" s="14">
        <f t="shared" si="11"/>
        <v>1764.9999999994179</v>
      </c>
      <c r="S22" s="1">
        <f t="shared" si="12"/>
        <v>5000</v>
      </c>
      <c r="T22" s="15">
        <f t="shared" si="13"/>
        <v>6764.9999999994179</v>
      </c>
      <c r="U22" s="103">
        <f>_xlfn.IFNA(VLOOKUP(B22,[2]베타!$A$2:$C$1000,3,FALSE),0)</f>
        <v>-4.0099999999999997E-2</v>
      </c>
      <c r="V22" s="103">
        <f>_xlfn.IFNA(VLOOKUP(B22,[2]베타!$A$2:$D$1000,4,FALSE),0)</f>
        <v>0.6018</v>
      </c>
      <c r="W22" s="103">
        <f>_xlfn.IFNA(VLOOKUP(B22,[2]베타!$A$2:$E$1000,5,FALSE),0)</f>
        <v>0.59060000000000001</v>
      </c>
      <c r="X22" s="1">
        <f t="shared" si="14"/>
        <v>0</v>
      </c>
      <c r="Y22" s="15">
        <f t="shared" si="15"/>
        <v>0</v>
      </c>
      <c r="Z22" s="13">
        <f t="shared" si="16"/>
        <v>0</v>
      </c>
      <c r="AA22" s="104">
        <f t="shared" si="3"/>
        <v>0</v>
      </c>
      <c r="AB22" s="104">
        <f t="shared" si="4"/>
        <v>0</v>
      </c>
      <c r="AC22" s="105">
        <f t="shared" si="5"/>
        <v>0</v>
      </c>
      <c r="AD22" s="106">
        <f t="shared" si="6"/>
        <v>0</v>
      </c>
      <c r="AE22" s="1">
        <f t="shared" si="17"/>
        <v>0</v>
      </c>
      <c r="AF22" s="108"/>
      <c r="AG22" s="1" t="str">
        <f t="shared" si="18"/>
        <v>364970</v>
      </c>
      <c r="AH22" s="1">
        <f t="shared" si="19"/>
        <v>0</v>
      </c>
      <c r="AJ22" s="71">
        <f>ROUNDUP(VLOOKUP(B22,[2]베타!$A$2:$J$1000,10,FALSE),0)</f>
        <v>4</v>
      </c>
      <c r="AK22" s="71">
        <f>ROUNDUP(VLOOKUP(B22,[2]베타!$A$2:$K$1000,11,FALSE),0)</f>
        <v>-26</v>
      </c>
      <c r="AL22" s="71"/>
    </row>
    <row r="23" spans="1:38" x14ac:dyDescent="0.25">
      <c r="A23" s="4"/>
      <c r="B23" s="94" t="s">
        <v>77</v>
      </c>
      <c r="C23" s="95" t="s">
        <v>78</v>
      </c>
      <c r="D23" s="14">
        <f>VLOOKUP("A"&amp;B23,[2]ETF!$A$4:$M$10000,13,FALSE)</f>
        <v>50000</v>
      </c>
      <c r="E23" s="1">
        <f>[1]!'0091P0:VOL'+0</f>
        <v>3997902</v>
      </c>
      <c r="F23" s="96" t="s">
        <v>62</v>
      </c>
      <c r="G23" s="97">
        <f>IF([1]!'019875^0091P0:SELL_TDY_QTY'="NO", 0, [1]!'019875^0091P0:SELL_TDY_QTY')</f>
        <v>38448</v>
      </c>
      <c r="H23" s="97">
        <f>IF([1]!'019875^0091P0:SELL_TDY_AMT'="NO", 0, [1]!'019875^0091P0:SELL_TDY_AMT')</f>
        <v>691124830</v>
      </c>
      <c r="I23" s="97">
        <f t="shared" si="7"/>
        <v>17975.572981689555</v>
      </c>
      <c r="J23" s="98">
        <f>IF([1]!'019875^0091P0:BUY_TDY_QTY'="NO", 0, [1]!'019875^0091P0:BUY_TDY_QTY')</f>
        <v>38448</v>
      </c>
      <c r="K23" s="97">
        <f>IF([1]!'019875^0091P0:BUY_TDY_AMT'="NO", 0, [1]!'019875^0091P0:BUY_TDY_AMT')</f>
        <v>692694175</v>
      </c>
      <c r="L23" s="99">
        <f t="shared" si="8"/>
        <v>18016.390319392427</v>
      </c>
      <c r="M23" s="100">
        <f t="shared" si="9"/>
        <v>0</v>
      </c>
      <c r="N23" s="101">
        <f t="shared" si="10"/>
        <v>0</v>
      </c>
      <c r="O23" s="102">
        <f>M23/D23</f>
        <v>0</v>
      </c>
      <c r="P23" s="1">
        <f>[1]!'0091P0:LAST'</f>
        <v>17950</v>
      </c>
      <c r="Q23" s="71">
        <f>[1]!'0091P0:NAV'</f>
        <v>17982.73</v>
      </c>
      <c r="R23" s="14">
        <f t="shared" si="11"/>
        <v>983229.99999999453</v>
      </c>
      <c r="S23" s="1">
        <f t="shared" si="12"/>
        <v>-2552575.0000000349</v>
      </c>
      <c r="T23" s="15">
        <f t="shared" si="13"/>
        <v>-1569345.0000000405</v>
      </c>
      <c r="U23" s="103">
        <f>_xlfn.IFNA(VLOOKUP(B23,[2]베타!$A$2:$C$1000,3,FALSE),0)</f>
        <v>0.20200000000000001</v>
      </c>
      <c r="V23" s="103">
        <f>_xlfn.IFNA(VLOOKUP(B23,[2]베타!$A$2:$D$1000,4,FALSE),0)</f>
        <v>0.83479999999999999</v>
      </c>
      <c r="W23" s="103">
        <f>_xlfn.IFNA(VLOOKUP(B23,[2]베타!$A$2:$E$1000,5,FALSE),0)</f>
        <v>0.68700000000000006</v>
      </c>
      <c r="X23" s="1">
        <f t="shared" si="14"/>
        <v>0</v>
      </c>
      <c r="Y23" s="15">
        <f t="shared" si="15"/>
        <v>0</v>
      </c>
      <c r="Z23" s="13">
        <f t="shared" si="16"/>
        <v>0</v>
      </c>
      <c r="AA23" s="104">
        <f t="shared" si="3"/>
        <v>0</v>
      </c>
      <c r="AB23" s="104">
        <f t="shared" si="4"/>
        <v>0</v>
      </c>
      <c r="AC23" s="105">
        <f t="shared" si="5"/>
        <v>0</v>
      </c>
      <c r="AD23" s="106">
        <f t="shared" si="6"/>
        <v>0</v>
      </c>
      <c r="AE23" s="1">
        <f t="shared" si="17"/>
        <v>0</v>
      </c>
      <c r="AF23" s="108"/>
      <c r="AG23" s="1" t="str">
        <f t="shared" si="18"/>
        <v>0091P0</v>
      </c>
      <c r="AH23" s="1">
        <f t="shared" si="19"/>
        <v>0</v>
      </c>
      <c r="AJ23" s="71">
        <f>ROUNDUP(VLOOKUP(B23,[2]베타!$A$2:$J$1000,10,FALSE),0)</f>
        <v>5</v>
      </c>
      <c r="AK23" s="71">
        <f>ROUNDUP(VLOOKUP(B23,[2]베타!$A$2:$K$1000,11,FALSE),0)</f>
        <v>-26</v>
      </c>
    </row>
    <row r="24" spans="1:38" x14ac:dyDescent="0.25">
      <c r="A24" s="4"/>
      <c r="B24" s="94" t="s">
        <v>79</v>
      </c>
      <c r="C24" s="95" t="s">
        <v>80</v>
      </c>
      <c r="D24" s="14">
        <f>VLOOKUP("A"&amp;B24,[2]ETF!$A$4:$M$10000,13,FALSE)</f>
        <v>50000</v>
      </c>
      <c r="E24" s="1">
        <f>[1]!'292150:VOL'+0</f>
        <v>296325</v>
      </c>
      <c r="F24" s="96" t="s">
        <v>62</v>
      </c>
      <c r="G24" s="97">
        <f>IF([1]!'019875^292150:SELL_TDY_QTY'="NO", 0, [1]!'019875^292150:SELL_TDY_QTY')</f>
        <v>6977</v>
      </c>
      <c r="H24" s="97">
        <f>IF([1]!'019875^292150:SELL_TDY_AMT'="NO", 0, [1]!'019875^292150:SELL_TDY_AMT')</f>
        <v>265941510</v>
      </c>
      <c r="I24" s="97">
        <f t="shared" si="7"/>
        <v>38116.885480865705</v>
      </c>
      <c r="J24" s="98">
        <f>IF([1]!'019875^292150:BUY_TDY_QTY'="NO", 0, [1]!'019875^292150:BUY_TDY_QTY')</f>
        <v>6977</v>
      </c>
      <c r="K24" s="97">
        <f>IF([1]!'019875^292150:BUY_TDY_AMT'="NO", 0, [1]!'019875^292150:BUY_TDY_AMT')</f>
        <v>266982650</v>
      </c>
      <c r="L24" s="99">
        <f t="shared" si="8"/>
        <v>38266.110075963879</v>
      </c>
      <c r="M24" s="100">
        <f t="shared" si="9"/>
        <v>0</v>
      </c>
      <c r="N24" s="101">
        <f t="shared" si="10"/>
        <v>0</v>
      </c>
      <c r="O24" s="102">
        <f t="shared" si="2"/>
        <v>0</v>
      </c>
      <c r="P24" s="1">
        <f>[1]!'292150:LAST'</f>
        <v>38210</v>
      </c>
      <c r="Q24" s="71">
        <f>[1]!'292150:NAV'</f>
        <v>38273.65</v>
      </c>
      <c r="R24" s="14">
        <f t="shared" si="11"/>
        <v>-649659.99999997497</v>
      </c>
      <c r="S24" s="1">
        <f t="shared" si="12"/>
        <v>-391479.99999998626</v>
      </c>
      <c r="T24" s="15">
        <f t="shared" si="13"/>
        <v>-1041139.9999999612</v>
      </c>
      <c r="U24" s="103">
        <f>_xlfn.IFNA(VLOOKUP(B24,[2]베타!$A$2:$C$1000,3,FALSE),0)</f>
        <v>0.96830000000000005</v>
      </c>
      <c r="V24" s="103">
        <f>_xlfn.IFNA(VLOOKUP(B24,[2]베타!$A$2:$D$1000,4,FALSE),0)</f>
        <v>-5.0000000000000001E-4</v>
      </c>
      <c r="W24" s="103">
        <f>_xlfn.IFNA(VLOOKUP(B24,[2]베타!$A$2:$E$1000,5,FALSE),0)</f>
        <v>0.98219999999999996</v>
      </c>
      <c r="X24" s="1">
        <f t="shared" si="14"/>
        <v>0</v>
      </c>
      <c r="Y24" s="15">
        <f t="shared" si="15"/>
        <v>0</v>
      </c>
      <c r="Z24" s="13">
        <f t="shared" si="16"/>
        <v>0</v>
      </c>
      <c r="AA24" s="104">
        <f t="shared" si="3"/>
        <v>0</v>
      </c>
      <c r="AB24" s="104">
        <f t="shared" si="4"/>
        <v>0</v>
      </c>
      <c r="AC24" s="105">
        <f t="shared" si="5"/>
        <v>0</v>
      </c>
      <c r="AD24" s="106">
        <f t="shared" si="6"/>
        <v>0</v>
      </c>
      <c r="AE24" s="1">
        <f t="shared" si="17"/>
        <v>0</v>
      </c>
      <c r="AF24" s="108"/>
      <c r="AG24" s="1" t="str">
        <f t="shared" si="18"/>
        <v>292150</v>
      </c>
      <c r="AH24" s="1">
        <f t="shared" si="19"/>
        <v>0</v>
      </c>
      <c r="AJ24" s="71">
        <f>ROUNDUP(VLOOKUP(B24,[2]베타!$A$2:$J$1000,10,FALSE),0)</f>
        <v>2</v>
      </c>
      <c r="AK24" s="71">
        <f>ROUNDUP(VLOOKUP(B24,[2]베타!$A$2:$K$1000,11,FALSE),0)</f>
        <v>-23</v>
      </c>
    </row>
    <row r="25" spans="1:38" x14ac:dyDescent="0.25">
      <c r="A25" s="4"/>
      <c r="B25" s="94" t="s">
        <v>81</v>
      </c>
      <c r="C25" s="95" t="s">
        <v>82</v>
      </c>
      <c r="D25" s="14">
        <f>VLOOKUP("A"&amp;B25,[2]ETF!$A$4:$M$10000,13,FALSE)</f>
        <v>20000</v>
      </c>
      <c r="E25" s="1">
        <f>[1]!'139230:VOL'+0</f>
        <v>226761</v>
      </c>
      <c r="F25" s="96" t="s">
        <v>62</v>
      </c>
      <c r="G25" s="97">
        <f>IF([1]!'019875^139230:SELL_TDY_QTY'="NO", 0, [1]!'019875^139230:SELL_TDY_QTY')</f>
        <v>396</v>
      </c>
      <c r="H25" s="97">
        <f>IF([1]!'019875^139230:SELL_TDY_AMT'="NO", 0, [1]!'019875^139230:SELL_TDY_AMT')</f>
        <v>5340060</v>
      </c>
      <c r="I25" s="97">
        <f t="shared" si="7"/>
        <v>13485</v>
      </c>
      <c r="J25" s="98">
        <f>IF([1]!'019875^139230:BUY_TDY_QTY'="NO", 0, [1]!'019875^139230:BUY_TDY_QTY')</f>
        <v>396</v>
      </c>
      <c r="K25" s="97">
        <f>IF([1]!'019875^139230:BUY_TDY_AMT'="NO", 0, [1]!'019875^139230:BUY_TDY_AMT')</f>
        <v>5339585</v>
      </c>
      <c r="L25" s="99">
        <f t="shared" si="8"/>
        <v>13483.800505050505</v>
      </c>
      <c r="M25" s="100">
        <f t="shared" si="9"/>
        <v>0</v>
      </c>
      <c r="N25" s="101">
        <f t="shared" si="10"/>
        <v>0</v>
      </c>
      <c r="O25" s="102">
        <f t="shared" si="2"/>
        <v>0</v>
      </c>
      <c r="P25" s="1">
        <f>[1]!'139230:LAST'</f>
        <v>13515</v>
      </c>
      <c r="Q25" s="71">
        <f>[1]!'139230:NAV'</f>
        <v>13546.11</v>
      </c>
      <c r="R25" s="14">
        <f t="shared" si="11"/>
        <v>-11880</v>
      </c>
      <c r="S25" s="1">
        <f t="shared" si="12"/>
        <v>12354.999999999898</v>
      </c>
      <c r="T25" s="15">
        <f t="shared" si="13"/>
        <v>474.99999999989814</v>
      </c>
      <c r="U25" s="103">
        <f>_xlfn.IFNA(VLOOKUP(B25,[2]베타!$A$2:$C$1000,3,FALSE),0)</f>
        <v>0.24260000000000001</v>
      </c>
      <c r="V25" s="103">
        <f>_xlfn.IFNA(VLOOKUP(B25,[2]베타!$A$2:$D$1000,4,FALSE),0)</f>
        <v>0.56950000000000001</v>
      </c>
      <c r="W25" s="103">
        <f>_xlfn.IFNA(VLOOKUP(B25,[2]베타!$A$2:$E$1000,5,FALSE),0)</f>
        <v>0.67630000000000001</v>
      </c>
      <c r="X25" s="1">
        <f t="shared" si="14"/>
        <v>0</v>
      </c>
      <c r="Y25" s="15">
        <f t="shared" si="15"/>
        <v>0</v>
      </c>
      <c r="Z25" s="13">
        <f t="shared" si="16"/>
        <v>0</v>
      </c>
      <c r="AA25" s="104">
        <f t="shared" si="3"/>
        <v>0</v>
      </c>
      <c r="AB25" s="104">
        <f t="shared" si="4"/>
        <v>0</v>
      </c>
      <c r="AC25" s="105">
        <f t="shared" si="5"/>
        <v>0</v>
      </c>
      <c r="AD25" s="106">
        <f t="shared" si="6"/>
        <v>0</v>
      </c>
      <c r="AE25" s="1">
        <f t="shared" si="17"/>
        <v>0</v>
      </c>
      <c r="AF25" s="108"/>
      <c r="AG25" s="1" t="str">
        <f t="shared" si="18"/>
        <v>139230</v>
      </c>
      <c r="AH25" s="1">
        <f t="shared" si="19"/>
        <v>0</v>
      </c>
      <c r="AJ25" s="71">
        <f>ROUNDUP(VLOOKUP(B25,[2]베타!$A$2:$J$1000,10,FALSE),0)</f>
        <v>10</v>
      </c>
      <c r="AK25" s="71">
        <f>ROUNDUP(VLOOKUP(B25,[2]베타!$A$2:$K$1000,11,FALSE),0)</f>
        <v>-27</v>
      </c>
    </row>
    <row r="26" spans="1:38" x14ac:dyDescent="0.25">
      <c r="A26" s="4"/>
      <c r="B26" s="94" t="s">
        <v>83</v>
      </c>
      <c r="C26" s="95" t="s">
        <v>84</v>
      </c>
      <c r="D26" s="14">
        <f>VLOOKUP("A"&amp;B26,[2]ETF!$A$4:$M$10000,13,FALSE)</f>
        <v>50000</v>
      </c>
      <c r="E26" s="1">
        <f>[1]!'364990:VOL'+0</f>
        <v>101715</v>
      </c>
      <c r="F26" s="96" t="s">
        <v>62</v>
      </c>
      <c r="G26" s="97">
        <f>IF([1]!'019875^364990:SELL_TDY_QTY'="NO", 0, [1]!'019875^364990:SELL_TDY_QTY')</f>
        <v>1467</v>
      </c>
      <c r="H26" s="97">
        <f>IF([1]!'019875^364990:SELL_TDY_AMT'="NO", 0, [1]!'019875^364990:SELL_TDY_AMT')</f>
        <v>6979285</v>
      </c>
      <c r="I26" s="97">
        <f t="shared" si="7"/>
        <v>4757.522154055896</v>
      </c>
      <c r="J26" s="98">
        <f>IF([1]!'019875^364990:BUY_TDY_QTY'="NO", 0, [1]!'019875^364990:BUY_TDY_QTY')</f>
        <v>1467</v>
      </c>
      <c r="K26" s="97">
        <f>IF([1]!'019875^364990:BUY_TDY_AMT'="NO", 0, [1]!'019875^364990:BUY_TDY_AMT')</f>
        <v>6894900</v>
      </c>
      <c r="L26" s="99">
        <f t="shared" si="8"/>
        <v>4700</v>
      </c>
      <c r="M26" s="100">
        <f t="shared" si="9"/>
        <v>0</v>
      </c>
      <c r="N26" s="101">
        <f t="shared" si="10"/>
        <v>0</v>
      </c>
      <c r="O26" s="102">
        <f t="shared" si="2"/>
        <v>0</v>
      </c>
      <c r="P26" s="1">
        <f>[1]!'364990:LAST'</f>
        <v>4705</v>
      </c>
      <c r="Q26" s="71">
        <f>[1]!'364990:NAV'</f>
        <v>4710.4399999999996</v>
      </c>
      <c r="R26" s="14">
        <f t="shared" si="11"/>
        <v>77049.99999999936</v>
      </c>
      <c r="S26" s="1">
        <f t="shared" si="12"/>
        <v>7335</v>
      </c>
      <c r="T26" s="15">
        <f t="shared" si="13"/>
        <v>84384.99999999936</v>
      </c>
      <c r="U26" s="103">
        <f>_xlfn.IFNA(VLOOKUP(B26,[2]베타!$A$2:$C$1000,3,FALSE),0)</f>
        <v>-9.0800000000000006E-2</v>
      </c>
      <c r="V26" s="103">
        <f>_xlfn.IFNA(VLOOKUP(B26,[2]베타!$A$2:$D$1000,4,FALSE),0)</f>
        <v>0.38729999999999998</v>
      </c>
      <c r="W26" s="103">
        <f>_xlfn.IFNA(VLOOKUP(B26,[2]베타!$A$2:$E$1000,5,FALSE),0)</f>
        <v>0.2399</v>
      </c>
      <c r="X26" s="1">
        <f t="shared" si="14"/>
        <v>0</v>
      </c>
      <c r="Y26" s="15">
        <f t="shared" si="15"/>
        <v>0</v>
      </c>
      <c r="Z26" s="13">
        <f t="shared" si="16"/>
        <v>0</v>
      </c>
      <c r="AA26" s="104">
        <f t="shared" si="3"/>
        <v>0</v>
      </c>
      <c r="AB26" s="104">
        <f t="shared" si="4"/>
        <v>0</v>
      </c>
      <c r="AC26" s="105">
        <f t="shared" si="5"/>
        <v>0</v>
      </c>
      <c r="AD26" s="106">
        <f t="shared" si="6"/>
        <v>0</v>
      </c>
      <c r="AE26" s="1">
        <f t="shared" si="17"/>
        <v>0</v>
      </c>
      <c r="AF26" s="108"/>
      <c r="AG26" s="1" t="str">
        <f t="shared" si="18"/>
        <v>364990</v>
      </c>
      <c r="AH26" s="1">
        <f t="shared" si="19"/>
        <v>0</v>
      </c>
      <c r="AJ26" s="71">
        <f>ROUNDUP(VLOOKUP(B26,[2]베타!$A$2:$J$1000,10,FALSE),0)</f>
        <v>20</v>
      </c>
      <c r="AK26" s="71">
        <f>ROUNDUP(VLOOKUP(B26,[2]베타!$A$2:$K$1000,11,FALSE),0)</f>
        <v>-32</v>
      </c>
    </row>
    <row r="27" spans="1:38" x14ac:dyDescent="0.25">
      <c r="A27" s="4"/>
      <c r="B27" s="94" t="s">
        <v>85</v>
      </c>
      <c r="C27" s="95" t="s">
        <v>86</v>
      </c>
      <c r="D27" s="14">
        <f>VLOOKUP("A"&amp;B27,[2]ETF!$A$4:$M$10000,13,FALSE)</f>
        <v>20000</v>
      </c>
      <c r="E27" s="1">
        <f>[1]!'157500:VOL'+0</f>
        <v>298530</v>
      </c>
      <c r="F27" s="96" t="s">
        <v>62</v>
      </c>
      <c r="G27" s="97">
        <f>IF([1]!'019875^157500:SELL_TDY_QTY'="NO", 0, [1]!'019875^157500:SELL_TDY_QTY')</f>
        <v>1131</v>
      </c>
      <c r="H27" s="97">
        <f>IF([1]!'019875^157500:SELL_TDY_AMT'="NO", 0, [1]!'019875^157500:SELL_TDY_AMT')</f>
        <v>14318965</v>
      </c>
      <c r="I27" s="97">
        <f t="shared" si="7"/>
        <v>12660.446507515473</v>
      </c>
      <c r="J27" s="98">
        <f>IF([1]!'019875^157500:BUY_TDY_QTY'="NO", 0, [1]!'019875^157500:BUY_TDY_QTY')</f>
        <v>1131</v>
      </c>
      <c r="K27" s="97">
        <f>IF([1]!'019875^157500:BUY_TDY_AMT'="NO", 0, [1]!'019875^157500:BUY_TDY_AMT')</f>
        <v>14247795</v>
      </c>
      <c r="L27" s="99">
        <f t="shared" si="8"/>
        <v>12597.519893899203</v>
      </c>
      <c r="M27" s="100">
        <f t="shared" si="9"/>
        <v>0</v>
      </c>
      <c r="N27" s="101">
        <f t="shared" si="10"/>
        <v>0</v>
      </c>
      <c r="O27" s="102">
        <f t="shared" si="2"/>
        <v>0</v>
      </c>
      <c r="P27" s="1">
        <f>[1]!'157500:LAST'</f>
        <v>12535</v>
      </c>
      <c r="Q27" s="71">
        <f>[1]!'157500:NAV'</f>
        <v>12560.92</v>
      </c>
      <c r="R27" s="14">
        <f t="shared" si="11"/>
        <v>141880.00000000003</v>
      </c>
      <c r="S27" s="1">
        <f t="shared" si="12"/>
        <v>-70709.999999999098</v>
      </c>
      <c r="T27" s="15">
        <f t="shared" si="13"/>
        <v>71170.000000000931</v>
      </c>
      <c r="U27" s="103">
        <f>_xlfn.IFNA(VLOOKUP(B27,[2]베타!$A$2:$C$1000,3,FALSE),0)</f>
        <v>0.47489999999999999</v>
      </c>
      <c r="V27" s="103">
        <f>_xlfn.IFNA(VLOOKUP(B27,[2]베타!$A$2:$D$1000,4,FALSE),0)</f>
        <v>0.44840000000000002</v>
      </c>
      <c r="W27" s="103">
        <f>_xlfn.IFNA(VLOOKUP(B27,[2]베타!$A$2:$E$1000,5,FALSE),0)</f>
        <v>0.68569999999999998</v>
      </c>
      <c r="X27" s="1">
        <f t="shared" si="14"/>
        <v>0</v>
      </c>
      <c r="Y27" s="15">
        <f t="shared" si="15"/>
        <v>0</v>
      </c>
      <c r="Z27" s="13">
        <f t="shared" si="16"/>
        <v>0</v>
      </c>
      <c r="AA27" s="104">
        <f t="shared" si="3"/>
        <v>0</v>
      </c>
      <c r="AB27" s="104">
        <f t="shared" si="4"/>
        <v>0</v>
      </c>
      <c r="AC27" s="105">
        <f t="shared" si="5"/>
        <v>0</v>
      </c>
      <c r="AD27" s="106">
        <f t="shared" si="6"/>
        <v>0</v>
      </c>
      <c r="AE27" s="1">
        <f t="shared" si="17"/>
        <v>0</v>
      </c>
      <c r="AF27" s="108"/>
      <c r="AG27" s="1" t="str">
        <f t="shared" si="18"/>
        <v>157500</v>
      </c>
      <c r="AH27" s="1">
        <f t="shared" si="19"/>
        <v>0</v>
      </c>
      <c r="AJ27" s="71">
        <f>ROUNDUP(VLOOKUP(B27,[2]베타!$A$2:$J$1000,10,FALSE),0)</f>
        <v>6</v>
      </c>
      <c r="AK27" s="71">
        <f>ROUNDUP(VLOOKUP(B27,[2]베타!$A$2:$K$1000,11,FALSE),0)</f>
        <v>-27</v>
      </c>
    </row>
    <row r="28" spans="1:38" x14ac:dyDescent="0.25">
      <c r="A28" s="4"/>
      <c r="B28" s="94" t="s">
        <v>87</v>
      </c>
      <c r="C28" s="95" t="s">
        <v>88</v>
      </c>
      <c r="D28" s="14">
        <f>VLOOKUP("A"&amp;B28,[2]ETF!$A$4:$M$10000,13,FALSE)</f>
        <v>30000</v>
      </c>
      <c r="E28" s="1">
        <f>[1]!'228810:VOL'+0</f>
        <v>248847</v>
      </c>
      <c r="F28" s="96" t="s">
        <v>62</v>
      </c>
      <c r="G28" s="97">
        <f>IF([1]!'019875^228810:SELL_TDY_QTY'="NO", 0, [1]!'019875^228810:SELL_TDY_QTY')</f>
        <v>1581</v>
      </c>
      <c r="H28" s="97">
        <f>IF([1]!'019875^228810:SELL_TDY_AMT'="NO", 0, [1]!'019875^228810:SELL_TDY_AMT')</f>
        <v>4974065</v>
      </c>
      <c r="I28" s="97">
        <f t="shared" si="7"/>
        <v>3146.1511701454774</v>
      </c>
      <c r="J28" s="98">
        <f>IF([1]!'019875^228810:BUY_TDY_QTY'="NO", 0, [1]!'019875^228810:BUY_TDY_QTY')</f>
        <v>1581</v>
      </c>
      <c r="K28" s="97">
        <f>IF([1]!'019875^228810:BUY_TDY_AMT'="NO", 0, [1]!'019875^228810:BUY_TDY_AMT')</f>
        <v>4884480</v>
      </c>
      <c r="L28" s="99">
        <f t="shared" si="8"/>
        <v>3089.4876660341556</v>
      </c>
      <c r="M28" s="100">
        <f t="shared" si="9"/>
        <v>0</v>
      </c>
      <c r="N28" s="101">
        <f t="shared" si="10"/>
        <v>0</v>
      </c>
      <c r="O28" s="102">
        <f t="shared" si="2"/>
        <v>0</v>
      </c>
      <c r="P28" s="1">
        <f>[1]!'228810:LAST'</f>
        <v>3085</v>
      </c>
      <c r="Q28" s="71">
        <f>[1]!'228810:NAV'</f>
        <v>3083.49</v>
      </c>
      <c r="R28" s="14">
        <f t="shared" si="11"/>
        <v>96679.999999999782</v>
      </c>
      <c r="S28" s="1">
        <f t="shared" si="12"/>
        <v>-7095.0000000000182</v>
      </c>
      <c r="T28" s="15">
        <f t="shared" si="13"/>
        <v>89584.999999999767</v>
      </c>
      <c r="U28" s="103">
        <f>_xlfn.IFNA(VLOOKUP(B28,[2]베타!$A$2:$C$1000,3,FALSE),0)</f>
        <v>-0.1774</v>
      </c>
      <c r="V28" s="103">
        <f>_xlfn.IFNA(VLOOKUP(B28,[2]베타!$A$2:$D$1000,4,FALSE),0)</f>
        <v>0.67710000000000004</v>
      </c>
      <c r="W28" s="103">
        <f>_xlfn.IFNA(VLOOKUP(B28,[2]베타!$A$2:$E$1000,5,FALSE),0)</f>
        <v>0.58069999999999999</v>
      </c>
      <c r="X28" s="1">
        <f t="shared" si="14"/>
        <v>0</v>
      </c>
      <c r="Y28" s="15">
        <f t="shared" si="15"/>
        <v>0</v>
      </c>
      <c r="Z28" s="13">
        <f t="shared" si="16"/>
        <v>0</v>
      </c>
      <c r="AA28" s="104">
        <f t="shared" si="3"/>
        <v>0</v>
      </c>
      <c r="AB28" s="104">
        <f t="shared" si="4"/>
        <v>0</v>
      </c>
      <c r="AC28" s="105">
        <f t="shared" si="5"/>
        <v>0</v>
      </c>
      <c r="AD28" s="106">
        <f t="shared" si="6"/>
        <v>0</v>
      </c>
      <c r="AE28" s="1">
        <f t="shared" si="17"/>
        <v>0</v>
      </c>
      <c r="AF28" s="108"/>
      <c r="AG28" s="1" t="str">
        <f t="shared" si="18"/>
        <v>228810</v>
      </c>
      <c r="AH28" s="1">
        <f t="shared" si="19"/>
        <v>0</v>
      </c>
      <c r="AJ28" s="71">
        <f>ROUNDUP(VLOOKUP(B28,[2]베타!$A$2:$J$1000,10,FALSE),0)</f>
        <v>20</v>
      </c>
      <c r="AK28" s="71">
        <f>ROUNDUP(VLOOKUP(B28,[2]베타!$A$2:$K$1000,11,FALSE),0)</f>
        <v>-29</v>
      </c>
    </row>
    <row r="29" spans="1:38" x14ac:dyDescent="0.25">
      <c r="A29" s="4"/>
      <c r="B29" s="109" t="s">
        <v>89</v>
      </c>
      <c r="C29" s="110" t="s">
        <v>90</v>
      </c>
      <c r="D29" s="111">
        <f>VLOOKUP("A"&amp;B29,[2]ETF!$A$4:$M$10000,13,FALSE)</f>
        <v>10000</v>
      </c>
      <c r="E29" s="112">
        <f>[1]!'472150:VOL'+0</f>
        <v>5119230</v>
      </c>
      <c r="F29" s="113" t="s">
        <v>91</v>
      </c>
      <c r="G29" s="97">
        <f>IF([1]!'019870^472150:SELL_TDY_QTY'="NO", 0, [1]!'019870^472150:SELL_TDY_QTY')</f>
        <v>0</v>
      </c>
      <c r="H29" s="97">
        <f>IF([1]!'019870^472150:SELL_TDY_AMT'="NO", 0, [1]!'019870^472150:SELL_TDY_AMT')</f>
        <v>0</v>
      </c>
      <c r="I29" s="97">
        <f t="shared" si="7"/>
        <v>0</v>
      </c>
      <c r="J29" s="98">
        <f>IF([1]!'019870^472150:BUY_TDY_QTY'="NO", 0, [1]!'019870^472150:BUY_TDY_QTY')</f>
        <v>0</v>
      </c>
      <c r="K29" s="97">
        <f>IF([1]!'019870^472150:BUY_TDY_AMT'="NO", 0, [1]!'019870^472150:BUY_TDY_AMT')</f>
        <v>0</v>
      </c>
      <c r="L29" s="99">
        <f t="shared" si="8"/>
        <v>0</v>
      </c>
      <c r="M29" s="100">
        <f t="shared" si="9"/>
        <v>0</v>
      </c>
      <c r="N29" s="101">
        <f t="shared" si="10"/>
        <v>0</v>
      </c>
      <c r="O29" s="102">
        <f t="shared" si="2"/>
        <v>0</v>
      </c>
      <c r="P29" s="1">
        <f>[1]!'472150:LAST'</f>
        <v>20870</v>
      </c>
      <c r="Q29" s="71">
        <f>[1]!'472150:NAV'</f>
        <v>20878.91</v>
      </c>
      <c r="R29" s="14">
        <f t="shared" si="11"/>
        <v>0</v>
      </c>
      <c r="S29" s="1">
        <f t="shared" si="12"/>
        <v>0</v>
      </c>
      <c r="T29" s="15">
        <f t="shared" si="13"/>
        <v>0</v>
      </c>
      <c r="U29" s="103">
        <f>_xlfn.IFNA(VLOOKUP(B29,[2]베타!$A$2:$C$1000,3,FALSE),0)</f>
        <v>0.97460000000000002</v>
      </c>
      <c r="V29" s="103">
        <f>_xlfn.IFNA(VLOOKUP(B29,[2]베타!$A$2:$D$1000,4,FALSE),0)</f>
        <v>6.9999999999999999E-4</v>
      </c>
      <c r="W29" s="103">
        <f>_xlfn.IFNA(VLOOKUP(B29,[2]베타!$A$2:$E$1000,5,FALSE),0)</f>
        <v>0.98899999999999999</v>
      </c>
      <c r="X29" s="1">
        <f t="shared" si="14"/>
        <v>0</v>
      </c>
      <c r="Y29" s="15">
        <f t="shared" si="15"/>
        <v>0</v>
      </c>
      <c r="Z29" s="13">
        <f t="shared" si="16"/>
        <v>0</v>
      </c>
      <c r="AA29" s="104">
        <f t="shared" si="3"/>
        <v>0</v>
      </c>
      <c r="AB29" s="104">
        <f t="shared" si="4"/>
        <v>0</v>
      </c>
      <c r="AC29" s="105">
        <f t="shared" si="5"/>
        <v>0</v>
      </c>
      <c r="AD29" s="106">
        <f t="shared" si="6"/>
        <v>0</v>
      </c>
      <c r="AE29" s="1">
        <f t="shared" si="17"/>
        <v>0</v>
      </c>
      <c r="AF29" s="108"/>
      <c r="AG29" s="1" t="str">
        <f t="shared" si="18"/>
        <v>472150</v>
      </c>
      <c r="AH29" s="1">
        <f t="shared" si="19"/>
        <v>0</v>
      </c>
      <c r="AJ29" s="71">
        <f>ROUNDUP(VLOOKUP(B29,[2]베타!$A$2:$J$1000,10,FALSE),0)</f>
        <v>14</v>
      </c>
      <c r="AK29" s="71">
        <f>ROUNDUP(VLOOKUP(B29,[2]베타!$A$2:$K$1000,11,FALSE),0)</f>
        <v>-24</v>
      </c>
    </row>
    <row r="30" spans="1:38" x14ac:dyDescent="0.25">
      <c r="A30" s="4"/>
      <c r="B30" s="94" t="s">
        <v>92</v>
      </c>
      <c r="C30" s="95" t="s">
        <v>93</v>
      </c>
      <c r="D30" s="14">
        <f>VLOOKUP("A"&amp;B30,[2]ETF!$A$4:$M$10000,13,FALSE)</f>
        <v>50000</v>
      </c>
      <c r="E30" s="1">
        <f>[1]!'307520:VOL'+0</f>
        <v>309407</v>
      </c>
      <c r="F30" s="96" t="s">
        <v>62</v>
      </c>
      <c r="G30" s="97">
        <f>IF([1]!'019875^307520:SELL_TDY_QTY'="NO", 0, [1]!'019875^307520:SELL_TDY_QTY')</f>
        <v>2272</v>
      </c>
      <c r="H30" s="97">
        <f>IF([1]!'019875^307520:SELL_TDY_AMT'="NO", 0, [1]!'019875^307520:SELL_TDY_AMT')</f>
        <v>50532220</v>
      </c>
      <c r="I30" s="97">
        <f t="shared" si="7"/>
        <v>22241.294014084506</v>
      </c>
      <c r="J30" s="98">
        <f>IF([1]!'019875^307520:BUY_TDY_QTY'="NO", 0, [1]!'019875^307520:BUY_TDY_QTY')</f>
        <v>2272</v>
      </c>
      <c r="K30" s="97">
        <f>IF([1]!'019875^307520:BUY_TDY_AMT'="NO", 0, [1]!'019875^307520:BUY_TDY_AMT')</f>
        <v>50415940</v>
      </c>
      <c r="L30" s="99">
        <f t="shared" si="8"/>
        <v>22190.114436619719</v>
      </c>
      <c r="M30" s="100">
        <f t="shared" si="9"/>
        <v>0</v>
      </c>
      <c r="N30" s="101">
        <f t="shared" si="10"/>
        <v>0</v>
      </c>
      <c r="O30" s="102">
        <f t="shared" si="2"/>
        <v>0</v>
      </c>
      <c r="P30" s="1">
        <f>[1]!'307520:LAST'</f>
        <v>22270</v>
      </c>
      <c r="Q30" s="71">
        <f>[1]!'307520:NAV'</f>
        <v>22314.38</v>
      </c>
      <c r="R30" s="14">
        <f t="shared" si="11"/>
        <v>-65220.00000000291</v>
      </c>
      <c r="S30" s="1">
        <f t="shared" si="12"/>
        <v>181499.9999999993</v>
      </c>
      <c r="T30" s="15">
        <f t="shared" si="13"/>
        <v>116279.99999999639</v>
      </c>
      <c r="U30" s="103">
        <f>_xlfn.IFNA(VLOOKUP(B30,[2]베타!$A$2:$C$1000,3,FALSE),0)</f>
        <v>0.37690000000000001</v>
      </c>
      <c r="V30" s="103">
        <f>_xlfn.IFNA(VLOOKUP(B30,[2]베타!$A$2:$D$1000,4,FALSE),0)</f>
        <v>0.3911</v>
      </c>
      <c r="W30" s="103">
        <f>_xlfn.IFNA(VLOOKUP(B30,[2]베타!$A$2:$E$1000,5,FALSE),0)</f>
        <v>0.78759999999999997</v>
      </c>
      <c r="X30" s="1">
        <f t="shared" si="14"/>
        <v>0</v>
      </c>
      <c r="Y30" s="15">
        <f t="shared" si="15"/>
        <v>0</v>
      </c>
      <c r="Z30" s="13">
        <f t="shared" si="16"/>
        <v>0</v>
      </c>
      <c r="AA30" s="104">
        <f t="shared" si="3"/>
        <v>0</v>
      </c>
      <c r="AB30" s="104">
        <f t="shared" si="4"/>
        <v>0</v>
      </c>
      <c r="AC30" s="105">
        <f t="shared" si="5"/>
        <v>0</v>
      </c>
      <c r="AD30" s="106">
        <f t="shared" si="6"/>
        <v>0</v>
      </c>
      <c r="AE30" s="1">
        <f t="shared" si="17"/>
        <v>0</v>
      </c>
      <c r="AF30" s="108"/>
      <c r="AG30" s="1" t="str">
        <f t="shared" si="18"/>
        <v>307520</v>
      </c>
      <c r="AH30" s="1">
        <f t="shared" si="19"/>
        <v>0</v>
      </c>
      <c r="AJ30" s="71">
        <f>ROUNDUP(VLOOKUP(B30,[2]베타!$A$2:$J$1000,10,FALSE),0)</f>
        <v>4</v>
      </c>
      <c r="AK30" s="71">
        <f>ROUNDUP(VLOOKUP(B30,[2]베타!$A$2:$K$1000,11,FALSE),0)</f>
        <v>-29</v>
      </c>
    </row>
    <row r="31" spans="1:38" x14ac:dyDescent="0.25">
      <c r="A31" s="4"/>
      <c r="B31" s="94" t="s">
        <v>94</v>
      </c>
      <c r="C31" s="95" t="s">
        <v>95</v>
      </c>
      <c r="D31" s="14">
        <f>VLOOKUP("A"&amp;B31,[2]ETF!$A$4:$M$10000,13,FALSE)</f>
        <v>20000</v>
      </c>
      <c r="E31" s="1">
        <f>[1]!'157490:VOL'+0</f>
        <v>237161</v>
      </c>
      <c r="F31" s="96" t="s">
        <v>62</v>
      </c>
      <c r="G31" s="97">
        <f>IF([1]!'019875^157490:SELL_TDY_QTY'="NO", 0, [1]!'019875^157490:SELL_TDY_QTY')</f>
        <v>14240</v>
      </c>
      <c r="H31" s="97">
        <f>IF([1]!'019875^157490:SELL_TDY_AMT'="NO", 0, [1]!'019875^157490:SELL_TDY_AMT')</f>
        <v>120171970</v>
      </c>
      <c r="I31" s="97">
        <f t="shared" si="7"/>
        <v>8439.0428370786522</v>
      </c>
      <c r="J31" s="98">
        <f>IF([1]!'019875^157490:BUY_TDY_QTY'="NO", 0, [1]!'019875^157490:BUY_TDY_QTY')</f>
        <v>14240</v>
      </c>
      <c r="K31" s="97">
        <f>IF([1]!'019875^157490:BUY_TDY_AMT'="NO", 0, [1]!'019875^157490:BUY_TDY_AMT')</f>
        <v>120484280</v>
      </c>
      <c r="L31" s="99">
        <f t="shared" si="8"/>
        <v>8460.9747191011229</v>
      </c>
      <c r="M31" s="100">
        <f t="shared" si="9"/>
        <v>0</v>
      </c>
      <c r="N31" s="101">
        <f t="shared" si="10"/>
        <v>0</v>
      </c>
      <c r="O31" s="102">
        <f t="shared" si="2"/>
        <v>0</v>
      </c>
      <c r="P31" s="1">
        <f>[1]!'157490:LAST'</f>
        <v>8450</v>
      </c>
      <c r="Q31" s="71">
        <f>[1]!'157490:NAV'</f>
        <v>8469.89</v>
      </c>
      <c r="R31" s="14">
        <f t="shared" si="11"/>
        <v>-156029.99999999331</v>
      </c>
      <c r="S31" s="1">
        <f t="shared" si="12"/>
        <v>-156279.9999999901</v>
      </c>
      <c r="T31" s="15">
        <f t="shared" si="13"/>
        <v>-312309.99999998341</v>
      </c>
      <c r="U31" s="103">
        <f>_xlfn.IFNA(VLOOKUP(B31,[2]베타!$A$2:$C$1000,3,FALSE),0)</f>
        <v>0.18990000000000001</v>
      </c>
      <c r="V31" s="103">
        <f>_xlfn.IFNA(VLOOKUP(B31,[2]베타!$A$2:$D$1000,4,FALSE),0)</f>
        <v>0.3417</v>
      </c>
      <c r="W31" s="103">
        <f>_xlfn.IFNA(VLOOKUP(B31,[2]베타!$A$2:$E$1000,5,FALSE),0)</f>
        <v>0.44790000000000002</v>
      </c>
      <c r="X31" s="1">
        <f t="shared" si="14"/>
        <v>0</v>
      </c>
      <c r="Y31" s="15">
        <f t="shared" si="15"/>
        <v>0</v>
      </c>
      <c r="Z31" s="13">
        <f t="shared" si="16"/>
        <v>0</v>
      </c>
      <c r="AA31" s="104">
        <f t="shared" si="3"/>
        <v>0</v>
      </c>
      <c r="AB31" s="104">
        <f t="shared" si="4"/>
        <v>0</v>
      </c>
      <c r="AC31" s="105">
        <f t="shared" si="5"/>
        <v>0</v>
      </c>
      <c r="AD31" s="106">
        <f t="shared" si="6"/>
        <v>0</v>
      </c>
      <c r="AE31" s="1">
        <f t="shared" si="17"/>
        <v>0</v>
      </c>
      <c r="AF31" s="108"/>
      <c r="AG31" s="1" t="str">
        <f t="shared" si="18"/>
        <v>157490</v>
      </c>
      <c r="AH31" s="1">
        <f t="shared" si="19"/>
        <v>0</v>
      </c>
      <c r="AJ31" s="71">
        <f>ROUNDUP(VLOOKUP(B31,[2]베타!$A$2:$J$1000,10,FALSE),0)</f>
        <v>10</v>
      </c>
      <c r="AK31" s="71">
        <f>ROUNDUP(VLOOKUP(B31,[2]베타!$A$2:$K$1000,11,FALSE),0)</f>
        <v>-30</v>
      </c>
    </row>
    <row r="32" spans="1:38" x14ac:dyDescent="0.25">
      <c r="A32" s="4"/>
      <c r="B32" s="94" t="s">
        <v>96</v>
      </c>
      <c r="C32" s="95" t="s">
        <v>97</v>
      </c>
      <c r="D32" s="14">
        <f>VLOOKUP("A"&amp;B32,[2]ETF!$A$4:$M$10000,13,FALSE)</f>
        <v>50000</v>
      </c>
      <c r="E32" s="1">
        <f>[1]!'471760:VOL'+0</f>
        <v>515361</v>
      </c>
      <c r="F32" s="96" t="s">
        <v>62</v>
      </c>
      <c r="G32" s="97">
        <f>IF([1]!'019875^471760:SELL_TDY_QTY'="NO", 0, [1]!'019875^471760:SELL_TDY_QTY')</f>
        <v>2906</v>
      </c>
      <c r="H32" s="97">
        <f>IF([1]!'019875^471760:SELL_TDY_AMT'="NO", 0, [1]!'019875^471760:SELL_TDY_AMT')</f>
        <v>41162105</v>
      </c>
      <c r="I32" s="97">
        <f t="shared" si="7"/>
        <v>14164.523399862353</v>
      </c>
      <c r="J32" s="98">
        <f>IF([1]!'019875^471760:BUY_TDY_QTY'="NO", 0, [1]!'019875^471760:BUY_TDY_QTY')</f>
        <v>2906</v>
      </c>
      <c r="K32" s="97">
        <f>IF([1]!'019875^471760:BUY_TDY_AMT'="NO", 0, [1]!'019875^471760:BUY_TDY_AMT')</f>
        <v>41628450</v>
      </c>
      <c r="L32" s="99">
        <f t="shared" si="8"/>
        <v>14325</v>
      </c>
      <c r="M32" s="100">
        <f>J32-G32</f>
        <v>0</v>
      </c>
      <c r="N32" s="101">
        <f t="shared" si="10"/>
        <v>0</v>
      </c>
      <c r="O32" s="102">
        <f t="shared" si="2"/>
        <v>0</v>
      </c>
      <c r="P32" s="1">
        <f>[1]!'471760:LAST'</f>
        <v>14380</v>
      </c>
      <c r="Q32" s="71">
        <f>[1]!'471760:NAV'</f>
        <v>14382.73</v>
      </c>
      <c r="R32" s="14">
        <f t="shared" si="11"/>
        <v>-626175.00000000081</v>
      </c>
      <c r="S32" s="1">
        <f t="shared" si="12"/>
        <v>159830</v>
      </c>
      <c r="T32" s="15">
        <f t="shared" si="13"/>
        <v>-466345.00000000081</v>
      </c>
      <c r="U32" s="103">
        <f>_xlfn.IFNA(VLOOKUP(B32,[2]베타!$A$2:$C$1000,3,FALSE),0)</f>
        <v>0.50109999999999999</v>
      </c>
      <c r="V32" s="103">
        <f>_xlfn.IFNA(VLOOKUP(B32,[2]베타!$A$2:$D$1000,4,FALSE),0)</f>
        <v>0.80800000000000005</v>
      </c>
      <c r="W32" s="103">
        <f>_xlfn.IFNA(VLOOKUP(B32,[2]베타!$A$2:$E$1000,5,FALSE),0)</f>
        <v>0.81640000000000001</v>
      </c>
      <c r="X32" s="1">
        <f t="shared" si="14"/>
        <v>0</v>
      </c>
      <c r="Y32" s="15">
        <f t="shared" si="15"/>
        <v>0</v>
      </c>
      <c r="Z32" s="13">
        <f t="shared" si="16"/>
        <v>0</v>
      </c>
      <c r="AA32" s="104">
        <f t="shared" si="3"/>
        <v>0</v>
      </c>
      <c r="AB32" s="104">
        <f t="shared" si="4"/>
        <v>0</v>
      </c>
      <c r="AC32" s="105">
        <f t="shared" si="5"/>
        <v>0</v>
      </c>
      <c r="AD32" s="106">
        <f t="shared" si="6"/>
        <v>0</v>
      </c>
      <c r="AE32" s="1">
        <f t="shared" si="17"/>
        <v>0</v>
      </c>
      <c r="AF32" s="108"/>
      <c r="AG32" s="1" t="str">
        <f t="shared" si="18"/>
        <v>471760</v>
      </c>
      <c r="AH32" s="1">
        <f t="shared" si="19"/>
        <v>0</v>
      </c>
      <c r="AJ32" s="71">
        <f>ROUNDUP(VLOOKUP(B32,[2]베타!$A$2:$J$1000,10,FALSE),0)</f>
        <v>6</v>
      </c>
      <c r="AK32" s="71">
        <f>ROUNDUP(VLOOKUP(B32,[2]베타!$A$2:$K$1000,11,FALSE),0)</f>
        <v>-29</v>
      </c>
    </row>
    <row r="33" spans="1:37" x14ac:dyDescent="0.25">
      <c r="A33" s="4"/>
      <c r="B33" s="94" t="s">
        <v>98</v>
      </c>
      <c r="C33" s="95" t="s">
        <v>99</v>
      </c>
      <c r="D33" s="14">
        <f>VLOOKUP("A"&amp;B33,[2]ETF!$A$4:$M$10000,13,FALSE)</f>
        <v>50000</v>
      </c>
      <c r="E33" s="1">
        <f>[1]!'0052D0:VOL'+0</f>
        <v>89425</v>
      </c>
      <c r="F33" s="96" t="s">
        <v>62</v>
      </c>
      <c r="G33" s="97">
        <f>IF([1]!'019875^0052D0:SELL_TDY_QTY'="NO", 0, [1]!'019875^0052D0:SELL_TDY_QTY')</f>
        <v>7372</v>
      </c>
      <c r="H33" s="97">
        <f>IF([1]!'019875^0052D0:SELL_TDY_AMT'="NO", 0, [1]!'019875^0052D0:SELL_TDY_AMT')</f>
        <v>113898630</v>
      </c>
      <c r="I33" s="97">
        <f t="shared" si="7"/>
        <v>15450.1668475312</v>
      </c>
      <c r="J33" s="98">
        <f>IF([1]!'019875^0052D0:BUY_TDY_QTY'="NO", 0, [1]!'019875^0052D0:BUY_TDY_QTY')</f>
        <v>7372</v>
      </c>
      <c r="K33" s="97">
        <f>IF([1]!'019875^0052D0:BUY_TDY_AMT'="NO", 0, [1]!'019875^0052D0:BUY_TDY_AMT')</f>
        <v>114571655</v>
      </c>
      <c r="L33" s="99">
        <f t="shared" si="8"/>
        <v>15541.461611502984</v>
      </c>
      <c r="M33" s="100">
        <f t="shared" si="9"/>
        <v>0</v>
      </c>
      <c r="N33" s="101">
        <f t="shared" si="10"/>
        <v>0</v>
      </c>
      <c r="O33" s="102">
        <f t="shared" si="2"/>
        <v>0</v>
      </c>
      <c r="P33" s="1">
        <f>[1]!'0052D0:LAST'</f>
        <v>15450</v>
      </c>
      <c r="Q33" s="71">
        <f>[1]!'0052D0:NAV'</f>
        <v>15454.61</v>
      </c>
      <c r="R33" s="14">
        <f t="shared" si="11"/>
        <v>1230.0000000056025</v>
      </c>
      <c r="S33" s="1">
        <f t="shared" si="12"/>
        <v>-674254.99999999767</v>
      </c>
      <c r="T33" s="15">
        <f t="shared" si="13"/>
        <v>-673024.99999999208</v>
      </c>
      <c r="U33" s="103">
        <f>_xlfn.IFNA(VLOOKUP(B33,[2]베타!$A$2:$C$1000,3,FALSE),0)</f>
        <v>0.10780000000000001</v>
      </c>
      <c r="V33" s="103">
        <f>_xlfn.IFNA(VLOOKUP(B33,[2]베타!$A$2:$D$1000,4,FALSE),0)</f>
        <v>0.2999</v>
      </c>
      <c r="W33" s="103">
        <f>_xlfn.IFNA(VLOOKUP(B33,[2]베타!$A$2:$E$1000,5,FALSE),0)</f>
        <v>0.51639999999999997</v>
      </c>
      <c r="X33" s="1">
        <f t="shared" si="14"/>
        <v>0</v>
      </c>
      <c r="Y33" s="15">
        <f t="shared" si="15"/>
        <v>0</v>
      </c>
      <c r="Z33" s="13">
        <f t="shared" si="16"/>
        <v>0</v>
      </c>
      <c r="AA33" s="104">
        <f t="shared" si="3"/>
        <v>0</v>
      </c>
      <c r="AB33" s="104">
        <f t="shared" si="4"/>
        <v>0</v>
      </c>
      <c r="AC33" s="105">
        <f t="shared" si="5"/>
        <v>0</v>
      </c>
      <c r="AD33" s="106">
        <f t="shared" si="6"/>
        <v>0</v>
      </c>
      <c r="AE33" s="1">
        <f t="shared" si="17"/>
        <v>0</v>
      </c>
      <c r="AF33" s="108"/>
      <c r="AG33" s="1" t="str">
        <f t="shared" si="18"/>
        <v>0052D0</v>
      </c>
      <c r="AH33" s="1">
        <f t="shared" si="19"/>
        <v>0</v>
      </c>
      <c r="AJ33" s="71">
        <f>ROUNDUP(VLOOKUP(B33,[2]베타!$A$2:$J$1000,10,FALSE),0)</f>
        <v>5</v>
      </c>
      <c r="AK33" s="71">
        <f>ROUNDUP(VLOOKUP(B33,[2]베타!$A$2:$K$1000,11,FALSE),0)</f>
        <v>-22</v>
      </c>
    </row>
    <row r="34" spans="1:37" x14ac:dyDescent="0.25">
      <c r="A34" s="4"/>
      <c r="B34" s="94" t="s">
        <v>100</v>
      </c>
      <c r="C34" s="95" t="s">
        <v>101</v>
      </c>
      <c r="D34" s="14">
        <f>VLOOKUP("A"&amp;B34,[2]ETF!$A$4:$M$10000,13,FALSE)</f>
        <v>50000</v>
      </c>
      <c r="E34" s="1">
        <f>[1]!'466940:VOL'+0</f>
        <v>546166</v>
      </c>
      <c r="F34" s="96" t="s">
        <v>62</v>
      </c>
      <c r="G34" s="97">
        <f>IF([1]!'019875^466940:SELL_TDY_QTY'="NO", 0, [1]!'019875^466940:SELL_TDY_QTY')</f>
        <v>17107</v>
      </c>
      <c r="H34" s="97">
        <f>IF([1]!'019875^466940:SELL_TDY_AMT'="NO", 0, [1]!'019875^466940:SELL_TDY_AMT')</f>
        <v>449417525</v>
      </c>
      <c r="I34" s="97">
        <f t="shared" si="7"/>
        <v>26270.9724089554</v>
      </c>
      <c r="J34" s="98">
        <f>IF([1]!'019875^466940:BUY_TDY_QTY'="NO", 0, [1]!'019875^466940:BUY_TDY_QTY')</f>
        <v>17107</v>
      </c>
      <c r="K34" s="97">
        <f>IF([1]!'019875^466940:BUY_TDY_AMT'="NO", 0, [1]!'019875^466940:BUY_TDY_AMT')</f>
        <v>451760475</v>
      </c>
      <c r="L34" s="99">
        <f t="shared" si="8"/>
        <v>26407.930963932893</v>
      </c>
      <c r="M34" s="100">
        <f t="shared" si="9"/>
        <v>0</v>
      </c>
      <c r="N34" s="101">
        <f t="shared" si="10"/>
        <v>0</v>
      </c>
      <c r="O34" s="102">
        <f t="shared" si="2"/>
        <v>0</v>
      </c>
      <c r="P34" s="1">
        <f>[1]!'466940:LAST'</f>
        <v>26320</v>
      </c>
      <c r="Q34" s="71">
        <f>[1]!'466940:NAV'</f>
        <v>26332.639999999999</v>
      </c>
      <c r="R34" s="14">
        <f t="shared" si="11"/>
        <v>-838714.99999996927</v>
      </c>
      <c r="S34" s="1">
        <f t="shared" si="12"/>
        <v>-1504235.0000000016</v>
      </c>
      <c r="T34" s="15">
        <f t="shared" si="13"/>
        <v>-2342949.9999999711</v>
      </c>
      <c r="U34" s="103">
        <f>_xlfn.IFNA(VLOOKUP(B34,[2]베타!$A$2:$C$1000,3,FALSE),0)</f>
        <v>0.11360000000000001</v>
      </c>
      <c r="V34" s="103">
        <f>_xlfn.IFNA(VLOOKUP(B34,[2]베타!$A$2:$D$1000,4,FALSE),0)</f>
        <v>0.2359</v>
      </c>
      <c r="W34" s="103">
        <f>_xlfn.IFNA(VLOOKUP(B34,[2]베타!$A$2:$E$1000,5,FALSE),0)</f>
        <v>0.37219999999999998</v>
      </c>
      <c r="X34" s="1">
        <f t="shared" si="14"/>
        <v>0</v>
      </c>
      <c r="Y34" s="15">
        <f t="shared" si="15"/>
        <v>0</v>
      </c>
      <c r="Z34" s="13">
        <f t="shared" si="16"/>
        <v>0</v>
      </c>
      <c r="AA34" s="104">
        <f t="shared" si="3"/>
        <v>0</v>
      </c>
      <c r="AB34" s="104">
        <f t="shared" si="4"/>
        <v>0</v>
      </c>
      <c r="AC34" s="105">
        <f t="shared" si="5"/>
        <v>0</v>
      </c>
      <c r="AD34" s="106">
        <f t="shared" si="6"/>
        <v>0</v>
      </c>
      <c r="AE34" s="1">
        <f t="shared" si="17"/>
        <v>0</v>
      </c>
      <c r="AF34" s="108"/>
      <c r="AG34" s="1" t="str">
        <f t="shared" si="18"/>
        <v>466940</v>
      </c>
      <c r="AH34" s="1">
        <f t="shared" si="19"/>
        <v>0</v>
      </c>
      <c r="AJ34" s="71">
        <f>ROUNDUP(VLOOKUP(B34,[2]베타!$A$2:$J$1000,10,FALSE),0)</f>
        <v>3</v>
      </c>
      <c r="AK34" s="71">
        <f>ROUNDUP(VLOOKUP(B34,[2]베타!$A$2:$K$1000,11,FALSE),0)</f>
        <v>-21</v>
      </c>
    </row>
    <row r="35" spans="1:37" x14ac:dyDescent="0.25">
      <c r="A35" s="4"/>
      <c r="B35" s="94" t="s">
        <v>102</v>
      </c>
      <c r="C35" s="95" t="s">
        <v>103</v>
      </c>
      <c r="D35" s="14">
        <f>VLOOKUP("A"&amp;B35,[2]ETF!$A$4:$M$10000,13,FALSE)</f>
        <v>20000</v>
      </c>
      <c r="E35" s="1">
        <f>[1]!'139220:VOL'+0</f>
        <v>697787</v>
      </c>
      <c r="F35" s="96" t="s">
        <v>62</v>
      </c>
      <c r="G35" s="97">
        <f>IF([1]!'019875^139220:SELL_TDY_QTY'="NO", 0, [1]!'019875^139220:SELL_TDY_QTY')</f>
        <v>4596</v>
      </c>
      <c r="H35" s="97">
        <f>IF([1]!'019875^139220:SELL_TDY_AMT'="NO", 0, [1]!'019875^139220:SELL_TDY_AMT')</f>
        <v>37897305</v>
      </c>
      <c r="I35" s="97">
        <f t="shared" si="7"/>
        <v>8245.714751958225</v>
      </c>
      <c r="J35" s="98">
        <f>IF([1]!'019875^139220:BUY_TDY_QTY'="NO", 0, [1]!'019875^139220:BUY_TDY_QTY')</f>
        <v>4596</v>
      </c>
      <c r="K35" s="97">
        <f>IF([1]!'019875^139220:BUY_TDY_AMT'="NO", 0, [1]!'019875^139220:BUY_TDY_AMT')</f>
        <v>37112700</v>
      </c>
      <c r="L35" s="99">
        <f t="shared" si="8"/>
        <v>8075</v>
      </c>
      <c r="M35" s="100">
        <f t="shared" si="9"/>
        <v>0</v>
      </c>
      <c r="N35" s="101">
        <f t="shared" si="10"/>
        <v>0</v>
      </c>
      <c r="O35" s="102">
        <f t="shared" si="2"/>
        <v>0</v>
      </c>
      <c r="P35" s="1">
        <f>[1]!'139220:LAST'</f>
        <v>8100</v>
      </c>
      <c r="Q35" s="71">
        <f>[1]!'139220:NAV'</f>
        <v>8100.1</v>
      </c>
      <c r="R35" s="14">
        <f t="shared" si="11"/>
        <v>669705.00000000186</v>
      </c>
      <c r="S35" s="1">
        <f t="shared" si="12"/>
        <v>114900</v>
      </c>
      <c r="T35" s="15">
        <f t="shared" si="13"/>
        <v>784605.00000000186</v>
      </c>
      <c r="U35" s="103">
        <f>_xlfn.IFNA(VLOOKUP(B35,[2]베타!$A$2:$C$1000,3,FALSE),0)</f>
        <v>0.4294</v>
      </c>
      <c r="V35" s="103">
        <f>_xlfn.IFNA(VLOOKUP(B35,[2]베타!$A$2:$D$1000,4,FALSE),0)</f>
        <v>0.51380000000000003</v>
      </c>
      <c r="W35" s="103">
        <f>_xlfn.IFNA(VLOOKUP(B35,[2]베타!$A$2:$E$1000,5,FALSE),0)</f>
        <v>0.66310000000000002</v>
      </c>
      <c r="X35" s="1">
        <f t="shared" si="14"/>
        <v>0</v>
      </c>
      <c r="Y35" s="15">
        <f t="shared" si="15"/>
        <v>0</v>
      </c>
      <c r="Z35" s="13">
        <f t="shared" si="16"/>
        <v>0</v>
      </c>
      <c r="AA35" s="104">
        <f t="shared" si="3"/>
        <v>0</v>
      </c>
      <c r="AB35" s="104">
        <f t="shared" si="4"/>
        <v>0</v>
      </c>
      <c r="AC35" s="105">
        <f t="shared" si="5"/>
        <v>0</v>
      </c>
      <c r="AD35" s="106">
        <f t="shared" si="6"/>
        <v>0</v>
      </c>
      <c r="AE35" s="1">
        <f t="shared" si="17"/>
        <v>0</v>
      </c>
      <c r="AF35" s="108"/>
      <c r="AG35" s="1" t="str">
        <f t="shared" si="18"/>
        <v>139220</v>
      </c>
      <c r="AH35" s="1">
        <f t="shared" si="19"/>
        <v>0</v>
      </c>
      <c r="AJ35" s="71">
        <f>ROUNDUP(VLOOKUP(B35,[2]베타!$A$2:$J$1000,10,FALSE),0)</f>
        <v>9</v>
      </c>
      <c r="AK35" s="71">
        <f>ROUNDUP(VLOOKUP(B35,[2]베타!$A$2:$K$1000,11,FALSE),0)</f>
        <v>-30</v>
      </c>
    </row>
    <row r="36" spans="1:37" x14ac:dyDescent="0.25">
      <c r="A36" s="4"/>
      <c r="B36" s="94" t="s">
        <v>104</v>
      </c>
      <c r="C36" s="95" t="s">
        <v>105</v>
      </c>
      <c r="D36" s="14">
        <f>VLOOKUP("A"&amp;B36,[2]ETF!$A$4:$M$10000,13,FALSE)</f>
        <v>50000</v>
      </c>
      <c r="E36" s="1">
        <f>[1]!'365000:VOL'+0</f>
        <v>60413</v>
      </c>
      <c r="F36" s="96" t="s">
        <v>62</v>
      </c>
      <c r="G36" s="97">
        <f>IF([1]!'019875^365000:SELL_TDY_QTY'="NO", 0, [1]!'019875^365000:SELL_TDY_QTY')</f>
        <v>963</v>
      </c>
      <c r="H36" s="97">
        <f>IF([1]!'019875^365000:SELL_TDY_AMT'="NO", 0, [1]!'019875^365000:SELL_TDY_AMT')</f>
        <v>3577650</v>
      </c>
      <c r="I36" s="97">
        <f t="shared" si="7"/>
        <v>3715.1090342679126</v>
      </c>
      <c r="J36" s="98">
        <f>IF([1]!'019875^365000:BUY_TDY_QTY'="NO", 0, [1]!'019875^365000:BUY_TDY_QTY')</f>
        <v>963</v>
      </c>
      <c r="K36" s="97">
        <f>IF([1]!'019875^365000:BUY_TDY_AMT'="NO", 0, [1]!'019875^365000:BUY_TDY_AMT')</f>
        <v>3572730</v>
      </c>
      <c r="L36" s="99">
        <f t="shared" si="8"/>
        <v>3710</v>
      </c>
      <c r="M36" s="100">
        <f t="shared" si="9"/>
        <v>0</v>
      </c>
      <c r="N36" s="101">
        <f t="shared" si="10"/>
        <v>0</v>
      </c>
      <c r="O36" s="102">
        <f t="shared" si="2"/>
        <v>0</v>
      </c>
      <c r="P36" s="1">
        <f>[1]!'365000:LAST'</f>
        <v>3725</v>
      </c>
      <c r="Q36" s="71">
        <f>[1]!'365000:NAV'</f>
        <v>3720.56</v>
      </c>
      <c r="R36" s="14">
        <f t="shared" si="11"/>
        <v>-9525.0000000001201</v>
      </c>
      <c r="S36" s="1">
        <f t="shared" si="12"/>
        <v>14445</v>
      </c>
      <c r="T36" s="15">
        <f t="shared" si="13"/>
        <v>4919.9999999998799</v>
      </c>
      <c r="U36" s="103">
        <f>_xlfn.IFNA(VLOOKUP(B36,[2]베타!$A$2:$C$1000,3,FALSE),0)</f>
        <v>8.9700000000000002E-2</v>
      </c>
      <c r="V36" s="103">
        <f>_xlfn.IFNA(VLOOKUP(B36,[2]베타!$A$2:$D$1000,4,FALSE),0)</f>
        <v>0.46929999999999999</v>
      </c>
      <c r="W36" s="103">
        <f>_xlfn.IFNA(VLOOKUP(B36,[2]베타!$A$2:$E$1000,5,FALSE),0)</f>
        <v>0.58989999999999998</v>
      </c>
      <c r="X36" s="1">
        <f t="shared" si="14"/>
        <v>0</v>
      </c>
      <c r="Y36" s="15">
        <f t="shared" si="15"/>
        <v>0</v>
      </c>
      <c r="Z36" s="13">
        <f t="shared" si="16"/>
        <v>0</v>
      </c>
      <c r="AA36" s="104">
        <f t="shared" si="3"/>
        <v>0</v>
      </c>
      <c r="AB36" s="104">
        <f t="shared" si="4"/>
        <v>0</v>
      </c>
      <c r="AC36" s="105">
        <f t="shared" si="5"/>
        <v>0</v>
      </c>
      <c r="AD36" s="106">
        <f t="shared" si="6"/>
        <v>0</v>
      </c>
      <c r="AE36" s="1">
        <f t="shared" si="17"/>
        <v>0</v>
      </c>
      <c r="AF36" s="108"/>
      <c r="AG36" s="1" t="str">
        <f t="shared" si="18"/>
        <v>365000</v>
      </c>
      <c r="AH36" s="1">
        <f t="shared" si="19"/>
        <v>0</v>
      </c>
      <c r="AJ36" s="71">
        <f>ROUNDUP(VLOOKUP(B36,[2]베타!$A$2:$J$1000,10,FALSE),0)</f>
        <v>13</v>
      </c>
      <c r="AK36" s="71">
        <f>ROUNDUP(VLOOKUP(B36,[2]베타!$A$2:$K$1000,11,FALSE),0)</f>
        <v>-33</v>
      </c>
    </row>
    <row r="37" spans="1:37" x14ac:dyDescent="0.25">
      <c r="A37" s="4"/>
      <c r="B37" s="94" t="s">
        <v>106</v>
      </c>
      <c r="C37" s="95" t="s">
        <v>107</v>
      </c>
      <c r="D37" s="14">
        <f>VLOOKUP("A"&amp;B37,[2]ETF!$A$4:$M$10000,13,FALSE)</f>
        <v>30000</v>
      </c>
      <c r="E37" s="1">
        <f>[1]!'228800:VOL'+0</f>
        <v>156774</v>
      </c>
      <c r="F37" s="96" t="s">
        <v>62</v>
      </c>
      <c r="G37" s="97">
        <f>IF([1]!'019875^228800:SELL_TDY_QTY'="NO", 0, [1]!'019875^228800:SELL_TDY_QTY')</f>
        <v>3520</v>
      </c>
      <c r="H37" s="97">
        <f>IF([1]!'019875^228800:SELL_TDY_AMT'="NO", 0, [1]!'019875^228800:SELL_TDY_AMT')</f>
        <v>9441350</v>
      </c>
      <c r="I37" s="97">
        <f t="shared" si="7"/>
        <v>2682.2017045454545</v>
      </c>
      <c r="J37" s="98">
        <f>IF([1]!'019875^228800:BUY_TDY_QTY'="NO", 0, [1]!'019875^228800:BUY_TDY_QTY')</f>
        <v>3520</v>
      </c>
      <c r="K37" s="97">
        <f>IF([1]!'019875^228800:BUY_TDY_AMT'="NO", 0, [1]!'019875^228800:BUY_TDY_AMT')</f>
        <v>9416030</v>
      </c>
      <c r="L37" s="99">
        <f t="shared" si="8"/>
        <v>2675.0085227272725</v>
      </c>
      <c r="M37" s="100">
        <f t="shared" si="9"/>
        <v>0</v>
      </c>
      <c r="N37" s="101">
        <f t="shared" si="10"/>
        <v>0</v>
      </c>
      <c r="O37" s="102">
        <f t="shared" si="2"/>
        <v>0</v>
      </c>
      <c r="P37" s="1">
        <f>[1]!'228800:LAST'</f>
        <v>2675</v>
      </c>
      <c r="Q37" s="71">
        <f>[1]!'228800:NAV'</f>
        <v>2674.94</v>
      </c>
      <c r="R37" s="14">
        <f t="shared" si="11"/>
        <v>25349.999999999854</v>
      </c>
      <c r="S37" s="1">
        <f t="shared" si="12"/>
        <v>-29.999999999272404</v>
      </c>
      <c r="T37" s="15">
        <f t="shared" si="13"/>
        <v>25320.000000000582</v>
      </c>
      <c r="U37" s="103">
        <f>_xlfn.IFNA(VLOOKUP(B37,[2]베타!$A$2:$C$1000,3,FALSE),0)</f>
        <v>2.8999999999999998E-3</v>
      </c>
      <c r="V37" s="103">
        <f>_xlfn.IFNA(VLOOKUP(B37,[2]베타!$A$2:$D$1000,4,FALSE),0)</f>
        <v>0.37959999999999999</v>
      </c>
      <c r="W37" s="103">
        <f>_xlfn.IFNA(VLOOKUP(B37,[2]베타!$A$2:$E$1000,5,FALSE),0)</f>
        <v>0.40500000000000003</v>
      </c>
      <c r="X37" s="1">
        <f t="shared" si="14"/>
        <v>0</v>
      </c>
      <c r="Y37" s="15">
        <f t="shared" si="15"/>
        <v>0</v>
      </c>
      <c r="Z37" s="13">
        <f t="shared" si="16"/>
        <v>0</v>
      </c>
      <c r="AA37" s="104">
        <f t="shared" si="3"/>
        <v>0</v>
      </c>
      <c r="AB37" s="104">
        <f t="shared" si="4"/>
        <v>0</v>
      </c>
      <c r="AC37" s="105">
        <f t="shared" si="5"/>
        <v>0</v>
      </c>
      <c r="AD37" s="106">
        <f t="shared" si="6"/>
        <v>0</v>
      </c>
      <c r="AE37" s="1">
        <f t="shared" si="17"/>
        <v>0</v>
      </c>
      <c r="AF37" s="108"/>
      <c r="AG37" s="1" t="str">
        <f t="shared" si="18"/>
        <v>228800</v>
      </c>
      <c r="AH37" s="1">
        <f t="shared" si="19"/>
        <v>0</v>
      </c>
      <c r="AJ37" s="71">
        <f>ROUNDUP(VLOOKUP(B37,[2]베타!$A$2:$J$1000,10,FALSE),0)</f>
        <v>16</v>
      </c>
      <c r="AK37" s="71">
        <f>ROUNDUP(VLOOKUP(B37,[2]베타!$A$2:$K$1000,11,FALSE),0)</f>
        <v>-30</v>
      </c>
    </row>
    <row r="38" spans="1:37" x14ac:dyDescent="0.25">
      <c r="A38" s="4"/>
      <c r="B38" s="94" t="s">
        <v>108</v>
      </c>
      <c r="C38" s="95" t="s">
        <v>109</v>
      </c>
      <c r="D38" s="14">
        <f>VLOOKUP("A"&amp;B38,[2]ETF!$A$4:$M$10000,13,FALSE)</f>
        <v>20000</v>
      </c>
      <c r="E38" s="1">
        <f>[1]!'138540:VOL'+0</f>
        <v>112884</v>
      </c>
      <c r="F38" s="96" t="s">
        <v>62</v>
      </c>
      <c r="G38" s="97">
        <f>IF([1]!'019875^138540:SELL_TDY_QTY'="NO", 0, [1]!'019875^138540:SELL_TDY_QTY')</f>
        <v>920</v>
      </c>
      <c r="H38" s="97">
        <f>IF([1]!'019875^138540:SELL_TDY_AMT'="NO", 0, [1]!'019875^138540:SELL_TDY_AMT')</f>
        <v>47601105</v>
      </c>
      <c r="I38" s="97">
        <f>IFERROR(H38/G38,0)</f>
        <v>51740.331521739128</v>
      </c>
      <c r="J38" s="98">
        <f>IF([1]!'019875^138540:BUY_TDY_QTY'="NO", 0, [1]!'019875^138540:BUY_TDY_QTY')</f>
        <v>920</v>
      </c>
      <c r="K38" s="97">
        <f>IF([1]!'019875^138540:BUY_TDY_AMT'="NO", 0, [1]!'019875^138540:BUY_TDY_AMT')</f>
        <v>47076585</v>
      </c>
      <c r="L38" s="99">
        <f>IFERROR(K38/J38,0)</f>
        <v>51170.20108695652</v>
      </c>
      <c r="M38" s="100">
        <f>J38-G38</f>
        <v>0</v>
      </c>
      <c r="N38" s="101">
        <f>M38*P38</f>
        <v>0</v>
      </c>
      <c r="O38" s="102">
        <f>M38/D38</f>
        <v>0</v>
      </c>
      <c r="P38" s="1">
        <f>[1]!'138540:LAST'</f>
        <v>51065</v>
      </c>
      <c r="Q38" s="71">
        <f>[1]!'138540:NAV'</f>
        <v>51059.74</v>
      </c>
      <c r="R38" s="14">
        <f t="shared" si="11"/>
        <v>621304.9999999979</v>
      </c>
      <c r="S38" s="1">
        <f t="shared" si="12"/>
        <v>-96784.999999998545</v>
      </c>
      <c r="T38" s="15">
        <f t="shared" si="13"/>
        <v>524519.9999999993</v>
      </c>
      <c r="U38" s="103">
        <f>_xlfn.IFNA(VLOOKUP(B38,[2]베타!$A$2:$C$1000,3,FALSE),0)</f>
        <v>0.3866</v>
      </c>
      <c r="V38" s="103">
        <f>_xlfn.IFNA(VLOOKUP(B38,[2]베타!$A$2:$D$1000,4,FALSE),0)</f>
        <v>0.33910000000000001</v>
      </c>
      <c r="W38" s="103">
        <f>_xlfn.IFNA(VLOOKUP(B38,[2]베타!$A$2:$E$1000,5,FALSE),0)</f>
        <v>0.60460000000000003</v>
      </c>
      <c r="X38" s="1">
        <f t="shared" si="14"/>
        <v>0</v>
      </c>
      <c r="Y38" s="15">
        <f t="shared" si="15"/>
        <v>0</v>
      </c>
      <c r="Z38" s="13">
        <f t="shared" si="16"/>
        <v>0</v>
      </c>
      <c r="AA38" s="104">
        <f t="shared" si="3"/>
        <v>0</v>
      </c>
      <c r="AB38" s="104">
        <f t="shared" si="4"/>
        <v>0</v>
      </c>
      <c r="AC38" s="105">
        <f t="shared" si="5"/>
        <v>0</v>
      </c>
      <c r="AD38" s="106">
        <f t="shared" si="6"/>
        <v>0</v>
      </c>
      <c r="AF38" s="108"/>
      <c r="AG38" s="1" t="str">
        <f t="shared" si="18"/>
        <v>138540</v>
      </c>
      <c r="AH38" s="1">
        <f t="shared" si="19"/>
        <v>0</v>
      </c>
      <c r="AJ38" s="71">
        <f>ROUNDUP(VLOOKUP(B38,[2]베타!$A$2:$J$1000,10,FALSE),0)</f>
        <v>5</v>
      </c>
      <c r="AK38" s="71">
        <f>ROUNDUP(VLOOKUP(B38,[2]베타!$A$2:$K$1000,11,FALSE),0)</f>
        <v>-22</v>
      </c>
    </row>
    <row r="39" spans="1:37" x14ac:dyDescent="0.25">
      <c r="A39" s="4"/>
      <c r="B39" s="94" t="s">
        <v>110</v>
      </c>
      <c r="C39" s="95" t="s">
        <v>111</v>
      </c>
      <c r="D39" s="14">
        <f>VLOOKUP("A"&amp;B39,[2]ETF!$A$4:$M$10000,13,FALSE)</f>
        <v>50000</v>
      </c>
      <c r="E39" s="1">
        <f>[1]!'377990:VOL'+0</f>
        <v>152242</v>
      </c>
      <c r="F39" s="96" t="s">
        <v>62</v>
      </c>
      <c r="G39" s="97">
        <f>IF([1]!'019875^377990:SELL_TDY_QTY'="NO", 0, [1]!'019875^377990:SELL_TDY_QTY')</f>
        <v>1000</v>
      </c>
      <c r="H39" s="97">
        <f>IF([1]!'019875^377990:SELL_TDY_AMT'="NO", 0, [1]!'019875^377990:SELL_TDY_AMT')</f>
        <v>25740000</v>
      </c>
      <c r="I39" s="97">
        <f>IFERROR(H39/G39,0)</f>
        <v>25740</v>
      </c>
      <c r="J39" s="98">
        <f>IF([1]!'019875^377990:BUY_TDY_QTY'="NO", 0, [1]!'019875^377990:BUY_TDY_QTY')</f>
        <v>1000</v>
      </c>
      <c r="K39" s="97">
        <f>IF([1]!'019875^377990:BUY_TDY_AMT'="NO", 0, [1]!'019875^377990:BUY_TDY_AMT')</f>
        <v>25355000</v>
      </c>
      <c r="L39" s="99">
        <f>IFERROR(K39/J39,0)</f>
        <v>25355</v>
      </c>
      <c r="M39" s="100">
        <f>J39-G39</f>
        <v>0</v>
      </c>
      <c r="N39" s="101">
        <f>M39*P39</f>
        <v>0</v>
      </c>
      <c r="O39" s="102">
        <f>M39/D39</f>
        <v>0</v>
      </c>
      <c r="P39" s="1">
        <f>[1]!'377990:LAST'</f>
        <v>25820</v>
      </c>
      <c r="Q39" s="71">
        <f>[1]!'377990:NAV'</f>
        <v>25889.9</v>
      </c>
      <c r="R39" s="14">
        <f t="shared" si="11"/>
        <v>-80000</v>
      </c>
      <c r="S39" s="1">
        <f t="shared" si="12"/>
        <v>465000</v>
      </c>
      <c r="T39" s="15">
        <f t="shared" si="13"/>
        <v>385000</v>
      </c>
      <c r="U39" s="103">
        <f>_xlfn.IFNA(VLOOKUP(B39,[2]베타!$A$2:$C$1000,3,FALSE),0)</f>
        <v>0.19989999999999999</v>
      </c>
      <c r="V39" s="103">
        <f>_xlfn.IFNA(VLOOKUP(B39,[2]베타!$A$2:$D$1000,4,FALSE),0)</f>
        <v>0.81720000000000004</v>
      </c>
      <c r="W39" s="103">
        <f>_xlfn.IFNA(VLOOKUP(B39,[2]베타!$A$2:$E$1000,5,FALSE),0)</f>
        <v>0.68969999999999998</v>
      </c>
      <c r="X39" s="1">
        <f t="shared" si="14"/>
        <v>0</v>
      </c>
      <c r="Y39" s="15">
        <f t="shared" si="15"/>
        <v>0</v>
      </c>
      <c r="Z39" s="13">
        <f t="shared" si="16"/>
        <v>0</v>
      </c>
      <c r="AA39" s="104">
        <f t="shared" si="3"/>
        <v>0</v>
      </c>
      <c r="AB39" s="104">
        <f t="shared" si="4"/>
        <v>0</v>
      </c>
      <c r="AC39" s="105">
        <f t="shared" si="5"/>
        <v>0</v>
      </c>
      <c r="AD39" s="106">
        <f t="shared" si="6"/>
        <v>0</v>
      </c>
      <c r="AE39" s="1">
        <f t="shared" si="17"/>
        <v>0</v>
      </c>
      <c r="AF39" s="108"/>
      <c r="AG39" s="1" t="str">
        <f t="shared" si="18"/>
        <v>377990</v>
      </c>
      <c r="AH39" s="1">
        <f t="shared" si="19"/>
        <v>0</v>
      </c>
      <c r="AJ39" s="71">
        <f>ROUNDUP(VLOOKUP(B39,[2]베타!$A$2:$J$1000,10,FALSE),0)</f>
        <v>8</v>
      </c>
      <c r="AK39" s="71">
        <f>ROUNDUP(VLOOKUP(B39,[2]베타!$A$2:$K$1000,11,FALSE),0)</f>
        <v>-28</v>
      </c>
    </row>
    <row r="40" spans="1:37" x14ac:dyDescent="0.25">
      <c r="A40" s="4"/>
      <c r="B40" s="114" t="s">
        <v>112</v>
      </c>
      <c r="C40" s="115" t="s">
        <v>113</v>
      </c>
      <c r="D40" s="14">
        <f>VLOOKUP("A"&amp;B40,[2]ETF!$A$4:$M$10000,13,FALSE)</f>
        <v>50000</v>
      </c>
      <c r="E40" s="116">
        <f>[1]!'395270:VOL'+0</f>
        <v>704590</v>
      </c>
      <c r="F40" s="117" t="s">
        <v>62</v>
      </c>
      <c r="G40" s="97">
        <f>IF([1]!'019875^395270:SELL_TDY_QTY'="NO", 0, [1]!'019875^395270:SELL_TDY_QTY')</f>
        <v>8425</v>
      </c>
      <c r="H40" s="97">
        <f>IF([1]!'019875^395270:SELL_TDY_AMT'="NO", 0, [1]!'019875^395270:SELL_TDY_AMT')</f>
        <v>471563425</v>
      </c>
      <c r="I40" s="97">
        <f t="shared" si="7"/>
        <v>55971.919881305635</v>
      </c>
      <c r="J40" s="98">
        <f>IF([1]!'019875^395270:BUY_TDY_QTY'="NO", 0, [1]!'019875^395270:BUY_TDY_QTY')</f>
        <v>8425</v>
      </c>
      <c r="K40" s="97">
        <f>IF([1]!'019875^395270:BUY_TDY_AMT'="NO", 0, [1]!'019875^395270:BUY_TDY_AMT')</f>
        <v>474731085</v>
      </c>
      <c r="L40" s="99">
        <f t="shared" si="8"/>
        <v>56347.903264094959</v>
      </c>
      <c r="M40" s="100">
        <f t="shared" si="9"/>
        <v>0</v>
      </c>
      <c r="N40" s="101">
        <f t="shared" si="10"/>
        <v>0</v>
      </c>
      <c r="O40" s="102">
        <f t="shared" si="2"/>
        <v>0</v>
      </c>
      <c r="P40" s="1">
        <f>[1]!'395270:LAST'</f>
        <v>56200</v>
      </c>
      <c r="Q40" s="71">
        <f>[1]!'395270:NAV'</f>
        <v>56261.59</v>
      </c>
      <c r="R40" s="14">
        <f t="shared" si="11"/>
        <v>-1921575.000000021</v>
      </c>
      <c r="S40" s="1">
        <f t="shared" si="12"/>
        <v>-1246085.0000000298</v>
      </c>
      <c r="T40" s="15">
        <f t="shared" si="13"/>
        <v>-3167660.0000000508</v>
      </c>
      <c r="U40" s="103">
        <f>_xlfn.IFNA(VLOOKUP(B40,[2]베타!$A$2:$C$1000,3,FALSE),0)</f>
        <v>1.171</v>
      </c>
      <c r="V40" s="103">
        <f>_xlfn.IFNA(VLOOKUP(B40,[2]베타!$A$2:$D$1000,4,FALSE),0)</f>
        <v>9.11E-2</v>
      </c>
      <c r="W40" s="103">
        <f>_xlfn.IFNA(VLOOKUP(B40,[2]베타!$A$2:$E$1000,5,FALSE),0)</f>
        <v>0.91759999999999997</v>
      </c>
      <c r="X40" s="1">
        <f t="shared" si="14"/>
        <v>0</v>
      </c>
      <c r="Y40" s="15">
        <f t="shared" si="15"/>
        <v>0</v>
      </c>
      <c r="Z40" s="13">
        <f t="shared" si="16"/>
        <v>0</v>
      </c>
      <c r="AA40" s="104">
        <f t="shared" si="3"/>
        <v>0</v>
      </c>
      <c r="AB40" s="104">
        <f t="shared" si="4"/>
        <v>0</v>
      </c>
      <c r="AC40" s="105">
        <f t="shared" si="5"/>
        <v>0</v>
      </c>
      <c r="AD40" s="106">
        <f t="shared" si="6"/>
        <v>0</v>
      </c>
      <c r="AE40" s="1">
        <f t="shared" si="17"/>
        <v>0</v>
      </c>
      <c r="AG40" s="1" t="str">
        <f t="shared" si="18"/>
        <v>395270</v>
      </c>
      <c r="AH40" s="1">
        <f t="shared" si="19"/>
        <v>0</v>
      </c>
      <c r="AJ40" s="71">
        <f>ROUNDUP(VLOOKUP(B40,[2]베타!$A$2:$J$1000,10,FALSE),0)</f>
        <v>2</v>
      </c>
      <c r="AK40" s="71">
        <f>ROUNDUP(VLOOKUP(B40,[2]베타!$A$2:$K$1000,11,FALSE),0)</f>
        <v>-23</v>
      </c>
    </row>
    <row r="41" spans="1:37" x14ac:dyDescent="0.25">
      <c r="A41" s="4"/>
      <c r="B41" s="118" t="s">
        <v>114</v>
      </c>
      <c r="C41" s="53" t="s">
        <v>115</v>
      </c>
      <c r="D41" s="14">
        <f>VLOOKUP("A"&amp;B41,[2]ETF!$A$4:$M$10000,13,FALSE)</f>
        <v>20000</v>
      </c>
      <c r="E41" s="20">
        <f>[1]!'091220:VOL'+0</f>
        <v>22990</v>
      </c>
      <c r="F41" s="119" t="s">
        <v>62</v>
      </c>
      <c r="G41" s="56">
        <f>IF([1]!'019875^091220:SELL_TDY_QTY'="NO", 0, [1]!'019875^091220:SELL_TDY_QTY')</f>
        <v>10</v>
      </c>
      <c r="H41" s="56">
        <f>IF([1]!'019875^091220:SELL_TDY_AMT'="NO", 0, [1]!'019875^091220:SELL_TDY_AMT')</f>
        <v>166750</v>
      </c>
      <c r="I41" s="56">
        <f>IFERROR(H41/G41,0)</f>
        <v>16675</v>
      </c>
      <c r="J41" s="55">
        <f>IF([1]!'019875^091220:BUY_TDY_QTY'="NO", 0, [1]!'019875^091220:BUY_TDY_QTY')</f>
        <v>10</v>
      </c>
      <c r="K41" s="56">
        <f>IF([1]!'019875^091220:BUY_TDY_AMT'="NO", 0, [1]!'019875^091220:BUY_TDY_AMT')</f>
        <v>168350</v>
      </c>
      <c r="L41" s="120">
        <f>IFERROR(K41/J41,0)</f>
        <v>16835</v>
      </c>
      <c r="M41" s="121">
        <f>J41-G41</f>
        <v>0</v>
      </c>
      <c r="N41" s="122">
        <f>M41*P41</f>
        <v>0</v>
      </c>
      <c r="O41" s="123">
        <f>M41/D41</f>
        <v>0</v>
      </c>
      <c r="P41" s="20">
        <f>[1]!'091220:LAST'</f>
        <v>16710</v>
      </c>
      <c r="Q41" s="124">
        <f>[1]!'091220:NAV'</f>
        <v>16734.95</v>
      </c>
      <c r="R41" s="14">
        <f t="shared" si="11"/>
        <v>-350</v>
      </c>
      <c r="S41" s="1">
        <f t="shared" si="12"/>
        <v>-1250</v>
      </c>
      <c r="T41" s="15">
        <f t="shared" si="13"/>
        <v>-1600</v>
      </c>
      <c r="U41" s="103">
        <f>_xlfn.IFNA(VLOOKUP(B41,[2]베타!$A$2:$C$1000,3,FALSE),0)</f>
        <v>5.8400000000000001E-2</v>
      </c>
      <c r="V41" s="103">
        <f>_xlfn.IFNA(VLOOKUP(B41,[2]베타!$A$2:$D$1000,4,FALSE),0)</f>
        <v>0.26590000000000003</v>
      </c>
      <c r="W41" s="103">
        <f>_xlfn.IFNA(VLOOKUP(B41,[2]베타!$A$2:$E$1000,5,FALSE),0)</f>
        <v>0.29430000000000001</v>
      </c>
      <c r="X41" s="1">
        <f t="shared" si="14"/>
        <v>0</v>
      </c>
      <c r="Y41" s="15">
        <f t="shared" si="15"/>
        <v>0</v>
      </c>
      <c r="Z41" s="13">
        <f t="shared" si="16"/>
        <v>0</v>
      </c>
      <c r="AA41" s="104">
        <f t="shared" si="3"/>
        <v>0</v>
      </c>
      <c r="AB41" s="104">
        <f t="shared" si="4"/>
        <v>0</v>
      </c>
      <c r="AC41" s="105">
        <f t="shared" si="5"/>
        <v>0</v>
      </c>
      <c r="AD41" s="106">
        <f t="shared" si="6"/>
        <v>0</v>
      </c>
      <c r="AE41" s="1">
        <f t="shared" si="17"/>
        <v>0</v>
      </c>
      <c r="AG41" s="1" t="str">
        <f t="shared" si="18"/>
        <v>091220</v>
      </c>
      <c r="AH41" s="1">
        <f t="shared" si="19"/>
        <v>0</v>
      </c>
      <c r="AJ41" s="71">
        <f>ROUNDUP(VLOOKUP(B41,[2]베타!$A$2:$J$1000,10,FALSE),0)</f>
        <v>7</v>
      </c>
      <c r="AK41" s="71">
        <f>ROUNDUP(VLOOKUP(B41,[2]베타!$A$2:$K$1000,11,FALSE),0)</f>
        <v>-29</v>
      </c>
    </row>
    <row r="42" spans="1:37" x14ac:dyDescent="0.25">
      <c r="A42" s="4"/>
      <c r="B42" s="94" t="s">
        <v>116</v>
      </c>
      <c r="C42" s="95" t="s">
        <v>117</v>
      </c>
      <c r="D42" s="14">
        <f>VLOOKUP("A"&amp;B42,[2]ETF!$A$4:$M$10000,13,FALSE)</f>
        <v>20000</v>
      </c>
      <c r="E42" s="1">
        <f>[1]!'261070:VOL'+0</f>
        <v>128747</v>
      </c>
      <c r="F42" s="96" t="s">
        <v>62</v>
      </c>
      <c r="G42" s="97">
        <f>IF([1]!'019875^261070:SELL_TDY_QTY'="NO", 0, [1]!'019875^261070:SELL_TDY_QTY')</f>
        <v>58</v>
      </c>
      <c r="H42" s="97">
        <f>IF([1]!'019875^261070:SELL_TDY_AMT'="NO", 0, [1]!'019875^261070:SELL_TDY_AMT')</f>
        <v>758930</v>
      </c>
      <c r="I42" s="97">
        <f t="shared" ref="I42:I51" si="20">IFERROR(H42/G42,0)</f>
        <v>13085</v>
      </c>
      <c r="J42" s="98">
        <f>IF([1]!'019875^261070:BUY_TDY_QTY'="NO", 0, [1]!'019875^261070:BUY_TDY_QTY')</f>
        <v>58</v>
      </c>
      <c r="K42" s="97">
        <f>IF([1]!'019875^261070:BUY_TDY_AMT'="NO", 0, [1]!'019875^261070:BUY_TDY_AMT')</f>
        <v>758930</v>
      </c>
      <c r="L42" s="99">
        <f t="shared" ref="L42:L51" si="21">IFERROR(K42/J42,0)</f>
        <v>13085</v>
      </c>
      <c r="M42" s="100">
        <f t="shared" ref="M42:M51" si="22">J42-G42</f>
        <v>0</v>
      </c>
      <c r="N42" s="101">
        <f t="shared" ref="N42:N51" si="23">M42*P42</f>
        <v>0</v>
      </c>
      <c r="O42" s="102">
        <f t="shared" ref="O42:O51" si="24">M42/D42</f>
        <v>0</v>
      </c>
      <c r="P42" s="1">
        <f>[1]!'261070:LAST'+0</f>
        <v>13085</v>
      </c>
      <c r="Q42" s="71">
        <f>[1]!'261070:NAV'+0</f>
        <v>13096.78</v>
      </c>
      <c r="R42" s="14">
        <f t="shared" si="11"/>
        <v>0</v>
      </c>
      <c r="S42" s="1">
        <f t="shared" si="12"/>
        <v>0</v>
      </c>
      <c r="T42" s="15">
        <f t="shared" si="13"/>
        <v>0</v>
      </c>
      <c r="U42" s="103">
        <f>_xlfn.IFNA(VLOOKUP(B42,[2]베타!$A$2:$C$1000,3,FALSE),0)</f>
        <v>-0.25369999999999998</v>
      </c>
      <c r="V42" s="103">
        <f>_xlfn.IFNA(VLOOKUP(B42,[2]베타!$A$2:$D$1000,4,FALSE),0)</f>
        <v>1.071</v>
      </c>
      <c r="W42" s="103">
        <f>_xlfn.IFNA(VLOOKUP(B42,[2]베타!$A$2:$E$1000,5,FALSE),0)</f>
        <v>0.75049999999999994</v>
      </c>
      <c r="X42" s="1">
        <f t="shared" si="14"/>
        <v>0</v>
      </c>
      <c r="Y42" s="15">
        <f t="shared" si="15"/>
        <v>0</v>
      </c>
      <c r="Z42" s="13">
        <f t="shared" si="16"/>
        <v>0</v>
      </c>
      <c r="AA42" s="104">
        <f t="shared" si="3"/>
        <v>0</v>
      </c>
      <c r="AB42" s="104">
        <f t="shared" si="4"/>
        <v>0</v>
      </c>
      <c r="AC42" s="105">
        <f t="shared" si="5"/>
        <v>0</v>
      </c>
      <c r="AD42" s="106">
        <f t="shared" si="6"/>
        <v>0</v>
      </c>
      <c r="AF42" s="108"/>
      <c r="AG42" s="1" t="str">
        <f t="shared" si="18"/>
        <v>261070</v>
      </c>
      <c r="AH42" s="1">
        <f t="shared" si="19"/>
        <v>0</v>
      </c>
      <c r="AJ42" s="71">
        <f>ROUNDUP(VLOOKUP(B42,[2]베타!$A$2:$J$1000,10,FALSE),0)</f>
        <v>8</v>
      </c>
      <c r="AK42" s="71">
        <f>ROUNDUP(VLOOKUP(B42,[2]베타!$A$2:$K$1000,11,FALSE),0)</f>
        <v>-33</v>
      </c>
    </row>
    <row r="43" spans="1:37" x14ac:dyDescent="0.25">
      <c r="A43" s="4"/>
      <c r="B43" s="94" t="s">
        <v>118</v>
      </c>
      <c r="C43" s="95" t="s">
        <v>119</v>
      </c>
      <c r="D43" s="14">
        <f>VLOOKUP("A"&amp;B43,[2]ETF!$A$4:$M$10000,13,FALSE)</f>
        <v>20000</v>
      </c>
      <c r="E43" s="1">
        <f>[1]!'261060:VOL'+0</f>
        <v>14636</v>
      </c>
      <c r="F43" s="96" t="s">
        <v>62</v>
      </c>
      <c r="G43" s="97">
        <f>IF([1]!'019875^261060:SELL_TDY_QTY'="NO", 0, [1]!'019875^261060:SELL_TDY_QTY')</f>
        <v>0</v>
      </c>
      <c r="H43" s="97">
        <f>IF([1]!'019875^261060:SELL_TDY_AMT'="NO", 0, [1]!'019875^261060:SELL_TDY_AMT')</f>
        <v>0</v>
      </c>
      <c r="I43" s="97">
        <f t="shared" si="20"/>
        <v>0</v>
      </c>
      <c r="J43" s="98">
        <f>IF([1]!'019875^261060:BUY_TDY_QTY'="NO", 0, [1]!'019875^261060:BUY_TDY_QTY')</f>
        <v>0</v>
      </c>
      <c r="K43" s="97">
        <f>IF([1]!'019875^261060:BUY_TDY_AMT'="NO", 0, [1]!'019875^261060:BUY_TDY_AMT')</f>
        <v>0</v>
      </c>
      <c r="L43" s="99">
        <f t="shared" si="21"/>
        <v>0</v>
      </c>
      <c r="M43" s="100">
        <f t="shared" si="22"/>
        <v>0</v>
      </c>
      <c r="N43" s="101">
        <f t="shared" si="23"/>
        <v>0</v>
      </c>
      <c r="O43" s="102">
        <f t="shared" si="24"/>
        <v>0</v>
      </c>
      <c r="P43" s="1">
        <f>[1]!'261060:LAST'+0</f>
        <v>23700</v>
      </c>
      <c r="Q43" s="71">
        <f>[1]!'261060:NAV'+0</f>
        <v>23748.39</v>
      </c>
      <c r="R43" s="14">
        <f t="shared" si="11"/>
        <v>0</v>
      </c>
      <c r="S43" s="1">
        <f t="shared" si="12"/>
        <v>0</v>
      </c>
      <c r="T43" s="15">
        <f t="shared" si="13"/>
        <v>0</v>
      </c>
      <c r="U43" s="103">
        <f>_xlfn.IFNA(VLOOKUP(B43,[2]베타!$A$2:$C$1000,3,FALSE),0)</f>
        <v>0.20219999999999999</v>
      </c>
      <c r="V43" s="103">
        <f>_xlfn.IFNA(VLOOKUP(B43,[2]베타!$A$2:$D$1000,4,FALSE),0)</f>
        <v>1.0415000000000001</v>
      </c>
      <c r="W43" s="103">
        <f>_xlfn.IFNA(VLOOKUP(B43,[2]베타!$A$2:$E$1000,5,FALSE),0)</f>
        <v>0.85740000000000005</v>
      </c>
      <c r="X43" s="1">
        <f t="shared" si="14"/>
        <v>0</v>
      </c>
      <c r="Y43" s="15">
        <f t="shared" si="15"/>
        <v>0</v>
      </c>
      <c r="Z43" s="13">
        <f t="shared" si="16"/>
        <v>0</v>
      </c>
      <c r="AA43" s="104">
        <f t="shared" si="3"/>
        <v>0</v>
      </c>
      <c r="AB43" s="104">
        <f t="shared" si="4"/>
        <v>0</v>
      </c>
      <c r="AC43" s="105">
        <f t="shared" si="5"/>
        <v>0</v>
      </c>
      <c r="AD43" s="106">
        <f t="shared" si="6"/>
        <v>0</v>
      </c>
      <c r="AF43" s="108"/>
      <c r="AG43" s="1" t="str">
        <f t="shared" si="18"/>
        <v>261060</v>
      </c>
      <c r="AH43" s="1">
        <f t="shared" si="19"/>
        <v>0</v>
      </c>
      <c r="AJ43" s="71">
        <f>ROUNDUP(VLOOKUP(B43,[2]베타!$A$2:$J$1000,10,FALSE),0)</f>
        <v>13</v>
      </c>
      <c r="AK43" s="71">
        <f>ROUNDUP(VLOOKUP(B43,[2]베타!$A$2:$K$1000,11,FALSE),0)</f>
        <v>-39</v>
      </c>
    </row>
    <row r="44" spans="1:37" x14ac:dyDescent="0.25">
      <c r="A44" s="4"/>
      <c r="B44" s="94" t="s">
        <v>120</v>
      </c>
      <c r="C44" s="95" t="s">
        <v>121</v>
      </c>
      <c r="D44" s="14">
        <f>VLOOKUP("A"&amp;B44,[2]ETF!$A$4:$M$10000,13,FALSE)</f>
        <v>20000</v>
      </c>
      <c r="E44" s="1">
        <f>[1]!'138520:VOL'+0</f>
        <v>15573</v>
      </c>
      <c r="F44" s="96" t="s">
        <v>62</v>
      </c>
      <c r="G44" s="97">
        <f>IF([1]!'019875^138520:SELL_TDY_QTY'="NO", 0, [1]!'019875^138520:SELL_TDY_QTY')</f>
        <v>11</v>
      </c>
      <c r="H44" s="97">
        <f>IF([1]!'019875^138520:SELL_TDY_AMT'="NO", 0, [1]!'019875^138520:SELL_TDY_AMT')</f>
        <v>409530</v>
      </c>
      <c r="I44" s="97">
        <f t="shared" si="20"/>
        <v>37230</v>
      </c>
      <c r="J44" s="98">
        <f>IF([1]!'019875^138520:BUY_TDY_QTY'="NO", 0, [1]!'019875^138520:BUY_TDY_QTY')</f>
        <v>11</v>
      </c>
      <c r="K44" s="97">
        <f>IF([1]!'019875^138520:BUY_TDY_AMT'="NO", 0, [1]!'019875^138520:BUY_TDY_AMT')</f>
        <v>410225</v>
      </c>
      <c r="L44" s="99">
        <f t="shared" si="21"/>
        <v>37293.181818181816</v>
      </c>
      <c r="M44" s="100">
        <f t="shared" si="22"/>
        <v>0</v>
      </c>
      <c r="N44" s="101">
        <f t="shared" si="23"/>
        <v>0</v>
      </c>
      <c r="O44" s="102">
        <f t="shared" si="24"/>
        <v>0</v>
      </c>
      <c r="P44" s="1">
        <f>[1]!'138520:LAST'+0</f>
        <v>37245</v>
      </c>
      <c r="Q44" s="71">
        <f>[1]!'138520:NAV'+0</f>
        <v>37366.35</v>
      </c>
      <c r="R44" s="14">
        <f t="shared" si="11"/>
        <v>-165</v>
      </c>
      <c r="S44" s="1">
        <f t="shared" si="12"/>
        <v>-529.99999999997817</v>
      </c>
      <c r="T44" s="15">
        <f t="shared" si="13"/>
        <v>-694.99999999997817</v>
      </c>
      <c r="U44" s="103">
        <f>_xlfn.IFNA(VLOOKUP(B44,[2]베타!$A$2:$C$1000,3,FALSE),0)</f>
        <v>0.80259999999999998</v>
      </c>
      <c r="V44" s="103">
        <f>_xlfn.IFNA(VLOOKUP(B44,[2]베타!$A$2:$D$1000,4,FALSE),0)</f>
        <v>8.7400000000000005E-2</v>
      </c>
      <c r="W44" s="103">
        <f>_xlfn.IFNA(VLOOKUP(B44,[2]베타!$A$2:$E$1000,5,FALSE),0)</f>
        <v>0.92190000000000005</v>
      </c>
      <c r="X44" s="1">
        <f t="shared" si="14"/>
        <v>0</v>
      </c>
      <c r="Y44" s="15">
        <f t="shared" si="15"/>
        <v>0</v>
      </c>
      <c r="Z44" s="13">
        <f t="shared" si="16"/>
        <v>0</v>
      </c>
      <c r="AA44" s="104">
        <f t="shared" si="3"/>
        <v>0</v>
      </c>
      <c r="AB44" s="104">
        <f t="shared" si="4"/>
        <v>0</v>
      </c>
      <c r="AC44" s="105">
        <f t="shared" si="5"/>
        <v>0</v>
      </c>
      <c r="AD44" s="106">
        <f t="shared" si="6"/>
        <v>0</v>
      </c>
      <c r="AF44" s="108"/>
      <c r="AG44" s="1" t="str">
        <f t="shared" si="18"/>
        <v>138520</v>
      </c>
      <c r="AH44" s="1">
        <f t="shared" si="19"/>
        <v>0</v>
      </c>
      <c r="AJ44" s="71">
        <f>ROUNDUP(VLOOKUP(B44,[2]베타!$A$2:$J$1000,10,FALSE),0)</f>
        <v>12</v>
      </c>
      <c r="AK44" s="71">
        <f>ROUNDUP(VLOOKUP(B44,[2]베타!$A$2:$K$1000,11,FALSE),0)</f>
        <v>-30</v>
      </c>
    </row>
    <row r="45" spans="1:37" x14ac:dyDescent="0.25">
      <c r="A45" s="4"/>
      <c r="B45" s="94" t="s">
        <v>122</v>
      </c>
      <c r="C45" s="95" t="s">
        <v>123</v>
      </c>
      <c r="D45" s="14">
        <f>VLOOKUP("A"&amp;B45,[2]ETF!$A$4:$M$10000,13,FALSE)</f>
        <v>20000</v>
      </c>
      <c r="E45" s="1">
        <f>[1]!'139250:VOL'+0</f>
        <v>15911</v>
      </c>
      <c r="F45" s="96" t="s">
        <v>62</v>
      </c>
      <c r="G45" s="97">
        <f>IF([1]!'019875^139250:SELL_TDY_QTY'="NO", 0, [1]!'019875^139250:SELL_TDY_QTY')</f>
        <v>0</v>
      </c>
      <c r="H45" s="97">
        <f>IF([1]!'019875^139250:SELL_TDY_AMT'="NO", 0, [1]!'019875^139250:SELL_TDY_AMT')</f>
        <v>0</v>
      </c>
      <c r="I45" s="97">
        <f t="shared" si="20"/>
        <v>0</v>
      </c>
      <c r="J45" s="98">
        <f>IF([1]!'019875^139250:BUY_TDY_QTY'="NO", 0, [1]!'019875^139250:BUY_TDY_QTY')</f>
        <v>0</v>
      </c>
      <c r="K45" s="97">
        <f>IF([1]!'019875^139250:BUY_TDY_AMT'="NO", 0, [1]!'019875^139250:BUY_TDY_AMT')</f>
        <v>0</v>
      </c>
      <c r="L45" s="99">
        <f t="shared" si="21"/>
        <v>0</v>
      </c>
      <c r="M45" s="100">
        <f t="shared" si="22"/>
        <v>0</v>
      </c>
      <c r="N45" s="101">
        <f t="shared" si="23"/>
        <v>0</v>
      </c>
      <c r="O45" s="102">
        <f t="shared" si="24"/>
        <v>0</v>
      </c>
      <c r="P45" s="1">
        <f>[1]!'139250:LAST'+0</f>
        <v>17500</v>
      </c>
      <c r="Q45" s="71">
        <f>[1]!'139250:NAV'+0</f>
        <v>17534.22</v>
      </c>
      <c r="R45" s="14">
        <f t="shared" si="11"/>
        <v>0</v>
      </c>
      <c r="S45" s="1">
        <f t="shared" si="12"/>
        <v>0</v>
      </c>
      <c r="T45" s="15">
        <f t="shared" si="13"/>
        <v>0</v>
      </c>
      <c r="U45" s="103">
        <f>_xlfn.IFNA(VLOOKUP(B45,[2]베타!$A$2:$C$1000,3,FALSE),0)</f>
        <v>0.27500000000000002</v>
      </c>
      <c r="V45" s="103">
        <f>_xlfn.IFNA(VLOOKUP(B45,[2]베타!$A$2:$D$1000,4,FALSE),0)</f>
        <v>0.42570000000000002</v>
      </c>
      <c r="W45" s="103">
        <f>_xlfn.IFNA(VLOOKUP(B45,[2]베타!$A$2:$E$1000,5,FALSE),0)</f>
        <v>0.68030000000000002</v>
      </c>
      <c r="X45" s="1">
        <f t="shared" si="14"/>
        <v>0</v>
      </c>
      <c r="Y45" s="15">
        <f t="shared" si="15"/>
        <v>0</v>
      </c>
      <c r="Z45" s="13">
        <f t="shared" si="16"/>
        <v>0</v>
      </c>
      <c r="AA45" s="104">
        <f t="shared" si="3"/>
        <v>0</v>
      </c>
      <c r="AB45" s="104">
        <f t="shared" si="4"/>
        <v>0</v>
      </c>
      <c r="AC45" s="105">
        <f t="shared" si="5"/>
        <v>0</v>
      </c>
      <c r="AD45" s="106">
        <f t="shared" si="6"/>
        <v>0</v>
      </c>
      <c r="AF45" s="108"/>
      <c r="AG45" s="1" t="str">
        <f t="shared" si="18"/>
        <v>139250</v>
      </c>
      <c r="AH45" s="1">
        <f t="shared" si="19"/>
        <v>0</v>
      </c>
      <c r="AJ45" s="71">
        <f>ROUNDUP(VLOOKUP(B45,[2]베타!$A$2:$J$1000,10,FALSE),0)</f>
        <v>15</v>
      </c>
      <c r="AK45" s="71">
        <f>ROUNDUP(VLOOKUP(B45,[2]베타!$A$2:$K$1000,11,FALSE),0)</f>
        <v>-32</v>
      </c>
    </row>
    <row r="46" spans="1:37" x14ac:dyDescent="0.25">
      <c r="A46" s="4"/>
      <c r="B46" s="94" t="s">
        <v>124</v>
      </c>
      <c r="C46" s="95" t="s">
        <v>125</v>
      </c>
      <c r="D46" s="14">
        <f>VLOOKUP("A"&amp;B46,[2]ETF!$A$4:$M$10000,13,FALSE)</f>
        <v>20000</v>
      </c>
      <c r="E46" s="1">
        <f>[1]!'138530:VOL'+0</f>
        <v>38434</v>
      </c>
      <c r="F46" s="96" t="s">
        <v>62</v>
      </c>
      <c r="G46" s="97">
        <f>IF([1]!'019875^138530:SELL_TDY_QTY'="NO", 0, [1]!'019875^138530:SELL_TDY_QTY')</f>
        <v>76</v>
      </c>
      <c r="H46" s="97">
        <f>IF([1]!'019875^138530:SELL_TDY_AMT'="NO", 0, [1]!'019875^138530:SELL_TDY_AMT')</f>
        <v>948930</v>
      </c>
      <c r="I46" s="97">
        <f t="shared" si="20"/>
        <v>12485.921052631578</v>
      </c>
      <c r="J46" s="98">
        <f>IF([1]!'019875^138530:BUY_TDY_QTY'="NO", 0, [1]!'019875^138530:BUY_TDY_QTY')</f>
        <v>76</v>
      </c>
      <c r="K46" s="97">
        <f>IF([1]!'019875^138530:BUY_TDY_AMT'="NO", 0, [1]!'019875^138530:BUY_TDY_AMT')</f>
        <v>957210</v>
      </c>
      <c r="L46" s="99">
        <f t="shared" si="21"/>
        <v>12594.868421052632</v>
      </c>
      <c r="M46" s="100">
        <f t="shared" si="22"/>
        <v>0</v>
      </c>
      <c r="N46" s="101">
        <f t="shared" si="23"/>
        <v>0</v>
      </c>
      <c r="O46" s="102">
        <f t="shared" si="24"/>
        <v>0</v>
      </c>
      <c r="P46" s="1">
        <f>[1]!'138530:LAST'+0</f>
        <v>12530</v>
      </c>
      <c r="Q46" s="71">
        <f>[1]!'138530:NAV'+0</f>
        <v>12554.46</v>
      </c>
      <c r="R46" s="14">
        <f t="shared" si="11"/>
        <v>-3350.0000000000509</v>
      </c>
      <c r="S46" s="1">
        <f t="shared" si="12"/>
        <v>-4930.0000000000073</v>
      </c>
      <c r="T46" s="15">
        <f t="shared" si="13"/>
        <v>-8280.0000000000582</v>
      </c>
      <c r="U46" s="103">
        <f>_xlfn.IFNA(VLOOKUP(B46,[2]베타!$A$2:$C$1000,3,FALSE),0)</f>
        <v>0.33389999999999997</v>
      </c>
      <c r="V46" s="103">
        <f>_xlfn.IFNA(VLOOKUP(B46,[2]베타!$A$2:$D$1000,4,FALSE),0)</f>
        <v>0.26079999999999998</v>
      </c>
      <c r="W46" s="103">
        <f>_xlfn.IFNA(VLOOKUP(B46,[2]베타!$A$2:$E$1000,5,FALSE),0)</f>
        <v>0.36480000000000001</v>
      </c>
      <c r="X46" s="1">
        <f t="shared" si="14"/>
        <v>0</v>
      </c>
      <c r="Y46" s="15">
        <f t="shared" si="15"/>
        <v>0</v>
      </c>
      <c r="Z46" s="13">
        <f t="shared" si="16"/>
        <v>0</v>
      </c>
      <c r="AA46" s="104">
        <f t="shared" si="3"/>
        <v>0</v>
      </c>
      <c r="AB46" s="104">
        <f t="shared" si="4"/>
        <v>0</v>
      </c>
      <c r="AC46" s="105">
        <f t="shared" si="5"/>
        <v>0</v>
      </c>
      <c r="AD46" s="106">
        <f t="shared" si="6"/>
        <v>0</v>
      </c>
      <c r="AF46" s="108"/>
      <c r="AG46" s="1" t="str">
        <f t="shared" si="18"/>
        <v>138530</v>
      </c>
      <c r="AH46" s="1">
        <f t="shared" si="19"/>
        <v>0</v>
      </c>
      <c r="AJ46" s="71">
        <f>ROUNDUP(VLOOKUP(B46,[2]베타!$A$2:$J$1000,10,FALSE),0)</f>
        <v>6</v>
      </c>
      <c r="AK46" s="71">
        <f>ROUNDUP(VLOOKUP(B46,[2]베타!$A$2:$K$1000,11,FALSE),0)</f>
        <v>-27</v>
      </c>
    </row>
    <row r="47" spans="1:37" x14ac:dyDescent="0.25">
      <c r="A47" s="4"/>
      <c r="B47" s="94" t="s">
        <v>126</v>
      </c>
      <c r="C47" s="95" t="s">
        <v>127</v>
      </c>
      <c r="D47" s="14">
        <f>VLOOKUP("A"&amp;B47,[2]ETF!$A$4:$M$10000,13,FALSE)</f>
        <v>50000</v>
      </c>
      <c r="E47" s="1">
        <f>[1]!'364960:VOL'+0</f>
        <v>13593</v>
      </c>
      <c r="F47" s="96" t="s">
        <v>62</v>
      </c>
      <c r="G47" s="97">
        <f>IF([1]!'019875^364960:SELL_TDY_QTY'="NO", 0, [1]!'019875^364960:SELL_TDY_QTY')</f>
        <v>0</v>
      </c>
      <c r="H47" s="97">
        <f>IF([1]!'019875^364960:SELL_TDY_AMT'="NO", 0, [1]!'019875^364960:SELL_TDY_AMT')</f>
        <v>0</v>
      </c>
      <c r="I47" s="97">
        <f t="shared" si="20"/>
        <v>0</v>
      </c>
      <c r="J47" s="98">
        <f>IF([1]!'019875^364960:BUY_TDY_QTY'="NO", 0, [1]!'019875^364960:BUY_TDY_QTY')</f>
        <v>0</v>
      </c>
      <c r="K47" s="97">
        <f>IF([1]!'019875^364960:BUY_TDY_AMT'="NO", 0, [1]!'019875^364960:BUY_TDY_AMT')</f>
        <v>0</v>
      </c>
      <c r="L47" s="99">
        <f t="shared" si="21"/>
        <v>0</v>
      </c>
      <c r="M47" s="100">
        <f t="shared" si="22"/>
        <v>0</v>
      </c>
      <c r="N47" s="101">
        <f t="shared" si="23"/>
        <v>0</v>
      </c>
      <c r="O47" s="102">
        <f t="shared" si="24"/>
        <v>0</v>
      </c>
      <c r="P47" s="1">
        <f>[1]!'364960:LAST'+0</f>
        <v>6735</v>
      </c>
      <c r="Q47" s="71">
        <f>[1]!'364960:NAV'+0</f>
        <v>6743.63</v>
      </c>
      <c r="R47" s="14">
        <f t="shared" si="11"/>
        <v>0</v>
      </c>
      <c r="S47" s="1">
        <f t="shared" si="12"/>
        <v>0</v>
      </c>
      <c r="T47" s="15">
        <f t="shared" si="13"/>
        <v>0</v>
      </c>
      <c r="U47" s="103">
        <f>_xlfn.IFNA(VLOOKUP(B47,[2]베타!$A$2:$C$1000,3,FALSE),0)</f>
        <v>2.1600000000000001E-2</v>
      </c>
      <c r="V47" s="103">
        <f>_xlfn.IFNA(VLOOKUP(B47,[2]베타!$A$2:$D$1000,4,FALSE),0)</f>
        <v>0.48959999999999998</v>
      </c>
      <c r="W47" s="103">
        <f>_xlfn.IFNA(VLOOKUP(B47,[2]베타!$A$2:$E$1000,5,FALSE),0)</f>
        <v>0.60550000000000004</v>
      </c>
      <c r="X47" s="1">
        <f t="shared" si="14"/>
        <v>0</v>
      </c>
      <c r="Y47" s="15">
        <f t="shared" si="15"/>
        <v>0</v>
      </c>
      <c r="Z47" s="13">
        <f t="shared" si="16"/>
        <v>0</v>
      </c>
      <c r="AA47" s="104">
        <f t="shared" si="3"/>
        <v>0</v>
      </c>
      <c r="AB47" s="104">
        <f t="shared" si="4"/>
        <v>0</v>
      </c>
      <c r="AC47" s="105">
        <f t="shared" si="5"/>
        <v>0</v>
      </c>
      <c r="AD47" s="106">
        <f t="shared" si="6"/>
        <v>0</v>
      </c>
      <c r="AF47" s="108"/>
      <c r="AG47" s="1" t="str">
        <f t="shared" si="18"/>
        <v>364960</v>
      </c>
      <c r="AH47" s="1">
        <f t="shared" si="19"/>
        <v>0</v>
      </c>
      <c r="AJ47" s="71">
        <f>ROUNDUP(VLOOKUP(B47,[2]베타!$A$2:$J$1000,10,FALSE),0)</f>
        <v>12</v>
      </c>
      <c r="AK47" s="71">
        <f>ROUNDUP(VLOOKUP(B47,[2]베타!$A$2:$K$1000,11,FALSE),0)</f>
        <v>-35</v>
      </c>
    </row>
    <row r="48" spans="1:37" x14ac:dyDescent="0.25">
      <c r="A48" s="4"/>
      <c r="B48" s="94" t="s">
        <v>128</v>
      </c>
      <c r="C48" s="95" t="s">
        <v>129</v>
      </c>
      <c r="D48" s="14">
        <f>VLOOKUP("A"&amp;B48,[2]ETF!$A$4:$M$10000,13,FALSE)</f>
        <v>50000</v>
      </c>
      <c r="E48" s="1">
        <f>[1]!'400970:VOL'+0</f>
        <v>13075</v>
      </c>
      <c r="F48" s="96" t="s">
        <v>62</v>
      </c>
      <c r="G48" s="97">
        <f>IF([1]!'019875^400970:SELL_TDY_QTY'="NO", 0, [1]!'019875^400970:SELL_TDY_QTY')</f>
        <v>0</v>
      </c>
      <c r="H48" s="97">
        <f>IF([1]!'019875^400970:SELL_TDY_AMT'="NO", 0, [1]!'019875^400970:SELL_TDY_AMT')</f>
        <v>0</v>
      </c>
      <c r="I48" s="97">
        <f t="shared" si="20"/>
        <v>0</v>
      </c>
      <c r="J48" s="98">
        <f>IF([1]!'019875^400970:BUY_TDY_QTY'="NO", 0, [1]!'019875^400970:BUY_TDY_QTY')</f>
        <v>0</v>
      </c>
      <c r="K48" s="97">
        <f>IF([1]!'019875^400970:BUY_TDY_AMT'="NO", 0, [1]!'019875^400970:BUY_TDY_AMT')</f>
        <v>0</v>
      </c>
      <c r="L48" s="99">
        <f t="shared" si="21"/>
        <v>0</v>
      </c>
      <c r="M48" s="100">
        <f t="shared" si="22"/>
        <v>0</v>
      </c>
      <c r="N48" s="101">
        <f t="shared" si="23"/>
        <v>0</v>
      </c>
      <c r="O48" s="102">
        <f t="shared" si="24"/>
        <v>0</v>
      </c>
      <c r="P48" s="1">
        <f>[1]!'400970:LAST'+0</f>
        <v>7485</v>
      </c>
      <c r="Q48" s="71">
        <f>[1]!'400970:NAV'+0</f>
        <v>7490.89</v>
      </c>
      <c r="R48" s="14">
        <f t="shared" si="11"/>
        <v>0</v>
      </c>
      <c r="S48" s="1">
        <f t="shared" si="12"/>
        <v>0</v>
      </c>
      <c r="T48" s="15">
        <f t="shared" si="13"/>
        <v>0</v>
      </c>
      <c r="U48" s="103">
        <f>_xlfn.IFNA(VLOOKUP(B48,[2]베타!$A$2:$C$1000,3,FALSE),0)</f>
        <v>8.2000000000000003E-2</v>
      </c>
      <c r="V48" s="103">
        <f>_xlfn.IFNA(VLOOKUP(B48,[2]베타!$A$2:$D$1000,4,FALSE),0)</f>
        <v>0.39829999999999999</v>
      </c>
      <c r="W48" s="103">
        <f>_xlfn.IFNA(VLOOKUP(B48,[2]베타!$A$2:$E$1000,5,FALSE),0)</f>
        <v>0.4587</v>
      </c>
      <c r="X48" s="1">
        <f t="shared" si="14"/>
        <v>0</v>
      </c>
      <c r="Y48" s="15">
        <f t="shared" si="15"/>
        <v>0</v>
      </c>
      <c r="Z48" s="13">
        <f t="shared" si="16"/>
        <v>0</v>
      </c>
      <c r="AA48" s="104">
        <f t="shared" si="3"/>
        <v>0</v>
      </c>
      <c r="AB48" s="104">
        <f t="shared" si="4"/>
        <v>0</v>
      </c>
      <c r="AC48" s="105">
        <f t="shared" si="5"/>
        <v>0</v>
      </c>
      <c r="AD48" s="106">
        <f t="shared" si="6"/>
        <v>0</v>
      </c>
      <c r="AF48" s="108"/>
      <c r="AG48" s="1" t="str">
        <f t="shared" si="18"/>
        <v>400970</v>
      </c>
      <c r="AH48" s="1">
        <f t="shared" si="19"/>
        <v>0</v>
      </c>
      <c r="AJ48" s="71">
        <f>ROUNDUP(VLOOKUP(B48,[2]베타!$A$2:$J$1000,10,FALSE),0)</f>
        <v>13</v>
      </c>
      <c r="AK48" s="71">
        <f>ROUNDUP(VLOOKUP(B48,[2]베타!$A$2:$K$1000,11,FALSE),0)</f>
        <v>-30</v>
      </c>
    </row>
    <row r="49" spans="1:37" x14ac:dyDescent="0.25">
      <c r="A49" s="4"/>
      <c r="B49" s="94" t="s">
        <v>130</v>
      </c>
      <c r="C49" s="95" t="s">
        <v>131</v>
      </c>
      <c r="D49" s="14">
        <f>VLOOKUP("A"&amp;B49,[2]ETF!$A$4:$M$10000,13,FALSE)</f>
        <v>20000</v>
      </c>
      <c r="E49" s="1">
        <f>[1]!'227540:VOL'+0</f>
        <v>19334</v>
      </c>
      <c r="F49" s="96" t="s">
        <v>62</v>
      </c>
      <c r="G49" s="97">
        <f>IF([1]!'019875^227540:SELL_TDY_QTY'="NO", 0, [1]!'019875^227540:SELL_TDY_QTY')</f>
        <v>0</v>
      </c>
      <c r="H49" s="97">
        <f>IF([1]!'019875^227540:SELL_TDY_AMT'="NO", 0, [1]!'019875^227540:SELL_TDY_AMT')</f>
        <v>0</v>
      </c>
      <c r="I49" s="97">
        <f t="shared" si="20"/>
        <v>0</v>
      </c>
      <c r="J49" s="98">
        <f>IF([1]!'019875^227540:BUY_TDY_QTY'="NO", 0, [1]!'019875^227540:BUY_TDY_QTY')</f>
        <v>0</v>
      </c>
      <c r="K49" s="97">
        <f>IF([1]!'019875^227540:BUY_TDY_AMT'="NO", 0, [1]!'019875^227540:BUY_TDY_AMT')</f>
        <v>0</v>
      </c>
      <c r="L49" s="99">
        <f t="shared" si="21"/>
        <v>0</v>
      </c>
      <c r="M49" s="100">
        <f t="shared" si="22"/>
        <v>0</v>
      </c>
      <c r="N49" s="101">
        <f t="shared" si="23"/>
        <v>0</v>
      </c>
      <c r="O49" s="102">
        <f t="shared" si="24"/>
        <v>0</v>
      </c>
      <c r="P49" s="1">
        <f>[1]!'227540:LAST'+0</f>
        <v>20110</v>
      </c>
      <c r="Q49" s="71">
        <f>[1]!'227540:NAV'+0</f>
        <v>20134.63</v>
      </c>
      <c r="R49" s="14">
        <f t="shared" si="11"/>
        <v>0</v>
      </c>
      <c r="S49" s="1">
        <f t="shared" si="12"/>
        <v>0</v>
      </c>
      <c r="T49" s="15">
        <f t="shared" si="13"/>
        <v>0</v>
      </c>
      <c r="U49" s="103">
        <f>_xlfn.IFNA(VLOOKUP(B49,[2]베타!$A$2:$C$1000,3,FALSE),0)</f>
        <v>-5.3699999999999998E-2</v>
      </c>
      <c r="V49" s="103">
        <f>_xlfn.IFNA(VLOOKUP(B49,[2]베타!$A$2:$D$1000,4,FALSE),0)</f>
        <v>0.52359999999999995</v>
      </c>
      <c r="W49" s="103">
        <f>_xlfn.IFNA(VLOOKUP(B49,[2]베타!$A$2:$E$1000,5,FALSE),0)</f>
        <v>0.47820000000000001</v>
      </c>
      <c r="X49" s="1">
        <f t="shared" si="14"/>
        <v>0</v>
      </c>
      <c r="Y49" s="15">
        <f t="shared" si="15"/>
        <v>0</v>
      </c>
      <c r="Z49" s="13">
        <f t="shared" si="16"/>
        <v>0</v>
      </c>
      <c r="AA49" s="104">
        <f t="shared" si="3"/>
        <v>0</v>
      </c>
      <c r="AB49" s="104">
        <f t="shared" si="4"/>
        <v>0</v>
      </c>
      <c r="AC49" s="105">
        <f t="shared" si="5"/>
        <v>0</v>
      </c>
      <c r="AD49" s="106">
        <f t="shared" si="6"/>
        <v>0</v>
      </c>
      <c r="AF49" s="108"/>
      <c r="AG49" s="1" t="str">
        <f t="shared" si="18"/>
        <v>227540</v>
      </c>
      <c r="AH49" s="1">
        <f t="shared" si="19"/>
        <v>0</v>
      </c>
      <c r="AJ49" s="71">
        <f>ROUNDUP(VLOOKUP(B49,[2]베타!$A$2:$J$1000,10,FALSE),0)</f>
        <v>8</v>
      </c>
      <c r="AK49" s="71">
        <f>ROUNDUP(VLOOKUP(B49,[2]베타!$A$2:$K$1000,11,FALSE),0)</f>
        <v>-28</v>
      </c>
    </row>
    <row r="50" spans="1:37" x14ac:dyDescent="0.25">
      <c r="A50" s="4"/>
      <c r="B50" s="94" t="s">
        <v>132</v>
      </c>
      <c r="C50" s="95" t="s">
        <v>133</v>
      </c>
      <c r="D50" s="14">
        <f>VLOOKUP("A"&amp;B50,[2]ETF!$A$4:$M$10000,13,FALSE)</f>
        <v>30000</v>
      </c>
      <c r="E50" s="1">
        <f>[1]!'150460:VOL'+0</f>
        <v>9748</v>
      </c>
      <c r="F50" s="96" t="s">
        <v>62</v>
      </c>
      <c r="G50" s="97">
        <f>IF([1]!'019875^150460:SELL_TDY_QTY'="NO", 0, [1]!'019875^150460:SELL_TDY_QTY')</f>
        <v>0</v>
      </c>
      <c r="H50" s="97">
        <f>IF([1]!'019875^150460:SELL_TDY_AMT'="NO", 0, [1]!'019875^150460:SELL_TDY_AMT')</f>
        <v>0</v>
      </c>
      <c r="I50" s="97">
        <f t="shared" si="20"/>
        <v>0</v>
      </c>
      <c r="J50" s="98">
        <f>IF([1]!'019875^150460:BUY_TDY_QTY'="NO", 0, [1]!'019875^150460:BUY_TDY_QTY')</f>
        <v>0</v>
      </c>
      <c r="K50" s="97">
        <f>IF([1]!'019875^150460:BUY_TDY_AMT'="NO", 0, [1]!'019875^150460:BUY_TDY_AMT')</f>
        <v>0</v>
      </c>
      <c r="L50" s="99">
        <f t="shared" si="21"/>
        <v>0</v>
      </c>
      <c r="M50" s="100">
        <f t="shared" si="22"/>
        <v>0</v>
      </c>
      <c r="N50" s="101">
        <f t="shared" si="23"/>
        <v>0</v>
      </c>
      <c r="O50" s="102">
        <f t="shared" si="24"/>
        <v>0</v>
      </c>
      <c r="P50" s="1">
        <f>[1]!'150460:LAST'+0</f>
        <v>7845</v>
      </c>
      <c r="Q50" s="71">
        <f>[1]!'150460:NAV'+0</f>
        <v>7857.17</v>
      </c>
      <c r="R50" s="14">
        <f t="shared" si="11"/>
        <v>0</v>
      </c>
      <c r="S50" s="1">
        <f t="shared" si="12"/>
        <v>0</v>
      </c>
      <c r="T50" s="15">
        <f t="shared" si="13"/>
        <v>0</v>
      </c>
      <c r="U50" s="103">
        <f>_xlfn.IFNA(VLOOKUP(B50,[2]베타!$A$2:$C$1000,3,FALSE),0)</f>
        <v>-0.1041</v>
      </c>
      <c r="V50" s="103">
        <f>_xlfn.IFNA(VLOOKUP(B50,[2]베타!$A$2:$D$1000,4,FALSE),0)</f>
        <v>0.46929999999999999</v>
      </c>
      <c r="W50" s="103">
        <f>_xlfn.IFNA(VLOOKUP(B50,[2]베타!$A$2:$E$1000,5,FALSE),0)</f>
        <v>0.499</v>
      </c>
      <c r="X50" s="1">
        <f t="shared" si="14"/>
        <v>0</v>
      </c>
      <c r="Y50" s="15">
        <f t="shared" si="15"/>
        <v>0</v>
      </c>
      <c r="Z50" s="13">
        <f t="shared" si="16"/>
        <v>0</v>
      </c>
      <c r="AA50" s="104">
        <f t="shared" si="3"/>
        <v>0</v>
      </c>
      <c r="AB50" s="104">
        <f t="shared" si="4"/>
        <v>0</v>
      </c>
      <c r="AC50" s="105">
        <f t="shared" si="5"/>
        <v>0</v>
      </c>
      <c r="AD50" s="106">
        <f t="shared" si="6"/>
        <v>0</v>
      </c>
      <c r="AF50" s="108"/>
      <c r="AG50" s="1" t="str">
        <f t="shared" si="18"/>
        <v>150460</v>
      </c>
      <c r="AH50" s="1">
        <f t="shared" si="19"/>
        <v>0</v>
      </c>
      <c r="AJ50" s="71">
        <f>ROUNDUP(VLOOKUP(B50,[2]베타!$A$2:$J$1000,10,FALSE),0)</f>
        <v>15</v>
      </c>
      <c r="AK50" s="71">
        <f>ROUNDUP(VLOOKUP(B50,[2]베타!$A$2:$K$1000,11,FALSE),0)</f>
        <v>-37</v>
      </c>
    </row>
    <row r="51" spans="1:37" x14ac:dyDescent="0.25">
      <c r="A51" s="4"/>
      <c r="B51" s="94" t="s">
        <v>134</v>
      </c>
      <c r="C51" s="95" t="s">
        <v>135</v>
      </c>
      <c r="D51" s="14">
        <f>VLOOKUP("A"&amp;B51,[2]ETF!$A$4:$M$10000,13,FALSE)</f>
        <v>50000</v>
      </c>
      <c r="E51" s="1">
        <f>[1]!'417630:VOL'+0</f>
        <v>993</v>
      </c>
      <c r="F51" s="96" t="s">
        <v>62</v>
      </c>
      <c r="G51" s="97">
        <f>IF([1]!'019875^417630:SELL_TDY_QTY'="NO", 0, [1]!'019875^417630:SELL_TDY_QTY')</f>
        <v>0</v>
      </c>
      <c r="H51" s="97">
        <f>IF([1]!'019875^417630:SELL_TDY_AMT'="NO", 0, [1]!'019875^417630:SELL_TDY_AMT')</f>
        <v>0</v>
      </c>
      <c r="I51" s="97">
        <f t="shared" si="20"/>
        <v>0</v>
      </c>
      <c r="J51" s="98">
        <f>IF([1]!'019875^417630:BUY_TDY_QTY'="NO", 0, [1]!'019875^417630:BUY_TDY_QTY')</f>
        <v>0</v>
      </c>
      <c r="K51" s="97">
        <f>IF([1]!'019875^417630:BUY_TDY_AMT'="NO", 0, [1]!'019875^417630:BUY_TDY_AMT')</f>
        <v>0</v>
      </c>
      <c r="L51" s="99">
        <f t="shared" si="21"/>
        <v>0</v>
      </c>
      <c r="M51" s="100">
        <f t="shared" si="22"/>
        <v>0</v>
      </c>
      <c r="N51" s="101">
        <f t="shared" si="23"/>
        <v>0</v>
      </c>
      <c r="O51" s="102">
        <f t="shared" si="24"/>
        <v>0</v>
      </c>
      <c r="P51" s="1">
        <f>[1]!'417630:LAST'+0</f>
        <v>20050</v>
      </c>
      <c r="Q51" s="71">
        <f>[1]!'417630:NAV'+0</f>
        <v>20083.04</v>
      </c>
      <c r="R51" s="14">
        <f t="shared" si="11"/>
        <v>0</v>
      </c>
      <c r="S51" s="1">
        <f t="shared" si="12"/>
        <v>0</v>
      </c>
      <c r="T51" s="15">
        <f t="shared" si="13"/>
        <v>0</v>
      </c>
      <c r="U51" s="103">
        <f>_xlfn.IFNA(VLOOKUP(B51,[2]베타!$A$2:$C$1000,3,FALSE),0)</f>
        <v>0.30009999999999998</v>
      </c>
      <c r="V51" s="103">
        <f>_xlfn.IFNA(VLOOKUP(B51,[2]베타!$A$2:$D$1000,4,FALSE),0)</f>
        <v>0.41160000000000002</v>
      </c>
      <c r="W51" s="103">
        <f>_xlfn.IFNA(VLOOKUP(B51,[2]베타!$A$2:$E$1000,5,FALSE),0)</f>
        <v>0.83899999999999997</v>
      </c>
      <c r="X51" s="1">
        <f t="shared" si="14"/>
        <v>0</v>
      </c>
      <c r="Y51" s="15">
        <f t="shared" si="15"/>
        <v>0</v>
      </c>
      <c r="Z51" s="13">
        <f t="shared" si="16"/>
        <v>0</v>
      </c>
      <c r="AA51" s="104">
        <f t="shared" si="3"/>
        <v>0</v>
      </c>
      <c r="AB51" s="104">
        <f t="shared" si="4"/>
        <v>0</v>
      </c>
      <c r="AC51" s="105">
        <f t="shared" si="5"/>
        <v>0</v>
      </c>
      <c r="AD51" s="106">
        <f t="shared" si="6"/>
        <v>0</v>
      </c>
      <c r="AF51" s="108"/>
      <c r="AG51" s="1" t="str">
        <f t="shared" si="18"/>
        <v>417630</v>
      </c>
      <c r="AH51" s="1">
        <f t="shared" si="19"/>
        <v>0</v>
      </c>
      <c r="AJ51" s="71">
        <f>ROUNDUP(VLOOKUP(B51,[2]베타!$A$2:$J$1000,10,FALSE),0)</f>
        <v>16</v>
      </c>
      <c r="AK51" s="71">
        <f>ROUNDUP(VLOOKUP(B51,[2]베타!$A$2:$K$1000,11,FALSE),0)</f>
        <v>-37</v>
      </c>
    </row>
    <row r="52" spans="1:37" x14ac:dyDescent="0.25">
      <c r="B52" s="107" t="s">
        <v>136</v>
      </c>
      <c r="C52" s="95" t="s">
        <v>137</v>
      </c>
      <c r="D52" s="14">
        <f>VLOOKUP("A"&amp;B52,[2]ETF!$A$4:$M$10000,13,FALSE)</f>
        <v>50000</v>
      </c>
      <c r="E52" s="1">
        <f>[1]!'0148J0:VOL'+0</f>
        <v>3338872</v>
      </c>
      <c r="F52" s="96" t="s">
        <v>62</v>
      </c>
      <c r="G52" s="97">
        <f>IF([1]!'019875^0148J0:SELL_TDY_QTY'="NO", 0, [1]!'019875^0148J0:SELL_TDY_QTY')</f>
        <v>19406</v>
      </c>
      <c r="H52" s="97">
        <f>IF([1]!'019875^0148J0:SELL_TDY_AMT'="NO", 0, [1]!'019875^0148J0:SELL_TDY_AMT')</f>
        <v>177544715</v>
      </c>
      <c r="I52" s="97">
        <f>IFERROR(H52/G52,0)</f>
        <v>9148.9598577759461</v>
      </c>
      <c r="J52" s="98">
        <f>IF([1]!'019875^0148J0:BUY_TDY_QTY'="NO", 0, [1]!'019875^0148J0:BUY_TDY_QTY')</f>
        <v>19406</v>
      </c>
      <c r="K52" s="97">
        <f>IF([1]!'019875^0148J0:BUY_TDY_AMT'="NO", 0, [1]!'019875^0148J0:BUY_TDY_AMT')</f>
        <v>177667425</v>
      </c>
      <c r="L52" s="99">
        <f>IFERROR(K52/J52,0)</f>
        <v>9155.2831598474695</v>
      </c>
      <c r="M52" s="100">
        <f>J52-G52</f>
        <v>0</v>
      </c>
      <c r="N52" s="101">
        <f>M52*P52</f>
        <v>0</v>
      </c>
      <c r="O52" s="102">
        <f>M52/D52</f>
        <v>0</v>
      </c>
      <c r="P52" s="1">
        <f>[1]!'0148J0:LAST'+0</f>
        <v>9210</v>
      </c>
      <c r="Q52" s="71">
        <f>[1]!'0148J0:NAV'+0</f>
        <v>9221.25</v>
      </c>
      <c r="R52" s="14">
        <f>(P52-I52)*-1*G52</f>
        <v>-1184544.9999999891</v>
      </c>
      <c r="S52" s="1">
        <f>(P52-L52)*J52</f>
        <v>1061835.0000000068</v>
      </c>
      <c r="T52" s="15">
        <f>R52+S52</f>
        <v>-122709.9999999823</v>
      </c>
      <c r="U52" s="103">
        <f>_xlfn.IFNA(VLOOKUP(B52,[2]베타!$A$2:$C$1000,3,FALSE),0)</f>
        <v>0.40450000000000003</v>
      </c>
      <c r="V52" s="103">
        <f>_xlfn.IFNA(VLOOKUP(B52,[2]베타!$A$2:$D$1000,4,FALSE),0)</f>
        <v>0.64239999999999997</v>
      </c>
      <c r="W52" s="103">
        <f>_xlfn.IFNA(VLOOKUP(B52,[2]베타!$A$2:$E$1000,5,FALSE),0)</f>
        <v>0.59860000000000002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04">
        <f t="shared" si="3"/>
        <v>0</v>
      </c>
      <c r="AB52" s="104">
        <f t="shared" si="4"/>
        <v>0</v>
      </c>
      <c r="AC52" s="105">
        <f t="shared" si="5"/>
        <v>0</v>
      </c>
      <c r="AD52" s="106">
        <f t="shared" si="6"/>
        <v>0</v>
      </c>
      <c r="AG52" s="1" t="str">
        <f t="shared" si="18"/>
        <v>0148J0</v>
      </c>
      <c r="AH52" s="1">
        <f t="shared" si="19"/>
        <v>0</v>
      </c>
      <c r="AJ52" s="71">
        <f>ROUNDUP(VLOOKUP(B52,[2]베타!$A$2:$J$1000,10,FALSE),0)</f>
        <v>5</v>
      </c>
      <c r="AK52" s="71">
        <f>ROUNDUP(VLOOKUP(B52,[2]베타!$A$2:$K$1000,11,FALSE),0)</f>
        <v>-26</v>
      </c>
    </row>
  </sheetData>
  <mergeCells count="22"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T12:V12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13" priority="5" operator="greaterThan">
      <formula>29999</formula>
    </cfRule>
  </conditionalFormatting>
  <conditionalFormatting sqref="T4:T5">
    <cfRule type="cellIs" dxfId="12" priority="2" operator="lessThan">
      <formula>-0.99</formula>
    </cfRule>
    <cfRule type="cellIs" dxfId="11" priority="3" operator="greaterThan">
      <formula>0.99</formula>
    </cfRule>
  </conditionalFormatting>
  <conditionalFormatting sqref="T15:T52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W15:W52">
    <cfRule type="cellIs" dxfId="8" priority="1" operator="greaterThan">
      <formula>0.6</formula>
    </cfRule>
    <cfRule type="cellIs" dxfId="7" priority="4" operator="less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418F-D08B-4CA8-A90C-1C088D8148B2}">
  <dimension ref="A1:AL52"/>
  <sheetViews>
    <sheetView zoomScale="80" zoomScaleNormal="80" workbookViewId="0">
      <selection activeCell="E33" sqref="E33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4.5" style="1" bestFit="1" customWidth="1"/>
    <col min="15" max="15" width="11.625" style="1" customWidth="1"/>
    <col min="16" max="16" width="14.5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8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41">
        <v>-11835290.999999933</v>
      </c>
      <c r="V4" s="1" t="s">
        <v>11</v>
      </c>
    </row>
    <row r="5" spans="1:38" x14ac:dyDescent="0.3">
      <c r="G5" s="4"/>
      <c r="J5" s="1" t="s">
        <v>12</v>
      </c>
      <c r="K5" s="1">
        <v>0</v>
      </c>
      <c r="N5" s="12" t="e">
        <v>#DIV/0!</v>
      </c>
      <c r="O5" s="18" t="s">
        <v>13</v>
      </c>
      <c r="P5" s="19">
        <v>0</v>
      </c>
      <c r="Q5" s="20">
        <v>0</v>
      </c>
      <c r="R5" s="21">
        <v>0</v>
      </c>
      <c r="S5" s="22">
        <v>0</v>
      </c>
      <c r="T5" s="23">
        <v>0</v>
      </c>
      <c r="U5" s="142"/>
      <c r="V5" s="1" t="s">
        <v>14</v>
      </c>
    </row>
    <row r="7" spans="1:38" x14ac:dyDescent="0.3">
      <c r="B7" s="143" t="s">
        <v>15</v>
      </c>
      <c r="C7" s="145" t="s">
        <v>16</v>
      </c>
      <c r="D7" s="125" t="s">
        <v>17</v>
      </c>
      <c r="E7" s="127" t="s">
        <v>18</v>
      </c>
      <c r="F7" s="147" t="s">
        <v>19</v>
      </c>
      <c r="G7" s="149" t="s">
        <v>20</v>
      </c>
      <c r="H7" s="132" t="s">
        <v>21</v>
      </c>
      <c r="I7" s="134" t="s">
        <v>22</v>
      </c>
      <c r="J7" s="149" t="s">
        <v>23</v>
      </c>
      <c r="K7" s="132" t="s">
        <v>24</v>
      </c>
      <c r="L7" s="134" t="s">
        <v>25</v>
      </c>
      <c r="M7" s="136" t="s">
        <v>26</v>
      </c>
      <c r="N7" s="138" t="s">
        <v>27</v>
      </c>
      <c r="O7" s="134" t="s">
        <v>28</v>
      </c>
      <c r="P7" s="139" t="s">
        <v>29</v>
      </c>
      <c r="Q7" s="125" t="s">
        <v>30</v>
      </c>
      <c r="R7" s="127" t="s">
        <v>31</v>
      </c>
      <c r="S7" s="129" t="s">
        <v>7</v>
      </c>
      <c r="T7" s="125" t="s">
        <v>32</v>
      </c>
      <c r="U7" s="129" t="s">
        <v>33</v>
      </c>
    </row>
    <row r="8" spans="1:38" x14ac:dyDescent="0.3">
      <c r="B8" s="144"/>
      <c r="C8" s="146"/>
      <c r="D8" s="126"/>
      <c r="E8" s="128"/>
      <c r="F8" s="148"/>
      <c r="G8" s="137"/>
      <c r="H8" s="133"/>
      <c r="I8" s="135"/>
      <c r="J8" s="137"/>
      <c r="K8" s="133"/>
      <c r="L8" s="135"/>
      <c r="M8" s="137"/>
      <c r="N8" s="133"/>
      <c r="O8" s="135"/>
      <c r="P8" s="140"/>
      <c r="Q8" s="126"/>
      <c r="R8" s="128"/>
      <c r="S8" s="130"/>
      <c r="T8" s="126"/>
      <c r="U8" s="130"/>
    </row>
    <row r="9" spans="1:38" x14ac:dyDescent="0.3">
      <c r="B9" s="24" t="s">
        <v>34</v>
      </c>
      <c r="C9" s="25" t="s">
        <v>34</v>
      </c>
      <c r="D9" s="26" t="s">
        <v>34</v>
      </c>
      <c r="E9" s="27" t="s">
        <v>34</v>
      </c>
      <c r="F9" s="28" t="s">
        <v>34</v>
      </c>
      <c r="G9" s="29">
        <v>74</v>
      </c>
      <c r="H9" s="30">
        <v>1592640000</v>
      </c>
      <c r="I9" s="31" t="s">
        <v>34</v>
      </c>
      <c r="J9" s="29">
        <v>74</v>
      </c>
      <c r="K9" s="30">
        <v>1590088000</v>
      </c>
      <c r="L9" s="32" t="s">
        <v>34</v>
      </c>
      <c r="M9" s="29">
        <v>0</v>
      </c>
      <c r="N9" s="30">
        <v>0</v>
      </c>
      <c r="O9" s="31" t="s">
        <v>34</v>
      </c>
      <c r="P9" s="33" t="s">
        <v>34</v>
      </c>
      <c r="Q9" s="26">
        <v>-2892999.9999998813</v>
      </c>
      <c r="R9" s="27">
        <v>5444999.9999999814</v>
      </c>
      <c r="S9" s="34">
        <v>2552000.0000001006</v>
      </c>
      <c r="T9" s="26">
        <v>68977000</v>
      </c>
      <c r="U9" s="35">
        <v>0</v>
      </c>
    </row>
    <row r="10" spans="1:38" x14ac:dyDescent="0.3">
      <c r="B10" s="36" t="s">
        <v>35</v>
      </c>
      <c r="C10" s="37" t="s">
        <v>36</v>
      </c>
      <c r="D10" s="38">
        <v>0</v>
      </c>
      <c r="E10" s="39" t="s">
        <v>34</v>
      </c>
      <c r="F10" s="40" t="s">
        <v>37</v>
      </c>
      <c r="G10" s="41">
        <v>13</v>
      </c>
      <c r="H10" s="42">
        <v>711099000</v>
      </c>
      <c r="I10" s="43">
        <v>1093.9984615384617</v>
      </c>
      <c r="J10" s="44">
        <v>13</v>
      </c>
      <c r="K10" s="45">
        <v>706016000</v>
      </c>
      <c r="L10" s="46">
        <v>1086.1784615384615</v>
      </c>
      <c r="M10" s="47">
        <v>0</v>
      </c>
      <c r="N10" s="48">
        <v>0</v>
      </c>
      <c r="O10" s="49" t="s">
        <v>34</v>
      </c>
      <c r="P10" s="50">
        <v>1088.3599999999999</v>
      </c>
      <c r="Q10" s="38">
        <v>3665000.0000001681</v>
      </c>
      <c r="R10" s="39">
        <v>1417999.9999999381</v>
      </c>
      <c r="S10" s="51">
        <v>5083000.0000001062</v>
      </c>
      <c r="T10" s="38">
        <v>54417999.999999993</v>
      </c>
      <c r="U10" s="51">
        <v>0</v>
      </c>
    </row>
    <row r="11" spans="1:38" x14ac:dyDescent="0.3">
      <c r="B11" s="52" t="s">
        <v>38</v>
      </c>
      <c r="C11" s="53" t="s">
        <v>39</v>
      </c>
      <c r="D11" s="19">
        <v>0</v>
      </c>
      <c r="E11" s="20" t="s">
        <v>34</v>
      </c>
      <c r="F11" s="54" t="s">
        <v>37</v>
      </c>
      <c r="G11" s="55">
        <v>61</v>
      </c>
      <c r="H11" s="56">
        <v>881541000</v>
      </c>
      <c r="I11" s="57">
        <v>1445.1491803278689</v>
      </c>
      <c r="J11" s="58">
        <v>61</v>
      </c>
      <c r="K11" s="59">
        <v>884072000</v>
      </c>
      <c r="L11" s="60">
        <v>1449.2983606557377</v>
      </c>
      <c r="M11" s="61">
        <v>0</v>
      </c>
      <c r="N11" s="62">
        <v>0</v>
      </c>
      <c r="O11" s="63" t="s">
        <v>34</v>
      </c>
      <c r="P11" s="64">
        <v>1455.9</v>
      </c>
      <c r="Q11" s="19">
        <v>-6558000.0000000494</v>
      </c>
      <c r="R11" s="20">
        <v>4027000.0000000438</v>
      </c>
      <c r="S11" s="21">
        <v>-2531000.0000000056</v>
      </c>
      <c r="T11" s="19">
        <v>14559000</v>
      </c>
      <c r="U11" s="21">
        <v>0</v>
      </c>
    </row>
    <row r="12" spans="1:38" x14ac:dyDescent="0.3">
      <c r="B12" s="65"/>
      <c r="F12" s="65"/>
      <c r="G12" s="66" t="s">
        <v>40</v>
      </c>
      <c r="H12" s="67"/>
      <c r="I12" s="68"/>
      <c r="J12" s="67"/>
      <c r="K12" s="67"/>
      <c r="L12" s="68"/>
      <c r="M12" s="67"/>
      <c r="N12" s="69">
        <v>0</v>
      </c>
      <c r="O12" s="70"/>
      <c r="P12" s="71"/>
      <c r="Q12" s="71"/>
      <c r="T12" s="131" t="s">
        <v>41</v>
      </c>
      <c r="U12" s="131"/>
      <c r="V12" s="131"/>
      <c r="W12" s="72"/>
      <c r="AA12" s="1" t="s">
        <v>42</v>
      </c>
    </row>
    <row r="13" spans="1:38" ht="26.25" customHeight="1" x14ac:dyDescent="0.3">
      <c r="B13" s="73" t="s">
        <v>15</v>
      </c>
      <c r="C13" s="74" t="s">
        <v>16</v>
      </c>
      <c r="D13" s="9" t="s">
        <v>17</v>
      </c>
      <c r="E13" s="10" t="s">
        <v>18</v>
      </c>
      <c r="F13" s="75" t="s">
        <v>19</v>
      </c>
      <c r="G13" s="10" t="s">
        <v>43</v>
      </c>
      <c r="H13" s="10" t="s">
        <v>44</v>
      </c>
      <c r="I13" s="76" t="s">
        <v>22</v>
      </c>
      <c r="J13" s="9" t="s">
        <v>45</v>
      </c>
      <c r="K13" s="10" t="s">
        <v>46</v>
      </c>
      <c r="L13" s="77" t="s">
        <v>25</v>
      </c>
      <c r="M13" s="78" t="s">
        <v>26</v>
      </c>
      <c r="N13" s="79" t="s">
        <v>47</v>
      </c>
      <c r="O13" s="11" t="s">
        <v>28</v>
      </c>
      <c r="P13" s="76" t="s">
        <v>29</v>
      </c>
      <c r="Q13" s="76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80" t="s">
        <v>54</v>
      </c>
      <c r="AA13" s="81" t="s">
        <v>55</v>
      </c>
      <c r="AB13" s="81" t="s">
        <v>56</v>
      </c>
      <c r="AC13" s="81" t="s">
        <v>55</v>
      </c>
      <c r="AD13" s="81" t="s">
        <v>56</v>
      </c>
      <c r="AE13" s="81" t="s">
        <v>57</v>
      </c>
    </row>
    <row r="14" spans="1:38" x14ac:dyDescent="0.3">
      <c r="B14" s="82" t="s">
        <v>34</v>
      </c>
      <c r="C14" s="83" t="s">
        <v>34</v>
      </c>
      <c r="D14" s="84" t="s">
        <v>34</v>
      </c>
      <c r="E14" s="85" t="s">
        <v>34</v>
      </c>
      <c r="F14" s="86" t="s">
        <v>34</v>
      </c>
      <c r="G14" s="85">
        <v>381774</v>
      </c>
      <c r="H14" s="85">
        <v>5113049433</v>
      </c>
      <c r="I14" s="85" t="s">
        <v>34</v>
      </c>
      <c r="J14" s="84">
        <v>381774</v>
      </c>
      <c r="K14" s="85">
        <v>5127436724</v>
      </c>
      <c r="L14" s="87" t="s">
        <v>34</v>
      </c>
      <c r="M14" s="84">
        <v>0</v>
      </c>
      <c r="N14" s="88">
        <v>0</v>
      </c>
      <c r="O14" s="88" t="s">
        <v>34</v>
      </c>
      <c r="P14" s="85" t="s">
        <v>34</v>
      </c>
      <c r="Q14" s="85"/>
      <c r="R14" s="84">
        <v>-30619681.999999933</v>
      </c>
      <c r="S14" s="85">
        <v>16232390.999999911</v>
      </c>
      <c r="T14" s="89">
        <v>-14387291.000000034</v>
      </c>
      <c r="U14" s="90">
        <v>0.26038157894736846</v>
      </c>
      <c r="V14" s="91">
        <v>0.4870710526315789</v>
      </c>
      <c r="W14" s="91">
        <v>0.6308315789473683</v>
      </c>
      <c r="X14" s="85">
        <v>0</v>
      </c>
      <c r="Y14" s="88">
        <v>0</v>
      </c>
      <c r="Z14" s="88">
        <v>0</v>
      </c>
      <c r="AA14" s="92">
        <v>0</v>
      </c>
      <c r="AB14" s="92">
        <v>0</v>
      </c>
      <c r="AC14" s="93">
        <v>0</v>
      </c>
      <c r="AD14" s="93">
        <v>0</v>
      </c>
      <c r="AE14" s="1">
        <v>0</v>
      </c>
      <c r="AJ14" s="1" t="s">
        <v>58</v>
      </c>
      <c r="AK14" s="1" t="s">
        <v>59</v>
      </c>
    </row>
    <row r="15" spans="1:38" x14ac:dyDescent="0.25">
      <c r="A15" s="4"/>
      <c r="B15" s="94" t="s">
        <v>60</v>
      </c>
      <c r="C15" s="95" t="s">
        <v>61</v>
      </c>
      <c r="D15" s="14">
        <v>50000</v>
      </c>
      <c r="E15" s="1">
        <v>10068511</v>
      </c>
      <c r="F15" s="96" t="s">
        <v>62</v>
      </c>
      <c r="G15" s="97">
        <v>4995</v>
      </c>
      <c r="H15" s="97">
        <v>178173125</v>
      </c>
      <c r="I15" s="97">
        <v>35670.295295295298</v>
      </c>
      <c r="J15" s="98">
        <v>4995</v>
      </c>
      <c r="K15" s="97">
        <v>179881495</v>
      </c>
      <c r="L15" s="99">
        <v>36012.311311311314</v>
      </c>
      <c r="M15" s="100">
        <v>0</v>
      </c>
      <c r="N15" s="101">
        <v>0</v>
      </c>
      <c r="O15" s="102">
        <v>0</v>
      </c>
      <c r="P15" s="1">
        <v>35840</v>
      </c>
      <c r="Q15" s="71">
        <v>35862.120000000003</v>
      </c>
      <c r="R15" s="14">
        <v>-847674.9999999851</v>
      </c>
      <c r="S15" s="1">
        <v>-860695.00000001374</v>
      </c>
      <c r="T15" s="15">
        <v>-1708369.9999999988</v>
      </c>
      <c r="U15" s="103">
        <v>1.1067</v>
      </c>
      <c r="V15" s="103">
        <v>0.18840000000000001</v>
      </c>
      <c r="W15" s="103">
        <v>0.92800000000000005</v>
      </c>
      <c r="X15" s="1">
        <v>0</v>
      </c>
      <c r="Y15" s="15">
        <v>0</v>
      </c>
      <c r="Z15" s="13">
        <v>0</v>
      </c>
      <c r="AA15" s="104">
        <v>0</v>
      </c>
      <c r="AB15" s="104">
        <v>0</v>
      </c>
      <c r="AC15" s="105">
        <v>0</v>
      </c>
      <c r="AD15" s="106">
        <v>0</v>
      </c>
      <c r="AE15" s="1">
        <v>0</v>
      </c>
      <c r="AG15" s="1" t="s">
        <v>60</v>
      </c>
      <c r="AH15" s="1">
        <v>0</v>
      </c>
      <c r="AJ15" s="71">
        <v>-2</v>
      </c>
      <c r="AK15" s="71">
        <v>-19</v>
      </c>
      <c r="AL15" s="71"/>
    </row>
    <row r="16" spans="1:38" x14ac:dyDescent="0.25">
      <c r="A16" s="4"/>
      <c r="B16" s="94" t="s">
        <v>63</v>
      </c>
      <c r="C16" s="95" t="s">
        <v>64</v>
      </c>
      <c r="D16" s="14">
        <v>30000</v>
      </c>
      <c r="E16" s="1">
        <v>6940013</v>
      </c>
      <c r="F16" s="96" t="s">
        <v>62</v>
      </c>
      <c r="G16" s="97">
        <v>101422</v>
      </c>
      <c r="H16" s="97">
        <v>480830847</v>
      </c>
      <c r="I16" s="97">
        <v>4740.8929719390271</v>
      </c>
      <c r="J16" s="98">
        <v>101422</v>
      </c>
      <c r="K16" s="97">
        <v>479329965</v>
      </c>
      <c r="L16" s="99">
        <v>4726.0945850012822</v>
      </c>
      <c r="M16" s="100">
        <v>0</v>
      </c>
      <c r="N16" s="101">
        <v>0</v>
      </c>
      <c r="O16" s="102">
        <v>0</v>
      </c>
      <c r="P16" s="1">
        <v>4740</v>
      </c>
      <c r="Q16" s="71">
        <v>4734.9399999999996</v>
      </c>
      <c r="R16" s="14">
        <v>90567.000000008586</v>
      </c>
      <c r="S16" s="1">
        <v>1410314.9999999555</v>
      </c>
      <c r="T16" s="15">
        <v>1500881.9999999641</v>
      </c>
      <c r="U16" s="103">
        <v>-0.1759</v>
      </c>
      <c r="V16" s="103">
        <v>0.57389999999999997</v>
      </c>
      <c r="W16" s="103">
        <v>0.43149999999999999</v>
      </c>
      <c r="X16" s="1">
        <v>0</v>
      </c>
      <c r="Y16" s="15">
        <v>0</v>
      </c>
      <c r="Z16" s="13">
        <v>0</v>
      </c>
      <c r="AA16" s="104">
        <v>0</v>
      </c>
      <c r="AB16" s="104">
        <v>0</v>
      </c>
      <c r="AC16" s="105">
        <v>0</v>
      </c>
      <c r="AD16" s="106">
        <v>0</v>
      </c>
      <c r="AE16" s="1">
        <v>0</v>
      </c>
      <c r="AG16" s="1" t="s">
        <v>63</v>
      </c>
      <c r="AH16" s="1">
        <v>0</v>
      </c>
      <c r="AJ16" s="71">
        <v>8</v>
      </c>
      <c r="AK16" s="71">
        <v>-30</v>
      </c>
      <c r="AL16" s="71"/>
    </row>
    <row r="17" spans="1:38" x14ac:dyDescent="0.25">
      <c r="A17" s="4"/>
      <c r="B17" s="94" t="s">
        <v>65</v>
      </c>
      <c r="C17" s="95" t="s">
        <v>66</v>
      </c>
      <c r="D17" s="14">
        <v>50000</v>
      </c>
      <c r="E17" s="1">
        <v>5603384</v>
      </c>
      <c r="F17" s="96" t="s">
        <v>62</v>
      </c>
      <c r="G17" s="97">
        <v>26269</v>
      </c>
      <c r="H17" s="97">
        <v>132269795</v>
      </c>
      <c r="I17" s="97">
        <v>5035.2048041417638</v>
      </c>
      <c r="J17" s="98">
        <v>26269</v>
      </c>
      <c r="K17" s="97">
        <v>131250250</v>
      </c>
      <c r="L17" s="99">
        <v>4996.3930869085234</v>
      </c>
      <c r="M17" s="100">
        <v>0</v>
      </c>
      <c r="N17" s="101">
        <v>0</v>
      </c>
      <c r="O17" s="102">
        <v>0</v>
      </c>
      <c r="P17" s="1">
        <v>5080</v>
      </c>
      <c r="Q17" s="71">
        <v>5083.16</v>
      </c>
      <c r="R17" s="14">
        <v>-1176725.0000000063</v>
      </c>
      <c r="S17" s="1">
        <v>2196269.9999999986</v>
      </c>
      <c r="T17" s="15">
        <v>1019544.9999999923</v>
      </c>
      <c r="U17" s="103">
        <v>5.7099999999999998E-2</v>
      </c>
      <c r="V17" s="103">
        <v>0.86599999999999999</v>
      </c>
      <c r="W17" s="103">
        <v>0.69</v>
      </c>
      <c r="X17" s="1">
        <v>0</v>
      </c>
      <c r="Y17" s="15">
        <v>0</v>
      </c>
      <c r="Z17" s="13">
        <v>0</v>
      </c>
      <c r="AA17" s="104">
        <v>0</v>
      </c>
      <c r="AB17" s="104">
        <v>0</v>
      </c>
      <c r="AC17" s="105">
        <v>0</v>
      </c>
      <c r="AD17" s="106">
        <v>0</v>
      </c>
      <c r="AE17" s="1">
        <v>0</v>
      </c>
      <c r="AG17" s="1" t="s">
        <v>65</v>
      </c>
      <c r="AH17" s="1">
        <v>0</v>
      </c>
      <c r="AJ17" s="71">
        <v>9</v>
      </c>
      <c r="AK17" s="71">
        <v>-26</v>
      </c>
      <c r="AL17" s="71"/>
    </row>
    <row r="18" spans="1:38" x14ac:dyDescent="0.25">
      <c r="A18" s="4"/>
      <c r="B18" s="107" t="s">
        <v>67</v>
      </c>
      <c r="C18" s="95" t="s">
        <v>68</v>
      </c>
      <c r="D18" s="14">
        <v>50000</v>
      </c>
      <c r="E18" s="1">
        <v>3632976</v>
      </c>
      <c r="F18" s="96" t="s">
        <v>62</v>
      </c>
      <c r="G18" s="97">
        <v>51023</v>
      </c>
      <c r="H18" s="97">
        <v>538393491</v>
      </c>
      <c r="I18" s="97">
        <v>10551.976383199733</v>
      </c>
      <c r="J18" s="98">
        <v>51023</v>
      </c>
      <c r="K18" s="97">
        <v>539525575</v>
      </c>
      <c r="L18" s="99">
        <v>10574.164102463596</v>
      </c>
      <c r="M18" s="100">
        <v>0</v>
      </c>
      <c r="N18" s="101">
        <v>0</v>
      </c>
      <c r="O18" s="102">
        <v>0</v>
      </c>
      <c r="P18" s="1">
        <v>10645</v>
      </c>
      <c r="Q18" s="71">
        <v>10668.09</v>
      </c>
      <c r="R18" s="14">
        <v>-4746344.0000000028</v>
      </c>
      <c r="S18" s="1">
        <v>3614259.9999999641</v>
      </c>
      <c r="T18" s="15">
        <v>-1132084.0000000386</v>
      </c>
      <c r="U18" s="103">
        <v>7.9799999999999996E-2</v>
      </c>
      <c r="V18" s="103">
        <v>0.70189999999999997</v>
      </c>
      <c r="W18" s="103">
        <v>0.56630000000000003</v>
      </c>
      <c r="X18" s="1">
        <v>0</v>
      </c>
      <c r="Y18" s="15">
        <v>0</v>
      </c>
      <c r="Z18" s="13">
        <v>0</v>
      </c>
      <c r="AA18" s="104">
        <v>0</v>
      </c>
      <c r="AB18" s="104">
        <v>0</v>
      </c>
      <c r="AC18" s="105">
        <v>0</v>
      </c>
      <c r="AD18" s="106">
        <v>0</v>
      </c>
      <c r="AE18" s="1">
        <v>0</v>
      </c>
      <c r="AG18" s="1" t="s">
        <v>67</v>
      </c>
      <c r="AH18" s="1">
        <v>0</v>
      </c>
      <c r="AJ18" s="71">
        <v>6</v>
      </c>
      <c r="AK18" s="71">
        <v>-26</v>
      </c>
      <c r="AL18" s="71"/>
    </row>
    <row r="19" spans="1:38" x14ac:dyDescent="0.25">
      <c r="A19" s="4"/>
      <c r="B19" s="107" t="s">
        <v>69</v>
      </c>
      <c r="C19" s="95" t="s">
        <v>70</v>
      </c>
      <c r="D19" s="14">
        <v>50000</v>
      </c>
      <c r="E19" s="1">
        <v>3420066</v>
      </c>
      <c r="F19" s="96" t="s">
        <v>62</v>
      </c>
      <c r="G19" s="97">
        <v>35981</v>
      </c>
      <c r="H19" s="97">
        <v>690841280</v>
      </c>
      <c r="I19" s="97">
        <v>19200.168978071761</v>
      </c>
      <c r="J19" s="98">
        <v>35981</v>
      </c>
      <c r="K19" s="97">
        <v>698177099</v>
      </c>
      <c r="L19" s="99">
        <v>19404.049331591672</v>
      </c>
      <c r="M19" s="100">
        <v>0</v>
      </c>
      <c r="N19" s="101">
        <v>0</v>
      </c>
      <c r="O19" s="102">
        <v>0</v>
      </c>
      <c r="P19" s="1">
        <v>19705</v>
      </c>
      <c r="Q19" s="71">
        <v>19726.64</v>
      </c>
      <c r="R19" s="14">
        <v>-18164324.999999981</v>
      </c>
      <c r="S19" s="1">
        <v>10828506.000000052</v>
      </c>
      <c r="T19" s="15">
        <v>-7335818.9999999292</v>
      </c>
      <c r="U19" s="103">
        <v>0.43290000000000001</v>
      </c>
      <c r="V19" s="103">
        <v>0.65159999999999996</v>
      </c>
      <c r="W19" s="103">
        <v>0.67510000000000003</v>
      </c>
      <c r="X19" s="1">
        <v>0</v>
      </c>
      <c r="Y19" s="15">
        <v>0</v>
      </c>
      <c r="Z19" s="13">
        <v>0</v>
      </c>
      <c r="AA19" s="104">
        <v>0</v>
      </c>
      <c r="AB19" s="104">
        <v>0</v>
      </c>
      <c r="AC19" s="105">
        <v>0</v>
      </c>
      <c r="AD19" s="106">
        <v>0</v>
      </c>
      <c r="AE19" s="1">
        <v>0</v>
      </c>
      <c r="AG19" s="1" t="s">
        <v>69</v>
      </c>
      <c r="AH19" s="1">
        <v>0</v>
      </c>
      <c r="AJ19" s="71">
        <v>5</v>
      </c>
      <c r="AK19" s="71">
        <v>-25</v>
      </c>
      <c r="AL19" s="71"/>
    </row>
    <row r="20" spans="1:38" x14ac:dyDescent="0.25">
      <c r="A20" s="4"/>
      <c r="B20" s="94" t="s">
        <v>71</v>
      </c>
      <c r="C20" s="95" t="s">
        <v>72</v>
      </c>
      <c r="D20" s="14">
        <v>50000</v>
      </c>
      <c r="E20" s="1">
        <v>613423</v>
      </c>
      <c r="F20" s="96" t="s">
        <v>62</v>
      </c>
      <c r="G20" s="97">
        <v>20535</v>
      </c>
      <c r="H20" s="97">
        <v>388285730</v>
      </c>
      <c r="I20" s="97">
        <v>18908.484538592646</v>
      </c>
      <c r="J20" s="98">
        <v>20535</v>
      </c>
      <c r="K20" s="97">
        <v>386277850</v>
      </c>
      <c r="L20" s="99">
        <v>18810.706111516924</v>
      </c>
      <c r="M20" s="100">
        <v>0</v>
      </c>
      <c r="N20" s="101">
        <v>0</v>
      </c>
      <c r="O20" s="102">
        <v>0</v>
      </c>
      <c r="P20" s="1">
        <v>19050</v>
      </c>
      <c r="Q20" s="71">
        <v>19079.04</v>
      </c>
      <c r="R20" s="14">
        <v>-2906020.0000000237</v>
      </c>
      <c r="S20" s="1">
        <v>4913899.9999999749</v>
      </c>
      <c r="T20" s="15">
        <v>2007879.9999999511</v>
      </c>
      <c r="U20" s="103">
        <v>4.8000000000000001E-2</v>
      </c>
      <c r="V20" s="103">
        <v>0.73419999999999996</v>
      </c>
      <c r="W20" s="103">
        <v>0.61499999999999999</v>
      </c>
      <c r="X20" s="1">
        <v>0</v>
      </c>
      <c r="Y20" s="15">
        <v>0</v>
      </c>
      <c r="Z20" s="13">
        <v>0</v>
      </c>
      <c r="AA20" s="104">
        <v>0</v>
      </c>
      <c r="AB20" s="104">
        <v>0</v>
      </c>
      <c r="AC20" s="105">
        <v>0</v>
      </c>
      <c r="AD20" s="106">
        <v>0</v>
      </c>
      <c r="AE20" s="1">
        <v>0</v>
      </c>
      <c r="AG20" s="1" t="s">
        <v>71</v>
      </c>
      <c r="AH20" s="1">
        <v>0</v>
      </c>
      <c r="AJ20" s="71">
        <v>6</v>
      </c>
      <c r="AK20" s="71">
        <v>-26</v>
      </c>
      <c r="AL20" s="71"/>
    </row>
    <row r="21" spans="1:38" x14ac:dyDescent="0.25">
      <c r="A21" s="4"/>
      <c r="B21" s="94" t="s">
        <v>73</v>
      </c>
      <c r="C21" s="95" t="s">
        <v>74</v>
      </c>
      <c r="D21" s="14">
        <v>50000</v>
      </c>
      <c r="E21" s="1">
        <v>209623</v>
      </c>
      <c r="F21" s="96" t="s">
        <v>62</v>
      </c>
      <c r="G21" s="97">
        <v>6667</v>
      </c>
      <c r="H21" s="97">
        <v>149412545</v>
      </c>
      <c r="I21" s="97">
        <v>22410.761211939403</v>
      </c>
      <c r="J21" s="98">
        <v>6667</v>
      </c>
      <c r="K21" s="97">
        <v>150538835</v>
      </c>
      <c r="L21" s="99">
        <v>22579.69626518674</v>
      </c>
      <c r="M21" s="100">
        <v>0</v>
      </c>
      <c r="N21" s="101">
        <v>0</v>
      </c>
      <c r="O21" s="102">
        <v>0</v>
      </c>
      <c r="P21" s="1">
        <v>22430</v>
      </c>
      <c r="Q21" s="71">
        <v>22450.78</v>
      </c>
      <c r="R21" s="14">
        <v>-128264.99999999728</v>
      </c>
      <c r="S21" s="1">
        <v>-998024.99999999406</v>
      </c>
      <c r="T21" s="15">
        <v>-1126289.9999999914</v>
      </c>
      <c r="U21" s="103">
        <v>0.1542</v>
      </c>
      <c r="V21" s="103">
        <v>0.49980000000000002</v>
      </c>
      <c r="W21" s="103">
        <v>0.47570000000000001</v>
      </c>
      <c r="X21" s="1">
        <v>0</v>
      </c>
      <c r="Y21" s="15">
        <v>0</v>
      </c>
      <c r="Z21" s="13">
        <v>0</v>
      </c>
      <c r="AA21" s="104">
        <v>0</v>
      </c>
      <c r="AB21" s="104">
        <v>0</v>
      </c>
      <c r="AC21" s="105">
        <v>0</v>
      </c>
      <c r="AD21" s="106">
        <v>0</v>
      </c>
      <c r="AE21" s="1">
        <v>0</v>
      </c>
      <c r="AG21" s="1" t="s">
        <v>73</v>
      </c>
      <c r="AH21" s="1">
        <v>0</v>
      </c>
      <c r="AJ21" s="71">
        <v>4</v>
      </c>
      <c r="AK21" s="71">
        <v>-24</v>
      </c>
      <c r="AL21" s="71"/>
    </row>
    <row r="22" spans="1:38" x14ac:dyDescent="0.25">
      <c r="A22" s="4"/>
      <c r="B22" s="94" t="s">
        <v>75</v>
      </c>
      <c r="C22" s="95" t="s">
        <v>76</v>
      </c>
      <c r="D22" s="14">
        <v>50000</v>
      </c>
      <c r="E22" s="1">
        <v>721064</v>
      </c>
      <c r="F22" s="96" t="s">
        <v>62</v>
      </c>
      <c r="G22" s="97">
        <v>2000</v>
      </c>
      <c r="H22" s="97">
        <v>15331765</v>
      </c>
      <c r="I22" s="97">
        <v>7665.8824999999997</v>
      </c>
      <c r="J22" s="98">
        <v>2000</v>
      </c>
      <c r="K22" s="97">
        <v>15325000</v>
      </c>
      <c r="L22" s="99">
        <v>7662.5</v>
      </c>
      <c r="M22" s="100">
        <v>0</v>
      </c>
      <c r="N22" s="101">
        <v>0</v>
      </c>
      <c r="O22" s="102">
        <v>0</v>
      </c>
      <c r="P22" s="1">
        <v>7650</v>
      </c>
      <c r="Q22" s="71">
        <v>7662.75</v>
      </c>
      <c r="R22" s="14">
        <v>31764.999999999418</v>
      </c>
      <c r="S22" s="1">
        <v>-25000</v>
      </c>
      <c r="T22" s="15">
        <v>6764.9999999994179</v>
      </c>
      <c r="U22" s="103">
        <v>-4.0099999999999997E-2</v>
      </c>
      <c r="V22" s="103">
        <v>0.6018</v>
      </c>
      <c r="W22" s="103">
        <v>0.59060000000000001</v>
      </c>
      <c r="X22" s="1">
        <v>0</v>
      </c>
      <c r="Y22" s="15">
        <v>0</v>
      </c>
      <c r="Z22" s="13">
        <v>0</v>
      </c>
      <c r="AA22" s="104">
        <v>0</v>
      </c>
      <c r="AB22" s="104">
        <v>0</v>
      </c>
      <c r="AC22" s="105">
        <v>0</v>
      </c>
      <c r="AD22" s="106">
        <v>0</v>
      </c>
      <c r="AE22" s="1">
        <v>0</v>
      </c>
      <c r="AF22" s="108"/>
      <c r="AG22" s="1" t="s">
        <v>75</v>
      </c>
      <c r="AH22" s="1">
        <v>0</v>
      </c>
      <c r="AJ22" s="71">
        <v>4</v>
      </c>
      <c r="AK22" s="71">
        <v>-26</v>
      </c>
      <c r="AL22" s="71"/>
    </row>
    <row r="23" spans="1:38" x14ac:dyDescent="0.25">
      <c r="A23" s="4"/>
      <c r="B23" s="94" t="s">
        <v>77</v>
      </c>
      <c r="C23" s="95" t="s">
        <v>78</v>
      </c>
      <c r="D23" s="14">
        <v>50000</v>
      </c>
      <c r="E23" s="1">
        <v>3997902</v>
      </c>
      <c r="F23" s="96" t="s">
        <v>62</v>
      </c>
      <c r="G23" s="97">
        <v>38448</v>
      </c>
      <c r="H23" s="97">
        <v>691124830</v>
      </c>
      <c r="I23" s="97">
        <v>17975.572981689555</v>
      </c>
      <c r="J23" s="98">
        <v>38448</v>
      </c>
      <c r="K23" s="97">
        <v>692694175</v>
      </c>
      <c r="L23" s="99">
        <v>18016.390319392427</v>
      </c>
      <c r="M23" s="100">
        <v>0</v>
      </c>
      <c r="N23" s="101">
        <v>0</v>
      </c>
      <c r="O23" s="102">
        <v>0</v>
      </c>
      <c r="P23" s="1">
        <v>17950</v>
      </c>
      <c r="Q23" s="71">
        <v>17987.57</v>
      </c>
      <c r="R23" s="14">
        <v>983229.99999999453</v>
      </c>
      <c r="S23" s="1">
        <v>-2552575.0000000349</v>
      </c>
      <c r="T23" s="15">
        <v>-1569345.0000000405</v>
      </c>
      <c r="U23" s="103">
        <v>0.20200000000000001</v>
      </c>
      <c r="V23" s="103">
        <v>0.83479999999999999</v>
      </c>
      <c r="W23" s="103">
        <v>0.68700000000000006</v>
      </c>
      <c r="X23" s="1">
        <v>0</v>
      </c>
      <c r="Y23" s="15">
        <v>0</v>
      </c>
      <c r="Z23" s="13">
        <v>0</v>
      </c>
      <c r="AA23" s="104">
        <v>0</v>
      </c>
      <c r="AB23" s="104">
        <v>0</v>
      </c>
      <c r="AC23" s="105">
        <v>0</v>
      </c>
      <c r="AD23" s="106">
        <v>0</v>
      </c>
      <c r="AE23" s="1">
        <v>0</v>
      </c>
      <c r="AF23" s="108"/>
      <c r="AG23" s="1" t="s">
        <v>77</v>
      </c>
      <c r="AH23" s="1">
        <v>0</v>
      </c>
      <c r="AJ23" s="71">
        <v>5</v>
      </c>
      <c r="AK23" s="71">
        <v>-26</v>
      </c>
    </row>
    <row r="24" spans="1:38" x14ac:dyDescent="0.25">
      <c r="A24" s="4"/>
      <c r="B24" s="94" t="s">
        <v>79</v>
      </c>
      <c r="C24" s="95" t="s">
        <v>80</v>
      </c>
      <c r="D24" s="14">
        <v>50000</v>
      </c>
      <c r="E24" s="1">
        <v>296322</v>
      </c>
      <c r="F24" s="96" t="s">
        <v>62</v>
      </c>
      <c r="G24" s="97">
        <v>6977</v>
      </c>
      <c r="H24" s="97">
        <v>265941510</v>
      </c>
      <c r="I24" s="97">
        <v>38116.885480865705</v>
      </c>
      <c r="J24" s="98">
        <v>6977</v>
      </c>
      <c r="K24" s="97">
        <v>266982650</v>
      </c>
      <c r="L24" s="99">
        <v>38266.110075963879</v>
      </c>
      <c r="M24" s="100">
        <v>0</v>
      </c>
      <c r="N24" s="101">
        <v>0</v>
      </c>
      <c r="O24" s="102">
        <v>0</v>
      </c>
      <c r="P24" s="1">
        <v>38180</v>
      </c>
      <c r="Q24" s="71">
        <v>38261.910000000003</v>
      </c>
      <c r="R24" s="14">
        <v>-440349.99999997497</v>
      </c>
      <c r="S24" s="1">
        <v>-600789.99999998626</v>
      </c>
      <c r="T24" s="15">
        <v>-1041139.9999999612</v>
      </c>
      <c r="U24" s="103">
        <v>0.96830000000000005</v>
      </c>
      <c r="V24" s="103">
        <v>-5.0000000000000001E-4</v>
      </c>
      <c r="W24" s="103">
        <v>0.98219999999999996</v>
      </c>
      <c r="X24" s="1">
        <v>0</v>
      </c>
      <c r="Y24" s="15">
        <v>0</v>
      </c>
      <c r="Z24" s="13">
        <v>0</v>
      </c>
      <c r="AA24" s="104">
        <v>0</v>
      </c>
      <c r="AB24" s="104">
        <v>0</v>
      </c>
      <c r="AC24" s="105">
        <v>0</v>
      </c>
      <c r="AD24" s="106">
        <v>0</v>
      </c>
      <c r="AE24" s="1">
        <v>0</v>
      </c>
      <c r="AF24" s="108"/>
      <c r="AG24" s="1" t="s">
        <v>79</v>
      </c>
      <c r="AH24" s="1">
        <v>0</v>
      </c>
      <c r="AJ24" s="71">
        <v>2</v>
      </c>
      <c r="AK24" s="71">
        <v>-23</v>
      </c>
    </row>
    <row r="25" spans="1:38" x14ac:dyDescent="0.25">
      <c r="A25" s="4"/>
      <c r="B25" s="94" t="s">
        <v>81</v>
      </c>
      <c r="C25" s="95" t="s">
        <v>82</v>
      </c>
      <c r="D25" s="14">
        <v>20000</v>
      </c>
      <c r="E25" s="1">
        <v>226761</v>
      </c>
      <c r="F25" s="96" t="s">
        <v>62</v>
      </c>
      <c r="G25" s="97">
        <v>396</v>
      </c>
      <c r="H25" s="97">
        <v>5340060</v>
      </c>
      <c r="I25" s="97">
        <v>13485</v>
      </c>
      <c r="J25" s="98">
        <v>396</v>
      </c>
      <c r="K25" s="97">
        <v>5339585</v>
      </c>
      <c r="L25" s="99">
        <v>13483.800505050505</v>
      </c>
      <c r="M25" s="100">
        <v>0</v>
      </c>
      <c r="N25" s="101">
        <v>0</v>
      </c>
      <c r="O25" s="102">
        <v>0</v>
      </c>
      <c r="P25" s="1">
        <v>13515</v>
      </c>
      <c r="Q25" s="71">
        <v>13541.38</v>
      </c>
      <c r="R25" s="14">
        <v>-11880</v>
      </c>
      <c r="S25" s="1">
        <v>12354.999999999898</v>
      </c>
      <c r="T25" s="15">
        <v>474.99999999989814</v>
      </c>
      <c r="U25" s="103">
        <v>0.24260000000000001</v>
      </c>
      <c r="V25" s="103">
        <v>0.56950000000000001</v>
      </c>
      <c r="W25" s="103">
        <v>0.67630000000000001</v>
      </c>
      <c r="X25" s="1">
        <v>0</v>
      </c>
      <c r="Y25" s="15">
        <v>0</v>
      </c>
      <c r="Z25" s="13">
        <v>0</v>
      </c>
      <c r="AA25" s="104">
        <v>0</v>
      </c>
      <c r="AB25" s="104">
        <v>0</v>
      </c>
      <c r="AC25" s="105">
        <v>0</v>
      </c>
      <c r="AD25" s="106">
        <v>0</v>
      </c>
      <c r="AE25" s="1">
        <v>0</v>
      </c>
      <c r="AF25" s="108"/>
      <c r="AG25" s="1" t="s">
        <v>81</v>
      </c>
      <c r="AH25" s="1">
        <v>0</v>
      </c>
      <c r="AJ25" s="71">
        <v>10</v>
      </c>
      <c r="AK25" s="71">
        <v>-27</v>
      </c>
    </row>
    <row r="26" spans="1:38" x14ac:dyDescent="0.25">
      <c r="A26" s="4"/>
      <c r="B26" s="94" t="s">
        <v>83</v>
      </c>
      <c r="C26" s="95" t="s">
        <v>84</v>
      </c>
      <c r="D26" s="14">
        <v>50000</v>
      </c>
      <c r="E26" s="1">
        <v>101715</v>
      </c>
      <c r="F26" s="96" t="s">
        <v>62</v>
      </c>
      <c r="G26" s="97">
        <v>1467</v>
      </c>
      <c r="H26" s="97">
        <v>6979285</v>
      </c>
      <c r="I26" s="97">
        <v>4757.522154055896</v>
      </c>
      <c r="J26" s="98">
        <v>1467</v>
      </c>
      <c r="K26" s="97">
        <v>6894900</v>
      </c>
      <c r="L26" s="99">
        <v>4700</v>
      </c>
      <c r="M26" s="100">
        <v>0</v>
      </c>
      <c r="N26" s="101">
        <v>0</v>
      </c>
      <c r="O26" s="102">
        <v>0</v>
      </c>
      <c r="P26" s="1">
        <v>4705</v>
      </c>
      <c r="Q26" s="71">
        <v>4707.37</v>
      </c>
      <c r="R26" s="14">
        <v>77049.99999999936</v>
      </c>
      <c r="S26" s="1">
        <v>7335</v>
      </c>
      <c r="T26" s="15">
        <v>84384.99999999936</v>
      </c>
      <c r="U26" s="103">
        <v>-9.0800000000000006E-2</v>
      </c>
      <c r="V26" s="103">
        <v>0.38729999999999998</v>
      </c>
      <c r="W26" s="103">
        <v>0.2399</v>
      </c>
      <c r="X26" s="1">
        <v>0</v>
      </c>
      <c r="Y26" s="15">
        <v>0</v>
      </c>
      <c r="Z26" s="13">
        <v>0</v>
      </c>
      <c r="AA26" s="104">
        <v>0</v>
      </c>
      <c r="AB26" s="104">
        <v>0</v>
      </c>
      <c r="AC26" s="105">
        <v>0</v>
      </c>
      <c r="AD26" s="106">
        <v>0</v>
      </c>
      <c r="AE26" s="1">
        <v>0</v>
      </c>
      <c r="AF26" s="108"/>
      <c r="AG26" s="1" t="s">
        <v>83</v>
      </c>
      <c r="AH26" s="1">
        <v>0</v>
      </c>
      <c r="AJ26" s="71">
        <v>20</v>
      </c>
      <c r="AK26" s="71">
        <v>-32</v>
      </c>
    </row>
    <row r="27" spans="1:38" x14ac:dyDescent="0.25">
      <c r="A27" s="4"/>
      <c r="B27" s="94" t="s">
        <v>85</v>
      </c>
      <c r="C27" s="95" t="s">
        <v>86</v>
      </c>
      <c r="D27" s="14">
        <v>20000</v>
      </c>
      <c r="E27" s="1">
        <v>298530</v>
      </c>
      <c r="F27" s="96" t="s">
        <v>62</v>
      </c>
      <c r="G27" s="97">
        <v>1131</v>
      </c>
      <c r="H27" s="97">
        <v>14318965</v>
      </c>
      <c r="I27" s="97">
        <v>12660.446507515473</v>
      </c>
      <c r="J27" s="98">
        <v>1131</v>
      </c>
      <c r="K27" s="97">
        <v>14247795</v>
      </c>
      <c r="L27" s="99">
        <v>12597.519893899203</v>
      </c>
      <c r="M27" s="100">
        <v>0</v>
      </c>
      <c r="N27" s="101">
        <v>0</v>
      </c>
      <c r="O27" s="102">
        <v>0</v>
      </c>
      <c r="P27" s="1">
        <v>12535</v>
      </c>
      <c r="Q27" s="71">
        <v>12569.06</v>
      </c>
      <c r="R27" s="14">
        <v>141880.00000000003</v>
      </c>
      <c r="S27" s="1">
        <v>-70709.999999999098</v>
      </c>
      <c r="T27" s="15">
        <v>71170.000000000931</v>
      </c>
      <c r="U27" s="103">
        <v>0.47489999999999999</v>
      </c>
      <c r="V27" s="103">
        <v>0.44840000000000002</v>
      </c>
      <c r="W27" s="103">
        <v>0.68569999999999998</v>
      </c>
      <c r="X27" s="1">
        <v>0</v>
      </c>
      <c r="Y27" s="15">
        <v>0</v>
      </c>
      <c r="Z27" s="13">
        <v>0</v>
      </c>
      <c r="AA27" s="104">
        <v>0</v>
      </c>
      <c r="AB27" s="104">
        <v>0</v>
      </c>
      <c r="AC27" s="105">
        <v>0</v>
      </c>
      <c r="AD27" s="106">
        <v>0</v>
      </c>
      <c r="AE27" s="1">
        <v>0</v>
      </c>
      <c r="AF27" s="108"/>
      <c r="AG27" s="1" t="s">
        <v>85</v>
      </c>
      <c r="AH27" s="1">
        <v>0</v>
      </c>
      <c r="AJ27" s="71">
        <v>6</v>
      </c>
      <c r="AK27" s="71">
        <v>-27</v>
      </c>
    </row>
    <row r="28" spans="1:38" x14ac:dyDescent="0.25">
      <c r="A28" s="4"/>
      <c r="B28" s="94" t="s">
        <v>87</v>
      </c>
      <c r="C28" s="95" t="s">
        <v>88</v>
      </c>
      <c r="D28" s="14">
        <v>30000</v>
      </c>
      <c r="E28" s="1">
        <v>248653</v>
      </c>
      <c r="F28" s="96" t="s">
        <v>62</v>
      </c>
      <c r="G28" s="97">
        <v>1581</v>
      </c>
      <c r="H28" s="97">
        <v>4974065</v>
      </c>
      <c r="I28" s="97">
        <v>3146.1511701454774</v>
      </c>
      <c r="J28" s="98">
        <v>1581</v>
      </c>
      <c r="K28" s="97">
        <v>4884480</v>
      </c>
      <c r="L28" s="99">
        <v>3089.4876660341556</v>
      </c>
      <c r="M28" s="100">
        <v>0</v>
      </c>
      <c r="N28" s="101">
        <v>0</v>
      </c>
      <c r="O28" s="102">
        <v>0</v>
      </c>
      <c r="P28" s="1">
        <v>3085</v>
      </c>
      <c r="Q28" s="71">
        <v>3083.49</v>
      </c>
      <c r="R28" s="14">
        <v>96679.999999999782</v>
      </c>
      <c r="S28" s="1">
        <v>-7095.0000000000182</v>
      </c>
      <c r="T28" s="15">
        <v>89584.999999999767</v>
      </c>
      <c r="U28" s="103">
        <v>-0.1774</v>
      </c>
      <c r="V28" s="103">
        <v>0.67710000000000004</v>
      </c>
      <c r="W28" s="103">
        <v>0.58069999999999999</v>
      </c>
      <c r="X28" s="1">
        <v>0</v>
      </c>
      <c r="Y28" s="15">
        <v>0</v>
      </c>
      <c r="Z28" s="13">
        <v>0</v>
      </c>
      <c r="AA28" s="104">
        <v>0</v>
      </c>
      <c r="AB28" s="104">
        <v>0</v>
      </c>
      <c r="AC28" s="105">
        <v>0</v>
      </c>
      <c r="AD28" s="106">
        <v>0</v>
      </c>
      <c r="AE28" s="1">
        <v>0</v>
      </c>
      <c r="AF28" s="108"/>
      <c r="AG28" s="1" t="s">
        <v>87</v>
      </c>
      <c r="AH28" s="1">
        <v>0</v>
      </c>
      <c r="AJ28" s="71">
        <v>20</v>
      </c>
      <c r="AK28" s="71">
        <v>-29</v>
      </c>
    </row>
    <row r="29" spans="1:38" x14ac:dyDescent="0.25">
      <c r="A29" s="4"/>
      <c r="B29" s="109" t="s">
        <v>89</v>
      </c>
      <c r="C29" s="110" t="s">
        <v>90</v>
      </c>
      <c r="D29" s="111">
        <v>10000</v>
      </c>
      <c r="E29" s="112">
        <v>5119230</v>
      </c>
      <c r="F29" s="113" t="s">
        <v>91</v>
      </c>
      <c r="G29" s="97">
        <v>0</v>
      </c>
      <c r="H29" s="97">
        <v>0</v>
      </c>
      <c r="I29" s="97">
        <v>0</v>
      </c>
      <c r="J29" s="98">
        <v>0</v>
      </c>
      <c r="K29" s="97">
        <v>0</v>
      </c>
      <c r="L29" s="99">
        <v>0</v>
      </c>
      <c r="M29" s="100">
        <v>0</v>
      </c>
      <c r="N29" s="101">
        <v>0</v>
      </c>
      <c r="O29" s="102">
        <v>0</v>
      </c>
      <c r="P29" s="1">
        <v>20870</v>
      </c>
      <c r="Q29" s="71">
        <v>20868.939999999999</v>
      </c>
      <c r="R29" s="14">
        <v>0</v>
      </c>
      <c r="S29" s="1">
        <v>0</v>
      </c>
      <c r="T29" s="15">
        <v>0</v>
      </c>
      <c r="U29" s="103">
        <v>0.97460000000000002</v>
      </c>
      <c r="V29" s="103">
        <v>6.9999999999999999E-4</v>
      </c>
      <c r="W29" s="103">
        <v>0.98899999999999999</v>
      </c>
      <c r="X29" s="1">
        <v>0</v>
      </c>
      <c r="Y29" s="15">
        <v>0</v>
      </c>
      <c r="Z29" s="13">
        <v>0</v>
      </c>
      <c r="AA29" s="104">
        <v>0</v>
      </c>
      <c r="AB29" s="104">
        <v>0</v>
      </c>
      <c r="AC29" s="105">
        <v>0</v>
      </c>
      <c r="AD29" s="106">
        <v>0</v>
      </c>
      <c r="AE29" s="1">
        <v>0</v>
      </c>
      <c r="AF29" s="108"/>
      <c r="AG29" s="1" t="s">
        <v>89</v>
      </c>
      <c r="AH29" s="1">
        <v>0</v>
      </c>
      <c r="AJ29" s="71">
        <v>14</v>
      </c>
      <c r="AK29" s="71">
        <v>-24</v>
      </c>
    </row>
    <row r="30" spans="1:38" x14ac:dyDescent="0.25">
      <c r="A30" s="4"/>
      <c r="B30" s="94" t="s">
        <v>92</v>
      </c>
      <c r="C30" s="95" t="s">
        <v>93</v>
      </c>
      <c r="D30" s="14">
        <v>50000</v>
      </c>
      <c r="E30" s="1">
        <v>309407</v>
      </c>
      <c r="F30" s="96" t="s">
        <v>62</v>
      </c>
      <c r="G30" s="97">
        <v>2272</v>
      </c>
      <c r="H30" s="97">
        <v>50532220</v>
      </c>
      <c r="I30" s="97">
        <v>22241.294014084506</v>
      </c>
      <c r="J30" s="98">
        <v>2272</v>
      </c>
      <c r="K30" s="97">
        <v>50415940</v>
      </c>
      <c r="L30" s="99">
        <v>22190.114436619719</v>
      </c>
      <c r="M30" s="100">
        <v>0</v>
      </c>
      <c r="N30" s="101">
        <v>0</v>
      </c>
      <c r="O30" s="102">
        <v>0</v>
      </c>
      <c r="P30" s="1">
        <v>22270</v>
      </c>
      <c r="Q30" s="71">
        <v>22318.77</v>
      </c>
      <c r="R30" s="14">
        <v>-65220.00000000291</v>
      </c>
      <c r="S30" s="1">
        <v>181499.9999999993</v>
      </c>
      <c r="T30" s="15">
        <v>116279.99999999639</v>
      </c>
      <c r="U30" s="103">
        <v>0.37690000000000001</v>
      </c>
      <c r="V30" s="103">
        <v>0.3911</v>
      </c>
      <c r="W30" s="103">
        <v>0.78759999999999997</v>
      </c>
      <c r="X30" s="1">
        <v>0</v>
      </c>
      <c r="Y30" s="15">
        <v>0</v>
      </c>
      <c r="Z30" s="13">
        <v>0</v>
      </c>
      <c r="AA30" s="104">
        <v>0</v>
      </c>
      <c r="AB30" s="104">
        <v>0</v>
      </c>
      <c r="AC30" s="105">
        <v>0</v>
      </c>
      <c r="AD30" s="106">
        <v>0</v>
      </c>
      <c r="AE30" s="1">
        <v>0</v>
      </c>
      <c r="AF30" s="108"/>
      <c r="AG30" s="1" t="s">
        <v>92</v>
      </c>
      <c r="AH30" s="1">
        <v>0</v>
      </c>
      <c r="AJ30" s="71">
        <v>4</v>
      </c>
      <c r="AK30" s="71">
        <v>-29</v>
      </c>
    </row>
    <row r="31" spans="1:38" x14ac:dyDescent="0.25">
      <c r="A31" s="4"/>
      <c r="B31" s="94" t="s">
        <v>94</v>
      </c>
      <c r="C31" s="95" t="s">
        <v>95</v>
      </c>
      <c r="D31" s="14">
        <v>20000</v>
      </c>
      <c r="E31" s="1">
        <v>237161</v>
      </c>
      <c r="F31" s="96" t="s">
        <v>62</v>
      </c>
      <c r="G31" s="97">
        <v>14240</v>
      </c>
      <c r="H31" s="97">
        <v>120171970</v>
      </c>
      <c r="I31" s="97">
        <v>8439.0428370786522</v>
      </c>
      <c r="J31" s="98">
        <v>14240</v>
      </c>
      <c r="K31" s="97">
        <v>120484280</v>
      </c>
      <c r="L31" s="99">
        <v>8460.9747191011229</v>
      </c>
      <c r="M31" s="100">
        <v>0</v>
      </c>
      <c r="N31" s="101">
        <v>0</v>
      </c>
      <c r="O31" s="102">
        <v>0</v>
      </c>
      <c r="P31" s="1">
        <v>8450</v>
      </c>
      <c r="Q31" s="71">
        <v>8469.86</v>
      </c>
      <c r="R31" s="14">
        <v>-156029.99999999331</v>
      </c>
      <c r="S31" s="1">
        <v>-156279.9999999901</v>
      </c>
      <c r="T31" s="15">
        <v>-312309.99999998341</v>
      </c>
      <c r="U31" s="103">
        <v>0.18990000000000001</v>
      </c>
      <c r="V31" s="103">
        <v>0.3417</v>
      </c>
      <c r="W31" s="103">
        <v>0.44790000000000002</v>
      </c>
      <c r="X31" s="1">
        <v>0</v>
      </c>
      <c r="Y31" s="15">
        <v>0</v>
      </c>
      <c r="Z31" s="13">
        <v>0</v>
      </c>
      <c r="AA31" s="104">
        <v>0</v>
      </c>
      <c r="AB31" s="104">
        <v>0</v>
      </c>
      <c r="AC31" s="105">
        <v>0</v>
      </c>
      <c r="AD31" s="106">
        <v>0</v>
      </c>
      <c r="AE31" s="1">
        <v>0</v>
      </c>
      <c r="AF31" s="108"/>
      <c r="AG31" s="1" t="s">
        <v>94</v>
      </c>
      <c r="AH31" s="1">
        <v>0</v>
      </c>
      <c r="AJ31" s="71">
        <v>10</v>
      </c>
      <c r="AK31" s="71">
        <v>-30</v>
      </c>
    </row>
    <row r="32" spans="1:38" x14ac:dyDescent="0.25">
      <c r="A32" s="4"/>
      <c r="B32" s="94" t="s">
        <v>96</v>
      </c>
      <c r="C32" s="95" t="s">
        <v>97</v>
      </c>
      <c r="D32" s="14">
        <v>50000</v>
      </c>
      <c r="E32" s="1">
        <v>515197</v>
      </c>
      <c r="F32" s="96" t="s">
        <v>62</v>
      </c>
      <c r="G32" s="97">
        <v>2906</v>
      </c>
      <c r="H32" s="97">
        <v>41162105</v>
      </c>
      <c r="I32" s="97">
        <v>14164.523399862353</v>
      </c>
      <c r="J32" s="98">
        <v>2906</v>
      </c>
      <c r="K32" s="97">
        <v>41628450</v>
      </c>
      <c r="L32" s="99">
        <v>14325</v>
      </c>
      <c r="M32" s="100">
        <v>0</v>
      </c>
      <c r="N32" s="101">
        <v>0</v>
      </c>
      <c r="O32" s="102">
        <v>0</v>
      </c>
      <c r="P32" s="1">
        <v>14370</v>
      </c>
      <c r="Q32" s="71">
        <v>14382.5</v>
      </c>
      <c r="R32" s="14">
        <v>-597115.00000000081</v>
      </c>
      <c r="S32" s="1">
        <v>130770</v>
      </c>
      <c r="T32" s="15">
        <v>-466345.00000000081</v>
      </c>
      <c r="U32" s="103">
        <v>0.50109999999999999</v>
      </c>
      <c r="V32" s="103">
        <v>0.80800000000000005</v>
      </c>
      <c r="W32" s="103">
        <v>0.81640000000000001</v>
      </c>
      <c r="X32" s="1">
        <v>0</v>
      </c>
      <c r="Y32" s="15">
        <v>0</v>
      </c>
      <c r="Z32" s="13">
        <v>0</v>
      </c>
      <c r="AA32" s="104">
        <v>0</v>
      </c>
      <c r="AB32" s="104">
        <v>0</v>
      </c>
      <c r="AC32" s="105">
        <v>0</v>
      </c>
      <c r="AD32" s="106">
        <v>0</v>
      </c>
      <c r="AE32" s="1">
        <v>0</v>
      </c>
      <c r="AF32" s="108"/>
      <c r="AG32" s="1" t="s">
        <v>96</v>
      </c>
      <c r="AH32" s="1">
        <v>0</v>
      </c>
      <c r="AJ32" s="71">
        <v>6</v>
      </c>
      <c r="AK32" s="71">
        <v>-29</v>
      </c>
    </row>
    <row r="33" spans="1:37" x14ac:dyDescent="0.25">
      <c r="A33" s="4"/>
      <c r="B33" s="94" t="s">
        <v>98</v>
      </c>
      <c r="C33" s="95" t="s">
        <v>99</v>
      </c>
      <c r="D33" s="14">
        <v>50000</v>
      </c>
      <c r="E33" s="1">
        <v>89424</v>
      </c>
      <c r="F33" s="96" t="s">
        <v>62</v>
      </c>
      <c r="G33" s="97">
        <v>7372</v>
      </c>
      <c r="H33" s="97">
        <v>113898630</v>
      </c>
      <c r="I33" s="97">
        <v>15450.1668475312</v>
      </c>
      <c r="J33" s="98">
        <v>7372</v>
      </c>
      <c r="K33" s="97">
        <v>114571655</v>
      </c>
      <c r="L33" s="99">
        <v>15541.461611502984</v>
      </c>
      <c r="M33" s="100">
        <v>0</v>
      </c>
      <c r="N33" s="101">
        <v>0</v>
      </c>
      <c r="O33" s="102">
        <v>0</v>
      </c>
      <c r="P33" s="1">
        <v>15455</v>
      </c>
      <c r="Q33" s="71">
        <v>15451.24</v>
      </c>
      <c r="R33" s="14">
        <v>-35629.999999994398</v>
      </c>
      <c r="S33" s="1">
        <v>-637394.99999999767</v>
      </c>
      <c r="T33" s="15">
        <v>-673024.99999999208</v>
      </c>
      <c r="U33" s="103">
        <v>0.10780000000000001</v>
      </c>
      <c r="V33" s="103">
        <v>0.2999</v>
      </c>
      <c r="W33" s="103">
        <v>0.51639999999999997</v>
      </c>
      <c r="X33" s="1">
        <v>0</v>
      </c>
      <c r="Y33" s="15">
        <v>0</v>
      </c>
      <c r="Z33" s="13">
        <v>0</v>
      </c>
      <c r="AA33" s="104">
        <v>0</v>
      </c>
      <c r="AB33" s="104">
        <v>0</v>
      </c>
      <c r="AC33" s="105">
        <v>0</v>
      </c>
      <c r="AD33" s="106">
        <v>0</v>
      </c>
      <c r="AE33" s="1">
        <v>0</v>
      </c>
      <c r="AF33" s="108"/>
      <c r="AG33" s="1" t="s">
        <v>98</v>
      </c>
      <c r="AH33" s="1">
        <v>0</v>
      </c>
      <c r="AJ33" s="71">
        <v>5</v>
      </c>
      <c r="AK33" s="71">
        <v>-22</v>
      </c>
    </row>
    <row r="34" spans="1:37" x14ac:dyDescent="0.25">
      <c r="A34" s="4"/>
      <c r="B34" s="94" t="s">
        <v>100</v>
      </c>
      <c r="C34" s="95" t="s">
        <v>101</v>
      </c>
      <c r="D34" s="14">
        <v>50000</v>
      </c>
      <c r="E34" s="1">
        <v>545999</v>
      </c>
      <c r="F34" s="96" t="s">
        <v>62</v>
      </c>
      <c r="G34" s="97">
        <v>17107</v>
      </c>
      <c r="H34" s="97">
        <v>449417525</v>
      </c>
      <c r="I34" s="97">
        <v>26270.9724089554</v>
      </c>
      <c r="J34" s="98">
        <v>17107</v>
      </c>
      <c r="K34" s="97">
        <v>451760475</v>
      </c>
      <c r="L34" s="99">
        <v>26407.930963932893</v>
      </c>
      <c r="M34" s="100">
        <v>0</v>
      </c>
      <c r="N34" s="101">
        <v>0</v>
      </c>
      <c r="O34" s="102">
        <v>0</v>
      </c>
      <c r="P34" s="1">
        <v>26325</v>
      </c>
      <c r="Q34" s="71">
        <v>26327.18</v>
      </c>
      <c r="R34" s="14">
        <v>-924249.99999996927</v>
      </c>
      <c r="S34" s="1">
        <v>-1418700.0000000016</v>
      </c>
      <c r="T34" s="15">
        <v>-2342949.9999999711</v>
      </c>
      <c r="U34" s="103">
        <v>0.11360000000000001</v>
      </c>
      <c r="V34" s="103">
        <v>0.2359</v>
      </c>
      <c r="W34" s="103">
        <v>0.37219999999999998</v>
      </c>
      <c r="X34" s="1">
        <v>0</v>
      </c>
      <c r="Y34" s="15">
        <v>0</v>
      </c>
      <c r="Z34" s="13">
        <v>0</v>
      </c>
      <c r="AA34" s="104">
        <v>0</v>
      </c>
      <c r="AB34" s="104">
        <v>0</v>
      </c>
      <c r="AC34" s="105">
        <v>0</v>
      </c>
      <c r="AD34" s="106">
        <v>0</v>
      </c>
      <c r="AE34" s="1">
        <v>0</v>
      </c>
      <c r="AF34" s="108"/>
      <c r="AG34" s="1" t="s">
        <v>100</v>
      </c>
      <c r="AH34" s="1">
        <v>0</v>
      </c>
      <c r="AJ34" s="71">
        <v>3</v>
      </c>
      <c r="AK34" s="71">
        <v>-21</v>
      </c>
    </row>
    <row r="35" spans="1:37" x14ac:dyDescent="0.25">
      <c r="A35" s="4"/>
      <c r="B35" s="94" t="s">
        <v>102</v>
      </c>
      <c r="C35" s="95" t="s">
        <v>103</v>
      </c>
      <c r="D35" s="14">
        <v>20000</v>
      </c>
      <c r="E35" s="1">
        <v>697779</v>
      </c>
      <c r="F35" s="96" t="s">
        <v>62</v>
      </c>
      <c r="G35" s="97">
        <v>4596</v>
      </c>
      <c r="H35" s="97">
        <v>37897305</v>
      </c>
      <c r="I35" s="97">
        <v>8245.714751958225</v>
      </c>
      <c r="J35" s="98">
        <v>4596</v>
      </c>
      <c r="K35" s="97">
        <v>37112700</v>
      </c>
      <c r="L35" s="99">
        <v>8075</v>
      </c>
      <c r="M35" s="100">
        <v>0</v>
      </c>
      <c r="N35" s="101">
        <v>0</v>
      </c>
      <c r="O35" s="102">
        <v>0</v>
      </c>
      <c r="P35" s="1">
        <v>8100</v>
      </c>
      <c r="Q35" s="71">
        <v>8097.88</v>
      </c>
      <c r="R35" s="14">
        <v>669705.00000000186</v>
      </c>
      <c r="S35" s="1">
        <v>114900</v>
      </c>
      <c r="T35" s="15">
        <v>784605.00000000186</v>
      </c>
      <c r="U35" s="103">
        <v>0.4294</v>
      </c>
      <c r="V35" s="103">
        <v>0.51380000000000003</v>
      </c>
      <c r="W35" s="103">
        <v>0.66310000000000002</v>
      </c>
      <c r="X35" s="1">
        <v>0</v>
      </c>
      <c r="Y35" s="15">
        <v>0</v>
      </c>
      <c r="Z35" s="13">
        <v>0</v>
      </c>
      <c r="AA35" s="104">
        <v>0</v>
      </c>
      <c r="AB35" s="104">
        <v>0</v>
      </c>
      <c r="AC35" s="105">
        <v>0</v>
      </c>
      <c r="AD35" s="106">
        <v>0</v>
      </c>
      <c r="AE35" s="1">
        <v>0</v>
      </c>
      <c r="AF35" s="108"/>
      <c r="AG35" s="1" t="s">
        <v>102</v>
      </c>
      <c r="AH35" s="1">
        <v>0</v>
      </c>
      <c r="AJ35" s="71">
        <v>9</v>
      </c>
      <c r="AK35" s="71">
        <v>-30</v>
      </c>
    </row>
    <row r="36" spans="1:37" x14ac:dyDescent="0.25">
      <c r="A36" s="4"/>
      <c r="B36" s="94" t="s">
        <v>104</v>
      </c>
      <c r="C36" s="95" t="s">
        <v>105</v>
      </c>
      <c r="D36" s="14">
        <v>50000</v>
      </c>
      <c r="E36" s="1">
        <v>60413</v>
      </c>
      <c r="F36" s="96" t="s">
        <v>62</v>
      </c>
      <c r="G36" s="97">
        <v>963</v>
      </c>
      <c r="H36" s="97">
        <v>3577650</v>
      </c>
      <c r="I36" s="97">
        <v>3715.1090342679126</v>
      </c>
      <c r="J36" s="98">
        <v>963</v>
      </c>
      <c r="K36" s="97">
        <v>3572730</v>
      </c>
      <c r="L36" s="99">
        <v>3710</v>
      </c>
      <c r="M36" s="100">
        <v>0</v>
      </c>
      <c r="N36" s="101">
        <v>0</v>
      </c>
      <c r="O36" s="102">
        <v>0</v>
      </c>
      <c r="P36" s="1">
        <v>3725</v>
      </c>
      <c r="Q36" s="71">
        <v>3722.39</v>
      </c>
      <c r="R36" s="14">
        <v>-9525.0000000001201</v>
      </c>
      <c r="S36" s="1">
        <v>14445</v>
      </c>
      <c r="T36" s="15">
        <v>4919.9999999998799</v>
      </c>
      <c r="U36" s="103">
        <v>8.9700000000000002E-2</v>
      </c>
      <c r="V36" s="103">
        <v>0.46929999999999999</v>
      </c>
      <c r="W36" s="103">
        <v>0.58989999999999998</v>
      </c>
      <c r="X36" s="1">
        <v>0</v>
      </c>
      <c r="Y36" s="15">
        <v>0</v>
      </c>
      <c r="Z36" s="13">
        <v>0</v>
      </c>
      <c r="AA36" s="104">
        <v>0</v>
      </c>
      <c r="AB36" s="104">
        <v>0</v>
      </c>
      <c r="AC36" s="105">
        <v>0</v>
      </c>
      <c r="AD36" s="106">
        <v>0</v>
      </c>
      <c r="AE36" s="1">
        <v>0</v>
      </c>
      <c r="AF36" s="108"/>
      <c r="AG36" s="1" t="s">
        <v>104</v>
      </c>
      <c r="AH36" s="1">
        <v>0</v>
      </c>
      <c r="AJ36" s="71">
        <v>13</v>
      </c>
      <c r="AK36" s="71">
        <v>-33</v>
      </c>
    </row>
    <row r="37" spans="1:37" x14ac:dyDescent="0.25">
      <c r="A37" s="4"/>
      <c r="B37" s="94" t="s">
        <v>106</v>
      </c>
      <c r="C37" s="95" t="s">
        <v>107</v>
      </c>
      <c r="D37" s="14">
        <v>30000</v>
      </c>
      <c r="E37" s="1">
        <v>156774</v>
      </c>
      <c r="F37" s="96" t="s">
        <v>62</v>
      </c>
      <c r="G37" s="97">
        <v>3520</v>
      </c>
      <c r="H37" s="97">
        <v>9441350</v>
      </c>
      <c r="I37" s="97">
        <v>2682.2017045454545</v>
      </c>
      <c r="J37" s="98">
        <v>3520</v>
      </c>
      <c r="K37" s="97">
        <v>9416030</v>
      </c>
      <c r="L37" s="99">
        <v>2675.0085227272725</v>
      </c>
      <c r="M37" s="100">
        <v>0</v>
      </c>
      <c r="N37" s="101">
        <v>0</v>
      </c>
      <c r="O37" s="102">
        <v>0</v>
      </c>
      <c r="P37" s="1">
        <v>2675</v>
      </c>
      <c r="Q37" s="71">
        <v>2674.85</v>
      </c>
      <c r="R37" s="14">
        <v>25349.999999999854</v>
      </c>
      <c r="S37" s="1">
        <v>-29.999999999272404</v>
      </c>
      <c r="T37" s="15">
        <v>25320.000000000582</v>
      </c>
      <c r="U37" s="103">
        <v>2.8999999999999998E-3</v>
      </c>
      <c r="V37" s="103">
        <v>0.37959999999999999</v>
      </c>
      <c r="W37" s="103">
        <v>0.40500000000000003</v>
      </c>
      <c r="X37" s="1">
        <v>0</v>
      </c>
      <c r="Y37" s="15">
        <v>0</v>
      </c>
      <c r="Z37" s="13">
        <v>0</v>
      </c>
      <c r="AA37" s="104">
        <v>0</v>
      </c>
      <c r="AB37" s="104">
        <v>0</v>
      </c>
      <c r="AC37" s="105">
        <v>0</v>
      </c>
      <c r="AD37" s="106">
        <v>0</v>
      </c>
      <c r="AE37" s="1">
        <v>0</v>
      </c>
      <c r="AF37" s="108"/>
      <c r="AG37" s="1" t="s">
        <v>106</v>
      </c>
      <c r="AH37" s="1">
        <v>0</v>
      </c>
      <c r="AJ37" s="71">
        <v>16</v>
      </c>
      <c r="AK37" s="71">
        <v>-30</v>
      </c>
    </row>
    <row r="38" spans="1:37" x14ac:dyDescent="0.25">
      <c r="A38" s="4"/>
      <c r="B38" s="94" t="s">
        <v>108</v>
      </c>
      <c r="C38" s="95" t="s">
        <v>109</v>
      </c>
      <c r="D38" s="14">
        <v>20000</v>
      </c>
      <c r="E38" s="1">
        <v>112884</v>
      </c>
      <c r="F38" s="96" t="s">
        <v>62</v>
      </c>
      <c r="G38" s="97">
        <v>920</v>
      </c>
      <c r="H38" s="97">
        <v>47601105</v>
      </c>
      <c r="I38" s="97">
        <v>51740.331521739128</v>
      </c>
      <c r="J38" s="98">
        <v>920</v>
      </c>
      <c r="K38" s="97">
        <v>47076585</v>
      </c>
      <c r="L38" s="99">
        <v>51170.20108695652</v>
      </c>
      <c r="M38" s="100">
        <v>0</v>
      </c>
      <c r="N38" s="101">
        <v>0</v>
      </c>
      <c r="O38" s="102">
        <v>0</v>
      </c>
      <c r="P38" s="1">
        <v>51065</v>
      </c>
      <c r="Q38" s="71">
        <v>51057.22</v>
      </c>
      <c r="R38" s="14">
        <v>621304.9999999979</v>
      </c>
      <c r="S38" s="1">
        <v>-96784.999999998545</v>
      </c>
      <c r="T38" s="15">
        <v>524519.9999999993</v>
      </c>
      <c r="U38" s="103">
        <v>0.3866</v>
      </c>
      <c r="V38" s="103">
        <v>0.33910000000000001</v>
      </c>
      <c r="W38" s="103">
        <v>0.60460000000000003</v>
      </c>
      <c r="X38" s="1">
        <v>0</v>
      </c>
      <c r="Y38" s="15">
        <v>0</v>
      </c>
      <c r="Z38" s="13">
        <v>0</v>
      </c>
      <c r="AA38" s="104">
        <v>0</v>
      </c>
      <c r="AB38" s="104">
        <v>0</v>
      </c>
      <c r="AC38" s="105">
        <v>0</v>
      </c>
      <c r="AD38" s="106">
        <v>0</v>
      </c>
      <c r="AF38" s="108"/>
      <c r="AG38" s="1" t="s">
        <v>108</v>
      </c>
      <c r="AH38" s="1">
        <v>0</v>
      </c>
      <c r="AJ38" s="71">
        <v>5</v>
      </c>
      <c r="AK38" s="71">
        <v>-22</v>
      </c>
    </row>
    <row r="39" spans="1:37" x14ac:dyDescent="0.25">
      <c r="A39" s="4"/>
      <c r="B39" s="94" t="s">
        <v>110</v>
      </c>
      <c r="C39" s="95" t="s">
        <v>111</v>
      </c>
      <c r="D39" s="14">
        <v>50000</v>
      </c>
      <c r="E39" s="1">
        <v>152242</v>
      </c>
      <c r="F39" s="96" t="s">
        <v>62</v>
      </c>
      <c r="G39" s="97">
        <v>1000</v>
      </c>
      <c r="H39" s="97">
        <v>25740000</v>
      </c>
      <c r="I39" s="97">
        <v>25740</v>
      </c>
      <c r="J39" s="98">
        <v>1000</v>
      </c>
      <c r="K39" s="97">
        <v>25355000</v>
      </c>
      <c r="L39" s="99">
        <v>25355</v>
      </c>
      <c r="M39" s="100">
        <v>0</v>
      </c>
      <c r="N39" s="101">
        <v>0</v>
      </c>
      <c r="O39" s="102">
        <v>0</v>
      </c>
      <c r="P39" s="1">
        <v>25820</v>
      </c>
      <c r="Q39" s="71">
        <v>25882.880000000001</v>
      </c>
      <c r="R39" s="14">
        <v>-80000</v>
      </c>
      <c r="S39" s="1">
        <v>465000</v>
      </c>
      <c r="T39" s="15">
        <v>385000</v>
      </c>
      <c r="U39" s="103">
        <v>0.19989999999999999</v>
      </c>
      <c r="V39" s="103">
        <v>0.81720000000000004</v>
      </c>
      <c r="W39" s="103">
        <v>0.68969999999999998</v>
      </c>
      <c r="X39" s="1">
        <v>0</v>
      </c>
      <c r="Y39" s="15">
        <v>0</v>
      </c>
      <c r="Z39" s="13">
        <v>0</v>
      </c>
      <c r="AA39" s="104">
        <v>0</v>
      </c>
      <c r="AB39" s="104">
        <v>0</v>
      </c>
      <c r="AC39" s="105">
        <v>0</v>
      </c>
      <c r="AD39" s="106">
        <v>0</v>
      </c>
      <c r="AE39" s="1">
        <v>0</v>
      </c>
      <c r="AF39" s="108"/>
      <c r="AG39" s="1" t="s">
        <v>110</v>
      </c>
      <c r="AH39" s="1">
        <v>0</v>
      </c>
      <c r="AJ39" s="71">
        <v>8</v>
      </c>
      <c r="AK39" s="71">
        <v>-28</v>
      </c>
    </row>
    <row r="40" spans="1:37" x14ac:dyDescent="0.25">
      <c r="A40" s="4"/>
      <c r="B40" s="114" t="s">
        <v>112</v>
      </c>
      <c r="C40" s="115" t="s">
        <v>113</v>
      </c>
      <c r="D40" s="14">
        <v>50000</v>
      </c>
      <c r="E40" s="116">
        <v>704450</v>
      </c>
      <c r="F40" s="117" t="s">
        <v>62</v>
      </c>
      <c r="G40" s="97">
        <v>8425</v>
      </c>
      <c r="H40" s="97">
        <v>471563425</v>
      </c>
      <c r="I40" s="97">
        <v>55971.919881305635</v>
      </c>
      <c r="J40" s="98">
        <v>8425</v>
      </c>
      <c r="K40" s="97">
        <v>474731085</v>
      </c>
      <c r="L40" s="99">
        <v>56347.903264094959</v>
      </c>
      <c r="M40" s="100">
        <v>0</v>
      </c>
      <c r="N40" s="101">
        <v>0</v>
      </c>
      <c r="O40" s="102">
        <v>0</v>
      </c>
      <c r="P40" s="1">
        <v>56195</v>
      </c>
      <c r="Q40" s="71">
        <v>56233.42</v>
      </c>
      <c r="R40" s="14">
        <v>-1879450.000000021</v>
      </c>
      <c r="S40" s="1">
        <v>-1288210.0000000298</v>
      </c>
      <c r="T40" s="15">
        <v>-3167660.0000000508</v>
      </c>
      <c r="U40" s="103">
        <v>1.171</v>
      </c>
      <c r="V40" s="103">
        <v>9.11E-2</v>
      </c>
      <c r="W40" s="103">
        <v>0.91759999999999997</v>
      </c>
      <c r="X40" s="1">
        <v>0</v>
      </c>
      <c r="Y40" s="15">
        <v>0</v>
      </c>
      <c r="Z40" s="13">
        <v>0</v>
      </c>
      <c r="AA40" s="104">
        <v>0</v>
      </c>
      <c r="AB40" s="104">
        <v>0</v>
      </c>
      <c r="AC40" s="105">
        <v>0</v>
      </c>
      <c r="AD40" s="106">
        <v>0</v>
      </c>
      <c r="AE40" s="1">
        <v>0</v>
      </c>
      <c r="AG40" s="1" t="s">
        <v>112</v>
      </c>
      <c r="AH40" s="1">
        <v>0</v>
      </c>
      <c r="AJ40" s="71">
        <v>2</v>
      </c>
      <c r="AK40" s="71">
        <v>-23</v>
      </c>
    </row>
    <row r="41" spans="1:37" x14ac:dyDescent="0.25">
      <c r="A41" s="4"/>
      <c r="B41" s="118" t="s">
        <v>114</v>
      </c>
      <c r="C41" s="53" t="s">
        <v>115</v>
      </c>
      <c r="D41" s="14">
        <v>20000</v>
      </c>
      <c r="E41" s="20">
        <v>22990</v>
      </c>
      <c r="F41" s="119" t="s">
        <v>62</v>
      </c>
      <c r="G41" s="56">
        <v>10</v>
      </c>
      <c r="H41" s="56">
        <v>166750</v>
      </c>
      <c r="I41" s="56">
        <v>16675</v>
      </c>
      <c r="J41" s="55">
        <v>10</v>
      </c>
      <c r="K41" s="56">
        <v>168350</v>
      </c>
      <c r="L41" s="120">
        <v>16835</v>
      </c>
      <c r="M41" s="121">
        <v>0</v>
      </c>
      <c r="N41" s="122">
        <v>0</v>
      </c>
      <c r="O41" s="123">
        <v>0</v>
      </c>
      <c r="P41" s="20">
        <v>16710</v>
      </c>
      <c r="Q41" s="124">
        <v>16733.82</v>
      </c>
      <c r="R41" s="14">
        <v>-350</v>
      </c>
      <c r="S41" s="1">
        <v>-1250</v>
      </c>
      <c r="T41" s="15">
        <v>-1600</v>
      </c>
      <c r="U41" s="103">
        <v>5.8400000000000001E-2</v>
      </c>
      <c r="V41" s="103">
        <v>0.26590000000000003</v>
      </c>
      <c r="W41" s="103">
        <v>0.29430000000000001</v>
      </c>
      <c r="X41" s="1">
        <v>0</v>
      </c>
      <c r="Y41" s="15">
        <v>0</v>
      </c>
      <c r="Z41" s="13">
        <v>0</v>
      </c>
      <c r="AA41" s="104">
        <v>0</v>
      </c>
      <c r="AB41" s="104">
        <v>0</v>
      </c>
      <c r="AC41" s="105">
        <v>0</v>
      </c>
      <c r="AD41" s="106">
        <v>0</v>
      </c>
      <c r="AE41" s="1">
        <v>0</v>
      </c>
      <c r="AG41" s="1" t="s">
        <v>114</v>
      </c>
      <c r="AH41" s="1">
        <v>0</v>
      </c>
      <c r="AJ41" s="71">
        <v>7</v>
      </c>
      <c r="AK41" s="71">
        <v>-29</v>
      </c>
    </row>
    <row r="42" spans="1:37" x14ac:dyDescent="0.25">
      <c r="A42" s="4"/>
      <c r="B42" s="94" t="s">
        <v>116</v>
      </c>
      <c r="C42" s="95" t="s">
        <v>117</v>
      </c>
      <c r="D42" s="14">
        <v>20000</v>
      </c>
      <c r="E42" s="1">
        <v>128747</v>
      </c>
      <c r="F42" s="96" t="s">
        <v>62</v>
      </c>
      <c r="G42" s="97">
        <v>58</v>
      </c>
      <c r="H42" s="97">
        <v>758930</v>
      </c>
      <c r="I42" s="97">
        <v>13085</v>
      </c>
      <c r="J42" s="98">
        <v>58</v>
      </c>
      <c r="K42" s="97">
        <v>758930</v>
      </c>
      <c r="L42" s="99">
        <v>13085</v>
      </c>
      <c r="M42" s="100">
        <v>0</v>
      </c>
      <c r="N42" s="101">
        <v>0</v>
      </c>
      <c r="O42" s="102">
        <v>0</v>
      </c>
      <c r="P42" s="1">
        <v>13085</v>
      </c>
      <c r="Q42" s="71">
        <v>13099.14</v>
      </c>
      <c r="R42" s="14">
        <v>0</v>
      </c>
      <c r="S42" s="1">
        <v>0</v>
      </c>
      <c r="T42" s="15">
        <v>0</v>
      </c>
      <c r="U42" s="103">
        <v>-0.25369999999999998</v>
      </c>
      <c r="V42" s="103">
        <v>1.071</v>
      </c>
      <c r="W42" s="103">
        <v>0.75049999999999994</v>
      </c>
      <c r="X42" s="1">
        <v>0</v>
      </c>
      <c r="Y42" s="15">
        <v>0</v>
      </c>
      <c r="Z42" s="13">
        <v>0</v>
      </c>
      <c r="AA42" s="104">
        <v>0</v>
      </c>
      <c r="AB42" s="104">
        <v>0</v>
      </c>
      <c r="AC42" s="105">
        <v>0</v>
      </c>
      <c r="AD42" s="106">
        <v>0</v>
      </c>
      <c r="AF42" s="108"/>
      <c r="AG42" s="1" t="s">
        <v>116</v>
      </c>
      <c r="AH42" s="1">
        <v>0</v>
      </c>
      <c r="AJ42" s="71">
        <v>8</v>
      </c>
      <c r="AK42" s="71">
        <v>-33</v>
      </c>
    </row>
    <row r="43" spans="1:37" x14ac:dyDescent="0.25">
      <c r="A43" s="4"/>
      <c r="B43" s="94" t="s">
        <v>118</v>
      </c>
      <c r="C43" s="95" t="s">
        <v>119</v>
      </c>
      <c r="D43" s="14">
        <v>20000</v>
      </c>
      <c r="E43" s="1">
        <v>14634</v>
      </c>
      <c r="F43" s="96" t="s">
        <v>62</v>
      </c>
      <c r="G43" s="97">
        <v>0</v>
      </c>
      <c r="H43" s="97">
        <v>0</v>
      </c>
      <c r="I43" s="97">
        <v>0</v>
      </c>
      <c r="J43" s="98">
        <v>0</v>
      </c>
      <c r="K43" s="97">
        <v>0</v>
      </c>
      <c r="L43" s="99">
        <v>0</v>
      </c>
      <c r="M43" s="100">
        <v>0</v>
      </c>
      <c r="N43" s="101">
        <v>0</v>
      </c>
      <c r="O43" s="102">
        <v>0</v>
      </c>
      <c r="P43" s="1">
        <v>23695</v>
      </c>
      <c r="Q43" s="71">
        <v>23746.14</v>
      </c>
      <c r="R43" s="14">
        <v>0</v>
      </c>
      <c r="S43" s="1">
        <v>0</v>
      </c>
      <c r="T43" s="15">
        <v>0</v>
      </c>
      <c r="U43" s="103">
        <v>0.20219999999999999</v>
      </c>
      <c r="V43" s="103">
        <v>1.0415000000000001</v>
      </c>
      <c r="W43" s="103">
        <v>0.85740000000000005</v>
      </c>
      <c r="X43" s="1">
        <v>0</v>
      </c>
      <c r="Y43" s="15">
        <v>0</v>
      </c>
      <c r="Z43" s="13">
        <v>0</v>
      </c>
      <c r="AA43" s="104">
        <v>0</v>
      </c>
      <c r="AB43" s="104">
        <v>0</v>
      </c>
      <c r="AC43" s="105">
        <v>0</v>
      </c>
      <c r="AD43" s="106">
        <v>0</v>
      </c>
      <c r="AF43" s="108"/>
      <c r="AG43" s="1" t="s">
        <v>118</v>
      </c>
      <c r="AH43" s="1">
        <v>0</v>
      </c>
      <c r="AJ43" s="71">
        <v>13</v>
      </c>
      <c r="AK43" s="71">
        <v>-39</v>
      </c>
    </row>
    <row r="44" spans="1:37" x14ac:dyDescent="0.25">
      <c r="A44" s="4"/>
      <c r="B44" s="94" t="s">
        <v>120</v>
      </c>
      <c r="C44" s="95" t="s">
        <v>121</v>
      </c>
      <c r="D44" s="14">
        <v>20000</v>
      </c>
      <c r="E44" s="1">
        <v>15573</v>
      </c>
      <c r="F44" s="96" t="s">
        <v>62</v>
      </c>
      <c r="G44" s="97">
        <v>11</v>
      </c>
      <c r="H44" s="97">
        <v>409530</v>
      </c>
      <c r="I44" s="97">
        <v>37230</v>
      </c>
      <c r="J44" s="98">
        <v>11</v>
      </c>
      <c r="K44" s="97">
        <v>410225</v>
      </c>
      <c r="L44" s="99">
        <v>37293.181818181816</v>
      </c>
      <c r="M44" s="100">
        <v>0</v>
      </c>
      <c r="N44" s="101">
        <v>0</v>
      </c>
      <c r="O44" s="102">
        <v>0</v>
      </c>
      <c r="P44" s="1">
        <v>37245</v>
      </c>
      <c r="Q44" s="71">
        <v>37341.25</v>
      </c>
      <c r="R44" s="14">
        <v>-165</v>
      </c>
      <c r="S44" s="1">
        <v>-529.99999999997817</v>
      </c>
      <c r="T44" s="15">
        <v>-694.99999999997817</v>
      </c>
      <c r="U44" s="103">
        <v>0.80259999999999998</v>
      </c>
      <c r="V44" s="103">
        <v>8.7400000000000005E-2</v>
      </c>
      <c r="W44" s="103">
        <v>0.92190000000000005</v>
      </c>
      <c r="X44" s="1">
        <v>0</v>
      </c>
      <c r="Y44" s="15">
        <v>0</v>
      </c>
      <c r="Z44" s="13">
        <v>0</v>
      </c>
      <c r="AA44" s="104">
        <v>0</v>
      </c>
      <c r="AB44" s="104">
        <v>0</v>
      </c>
      <c r="AC44" s="105">
        <v>0</v>
      </c>
      <c r="AD44" s="106">
        <v>0</v>
      </c>
      <c r="AF44" s="108"/>
      <c r="AG44" s="1" t="s">
        <v>120</v>
      </c>
      <c r="AH44" s="1">
        <v>0</v>
      </c>
      <c r="AJ44" s="71">
        <v>12</v>
      </c>
      <c r="AK44" s="71">
        <v>-30</v>
      </c>
    </row>
    <row r="45" spans="1:37" x14ac:dyDescent="0.25">
      <c r="A45" s="4"/>
      <c r="B45" s="94" t="s">
        <v>122</v>
      </c>
      <c r="C45" s="95" t="s">
        <v>123</v>
      </c>
      <c r="D45" s="14">
        <v>20000</v>
      </c>
      <c r="E45" s="1">
        <v>15911</v>
      </c>
      <c r="F45" s="96" t="s">
        <v>62</v>
      </c>
      <c r="G45" s="97">
        <v>0</v>
      </c>
      <c r="H45" s="97">
        <v>0</v>
      </c>
      <c r="I45" s="97">
        <v>0</v>
      </c>
      <c r="J45" s="98">
        <v>0</v>
      </c>
      <c r="K45" s="97">
        <v>0</v>
      </c>
      <c r="L45" s="99">
        <v>0</v>
      </c>
      <c r="M45" s="100">
        <v>0</v>
      </c>
      <c r="N45" s="101">
        <v>0</v>
      </c>
      <c r="O45" s="102">
        <v>0</v>
      </c>
      <c r="P45" s="1">
        <v>17500</v>
      </c>
      <c r="Q45" s="71">
        <v>17538.240000000002</v>
      </c>
      <c r="R45" s="14">
        <v>0</v>
      </c>
      <c r="S45" s="1">
        <v>0</v>
      </c>
      <c r="T45" s="15">
        <v>0</v>
      </c>
      <c r="U45" s="103">
        <v>0.27500000000000002</v>
      </c>
      <c r="V45" s="103">
        <v>0.42570000000000002</v>
      </c>
      <c r="W45" s="103">
        <v>0.68030000000000002</v>
      </c>
      <c r="X45" s="1">
        <v>0</v>
      </c>
      <c r="Y45" s="15">
        <v>0</v>
      </c>
      <c r="Z45" s="13">
        <v>0</v>
      </c>
      <c r="AA45" s="104">
        <v>0</v>
      </c>
      <c r="AB45" s="104">
        <v>0</v>
      </c>
      <c r="AC45" s="105">
        <v>0</v>
      </c>
      <c r="AD45" s="106">
        <v>0</v>
      </c>
      <c r="AF45" s="108"/>
      <c r="AG45" s="1" t="s">
        <v>122</v>
      </c>
      <c r="AH45" s="1">
        <v>0</v>
      </c>
      <c r="AJ45" s="71">
        <v>15</v>
      </c>
      <c r="AK45" s="71">
        <v>-32</v>
      </c>
    </row>
    <row r="46" spans="1:37" x14ac:dyDescent="0.25">
      <c r="A46" s="4"/>
      <c r="B46" s="94" t="s">
        <v>124</v>
      </c>
      <c r="C46" s="95" t="s">
        <v>125</v>
      </c>
      <c r="D46" s="14">
        <v>20000</v>
      </c>
      <c r="E46" s="1">
        <v>38434</v>
      </c>
      <c r="F46" s="96" t="s">
        <v>62</v>
      </c>
      <c r="G46" s="97">
        <v>76</v>
      </c>
      <c r="H46" s="97">
        <v>948930</v>
      </c>
      <c r="I46" s="97">
        <v>12485.921052631578</v>
      </c>
      <c r="J46" s="98">
        <v>76</v>
      </c>
      <c r="K46" s="97">
        <v>957210</v>
      </c>
      <c r="L46" s="99">
        <v>12594.868421052632</v>
      </c>
      <c r="M46" s="100">
        <v>0</v>
      </c>
      <c r="N46" s="101">
        <v>0</v>
      </c>
      <c r="O46" s="102">
        <v>0</v>
      </c>
      <c r="P46" s="1">
        <v>12530</v>
      </c>
      <c r="Q46" s="71">
        <v>12551.74</v>
      </c>
      <c r="R46" s="14">
        <v>-3350.0000000000509</v>
      </c>
      <c r="S46" s="1">
        <v>-4930.0000000000073</v>
      </c>
      <c r="T46" s="15">
        <v>-8280.0000000000582</v>
      </c>
      <c r="U46" s="103">
        <v>0.33389999999999997</v>
      </c>
      <c r="V46" s="103">
        <v>0.26079999999999998</v>
      </c>
      <c r="W46" s="103">
        <v>0.36480000000000001</v>
      </c>
      <c r="X46" s="1">
        <v>0</v>
      </c>
      <c r="Y46" s="15">
        <v>0</v>
      </c>
      <c r="Z46" s="13">
        <v>0</v>
      </c>
      <c r="AA46" s="104">
        <v>0</v>
      </c>
      <c r="AB46" s="104">
        <v>0</v>
      </c>
      <c r="AC46" s="105">
        <v>0</v>
      </c>
      <c r="AD46" s="106">
        <v>0</v>
      </c>
      <c r="AF46" s="108"/>
      <c r="AG46" s="1" t="s">
        <v>124</v>
      </c>
      <c r="AH46" s="1">
        <v>0</v>
      </c>
      <c r="AJ46" s="71">
        <v>6</v>
      </c>
      <c r="AK46" s="71">
        <v>-27</v>
      </c>
    </row>
    <row r="47" spans="1:37" x14ac:dyDescent="0.25">
      <c r="A47" s="4"/>
      <c r="B47" s="94" t="s">
        <v>126</v>
      </c>
      <c r="C47" s="95" t="s">
        <v>127</v>
      </c>
      <c r="D47" s="14">
        <v>50000</v>
      </c>
      <c r="E47" s="1">
        <v>13593</v>
      </c>
      <c r="F47" s="96" t="s">
        <v>62</v>
      </c>
      <c r="G47" s="97">
        <v>0</v>
      </c>
      <c r="H47" s="97">
        <v>0</v>
      </c>
      <c r="I47" s="97">
        <v>0</v>
      </c>
      <c r="J47" s="98">
        <v>0</v>
      </c>
      <c r="K47" s="97">
        <v>0</v>
      </c>
      <c r="L47" s="99">
        <v>0</v>
      </c>
      <c r="M47" s="100">
        <v>0</v>
      </c>
      <c r="N47" s="101">
        <v>0</v>
      </c>
      <c r="O47" s="102">
        <v>0</v>
      </c>
      <c r="P47" s="1">
        <v>6735</v>
      </c>
      <c r="Q47" s="71">
        <v>6741.92</v>
      </c>
      <c r="R47" s="14">
        <v>0</v>
      </c>
      <c r="S47" s="1">
        <v>0</v>
      </c>
      <c r="T47" s="15">
        <v>0</v>
      </c>
      <c r="U47" s="103">
        <v>2.1600000000000001E-2</v>
      </c>
      <c r="V47" s="103">
        <v>0.48959999999999998</v>
      </c>
      <c r="W47" s="103">
        <v>0.60550000000000004</v>
      </c>
      <c r="X47" s="1">
        <v>0</v>
      </c>
      <c r="Y47" s="15">
        <v>0</v>
      </c>
      <c r="Z47" s="13">
        <v>0</v>
      </c>
      <c r="AA47" s="104">
        <v>0</v>
      </c>
      <c r="AB47" s="104">
        <v>0</v>
      </c>
      <c r="AC47" s="105">
        <v>0</v>
      </c>
      <c r="AD47" s="106">
        <v>0</v>
      </c>
      <c r="AF47" s="108"/>
      <c r="AG47" s="1" t="s">
        <v>126</v>
      </c>
      <c r="AH47" s="1">
        <v>0</v>
      </c>
      <c r="AJ47" s="71">
        <v>12</v>
      </c>
      <c r="AK47" s="71">
        <v>-35</v>
      </c>
    </row>
    <row r="48" spans="1:37" x14ac:dyDescent="0.25">
      <c r="A48" s="4"/>
      <c r="B48" s="94" t="s">
        <v>128</v>
      </c>
      <c r="C48" s="95" t="s">
        <v>129</v>
      </c>
      <c r="D48" s="14">
        <v>50000</v>
      </c>
      <c r="E48" s="1">
        <v>13075</v>
      </c>
      <c r="F48" s="96" t="s">
        <v>62</v>
      </c>
      <c r="G48" s="97">
        <v>0</v>
      </c>
      <c r="H48" s="97">
        <v>0</v>
      </c>
      <c r="I48" s="97">
        <v>0</v>
      </c>
      <c r="J48" s="98">
        <v>0</v>
      </c>
      <c r="K48" s="97">
        <v>0</v>
      </c>
      <c r="L48" s="99">
        <v>0</v>
      </c>
      <c r="M48" s="100">
        <v>0</v>
      </c>
      <c r="N48" s="101">
        <v>0</v>
      </c>
      <c r="O48" s="102">
        <v>0</v>
      </c>
      <c r="P48" s="1">
        <v>7485</v>
      </c>
      <c r="Q48" s="71">
        <v>7491.67</v>
      </c>
      <c r="R48" s="14">
        <v>0</v>
      </c>
      <c r="S48" s="1">
        <v>0</v>
      </c>
      <c r="T48" s="15">
        <v>0</v>
      </c>
      <c r="U48" s="103">
        <v>8.2000000000000003E-2</v>
      </c>
      <c r="V48" s="103">
        <v>0.39829999999999999</v>
      </c>
      <c r="W48" s="103">
        <v>0.4587</v>
      </c>
      <c r="X48" s="1">
        <v>0</v>
      </c>
      <c r="Y48" s="15">
        <v>0</v>
      </c>
      <c r="Z48" s="13">
        <v>0</v>
      </c>
      <c r="AA48" s="104">
        <v>0</v>
      </c>
      <c r="AB48" s="104">
        <v>0</v>
      </c>
      <c r="AC48" s="105">
        <v>0</v>
      </c>
      <c r="AD48" s="106">
        <v>0</v>
      </c>
      <c r="AF48" s="108"/>
      <c r="AG48" s="1" t="s">
        <v>128</v>
      </c>
      <c r="AH48" s="1">
        <v>0</v>
      </c>
      <c r="AJ48" s="71">
        <v>13</v>
      </c>
      <c r="AK48" s="71">
        <v>-30</v>
      </c>
    </row>
    <row r="49" spans="1:37" x14ac:dyDescent="0.25">
      <c r="A49" s="4"/>
      <c r="B49" s="94" t="s">
        <v>130</v>
      </c>
      <c r="C49" s="95" t="s">
        <v>131</v>
      </c>
      <c r="D49" s="14">
        <v>20000</v>
      </c>
      <c r="E49" s="1">
        <v>19334</v>
      </c>
      <c r="F49" s="96" t="s">
        <v>62</v>
      </c>
      <c r="G49" s="97">
        <v>0</v>
      </c>
      <c r="H49" s="97">
        <v>0</v>
      </c>
      <c r="I49" s="97">
        <v>0</v>
      </c>
      <c r="J49" s="98">
        <v>0</v>
      </c>
      <c r="K49" s="97">
        <v>0</v>
      </c>
      <c r="L49" s="99">
        <v>0</v>
      </c>
      <c r="M49" s="100">
        <v>0</v>
      </c>
      <c r="N49" s="101">
        <v>0</v>
      </c>
      <c r="O49" s="102">
        <v>0</v>
      </c>
      <c r="P49" s="1">
        <v>20110</v>
      </c>
      <c r="Q49" s="71">
        <v>20145.75</v>
      </c>
      <c r="R49" s="14">
        <v>0</v>
      </c>
      <c r="S49" s="1">
        <v>0</v>
      </c>
      <c r="T49" s="15">
        <v>0</v>
      </c>
      <c r="U49" s="103">
        <v>-5.3699999999999998E-2</v>
      </c>
      <c r="V49" s="103">
        <v>0.52359999999999995</v>
      </c>
      <c r="W49" s="103">
        <v>0.47820000000000001</v>
      </c>
      <c r="X49" s="1">
        <v>0</v>
      </c>
      <c r="Y49" s="15">
        <v>0</v>
      </c>
      <c r="Z49" s="13">
        <v>0</v>
      </c>
      <c r="AA49" s="104">
        <v>0</v>
      </c>
      <c r="AB49" s="104">
        <v>0</v>
      </c>
      <c r="AC49" s="105">
        <v>0</v>
      </c>
      <c r="AD49" s="106">
        <v>0</v>
      </c>
      <c r="AF49" s="108"/>
      <c r="AG49" s="1" t="s">
        <v>130</v>
      </c>
      <c r="AH49" s="1">
        <v>0</v>
      </c>
      <c r="AJ49" s="71">
        <v>8</v>
      </c>
      <c r="AK49" s="71">
        <v>-28</v>
      </c>
    </row>
    <row r="50" spans="1:37" x14ac:dyDescent="0.25">
      <c r="A50" s="4"/>
      <c r="B50" s="94" t="s">
        <v>132</v>
      </c>
      <c r="C50" s="95" t="s">
        <v>133</v>
      </c>
      <c r="D50" s="14">
        <v>30000</v>
      </c>
      <c r="E50" s="1">
        <v>9748</v>
      </c>
      <c r="F50" s="96" t="s">
        <v>62</v>
      </c>
      <c r="G50" s="97">
        <v>0</v>
      </c>
      <c r="H50" s="97">
        <v>0</v>
      </c>
      <c r="I50" s="97">
        <v>0</v>
      </c>
      <c r="J50" s="98">
        <v>0</v>
      </c>
      <c r="K50" s="97">
        <v>0</v>
      </c>
      <c r="L50" s="99">
        <v>0</v>
      </c>
      <c r="M50" s="100">
        <v>0</v>
      </c>
      <c r="N50" s="101">
        <v>0</v>
      </c>
      <c r="O50" s="102">
        <v>0</v>
      </c>
      <c r="P50" s="1">
        <v>7845</v>
      </c>
      <c r="Q50" s="71">
        <v>7856.89</v>
      </c>
      <c r="R50" s="14">
        <v>0</v>
      </c>
      <c r="S50" s="1">
        <v>0</v>
      </c>
      <c r="T50" s="15">
        <v>0</v>
      </c>
      <c r="U50" s="103">
        <v>-0.1041</v>
      </c>
      <c r="V50" s="103">
        <v>0.46929999999999999</v>
      </c>
      <c r="W50" s="103">
        <v>0.499</v>
      </c>
      <c r="X50" s="1">
        <v>0</v>
      </c>
      <c r="Y50" s="15">
        <v>0</v>
      </c>
      <c r="Z50" s="13">
        <v>0</v>
      </c>
      <c r="AA50" s="104">
        <v>0</v>
      </c>
      <c r="AB50" s="104">
        <v>0</v>
      </c>
      <c r="AC50" s="105">
        <v>0</v>
      </c>
      <c r="AD50" s="106">
        <v>0</v>
      </c>
      <c r="AF50" s="108"/>
      <c r="AG50" s="1" t="s">
        <v>132</v>
      </c>
      <c r="AH50" s="1">
        <v>0</v>
      </c>
      <c r="AJ50" s="71">
        <v>15</v>
      </c>
      <c r="AK50" s="71">
        <v>-37</v>
      </c>
    </row>
    <row r="51" spans="1:37" x14ac:dyDescent="0.25">
      <c r="A51" s="4"/>
      <c r="B51" s="94" t="s">
        <v>134</v>
      </c>
      <c r="C51" s="95" t="s">
        <v>135</v>
      </c>
      <c r="D51" s="14">
        <v>50000</v>
      </c>
      <c r="E51" s="1">
        <v>993</v>
      </c>
      <c r="F51" s="96" t="s">
        <v>62</v>
      </c>
      <c r="G51" s="97">
        <v>0</v>
      </c>
      <c r="H51" s="97">
        <v>0</v>
      </c>
      <c r="I51" s="97">
        <v>0</v>
      </c>
      <c r="J51" s="98">
        <v>0</v>
      </c>
      <c r="K51" s="97">
        <v>0</v>
      </c>
      <c r="L51" s="99">
        <v>0</v>
      </c>
      <c r="M51" s="100">
        <v>0</v>
      </c>
      <c r="N51" s="101">
        <v>0</v>
      </c>
      <c r="O51" s="102">
        <v>0</v>
      </c>
      <c r="P51" s="1">
        <v>20050</v>
      </c>
      <c r="Q51" s="71">
        <v>20080.23</v>
      </c>
      <c r="R51" s="14">
        <v>0</v>
      </c>
      <c r="S51" s="1">
        <v>0</v>
      </c>
      <c r="T51" s="15">
        <v>0</v>
      </c>
      <c r="U51" s="103">
        <v>0.30009999999999998</v>
      </c>
      <c r="V51" s="103">
        <v>0.41160000000000002</v>
      </c>
      <c r="W51" s="103">
        <v>0.83899999999999997</v>
      </c>
      <c r="X51" s="1">
        <v>0</v>
      </c>
      <c r="Y51" s="15">
        <v>0</v>
      </c>
      <c r="Z51" s="13">
        <v>0</v>
      </c>
      <c r="AA51" s="104">
        <v>0</v>
      </c>
      <c r="AB51" s="104">
        <v>0</v>
      </c>
      <c r="AC51" s="105">
        <v>0</v>
      </c>
      <c r="AD51" s="106">
        <v>0</v>
      </c>
      <c r="AF51" s="108"/>
      <c r="AG51" s="1" t="s">
        <v>134</v>
      </c>
      <c r="AH51" s="1">
        <v>0</v>
      </c>
      <c r="AJ51" s="71">
        <v>16</v>
      </c>
      <c r="AK51" s="71">
        <v>-37</v>
      </c>
    </row>
    <row r="52" spans="1:37" x14ac:dyDescent="0.25">
      <c r="B52" s="107" t="s">
        <v>136</v>
      </c>
      <c r="C52" s="95" t="s">
        <v>137</v>
      </c>
      <c r="D52" s="14">
        <v>50000</v>
      </c>
      <c r="E52" s="1">
        <v>3338871</v>
      </c>
      <c r="F52" s="96" t="s">
        <v>62</v>
      </c>
      <c r="G52" s="97">
        <v>19406</v>
      </c>
      <c r="H52" s="97">
        <v>177544715</v>
      </c>
      <c r="I52" s="97">
        <v>9148.9598577759461</v>
      </c>
      <c r="J52" s="98">
        <v>19406</v>
      </c>
      <c r="K52" s="97">
        <v>177667425</v>
      </c>
      <c r="L52" s="99">
        <v>9155.2831598474695</v>
      </c>
      <c r="M52" s="100">
        <v>0</v>
      </c>
      <c r="N52" s="101">
        <v>0</v>
      </c>
      <c r="O52" s="102">
        <v>0</v>
      </c>
      <c r="P52" s="1">
        <v>9210</v>
      </c>
      <c r="Q52" s="71">
        <v>9215.94</v>
      </c>
      <c r="R52" s="14">
        <v>-1184544.9999999891</v>
      </c>
      <c r="S52" s="1">
        <v>1061835.0000000068</v>
      </c>
      <c r="T52" s="15">
        <v>-122709.9999999823</v>
      </c>
      <c r="U52" s="103">
        <v>0.40450000000000003</v>
      </c>
      <c r="V52" s="103">
        <v>0.64239999999999997</v>
      </c>
      <c r="W52" s="103">
        <v>0.59860000000000002</v>
      </c>
      <c r="X52" s="1">
        <v>0</v>
      </c>
      <c r="Y52" s="15">
        <v>0</v>
      </c>
      <c r="Z52" s="13">
        <v>0</v>
      </c>
      <c r="AA52" s="104">
        <v>0</v>
      </c>
      <c r="AB52" s="104">
        <v>0</v>
      </c>
      <c r="AC52" s="105">
        <v>0</v>
      </c>
      <c r="AD52" s="106">
        <v>0</v>
      </c>
      <c r="AG52" s="1" t="s">
        <v>138</v>
      </c>
      <c r="AH52" s="1">
        <v>0</v>
      </c>
      <c r="AJ52" s="71">
        <v>5</v>
      </c>
      <c r="AK52" s="71">
        <v>-26</v>
      </c>
    </row>
  </sheetData>
  <mergeCells count="22"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T12:V12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AB8B-93DA-40D9-86C5-4BC944D744E8}">
  <dimension ref="A1:X859"/>
  <sheetViews>
    <sheetView tabSelected="1" workbookViewId="0">
      <selection activeCell="C3" sqref="C3"/>
    </sheetView>
  </sheetViews>
  <sheetFormatPr defaultRowHeight="16.5" x14ac:dyDescent="0.3"/>
  <cols>
    <col min="1" max="1" width="9" style="7"/>
    <col min="2" max="2" width="34.625" bestFit="1" customWidth="1"/>
    <col min="3" max="4" width="5.25" bestFit="1" customWidth="1"/>
    <col min="6" max="6" width="7.125" bestFit="1" customWidth="1"/>
    <col min="13" max="13" width="5.25" bestFit="1" customWidth="1"/>
    <col min="15" max="15" width="8.5" bestFit="1" customWidth="1"/>
    <col min="16" max="16" width="10.25" bestFit="1" customWidth="1"/>
    <col min="18" max="18" width="7.125" bestFit="1" customWidth="1"/>
    <col min="19" max="19" width="5.25" bestFit="1" customWidth="1"/>
    <col min="21" max="21" width="11" bestFit="1" customWidth="1"/>
    <col min="23" max="23" width="13" bestFit="1" customWidth="1"/>
  </cols>
  <sheetData>
    <row r="1" spans="1:24" x14ac:dyDescent="0.3">
      <c r="A1" s="7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</row>
    <row r="2" spans="1:24" x14ac:dyDescent="0.3">
      <c r="A2" s="7" t="s">
        <v>69</v>
      </c>
      <c r="B2" t="s">
        <v>70</v>
      </c>
      <c r="C2" t="s">
        <v>163</v>
      </c>
      <c r="D2" t="s">
        <v>164</v>
      </c>
      <c r="E2" s="108">
        <v>1000</v>
      </c>
      <c r="F2">
        <v>0</v>
      </c>
      <c r="G2" s="108">
        <v>1000</v>
      </c>
      <c r="H2" s="108">
        <v>19290</v>
      </c>
      <c r="I2" s="108">
        <v>19290</v>
      </c>
      <c r="J2" s="150">
        <v>0.38678240740740738</v>
      </c>
      <c r="K2" s="150">
        <v>0.38679398148148153</v>
      </c>
      <c r="L2" t="s">
        <v>165</v>
      </c>
      <c r="N2">
        <v>80779</v>
      </c>
      <c r="O2">
        <v>80779</v>
      </c>
      <c r="P2">
        <v>80764</v>
      </c>
      <c r="Q2">
        <v>0</v>
      </c>
      <c r="R2" t="s">
        <v>166</v>
      </c>
      <c r="S2">
        <v>0</v>
      </c>
      <c r="T2" t="s">
        <v>167</v>
      </c>
      <c r="U2">
        <v>80764</v>
      </c>
      <c r="W2" t="s">
        <v>168</v>
      </c>
      <c r="X2" t="s">
        <v>166</v>
      </c>
    </row>
    <row r="3" spans="1:24" x14ac:dyDescent="0.3">
      <c r="A3" s="7" t="s">
        <v>63</v>
      </c>
      <c r="B3" t="s">
        <v>64</v>
      </c>
      <c r="C3" t="s">
        <v>163</v>
      </c>
      <c r="D3" t="s">
        <v>164</v>
      </c>
      <c r="E3" s="108">
        <v>1000</v>
      </c>
      <c r="F3">
        <v>0</v>
      </c>
      <c r="G3">
        <v>627</v>
      </c>
      <c r="H3" s="108">
        <v>4815</v>
      </c>
      <c r="I3" s="108">
        <v>4815</v>
      </c>
      <c r="J3" s="150">
        <v>0.38709490740740743</v>
      </c>
      <c r="K3" s="150">
        <v>0.38709490740740743</v>
      </c>
      <c r="L3" t="s">
        <v>165</v>
      </c>
      <c r="N3">
        <v>83288</v>
      </c>
      <c r="O3">
        <v>83288</v>
      </c>
      <c r="P3">
        <v>83275</v>
      </c>
      <c r="Q3">
        <v>373</v>
      </c>
      <c r="R3" t="s">
        <v>166</v>
      </c>
      <c r="S3">
        <v>0</v>
      </c>
      <c r="T3" t="s">
        <v>167</v>
      </c>
      <c r="U3">
        <v>83275</v>
      </c>
      <c r="W3" t="s">
        <v>168</v>
      </c>
      <c r="X3" t="s">
        <v>166</v>
      </c>
    </row>
    <row r="4" spans="1:24" x14ac:dyDescent="0.3">
      <c r="A4" s="7" t="s">
        <v>71</v>
      </c>
      <c r="B4" t="s">
        <v>72</v>
      </c>
      <c r="C4" t="s">
        <v>169</v>
      </c>
      <c r="D4" t="s">
        <v>164</v>
      </c>
      <c r="E4" s="108">
        <v>1000</v>
      </c>
      <c r="F4">
        <v>0</v>
      </c>
      <c r="G4" s="108">
        <v>1000</v>
      </c>
      <c r="H4" s="108">
        <v>18695</v>
      </c>
      <c r="I4" s="108">
        <v>18695</v>
      </c>
      <c r="J4" s="150">
        <v>0.38716435185185188</v>
      </c>
      <c r="K4" s="150">
        <v>0.38717592592592592</v>
      </c>
      <c r="L4" t="s">
        <v>165</v>
      </c>
      <c r="N4">
        <v>83776</v>
      </c>
      <c r="O4">
        <v>83776</v>
      </c>
      <c r="P4">
        <v>83765</v>
      </c>
      <c r="Q4">
        <v>0</v>
      </c>
      <c r="R4" t="s">
        <v>166</v>
      </c>
      <c r="S4">
        <v>0</v>
      </c>
      <c r="T4" t="s">
        <v>167</v>
      </c>
      <c r="U4">
        <v>83765</v>
      </c>
      <c r="W4" t="s">
        <v>168</v>
      </c>
      <c r="X4" t="s">
        <v>166</v>
      </c>
    </row>
    <row r="5" spans="1:24" x14ac:dyDescent="0.3">
      <c r="A5" s="7" t="s">
        <v>60</v>
      </c>
      <c r="B5" t="s">
        <v>61</v>
      </c>
      <c r="C5" t="s">
        <v>169</v>
      </c>
      <c r="D5" t="s">
        <v>164</v>
      </c>
      <c r="E5">
        <v>500</v>
      </c>
      <c r="F5">
        <v>0</v>
      </c>
      <c r="G5">
        <v>500</v>
      </c>
      <c r="H5" s="108">
        <v>36240</v>
      </c>
      <c r="I5" s="108">
        <v>36240</v>
      </c>
      <c r="J5" s="150">
        <v>0.38717592592592592</v>
      </c>
      <c r="K5" s="150">
        <v>0.38717592592592592</v>
      </c>
      <c r="L5" t="s">
        <v>165</v>
      </c>
      <c r="N5">
        <v>83886</v>
      </c>
      <c r="O5">
        <v>83886</v>
      </c>
      <c r="P5">
        <v>83854</v>
      </c>
      <c r="Q5">
        <v>0</v>
      </c>
      <c r="R5" t="s">
        <v>166</v>
      </c>
      <c r="S5">
        <v>0</v>
      </c>
      <c r="T5" t="s">
        <v>167</v>
      </c>
      <c r="U5">
        <v>83854</v>
      </c>
      <c r="W5" t="s">
        <v>168</v>
      </c>
      <c r="X5" t="s">
        <v>166</v>
      </c>
    </row>
    <row r="6" spans="1:24" x14ac:dyDescent="0.3">
      <c r="A6" s="7" t="s">
        <v>67</v>
      </c>
      <c r="B6" t="s">
        <v>68</v>
      </c>
      <c r="C6" t="s">
        <v>169</v>
      </c>
      <c r="D6" t="s">
        <v>164</v>
      </c>
      <c r="E6" s="108">
        <v>1000</v>
      </c>
      <c r="F6">
        <v>0</v>
      </c>
      <c r="G6" s="108">
        <v>1000</v>
      </c>
      <c r="H6" s="108">
        <v>10455</v>
      </c>
      <c r="I6" s="108">
        <v>10455</v>
      </c>
      <c r="J6" s="150">
        <v>0.38717592592592592</v>
      </c>
      <c r="K6" s="150">
        <v>0.38718750000000002</v>
      </c>
      <c r="L6" t="s">
        <v>165</v>
      </c>
      <c r="N6">
        <v>83927</v>
      </c>
      <c r="O6">
        <v>83927</v>
      </c>
      <c r="P6">
        <v>83872</v>
      </c>
      <c r="Q6">
        <v>0</v>
      </c>
      <c r="R6" t="s">
        <v>166</v>
      </c>
      <c r="S6">
        <v>0</v>
      </c>
      <c r="T6" t="s">
        <v>167</v>
      </c>
      <c r="U6">
        <v>83872</v>
      </c>
      <c r="W6" t="s">
        <v>168</v>
      </c>
      <c r="X6" t="s">
        <v>166</v>
      </c>
    </row>
    <row r="7" spans="1:24" x14ac:dyDescent="0.3">
      <c r="A7" s="7" t="s">
        <v>65</v>
      </c>
      <c r="B7" t="s">
        <v>66</v>
      </c>
      <c r="C7" t="s">
        <v>169</v>
      </c>
      <c r="D7" t="s">
        <v>164</v>
      </c>
      <c r="E7" s="108">
        <v>1000</v>
      </c>
      <c r="F7">
        <v>0</v>
      </c>
      <c r="G7">
        <v>76</v>
      </c>
      <c r="H7" s="108">
        <v>4935</v>
      </c>
      <c r="I7" s="108">
        <v>4935</v>
      </c>
      <c r="J7" s="150">
        <v>0.38725694444444447</v>
      </c>
      <c r="K7" s="150">
        <v>0.38726851851851851</v>
      </c>
      <c r="L7" t="s">
        <v>165</v>
      </c>
      <c r="N7">
        <v>84355</v>
      </c>
      <c r="O7">
        <v>84355</v>
      </c>
      <c r="P7">
        <v>84253</v>
      </c>
      <c r="Q7">
        <v>924</v>
      </c>
      <c r="R7" t="s">
        <v>166</v>
      </c>
      <c r="S7">
        <v>0</v>
      </c>
      <c r="T7" t="s">
        <v>167</v>
      </c>
      <c r="U7">
        <v>84253</v>
      </c>
      <c r="W7" t="s">
        <v>168</v>
      </c>
      <c r="X7" t="s">
        <v>166</v>
      </c>
    </row>
    <row r="8" spans="1:24" x14ac:dyDescent="0.3">
      <c r="A8" s="7" t="s">
        <v>79</v>
      </c>
      <c r="B8" t="s">
        <v>80</v>
      </c>
      <c r="C8" t="s">
        <v>169</v>
      </c>
      <c r="D8" t="s">
        <v>164</v>
      </c>
      <c r="E8" s="108">
        <v>1000</v>
      </c>
      <c r="F8">
        <v>0</v>
      </c>
      <c r="G8">
        <v>15</v>
      </c>
      <c r="H8" s="108">
        <v>38555</v>
      </c>
      <c r="I8" s="108">
        <v>38555</v>
      </c>
      <c r="J8" s="150">
        <v>0.3877430555555556</v>
      </c>
      <c r="K8" s="150">
        <v>0.3877430555555556</v>
      </c>
      <c r="L8" t="s">
        <v>165</v>
      </c>
      <c r="N8">
        <v>87865</v>
      </c>
      <c r="O8">
        <v>87865</v>
      </c>
      <c r="P8">
        <v>87845</v>
      </c>
      <c r="Q8">
        <v>985</v>
      </c>
      <c r="R8" t="s">
        <v>166</v>
      </c>
      <c r="S8">
        <v>0</v>
      </c>
      <c r="T8" t="s">
        <v>167</v>
      </c>
      <c r="U8">
        <v>87845</v>
      </c>
      <c r="W8" t="s">
        <v>168</v>
      </c>
      <c r="X8" t="s">
        <v>166</v>
      </c>
    </row>
    <row r="9" spans="1:24" x14ac:dyDescent="0.3">
      <c r="A9" s="7" t="s">
        <v>63</v>
      </c>
      <c r="B9" t="s">
        <v>64</v>
      </c>
      <c r="C9" t="s">
        <v>163</v>
      </c>
      <c r="D9" t="s">
        <v>170</v>
      </c>
      <c r="E9" s="108">
        <v>1000</v>
      </c>
      <c r="F9">
        <v>0</v>
      </c>
      <c r="G9" s="108">
        <v>1000</v>
      </c>
      <c r="H9" s="108">
        <v>4820</v>
      </c>
      <c r="I9" s="108">
        <v>4820</v>
      </c>
      <c r="J9" s="150">
        <v>0.38778935185185182</v>
      </c>
      <c r="K9" s="150">
        <v>0.38785879629629627</v>
      </c>
      <c r="L9" t="s">
        <v>165</v>
      </c>
      <c r="N9">
        <v>88255</v>
      </c>
      <c r="O9">
        <v>88255</v>
      </c>
      <c r="P9">
        <v>0</v>
      </c>
      <c r="Q9">
        <v>0</v>
      </c>
      <c r="R9" t="s">
        <v>166</v>
      </c>
      <c r="S9">
        <v>0</v>
      </c>
      <c r="T9" t="s">
        <v>167</v>
      </c>
      <c r="U9">
        <v>0</v>
      </c>
      <c r="W9" t="s">
        <v>168</v>
      </c>
      <c r="X9" t="s">
        <v>166</v>
      </c>
    </row>
    <row r="10" spans="1:24" x14ac:dyDescent="0.3">
      <c r="A10" s="7" t="s">
        <v>60</v>
      </c>
      <c r="B10" t="s">
        <v>61</v>
      </c>
      <c r="C10" t="s">
        <v>169</v>
      </c>
      <c r="D10" t="s">
        <v>164</v>
      </c>
      <c r="E10">
        <v>500</v>
      </c>
      <c r="F10">
        <v>0</v>
      </c>
      <c r="G10">
        <v>500</v>
      </c>
      <c r="H10" s="108">
        <v>36085</v>
      </c>
      <c r="I10" s="108">
        <v>36085</v>
      </c>
      <c r="J10" s="150">
        <v>0.38791666666666669</v>
      </c>
      <c r="K10" s="150">
        <v>0.38791666666666669</v>
      </c>
      <c r="L10" t="s">
        <v>165</v>
      </c>
      <c r="N10">
        <v>89735</v>
      </c>
      <c r="O10">
        <v>89735</v>
      </c>
      <c r="P10">
        <v>89725</v>
      </c>
      <c r="Q10">
        <v>0</v>
      </c>
      <c r="R10" t="s">
        <v>166</v>
      </c>
      <c r="S10">
        <v>0</v>
      </c>
      <c r="T10" t="s">
        <v>167</v>
      </c>
      <c r="U10">
        <v>89725</v>
      </c>
      <c r="W10" t="s">
        <v>168</v>
      </c>
      <c r="X10" t="s">
        <v>166</v>
      </c>
    </row>
    <row r="11" spans="1:24" x14ac:dyDescent="0.3">
      <c r="A11" s="7" t="s">
        <v>65</v>
      </c>
      <c r="B11" t="s">
        <v>66</v>
      </c>
      <c r="C11" t="s">
        <v>169</v>
      </c>
      <c r="D11" t="s">
        <v>164</v>
      </c>
      <c r="E11" s="108">
        <v>1000</v>
      </c>
      <c r="F11">
        <v>0</v>
      </c>
      <c r="G11" s="108">
        <v>1000</v>
      </c>
      <c r="H11" s="108">
        <v>4950</v>
      </c>
      <c r="I11" s="108">
        <v>4950</v>
      </c>
      <c r="J11" s="150">
        <v>0.3880439814814815</v>
      </c>
      <c r="K11" s="150">
        <v>0.38810185185185181</v>
      </c>
      <c r="L11" t="s">
        <v>165</v>
      </c>
      <c r="N11">
        <v>90911</v>
      </c>
      <c r="O11">
        <v>90911</v>
      </c>
      <c r="P11">
        <v>90901</v>
      </c>
      <c r="Q11">
        <v>0</v>
      </c>
      <c r="R11" t="s">
        <v>166</v>
      </c>
      <c r="S11">
        <v>0</v>
      </c>
      <c r="T11" t="s">
        <v>167</v>
      </c>
      <c r="U11">
        <v>90901</v>
      </c>
      <c r="W11" t="s">
        <v>168</v>
      </c>
      <c r="X11" t="s">
        <v>166</v>
      </c>
    </row>
    <row r="12" spans="1:24" x14ac:dyDescent="0.3">
      <c r="A12" s="7" t="s">
        <v>65</v>
      </c>
      <c r="B12" t="s">
        <v>66</v>
      </c>
      <c r="C12" t="s">
        <v>163</v>
      </c>
      <c r="D12" t="s">
        <v>164</v>
      </c>
      <c r="E12" s="108">
        <v>1000</v>
      </c>
      <c r="F12">
        <v>0</v>
      </c>
      <c r="G12" s="108">
        <v>1000</v>
      </c>
      <c r="H12" s="108">
        <v>4965</v>
      </c>
      <c r="I12" s="108">
        <v>4965</v>
      </c>
      <c r="J12" s="150">
        <v>0.38810185185185181</v>
      </c>
      <c r="K12" s="150">
        <v>0.38848379629629631</v>
      </c>
      <c r="L12" t="s">
        <v>165</v>
      </c>
      <c r="N12">
        <v>91381</v>
      </c>
      <c r="O12">
        <v>91381</v>
      </c>
      <c r="P12">
        <v>91380</v>
      </c>
      <c r="Q12">
        <v>0</v>
      </c>
      <c r="R12" t="s">
        <v>166</v>
      </c>
      <c r="S12">
        <v>0</v>
      </c>
      <c r="T12" t="s">
        <v>167</v>
      </c>
      <c r="U12">
        <v>91380</v>
      </c>
      <c r="W12" t="s">
        <v>168</v>
      </c>
      <c r="X12" t="s">
        <v>166</v>
      </c>
    </row>
    <row r="13" spans="1:24" x14ac:dyDescent="0.3">
      <c r="A13" s="7" t="s">
        <v>67</v>
      </c>
      <c r="B13" t="s">
        <v>68</v>
      </c>
      <c r="C13" t="s">
        <v>163</v>
      </c>
      <c r="D13" t="s">
        <v>164</v>
      </c>
      <c r="E13" s="108">
        <v>1000</v>
      </c>
      <c r="F13">
        <v>0</v>
      </c>
      <c r="G13" s="108">
        <v>1000</v>
      </c>
      <c r="H13" s="108">
        <v>10495</v>
      </c>
      <c r="I13" s="108">
        <v>10495</v>
      </c>
      <c r="J13" s="150">
        <v>0.38815972222222223</v>
      </c>
      <c r="K13" s="150">
        <v>0.38846064814814812</v>
      </c>
      <c r="L13" t="s">
        <v>165</v>
      </c>
      <c r="N13">
        <v>91899</v>
      </c>
      <c r="O13">
        <v>91899</v>
      </c>
      <c r="P13">
        <v>91838</v>
      </c>
      <c r="Q13">
        <v>0</v>
      </c>
      <c r="R13" t="s">
        <v>166</v>
      </c>
      <c r="S13">
        <v>0</v>
      </c>
      <c r="T13" t="s">
        <v>167</v>
      </c>
      <c r="U13">
        <v>91838</v>
      </c>
      <c r="W13" t="s">
        <v>168</v>
      </c>
      <c r="X13" t="s">
        <v>166</v>
      </c>
    </row>
    <row r="14" spans="1:24" x14ac:dyDescent="0.3">
      <c r="A14" s="7" t="s">
        <v>67</v>
      </c>
      <c r="B14" t="s">
        <v>68</v>
      </c>
      <c r="C14" t="s">
        <v>169</v>
      </c>
      <c r="D14" t="s">
        <v>164</v>
      </c>
      <c r="E14" s="108">
        <v>1000</v>
      </c>
      <c r="F14">
        <v>0</v>
      </c>
      <c r="G14" s="108">
        <v>1000</v>
      </c>
      <c r="H14" s="108">
        <v>10460</v>
      </c>
      <c r="I14" s="108">
        <v>10460</v>
      </c>
      <c r="J14" s="150">
        <v>0.38815972222222223</v>
      </c>
      <c r="K14" s="150">
        <v>0.38818287037037041</v>
      </c>
      <c r="L14" t="s">
        <v>165</v>
      </c>
      <c r="N14">
        <v>91916</v>
      </c>
      <c r="O14">
        <v>91916</v>
      </c>
      <c r="P14">
        <v>91898</v>
      </c>
      <c r="Q14">
        <v>0</v>
      </c>
      <c r="R14" t="s">
        <v>166</v>
      </c>
      <c r="S14">
        <v>0</v>
      </c>
      <c r="T14" t="s">
        <v>167</v>
      </c>
      <c r="U14">
        <v>91898</v>
      </c>
      <c r="W14" t="s">
        <v>168</v>
      </c>
      <c r="X14" t="s">
        <v>166</v>
      </c>
    </row>
    <row r="15" spans="1:24" x14ac:dyDescent="0.3">
      <c r="A15" s="7" t="s">
        <v>77</v>
      </c>
      <c r="B15" t="s">
        <v>78</v>
      </c>
      <c r="C15" t="s">
        <v>169</v>
      </c>
      <c r="D15" t="s">
        <v>164</v>
      </c>
      <c r="E15" s="108">
        <v>1000</v>
      </c>
      <c r="F15">
        <v>0</v>
      </c>
      <c r="G15">
        <v>516</v>
      </c>
      <c r="H15" s="108">
        <v>17825</v>
      </c>
      <c r="I15" s="108">
        <v>17825</v>
      </c>
      <c r="J15" s="150">
        <v>0.38817129629629626</v>
      </c>
      <c r="K15" s="150">
        <v>0.38818287037037041</v>
      </c>
      <c r="L15" t="s">
        <v>165</v>
      </c>
      <c r="N15">
        <v>92038</v>
      </c>
      <c r="O15">
        <v>92038</v>
      </c>
      <c r="P15">
        <v>91945</v>
      </c>
      <c r="Q15">
        <v>484</v>
      </c>
      <c r="R15" t="s">
        <v>166</v>
      </c>
      <c r="S15">
        <v>0</v>
      </c>
      <c r="T15" t="s">
        <v>167</v>
      </c>
      <c r="U15">
        <v>91945</v>
      </c>
      <c r="W15" t="s">
        <v>168</v>
      </c>
      <c r="X15" t="s">
        <v>166</v>
      </c>
    </row>
    <row r="16" spans="1:24" x14ac:dyDescent="0.3">
      <c r="A16" s="7" t="s">
        <v>71</v>
      </c>
      <c r="B16" t="s">
        <v>72</v>
      </c>
      <c r="C16" t="s">
        <v>169</v>
      </c>
      <c r="D16" t="s">
        <v>164</v>
      </c>
      <c r="E16" s="108">
        <v>1000</v>
      </c>
      <c r="F16">
        <v>0</v>
      </c>
      <c r="G16" s="108">
        <v>1000</v>
      </c>
      <c r="H16" s="108">
        <v>18700</v>
      </c>
      <c r="I16" s="108">
        <v>18700</v>
      </c>
      <c r="J16" s="150">
        <v>0.38818287037037041</v>
      </c>
      <c r="K16" s="150">
        <v>0.38818287037037041</v>
      </c>
      <c r="L16" t="s">
        <v>165</v>
      </c>
      <c r="N16">
        <v>92049</v>
      </c>
      <c r="O16">
        <v>92049</v>
      </c>
      <c r="P16">
        <v>91903</v>
      </c>
      <c r="Q16">
        <v>0</v>
      </c>
      <c r="R16" t="s">
        <v>166</v>
      </c>
      <c r="S16">
        <v>0</v>
      </c>
      <c r="T16" t="s">
        <v>167</v>
      </c>
      <c r="U16">
        <v>91903</v>
      </c>
      <c r="W16" t="s">
        <v>168</v>
      </c>
      <c r="X16" t="s">
        <v>166</v>
      </c>
    </row>
    <row r="17" spans="1:24" x14ac:dyDescent="0.3">
      <c r="A17" s="7" t="s">
        <v>71</v>
      </c>
      <c r="B17" t="s">
        <v>72</v>
      </c>
      <c r="C17" t="s">
        <v>163</v>
      </c>
      <c r="D17" t="s">
        <v>164</v>
      </c>
      <c r="E17" s="108">
        <v>1000</v>
      </c>
      <c r="F17">
        <v>0</v>
      </c>
      <c r="G17" s="108">
        <v>1000</v>
      </c>
      <c r="H17" s="108">
        <v>18760</v>
      </c>
      <c r="I17" s="108">
        <v>18760</v>
      </c>
      <c r="J17" s="150">
        <v>0.38818287037037041</v>
      </c>
      <c r="K17" s="150">
        <v>0.38846064814814812</v>
      </c>
      <c r="L17" t="s">
        <v>165</v>
      </c>
      <c r="N17">
        <v>92055</v>
      </c>
      <c r="O17">
        <v>92055</v>
      </c>
      <c r="P17">
        <v>91920</v>
      </c>
      <c r="Q17">
        <v>0</v>
      </c>
      <c r="R17" t="s">
        <v>166</v>
      </c>
      <c r="S17">
        <v>0</v>
      </c>
      <c r="T17" t="s">
        <v>167</v>
      </c>
      <c r="U17">
        <v>91920</v>
      </c>
      <c r="W17" t="s">
        <v>168</v>
      </c>
      <c r="X17" t="s">
        <v>166</v>
      </c>
    </row>
    <row r="18" spans="1:24" x14ac:dyDescent="0.3">
      <c r="A18" s="7" t="s">
        <v>63</v>
      </c>
      <c r="B18" t="s">
        <v>64</v>
      </c>
      <c r="C18" t="s">
        <v>163</v>
      </c>
      <c r="D18" t="s">
        <v>164</v>
      </c>
      <c r="E18" s="108">
        <v>1000</v>
      </c>
      <c r="F18">
        <v>0</v>
      </c>
      <c r="G18">
        <v>518</v>
      </c>
      <c r="H18" s="108">
        <v>4830</v>
      </c>
      <c r="I18" s="108">
        <v>4830</v>
      </c>
      <c r="J18" s="150">
        <v>0.38862268518518522</v>
      </c>
      <c r="K18" s="150">
        <v>0.38864583333333336</v>
      </c>
      <c r="L18" t="s">
        <v>165</v>
      </c>
      <c r="N18">
        <v>95991</v>
      </c>
      <c r="O18">
        <v>95991</v>
      </c>
      <c r="P18">
        <v>95584</v>
      </c>
      <c r="Q18">
        <v>482</v>
      </c>
      <c r="R18" t="s">
        <v>166</v>
      </c>
      <c r="S18">
        <v>0</v>
      </c>
      <c r="T18" t="s">
        <v>167</v>
      </c>
      <c r="U18">
        <v>95584</v>
      </c>
      <c r="W18" t="s">
        <v>168</v>
      </c>
      <c r="X18" t="s">
        <v>166</v>
      </c>
    </row>
    <row r="19" spans="1:24" x14ac:dyDescent="0.3">
      <c r="A19" s="7" t="s">
        <v>77</v>
      </c>
      <c r="B19" t="s">
        <v>78</v>
      </c>
      <c r="C19" t="s">
        <v>163</v>
      </c>
      <c r="D19" t="s">
        <v>164</v>
      </c>
      <c r="E19" s="108">
        <v>1000</v>
      </c>
      <c r="F19">
        <v>0</v>
      </c>
      <c r="G19" s="108">
        <v>1000</v>
      </c>
      <c r="H19" s="108">
        <v>17960</v>
      </c>
      <c r="I19" s="108">
        <v>17960</v>
      </c>
      <c r="J19" s="150">
        <v>0.3888888888888889</v>
      </c>
      <c r="K19" s="150">
        <v>0.38890046296296293</v>
      </c>
      <c r="L19" t="s">
        <v>165</v>
      </c>
      <c r="N19">
        <v>99527</v>
      </c>
      <c r="O19">
        <v>99527</v>
      </c>
      <c r="P19">
        <v>99511</v>
      </c>
      <c r="Q19">
        <v>0</v>
      </c>
      <c r="R19" t="s">
        <v>166</v>
      </c>
      <c r="S19">
        <v>0</v>
      </c>
      <c r="T19" t="s">
        <v>167</v>
      </c>
      <c r="U19">
        <v>99511</v>
      </c>
      <c r="W19" t="s">
        <v>168</v>
      </c>
      <c r="X19" t="s">
        <v>166</v>
      </c>
    </row>
    <row r="20" spans="1:24" x14ac:dyDescent="0.3">
      <c r="A20" s="7" t="s">
        <v>67</v>
      </c>
      <c r="B20" t="s">
        <v>68</v>
      </c>
      <c r="C20" t="s">
        <v>169</v>
      </c>
      <c r="D20" t="s">
        <v>164</v>
      </c>
      <c r="E20" s="108">
        <v>1000</v>
      </c>
      <c r="F20">
        <v>0</v>
      </c>
      <c r="G20" s="108">
        <v>1000</v>
      </c>
      <c r="H20" s="108">
        <v>10495</v>
      </c>
      <c r="I20" s="108">
        <v>10495</v>
      </c>
      <c r="J20" s="150">
        <v>0.38900462962962962</v>
      </c>
      <c r="K20" s="150">
        <v>0.38900462962962962</v>
      </c>
      <c r="L20" t="s">
        <v>165</v>
      </c>
      <c r="N20">
        <v>100979</v>
      </c>
      <c r="O20">
        <v>100979</v>
      </c>
      <c r="P20">
        <v>100969</v>
      </c>
      <c r="Q20">
        <v>0</v>
      </c>
      <c r="R20" t="s">
        <v>166</v>
      </c>
      <c r="S20">
        <v>0</v>
      </c>
      <c r="T20" t="s">
        <v>167</v>
      </c>
      <c r="U20">
        <v>100969</v>
      </c>
      <c r="W20" t="s">
        <v>168</v>
      </c>
      <c r="X20" t="s">
        <v>166</v>
      </c>
    </row>
    <row r="21" spans="1:24" x14ac:dyDescent="0.3">
      <c r="A21" s="7" t="s">
        <v>71</v>
      </c>
      <c r="B21" t="s">
        <v>72</v>
      </c>
      <c r="C21" t="s">
        <v>169</v>
      </c>
      <c r="D21" t="s">
        <v>164</v>
      </c>
      <c r="E21" s="108">
        <v>1000</v>
      </c>
      <c r="F21">
        <v>0</v>
      </c>
      <c r="G21" s="108">
        <v>1000</v>
      </c>
      <c r="H21" s="108">
        <v>18750</v>
      </c>
      <c r="I21" s="108">
        <v>18750</v>
      </c>
      <c r="J21" s="150">
        <v>0.38906250000000003</v>
      </c>
      <c r="K21" s="150">
        <v>0.38907407407407407</v>
      </c>
      <c r="L21" t="s">
        <v>165</v>
      </c>
      <c r="N21">
        <v>101609</v>
      </c>
      <c r="O21">
        <v>101609</v>
      </c>
      <c r="P21">
        <v>101601</v>
      </c>
      <c r="Q21">
        <v>0</v>
      </c>
      <c r="R21" t="s">
        <v>166</v>
      </c>
      <c r="S21">
        <v>0</v>
      </c>
      <c r="T21" t="s">
        <v>167</v>
      </c>
      <c r="U21">
        <v>101601</v>
      </c>
      <c r="W21" t="s">
        <v>168</v>
      </c>
      <c r="X21" t="s">
        <v>166</v>
      </c>
    </row>
    <row r="22" spans="1:24" x14ac:dyDescent="0.3">
      <c r="A22" s="7" t="s">
        <v>60</v>
      </c>
      <c r="B22" t="s">
        <v>61</v>
      </c>
      <c r="C22" t="s">
        <v>169</v>
      </c>
      <c r="D22" t="s">
        <v>164</v>
      </c>
      <c r="E22">
        <v>500</v>
      </c>
      <c r="F22">
        <v>0</v>
      </c>
      <c r="G22">
        <v>69</v>
      </c>
      <c r="H22" s="108">
        <v>36180</v>
      </c>
      <c r="I22" s="108">
        <v>36180</v>
      </c>
      <c r="J22" s="150">
        <v>0.38906250000000003</v>
      </c>
      <c r="K22" s="150">
        <v>0.38907407407407407</v>
      </c>
      <c r="L22" t="s">
        <v>165</v>
      </c>
      <c r="N22">
        <v>101616</v>
      </c>
      <c r="O22">
        <v>101616</v>
      </c>
      <c r="P22">
        <v>101591</v>
      </c>
      <c r="Q22">
        <v>431</v>
      </c>
      <c r="R22" t="s">
        <v>166</v>
      </c>
      <c r="S22">
        <v>0</v>
      </c>
      <c r="T22" t="s">
        <v>167</v>
      </c>
      <c r="U22">
        <v>101591</v>
      </c>
      <c r="W22" t="s">
        <v>168</v>
      </c>
      <c r="X22" t="s">
        <v>166</v>
      </c>
    </row>
    <row r="23" spans="1:24" x14ac:dyDescent="0.3">
      <c r="A23" s="7" t="s">
        <v>94</v>
      </c>
      <c r="B23" t="s">
        <v>95</v>
      </c>
      <c r="C23" t="s">
        <v>169</v>
      </c>
      <c r="D23" t="s">
        <v>164</v>
      </c>
      <c r="E23" s="108">
        <v>1000</v>
      </c>
      <c r="F23">
        <v>0</v>
      </c>
      <c r="G23" s="108">
        <v>1000</v>
      </c>
      <c r="H23" s="108">
        <v>8505</v>
      </c>
      <c r="I23" s="108">
        <v>8505</v>
      </c>
      <c r="J23" s="150">
        <v>0.38927083333333329</v>
      </c>
      <c r="K23" s="150">
        <v>0.38928240740740744</v>
      </c>
      <c r="L23" t="s">
        <v>165</v>
      </c>
      <c r="N23">
        <v>103562</v>
      </c>
      <c r="O23">
        <v>103562</v>
      </c>
      <c r="P23">
        <v>103453</v>
      </c>
      <c r="Q23">
        <v>0</v>
      </c>
      <c r="R23" t="s">
        <v>166</v>
      </c>
      <c r="S23">
        <v>0</v>
      </c>
      <c r="T23" t="s">
        <v>167</v>
      </c>
      <c r="U23">
        <v>103453</v>
      </c>
      <c r="W23" t="s">
        <v>168</v>
      </c>
      <c r="X23" t="s">
        <v>166</v>
      </c>
    </row>
    <row r="24" spans="1:24" x14ac:dyDescent="0.3">
      <c r="A24" s="7" t="s">
        <v>69</v>
      </c>
      <c r="B24" t="s">
        <v>70</v>
      </c>
      <c r="C24" t="s">
        <v>163</v>
      </c>
      <c r="D24" t="s">
        <v>164</v>
      </c>
      <c r="E24" s="108">
        <v>1000</v>
      </c>
      <c r="F24">
        <v>0</v>
      </c>
      <c r="G24" s="108">
        <v>1000</v>
      </c>
      <c r="H24" s="108">
        <v>19200</v>
      </c>
      <c r="I24" s="108">
        <v>19200</v>
      </c>
      <c r="J24" s="150">
        <v>0.38936342592592593</v>
      </c>
      <c r="K24" s="150">
        <v>0.38937500000000003</v>
      </c>
      <c r="L24" t="s">
        <v>165</v>
      </c>
      <c r="N24">
        <v>104482</v>
      </c>
      <c r="O24">
        <v>104482</v>
      </c>
      <c r="P24">
        <v>104477</v>
      </c>
      <c r="Q24">
        <v>0</v>
      </c>
      <c r="R24" t="s">
        <v>166</v>
      </c>
      <c r="S24">
        <v>0</v>
      </c>
      <c r="T24" t="s">
        <v>167</v>
      </c>
      <c r="U24">
        <v>104477</v>
      </c>
      <c r="W24" t="s">
        <v>168</v>
      </c>
      <c r="X24" t="s">
        <v>166</v>
      </c>
    </row>
    <row r="25" spans="1:24" x14ac:dyDescent="0.3">
      <c r="A25" s="7" t="s">
        <v>98</v>
      </c>
      <c r="B25" t="s">
        <v>99</v>
      </c>
      <c r="C25" t="s">
        <v>169</v>
      </c>
      <c r="D25" t="s">
        <v>164</v>
      </c>
      <c r="E25" s="108">
        <v>1000</v>
      </c>
      <c r="F25">
        <v>0</v>
      </c>
      <c r="G25">
        <v>869</v>
      </c>
      <c r="H25" s="108">
        <v>15535</v>
      </c>
      <c r="I25" s="108">
        <v>15535</v>
      </c>
      <c r="J25" s="150">
        <v>0.38938657407407407</v>
      </c>
      <c r="K25" s="150">
        <v>0.38943287037037039</v>
      </c>
      <c r="L25" t="s">
        <v>165</v>
      </c>
      <c r="N25">
        <v>104720</v>
      </c>
      <c r="O25">
        <v>104720</v>
      </c>
      <c r="P25">
        <v>104687</v>
      </c>
      <c r="Q25">
        <v>131</v>
      </c>
      <c r="R25" t="s">
        <v>166</v>
      </c>
      <c r="S25">
        <v>0</v>
      </c>
      <c r="T25" t="s">
        <v>167</v>
      </c>
      <c r="U25">
        <v>104687</v>
      </c>
      <c r="W25" t="s">
        <v>168</v>
      </c>
      <c r="X25" t="s">
        <v>166</v>
      </c>
    </row>
    <row r="26" spans="1:24" x14ac:dyDescent="0.3">
      <c r="A26" s="7" t="s">
        <v>96</v>
      </c>
      <c r="B26" t="s">
        <v>97</v>
      </c>
      <c r="C26" t="s">
        <v>163</v>
      </c>
      <c r="D26" t="s">
        <v>164</v>
      </c>
      <c r="E26" s="108">
        <v>1000</v>
      </c>
      <c r="F26">
        <v>0</v>
      </c>
      <c r="G26">
        <v>906</v>
      </c>
      <c r="H26" s="108">
        <v>14285</v>
      </c>
      <c r="I26" s="108">
        <v>14285</v>
      </c>
      <c r="J26" s="150">
        <v>0.38952546296296298</v>
      </c>
      <c r="K26" s="150">
        <v>0.38952546296296298</v>
      </c>
      <c r="L26" t="s">
        <v>165</v>
      </c>
      <c r="N26">
        <v>105938</v>
      </c>
      <c r="O26">
        <v>105938</v>
      </c>
      <c r="P26">
        <v>105917</v>
      </c>
      <c r="Q26">
        <v>94</v>
      </c>
      <c r="R26" t="s">
        <v>166</v>
      </c>
      <c r="S26">
        <v>0</v>
      </c>
      <c r="T26" t="s">
        <v>167</v>
      </c>
      <c r="U26">
        <v>105917</v>
      </c>
      <c r="W26" t="s">
        <v>168</v>
      </c>
      <c r="X26" t="s">
        <v>166</v>
      </c>
    </row>
    <row r="27" spans="1:24" x14ac:dyDescent="0.3">
      <c r="A27" s="7" t="s">
        <v>79</v>
      </c>
      <c r="B27" t="s">
        <v>80</v>
      </c>
      <c r="C27" t="s">
        <v>163</v>
      </c>
      <c r="D27" t="s">
        <v>164</v>
      </c>
      <c r="E27" s="108">
        <v>1000</v>
      </c>
      <c r="F27">
        <v>0</v>
      </c>
      <c r="G27">
        <v>274</v>
      </c>
      <c r="H27" s="108">
        <v>38730</v>
      </c>
      <c r="I27" s="108">
        <v>38730</v>
      </c>
      <c r="J27" s="150">
        <v>0.38960648148148147</v>
      </c>
      <c r="K27" s="150">
        <v>0.38961805555555556</v>
      </c>
      <c r="L27" t="s">
        <v>165</v>
      </c>
      <c r="N27">
        <v>106978</v>
      </c>
      <c r="O27">
        <v>106978</v>
      </c>
      <c r="P27">
        <v>106971</v>
      </c>
      <c r="Q27">
        <v>726</v>
      </c>
      <c r="R27" t="s">
        <v>166</v>
      </c>
      <c r="S27">
        <v>0</v>
      </c>
      <c r="T27" t="s">
        <v>167</v>
      </c>
      <c r="U27">
        <v>106971</v>
      </c>
      <c r="W27" t="s">
        <v>168</v>
      </c>
      <c r="X27" t="s">
        <v>166</v>
      </c>
    </row>
    <row r="28" spans="1:24" x14ac:dyDescent="0.3">
      <c r="A28" s="7" t="s">
        <v>63</v>
      </c>
      <c r="B28" t="s">
        <v>64</v>
      </c>
      <c r="C28" t="s">
        <v>163</v>
      </c>
      <c r="D28" t="s">
        <v>164</v>
      </c>
      <c r="E28" s="108">
        <v>1000</v>
      </c>
      <c r="F28">
        <v>0</v>
      </c>
      <c r="G28" s="108">
        <v>1000</v>
      </c>
      <c r="H28" s="108">
        <v>4835</v>
      </c>
      <c r="I28" s="108">
        <v>4835</v>
      </c>
      <c r="J28" s="150">
        <v>0.38960648148148147</v>
      </c>
      <c r="K28" s="150">
        <v>0.38961805555555556</v>
      </c>
      <c r="L28" t="s">
        <v>165</v>
      </c>
      <c r="N28">
        <v>106989</v>
      </c>
      <c r="O28">
        <v>106989</v>
      </c>
      <c r="P28">
        <v>106873</v>
      </c>
      <c r="Q28">
        <v>0</v>
      </c>
      <c r="R28" t="s">
        <v>166</v>
      </c>
      <c r="S28">
        <v>0</v>
      </c>
      <c r="T28" t="s">
        <v>167</v>
      </c>
      <c r="U28">
        <v>106873</v>
      </c>
      <c r="W28" t="s">
        <v>168</v>
      </c>
      <c r="X28" t="s">
        <v>166</v>
      </c>
    </row>
    <row r="29" spans="1:24" x14ac:dyDescent="0.3">
      <c r="A29" s="7" t="s">
        <v>77</v>
      </c>
      <c r="B29" t="s">
        <v>78</v>
      </c>
      <c r="C29" t="s">
        <v>163</v>
      </c>
      <c r="D29" t="s">
        <v>164</v>
      </c>
      <c r="E29" s="108">
        <v>1000</v>
      </c>
      <c r="F29">
        <v>0</v>
      </c>
      <c r="G29">
        <v>171</v>
      </c>
      <c r="H29" s="108">
        <v>18075</v>
      </c>
      <c r="I29" s="108">
        <v>18075</v>
      </c>
      <c r="J29" s="150">
        <v>0.38965277777777779</v>
      </c>
      <c r="K29" s="150">
        <v>0.38965277777777779</v>
      </c>
      <c r="L29" t="s">
        <v>165</v>
      </c>
      <c r="N29">
        <v>107478</v>
      </c>
      <c r="O29">
        <v>107478</v>
      </c>
      <c r="P29">
        <v>107470</v>
      </c>
      <c r="Q29">
        <v>829</v>
      </c>
      <c r="R29" t="s">
        <v>166</v>
      </c>
      <c r="S29">
        <v>0</v>
      </c>
      <c r="T29" t="s">
        <v>167</v>
      </c>
      <c r="U29">
        <v>107470</v>
      </c>
      <c r="W29" t="s">
        <v>168</v>
      </c>
      <c r="X29" t="s">
        <v>166</v>
      </c>
    </row>
    <row r="30" spans="1:24" x14ac:dyDescent="0.3">
      <c r="A30" s="7" t="s">
        <v>67</v>
      </c>
      <c r="B30" t="s">
        <v>68</v>
      </c>
      <c r="C30" t="s">
        <v>169</v>
      </c>
      <c r="D30" t="s">
        <v>164</v>
      </c>
      <c r="E30" s="108">
        <v>1000</v>
      </c>
      <c r="F30">
        <v>0</v>
      </c>
      <c r="G30" s="108">
        <v>1000</v>
      </c>
      <c r="H30" s="108">
        <v>10500</v>
      </c>
      <c r="I30" s="108">
        <v>10500</v>
      </c>
      <c r="J30" s="150">
        <v>0.38976851851851851</v>
      </c>
      <c r="K30" s="150">
        <v>0.38978009259259255</v>
      </c>
      <c r="L30" t="s">
        <v>165</v>
      </c>
      <c r="N30">
        <v>108498</v>
      </c>
      <c r="O30">
        <v>108498</v>
      </c>
      <c r="P30">
        <v>108481</v>
      </c>
      <c r="Q30">
        <v>0</v>
      </c>
      <c r="R30" t="s">
        <v>166</v>
      </c>
      <c r="S30">
        <v>0</v>
      </c>
      <c r="T30" t="s">
        <v>167</v>
      </c>
      <c r="U30">
        <v>108481</v>
      </c>
      <c r="W30" t="s">
        <v>168</v>
      </c>
      <c r="X30" t="s">
        <v>166</v>
      </c>
    </row>
    <row r="31" spans="1:24" x14ac:dyDescent="0.3">
      <c r="A31" s="7" t="s">
        <v>65</v>
      </c>
      <c r="B31" t="s">
        <v>66</v>
      </c>
      <c r="C31" t="s">
        <v>169</v>
      </c>
      <c r="D31" t="s">
        <v>164</v>
      </c>
      <c r="E31" s="108">
        <v>1000</v>
      </c>
      <c r="F31">
        <v>0</v>
      </c>
      <c r="G31" s="108">
        <v>1000</v>
      </c>
      <c r="H31" s="108">
        <v>4975</v>
      </c>
      <c r="I31" s="108">
        <v>4975</v>
      </c>
      <c r="J31" s="150">
        <v>0.38976851851851851</v>
      </c>
      <c r="K31" s="150">
        <v>0.38978009259259255</v>
      </c>
      <c r="L31" t="s">
        <v>165</v>
      </c>
      <c r="N31">
        <v>108546</v>
      </c>
      <c r="O31">
        <v>108546</v>
      </c>
      <c r="P31">
        <v>108535</v>
      </c>
      <c r="Q31">
        <v>0</v>
      </c>
      <c r="R31" t="s">
        <v>166</v>
      </c>
      <c r="S31">
        <v>0</v>
      </c>
      <c r="T31" t="s">
        <v>167</v>
      </c>
      <c r="U31">
        <v>108535</v>
      </c>
      <c r="W31" t="s">
        <v>168</v>
      </c>
      <c r="X31" t="s">
        <v>166</v>
      </c>
    </row>
    <row r="32" spans="1:24" x14ac:dyDescent="0.3">
      <c r="A32" s="7" t="s">
        <v>71</v>
      </c>
      <c r="B32" t="s">
        <v>72</v>
      </c>
      <c r="C32" t="s">
        <v>169</v>
      </c>
      <c r="D32" t="s">
        <v>164</v>
      </c>
      <c r="E32" s="108">
        <v>1000</v>
      </c>
      <c r="F32">
        <v>0</v>
      </c>
      <c r="G32" s="108">
        <v>1000</v>
      </c>
      <c r="H32" s="108">
        <v>18755</v>
      </c>
      <c r="I32" s="108">
        <v>18755</v>
      </c>
      <c r="J32" s="150">
        <v>0.3898726851851852</v>
      </c>
      <c r="K32" s="150">
        <v>0.3898726851851852</v>
      </c>
      <c r="L32" t="s">
        <v>165</v>
      </c>
      <c r="N32">
        <v>109404</v>
      </c>
      <c r="O32">
        <v>109404</v>
      </c>
      <c r="P32">
        <v>109391</v>
      </c>
      <c r="Q32">
        <v>0</v>
      </c>
      <c r="R32" t="s">
        <v>166</v>
      </c>
      <c r="S32">
        <v>0</v>
      </c>
      <c r="T32" t="s">
        <v>167</v>
      </c>
      <c r="U32">
        <v>109391</v>
      </c>
      <c r="W32" t="s">
        <v>168</v>
      </c>
      <c r="X32" t="s">
        <v>166</v>
      </c>
    </row>
    <row r="33" spans="1:24" x14ac:dyDescent="0.3">
      <c r="A33" s="7" t="s">
        <v>100</v>
      </c>
      <c r="B33" t="s">
        <v>101</v>
      </c>
      <c r="C33" t="s">
        <v>169</v>
      </c>
      <c r="D33" t="s">
        <v>164</v>
      </c>
      <c r="E33" s="108">
        <v>1000</v>
      </c>
      <c r="F33">
        <v>0</v>
      </c>
      <c r="G33" s="108">
        <v>1000</v>
      </c>
      <c r="H33" s="108">
        <v>26215</v>
      </c>
      <c r="I33" s="108">
        <v>26215</v>
      </c>
      <c r="J33" s="150">
        <v>0.38990740740740737</v>
      </c>
      <c r="K33" s="150">
        <v>0.38990740740740737</v>
      </c>
      <c r="L33" t="s">
        <v>165</v>
      </c>
      <c r="N33">
        <v>109823</v>
      </c>
      <c r="O33">
        <v>109823</v>
      </c>
      <c r="P33">
        <v>109783</v>
      </c>
      <c r="Q33">
        <v>0</v>
      </c>
      <c r="R33" t="s">
        <v>166</v>
      </c>
      <c r="S33">
        <v>0</v>
      </c>
      <c r="T33" t="s">
        <v>167</v>
      </c>
      <c r="U33">
        <v>109783</v>
      </c>
      <c r="W33" t="s">
        <v>168</v>
      </c>
      <c r="X33" t="s">
        <v>166</v>
      </c>
    </row>
    <row r="34" spans="1:24" x14ac:dyDescent="0.3">
      <c r="A34" s="7" t="s">
        <v>87</v>
      </c>
      <c r="B34" t="s">
        <v>88</v>
      </c>
      <c r="C34" t="s">
        <v>163</v>
      </c>
      <c r="D34" t="s">
        <v>164</v>
      </c>
      <c r="E34" s="108">
        <v>1000</v>
      </c>
      <c r="F34">
        <v>0</v>
      </c>
      <c r="G34" s="108">
        <v>1000</v>
      </c>
      <c r="H34" s="108">
        <v>3170</v>
      </c>
      <c r="I34" s="108">
        <v>3170</v>
      </c>
      <c r="J34" s="150">
        <v>0.39019675925925923</v>
      </c>
      <c r="K34" s="150">
        <v>0.39133101851851854</v>
      </c>
      <c r="L34" t="s">
        <v>165</v>
      </c>
      <c r="N34">
        <v>112644</v>
      </c>
      <c r="O34">
        <v>112644</v>
      </c>
      <c r="P34">
        <v>112140</v>
      </c>
      <c r="Q34">
        <v>0</v>
      </c>
      <c r="R34" t="s">
        <v>166</v>
      </c>
      <c r="S34">
        <v>0</v>
      </c>
      <c r="T34" t="s">
        <v>167</v>
      </c>
      <c r="U34">
        <v>112140</v>
      </c>
      <c r="W34" t="s">
        <v>168</v>
      </c>
      <c r="X34" t="s">
        <v>166</v>
      </c>
    </row>
    <row r="35" spans="1:24" x14ac:dyDescent="0.3">
      <c r="A35" s="7" t="s">
        <v>69</v>
      </c>
      <c r="B35" t="s">
        <v>70</v>
      </c>
      <c r="C35" t="s">
        <v>169</v>
      </c>
      <c r="D35" t="s">
        <v>164</v>
      </c>
      <c r="E35" s="108">
        <v>1000</v>
      </c>
      <c r="F35">
        <v>0</v>
      </c>
      <c r="G35">
        <v>503</v>
      </c>
      <c r="H35" s="108">
        <v>19170</v>
      </c>
      <c r="I35" s="108">
        <v>19170</v>
      </c>
      <c r="J35" s="150">
        <v>0.39020833333333332</v>
      </c>
      <c r="K35" s="150">
        <v>0.39020833333333332</v>
      </c>
      <c r="L35" t="s">
        <v>165</v>
      </c>
      <c r="N35">
        <v>112744</v>
      </c>
      <c r="O35">
        <v>112744</v>
      </c>
      <c r="P35">
        <v>112728</v>
      </c>
      <c r="Q35">
        <v>497</v>
      </c>
      <c r="R35" t="s">
        <v>166</v>
      </c>
      <c r="S35">
        <v>0</v>
      </c>
      <c r="T35" t="s">
        <v>167</v>
      </c>
      <c r="U35">
        <v>112728</v>
      </c>
      <c r="W35" t="s">
        <v>168</v>
      </c>
      <c r="X35" t="s">
        <v>166</v>
      </c>
    </row>
    <row r="36" spans="1:24" x14ac:dyDescent="0.3">
      <c r="A36" s="7" t="s">
        <v>60</v>
      </c>
      <c r="B36" t="s">
        <v>61</v>
      </c>
      <c r="C36" t="s">
        <v>169</v>
      </c>
      <c r="D36" t="s">
        <v>164</v>
      </c>
      <c r="E36">
        <v>500</v>
      </c>
      <c r="F36">
        <v>0</v>
      </c>
      <c r="G36">
        <v>56</v>
      </c>
      <c r="H36" s="108">
        <v>36200</v>
      </c>
      <c r="I36" s="108">
        <v>36200</v>
      </c>
      <c r="J36" s="150">
        <v>0.39025462962962965</v>
      </c>
      <c r="K36" s="150">
        <v>0.39026620370370368</v>
      </c>
      <c r="L36" t="s">
        <v>165</v>
      </c>
      <c r="N36">
        <v>113336</v>
      </c>
      <c r="O36">
        <v>113336</v>
      </c>
      <c r="P36">
        <v>113320</v>
      </c>
      <c r="Q36">
        <v>444</v>
      </c>
      <c r="R36" t="s">
        <v>166</v>
      </c>
      <c r="S36">
        <v>0</v>
      </c>
      <c r="T36" t="s">
        <v>167</v>
      </c>
      <c r="U36">
        <v>113320</v>
      </c>
      <c r="W36" t="s">
        <v>168</v>
      </c>
      <c r="X36" t="s">
        <v>166</v>
      </c>
    </row>
    <row r="37" spans="1:24" x14ac:dyDescent="0.3">
      <c r="A37" s="7" t="s">
        <v>73</v>
      </c>
      <c r="B37" t="s">
        <v>74</v>
      </c>
      <c r="C37" t="s">
        <v>163</v>
      </c>
      <c r="D37" t="s">
        <v>164</v>
      </c>
      <c r="E37" s="108">
        <v>1000</v>
      </c>
      <c r="F37">
        <v>0</v>
      </c>
      <c r="G37">
        <v>1</v>
      </c>
      <c r="H37" s="108">
        <v>22445</v>
      </c>
      <c r="I37" s="108">
        <v>22445</v>
      </c>
      <c r="J37" s="150">
        <v>0.39035879629629627</v>
      </c>
      <c r="K37" s="150">
        <v>0.39038194444444446</v>
      </c>
      <c r="L37" t="s">
        <v>165</v>
      </c>
      <c r="N37">
        <v>114517</v>
      </c>
      <c r="O37">
        <v>114517</v>
      </c>
      <c r="P37">
        <v>114441</v>
      </c>
      <c r="Q37">
        <v>999</v>
      </c>
      <c r="R37" t="s">
        <v>166</v>
      </c>
      <c r="S37">
        <v>0</v>
      </c>
      <c r="T37" t="s">
        <v>167</v>
      </c>
      <c r="U37">
        <v>114441</v>
      </c>
      <c r="W37" t="s">
        <v>168</v>
      </c>
      <c r="X37" t="s">
        <v>166</v>
      </c>
    </row>
    <row r="38" spans="1:24" x14ac:dyDescent="0.3">
      <c r="A38" s="7" t="s">
        <v>77</v>
      </c>
      <c r="B38" t="s">
        <v>78</v>
      </c>
      <c r="C38" t="s">
        <v>163</v>
      </c>
      <c r="D38" t="s">
        <v>164</v>
      </c>
      <c r="E38" s="108">
        <v>1000</v>
      </c>
      <c r="F38">
        <v>0</v>
      </c>
      <c r="G38">
        <v>455</v>
      </c>
      <c r="H38" s="108">
        <v>18125</v>
      </c>
      <c r="I38" s="108">
        <v>18125</v>
      </c>
      <c r="J38" s="150">
        <v>0.39052083333333337</v>
      </c>
      <c r="K38" s="150">
        <v>0.39053240740740741</v>
      </c>
      <c r="L38" t="s">
        <v>165</v>
      </c>
      <c r="N38">
        <v>117092</v>
      </c>
      <c r="O38">
        <v>117092</v>
      </c>
      <c r="P38">
        <v>117080</v>
      </c>
      <c r="Q38">
        <v>545</v>
      </c>
      <c r="R38" t="s">
        <v>166</v>
      </c>
      <c r="S38">
        <v>0</v>
      </c>
      <c r="T38" t="s">
        <v>167</v>
      </c>
      <c r="U38">
        <v>117080</v>
      </c>
      <c r="W38" t="s">
        <v>168</v>
      </c>
      <c r="X38" t="s">
        <v>166</v>
      </c>
    </row>
    <row r="39" spans="1:24" x14ac:dyDescent="0.3">
      <c r="A39" s="7" t="s">
        <v>110</v>
      </c>
      <c r="B39" t="s">
        <v>111</v>
      </c>
      <c r="C39" t="s">
        <v>169</v>
      </c>
      <c r="D39" t="s">
        <v>164</v>
      </c>
      <c r="E39" s="108">
        <v>1000</v>
      </c>
      <c r="F39">
        <v>0</v>
      </c>
      <c r="G39" s="108">
        <v>1000</v>
      </c>
      <c r="H39" s="108">
        <v>25355</v>
      </c>
      <c r="I39" s="108">
        <v>25355</v>
      </c>
      <c r="J39" s="150">
        <v>0.39057870370370368</v>
      </c>
      <c r="K39" s="150">
        <v>0.39060185185185187</v>
      </c>
      <c r="L39" t="s">
        <v>165</v>
      </c>
      <c r="N39">
        <v>117946</v>
      </c>
      <c r="O39">
        <v>117946</v>
      </c>
      <c r="P39">
        <v>117858</v>
      </c>
      <c r="Q39">
        <v>0</v>
      </c>
      <c r="R39" t="s">
        <v>166</v>
      </c>
      <c r="S39">
        <v>0</v>
      </c>
      <c r="T39" t="s">
        <v>167</v>
      </c>
      <c r="U39">
        <v>117858</v>
      </c>
      <c r="W39" t="s">
        <v>168</v>
      </c>
      <c r="X39" t="s">
        <v>166</v>
      </c>
    </row>
    <row r="40" spans="1:24" x14ac:dyDescent="0.3">
      <c r="A40" s="7" t="s">
        <v>63</v>
      </c>
      <c r="B40" t="s">
        <v>64</v>
      </c>
      <c r="C40" t="s">
        <v>163</v>
      </c>
      <c r="D40" t="s">
        <v>164</v>
      </c>
      <c r="E40" s="108">
        <v>1000</v>
      </c>
      <c r="F40">
        <v>0</v>
      </c>
      <c r="G40" s="108">
        <v>1000</v>
      </c>
      <c r="H40" s="108">
        <v>4830</v>
      </c>
      <c r="I40" s="108">
        <v>4830</v>
      </c>
      <c r="J40" s="150">
        <v>0.39089120370370373</v>
      </c>
      <c r="K40" s="150">
        <v>0.39090277777777777</v>
      </c>
      <c r="L40" t="s">
        <v>165</v>
      </c>
      <c r="N40">
        <v>122592</v>
      </c>
      <c r="O40">
        <v>122592</v>
      </c>
      <c r="P40">
        <v>120830</v>
      </c>
      <c r="Q40">
        <v>0</v>
      </c>
      <c r="R40" t="s">
        <v>166</v>
      </c>
      <c r="S40">
        <v>0</v>
      </c>
      <c r="T40" t="s">
        <v>167</v>
      </c>
      <c r="U40">
        <v>120830</v>
      </c>
      <c r="W40" t="s">
        <v>168</v>
      </c>
      <c r="X40" t="s">
        <v>166</v>
      </c>
    </row>
    <row r="41" spans="1:24" x14ac:dyDescent="0.3">
      <c r="A41" s="7" t="s">
        <v>69</v>
      </c>
      <c r="B41" t="s">
        <v>70</v>
      </c>
      <c r="C41" t="s">
        <v>163</v>
      </c>
      <c r="D41" t="s">
        <v>164</v>
      </c>
      <c r="E41" s="108">
        <v>1000</v>
      </c>
      <c r="F41">
        <v>0</v>
      </c>
      <c r="G41" s="108">
        <v>1000</v>
      </c>
      <c r="H41" s="108">
        <v>19120</v>
      </c>
      <c r="I41" s="108">
        <v>19120</v>
      </c>
      <c r="J41" s="150">
        <v>0.39090277777777777</v>
      </c>
      <c r="K41" s="150">
        <v>0.39090277777777777</v>
      </c>
      <c r="L41" t="s">
        <v>165</v>
      </c>
      <c r="N41">
        <v>122780</v>
      </c>
      <c r="O41">
        <v>122780</v>
      </c>
      <c r="P41">
        <v>122759</v>
      </c>
      <c r="Q41">
        <v>0</v>
      </c>
      <c r="R41" t="s">
        <v>166</v>
      </c>
      <c r="S41">
        <v>0</v>
      </c>
      <c r="T41" t="s">
        <v>167</v>
      </c>
      <c r="U41">
        <v>122759</v>
      </c>
      <c r="W41" t="s">
        <v>168</v>
      </c>
      <c r="X41" t="s">
        <v>166</v>
      </c>
    </row>
    <row r="42" spans="1:24" x14ac:dyDescent="0.3">
      <c r="A42" s="7" t="s">
        <v>83</v>
      </c>
      <c r="B42" t="s">
        <v>84</v>
      </c>
      <c r="C42" t="s">
        <v>163</v>
      </c>
      <c r="D42" t="s">
        <v>164</v>
      </c>
      <c r="E42" s="108">
        <v>1000</v>
      </c>
      <c r="F42">
        <v>0</v>
      </c>
      <c r="G42">
        <v>1</v>
      </c>
      <c r="H42" s="108">
        <v>4815</v>
      </c>
      <c r="I42" s="108">
        <v>4815</v>
      </c>
      <c r="J42" s="150">
        <v>0.39109953703703698</v>
      </c>
      <c r="K42" s="150">
        <v>0.39136574074074071</v>
      </c>
      <c r="L42" t="s">
        <v>165</v>
      </c>
      <c r="N42">
        <v>125918</v>
      </c>
      <c r="O42">
        <v>125918</v>
      </c>
      <c r="P42">
        <v>124673</v>
      </c>
      <c r="Q42">
        <v>999</v>
      </c>
      <c r="R42" t="s">
        <v>166</v>
      </c>
      <c r="S42">
        <v>0</v>
      </c>
      <c r="T42" t="s">
        <v>167</v>
      </c>
      <c r="U42">
        <v>124673</v>
      </c>
      <c r="W42" t="s">
        <v>168</v>
      </c>
      <c r="X42" t="s">
        <v>166</v>
      </c>
    </row>
    <row r="43" spans="1:24" x14ac:dyDescent="0.3">
      <c r="A43" s="7" t="s">
        <v>65</v>
      </c>
      <c r="B43" t="s">
        <v>66</v>
      </c>
      <c r="C43" t="s">
        <v>169</v>
      </c>
      <c r="D43" t="s">
        <v>164</v>
      </c>
      <c r="E43" s="108">
        <v>1000</v>
      </c>
      <c r="F43">
        <v>0</v>
      </c>
      <c r="G43" s="108">
        <v>1000</v>
      </c>
      <c r="H43" s="108">
        <v>4950</v>
      </c>
      <c r="I43" s="108">
        <v>4950</v>
      </c>
      <c r="J43" s="150">
        <v>0.39119212962962963</v>
      </c>
      <c r="K43" s="150">
        <v>0.39121527777777776</v>
      </c>
      <c r="L43" t="s">
        <v>165</v>
      </c>
      <c r="N43">
        <v>127141</v>
      </c>
      <c r="O43">
        <v>127141</v>
      </c>
      <c r="P43">
        <v>127135</v>
      </c>
      <c r="Q43">
        <v>0</v>
      </c>
      <c r="R43" t="s">
        <v>166</v>
      </c>
      <c r="S43">
        <v>0</v>
      </c>
      <c r="T43" t="s">
        <v>167</v>
      </c>
      <c r="U43">
        <v>127135</v>
      </c>
      <c r="W43" t="s">
        <v>168</v>
      </c>
      <c r="X43" t="s">
        <v>166</v>
      </c>
    </row>
    <row r="44" spans="1:24" x14ac:dyDescent="0.3">
      <c r="A44" s="7" t="s">
        <v>71</v>
      </c>
      <c r="B44" t="s">
        <v>72</v>
      </c>
      <c r="C44" t="s">
        <v>169</v>
      </c>
      <c r="D44" t="s">
        <v>164</v>
      </c>
      <c r="E44" s="108">
        <v>1000</v>
      </c>
      <c r="F44">
        <v>0</v>
      </c>
      <c r="G44" s="108">
        <v>1000</v>
      </c>
      <c r="H44" s="108">
        <v>18695</v>
      </c>
      <c r="I44" s="108">
        <v>18695</v>
      </c>
      <c r="J44" s="150">
        <v>0.39127314814814818</v>
      </c>
      <c r="K44" s="150">
        <v>0.39128472222222221</v>
      </c>
      <c r="L44" t="s">
        <v>165</v>
      </c>
      <c r="N44">
        <v>128541</v>
      </c>
      <c r="O44">
        <v>128541</v>
      </c>
      <c r="P44">
        <v>128500</v>
      </c>
      <c r="Q44">
        <v>0</v>
      </c>
      <c r="R44" t="s">
        <v>166</v>
      </c>
      <c r="S44">
        <v>0</v>
      </c>
      <c r="T44" t="s">
        <v>167</v>
      </c>
      <c r="U44">
        <v>128500</v>
      </c>
      <c r="W44" t="s">
        <v>168</v>
      </c>
      <c r="X44" t="s">
        <v>166</v>
      </c>
    </row>
    <row r="45" spans="1:24" x14ac:dyDescent="0.3">
      <c r="A45" s="7" t="s">
        <v>67</v>
      </c>
      <c r="B45" t="s">
        <v>68</v>
      </c>
      <c r="C45" t="s">
        <v>169</v>
      </c>
      <c r="D45" t="s">
        <v>164</v>
      </c>
      <c r="E45" s="108">
        <v>1000</v>
      </c>
      <c r="F45">
        <v>0</v>
      </c>
      <c r="G45" s="108">
        <v>1000</v>
      </c>
      <c r="H45" s="108">
        <v>10460</v>
      </c>
      <c r="I45" s="108">
        <v>10460</v>
      </c>
      <c r="J45" s="150">
        <v>0.39128472222222221</v>
      </c>
      <c r="K45" s="150">
        <v>0.39128472222222221</v>
      </c>
      <c r="L45" t="s">
        <v>165</v>
      </c>
      <c r="N45">
        <v>128632</v>
      </c>
      <c r="O45">
        <v>128632</v>
      </c>
      <c r="P45">
        <v>128584</v>
      </c>
      <c r="Q45">
        <v>0</v>
      </c>
      <c r="R45" t="s">
        <v>166</v>
      </c>
      <c r="S45">
        <v>0</v>
      </c>
      <c r="T45" t="s">
        <v>167</v>
      </c>
      <c r="U45">
        <v>128584</v>
      </c>
      <c r="W45" t="s">
        <v>168</v>
      </c>
      <c r="X45" t="s">
        <v>166</v>
      </c>
    </row>
    <row r="46" spans="1:24" x14ac:dyDescent="0.3">
      <c r="A46" s="7" t="s">
        <v>60</v>
      </c>
      <c r="B46" t="s">
        <v>61</v>
      </c>
      <c r="C46" t="s">
        <v>169</v>
      </c>
      <c r="D46" t="s">
        <v>164</v>
      </c>
      <c r="E46">
        <v>500</v>
      </c>
      <c r="F46">
        <v>0</v>
      </c>
      <c r="G46">
        <v>500</v>
      </c>
      <c r="H46" s="108">
        <v>36125</v>
      </c>
      <c r="I46" s="108">
        <v>36125</v>
      </c>
      <c r="J46" s="150">
        <v>0.39152777777777775</v>
      </c>
      <c r="K46" s="150">
        <v>0.39152777777777775</v>
      </c>
      <c r="L46" t="s">
        <v>165</v>
      </c>
      <c r="N46">
        <v>133371</v>
      </c>
      <c r="O46">
        <v>133371</v>
      </c>
      <c r="P46">
        <v>133356</v>
      </c>
      <c r="Q46">
        <v>0</v>
      </c>
      <c r="R46" t="s">
        <v>166</v>
      </c>
      <c r="S46">
        <v>0</v>
      </c>
      <c r="T46" t="s">
        <v>167</v>
      </c>
      <c r="U46">
        <v>133356</v>
      </c>
      <c r="W46" t="s">
        <v>168</v>
      </c>
      <c r="X46" t="s">
        <v>166</v>
      </c>
    </row>
    <row r="47" spans="1:24" x14ac:dyDescent="0.3">
      <c r="A47" s="7" t="s">
        <v>69</v>
      </c>
      <c r="B47" t="s">
        <v>70</v>
      </c>
      <c r="C47" t="s">
        <v>163</v>
      </c>
      <c r="D47" t="s">
        <v>164</v>
      </c>
      <c r="E47" s="108">
        <v>1000</v>
      </c>
      <c r="F47">
        <v>0</v>
      </c>
      <c r="G47" s="108">
        <v>1000</v>
      </c>
      <c r="H47" s="108">
        <v>19115</v>
      </c>
      <c r="I47" s="108">
        <v>19115</v>
      </c>
      <c r="J47" s="150">
        <v>0.39182870370370365</v>
      </c>
      <c r="K47" s="150">
        <v>0.3918402777777778</v>
      </c>
      <c r="L47" t="s">
        <v>165</v>
      </c>
      <c r="N47">
        <v>138505</v>
      </c>
      <c r="O47">
        <v>138505</v>
      </c>
      <c r="P47">
        <v>138488</v>
      </c>
      <c r="Q47">
        <v>0</v>
      </c>
      <c r="R47" t="s">
        <v>166</v>
      </c>
      <c r="S47">
        <v>0</v>
      </c>
      <c r="T47" t="s">
        <v>167</v>
      </c>
      <c r="U47">
        <v>138488</v>
      </c>
      <c r="W47" t="s">
        <v>168</v>
      </c>
      <c r="X47" t="s">
        <v>166</v>
      </c>
    </row>
    <row r="48" spans="1:24" x14ac:dyDescent="0.3">
      <c r="A48" s="7" t="s">
        <v>77</v>
      </c>
      <c r="B48" t="s">
        <v>78</v>
      </c>
      <c r="C48" t="s">
        <v>163</v>
      </c>
      <c r="D48" t="s">
        <v>164</v>
      </c>
      <c r="E48" s="108">
        <v>1000</v>
      </c>
      <c r="F48">
        <v>0</v>
      </c>
      <c r="G48" s="108">
        <v>1000</v>
      </c>
      <c r="H48" s="108">
        <v>18180</v>
      </c>
      <c r="I48" s="108">
        <v>18180</v>
      </c>
      <c r="J48" s="150">
        <v>0.3918402777777778</v>
      </c>
      <c r="K48" s="150">
        <v>0.3918402777777778</v>
      </c>
      <c r="L48" t="s">
        <v>165</v>
      </c>
      <c r="N48">
        <v>138539</v>
      </c>
      <c r="O48">
        <v>138539</v>
      </c>
      <c r="P48">
        <v>138478</v>
      </c>
      <c r="Q48">
        <v>0</v>
      </c>
      <c r="R48" t="s">
        <v>166</v>
      </c>
      <c r="S48">
        <v>0</v>
      </c>
      <c r="T48" t="s">
        <v>167</v>
      </c>
      <c r="U48">
        <v>138478</v>
      </c>
      <c r="W48" t="s">
        <v>168</v>
      </c>
      <c r="X48" t="s">
        <v>166</v>
      </c>
    </row>
    <row r="49" spans="1:24" x14ac:dyDescent="0.3">
      <c r="A49" s="7" t="s">
        <v>92</v>
      </c>
      <c r="B49" t="s">
        <v>93</v>
      </c>
      <c r="C49" t="s">
        <v>163</v>
      </c>
      <c r="D49" t="s">
        <v>164</v>
      </c>
      <c r="E49" s="108">
        <v>1000</v>
      </c>
      <c r="F49">
        <v>0</v>
      </c>
      <c r="G49">
        <v>266</v>
      </c>
      <c r="H49" s="108">
        <v>22345</v>
      </c>
      <c r="I49" s="108">
        <v>22345</v>
      </c>
      <c r="J49" s="150">
        <v>0.39239583333333333</v>
      </c>
      <c r="K49" s="150">
        <v>0.39239583333333333</v>
      </c>
      <c r="L49" t="s">
        <v>165</v>
      </c>
      <c r="N49">
        <v>147853</v>
      </c>
      <c r="O49">
        <v>147853</v>
      </c>
      <c r="P49">
        <v>147851</v>
      </c>
      <c r="Q49">
        <v>734</v>
      </c>
      <c r="R49" t="s">
        <v>166</v>
      </c>
      <c r="S49">
        <v>0</v>
      </c>
      <c r="T49" t="s">
        <v>167</v>
      </c>
      <c r="U49">
        <v>147851</v>
      </c>
      <c r="W49" t="s">
        <v>168</v>
      </c>
      <c r="X49" t="s">
        <v>166</v>
      </c>
    </row>
    <row r="50" spans="1:24" x14ac:dyDescent="0.3">
      <c r="A50" s="7" t="s">
        <v>100</v>
      </c>
      <c r="B50" t="s">
        <v>101</v>
      </c>
      <c r="C50" t="s">
        <v>169</v>
      </c>
      <c r="D50" t="s">
        <v>164</v>
      </c>
      <c r="E50" s="108">
        <v>1000</v>
      </c>
      <c r="F50">
        <v>0</v>
      </c>
      <c r="G50" s="108">
        <v>1000</v>
      </c>
      <c r="H50" s="108">
        <v>26320</v>
      </c>
      <c r="I50" s="108">
        <v>26320</v>
      </c>
      <c r="J50" s="150">
        <v>0.39262731481481478</v>
      </c>
      <c r="K50" s="150">
        <v>0.39265046296296297</v>
      </c>
      <c r="L50" t="s">
        <v>165</v>
      </c>
      <c r="N50">
        <v>152731</v>
      </c>
      <c r="O50">
        <v>152731</v>
      </c>
      <c r="P50">
        <v>152355</v>
      </c>
      <c r="Q50">
        <v>0</v>
      </c>
      <c r="R50" t="s">
        <v>166</v>
      </c>
      <c r="S50">
        <v>0</v>
      </c>
      <c r="T50" t="s">
        <v>167</v>
      </c>
      <c r="U50">
        <v>152355</v>
      </c>
      <c r="W50" t="s">
        <v>168</v>
      </c>
      <c r="X50" t="s">
        <v>166</v>
      </c>
    </row>
    <row r="51" spans="1:24" x14ac:dyDescent="0.3">
      <c r="A51" s="7" t="s">
        <v>71</v>
      </c>
      <c r="B51" t="s">
        <v>72</v>
      </c>
      <c r="C51" t="s">
        <v>169</v>
      </c>
      <c r="D51" t="s">
        <v>164</v>
      </c>
      <c r="E51" s="108">
        <v>1000</v>
      </c>
      <c r="F51">
        <v>0</v>
      </c>
      <c r="G51">
        <v>681</v>
      </c>
      <c r="H51" s="108">
        <v>18640</v>
      </c>
      <c r="I51" s="108">
        <v>18640</v>
      </c>
      <c r="J51" s="150">
        <v>0.39265046296296297</v>
      </c>
      <c r="K51" s="150">
        <v>0.39266203703703706</v>
      </c>
      <c r="L51" t="s">
        <v>165</v>
      </c>
      <c r="N51">
        <v>153248</v>
      </c>
      <c r="O51">
        <v>153248</v>
      </c>
      <c r="P51">
        <v>153237</v>
      </c>
      <c r="Q51">
        <v>319</v>
      </c>
      <c r="R51" t="s">
        <v>166</v>
      </c>
      <c r="S51">
        <v>0</v>
      </c>
      <c r="T51" t="s">
        <v>167</v>
      </c>
      <c r="U51">
        <v>153237</v>
      </c>
      <c r="W51" t="s">
        <v>168</v>
      </c>
      <c r="X51" t="s">
        <v>166</v>
      </c>
    </row>
    <row r="52" spans="1:24" x14ac:dyDescent="0.3">
      <c r="A52" s="7" t="s">
        <v>60</v>
      </c>
      <c r="B52" t="s">
        <v>61</v>
      </c>
      <c r="C52" t="s">
        <v>169</v>
      </c>
      <c r="D52" t="s">
        <v>164</v>
      </c>
      <c r="E52">
        <v>500</v>
      </c>
      <c r="F52">
        <v>0</v>
      </c>
      <c r="G52">
        <v>500</v>
      </c>
      <c r="H52" s="108">
        <v>36315</v>
      </c>
      <c r="I52" s="108">
        <v>36315</v>
      </c>
      <c r="J52" s="150">
        <v>0.39274305555555555</v>
      </c>
      <c r="K52" s="150">
        <v>0.39274305555555555</v>
      </c>
      <c r="L52" t="s">
        <v>165</v>
      </c>
      <c r="N52">
        <v>154974</v>
      </c>
      <c r="O52">
        <v>154974</v>
      </c>
      <c r="P52">
        <v>154932</v>
      </c>
      <c r="Q52">
        <v>0</v>
      </c>
      <c r="R52" t="s">
        <v>166</v>
      </c>
      <c r="S52">
        <v>0</v>
      </c>
      <c r="T52" t="s">
        <v>167</v>
      </c>
      <c r="U52">
        <v>154932</v>
      </c>
      <c r="W52" t="s">
        <v>168</v>
      </c>
      <c r="X52" t="s">
        <v>166</v>
      </c>
    </row>
    <row r="53" spans="1:24" x14ac:dyDescent="0.3">
      <c r="A53" s="7" t="s">
        <v>65</v>
      </c>
      <c r="B53" t="s">
        <v>66</v>
      </c>
      <c r="C53" t="s">
        <v>169</v>
      </c>
      <c r="D53" t="s">
        <v>164</v>
      </c>
      <c r="E53" s="108">
        <v>1000</v>
      </c>
      <c r="F53">
        <v>0</v>
      </c>
      <c r="G53">
        <v>27</v>
      </c>
      <c r="H53" s="108">
        <v>4935</v>
      </c>
      <c r="I53" s="108">
        <v>4935</v>
      </c>
      <c r="J53" s="150">
        <v>0.39276620370370369</v>
      </c>
      <c r="K53" s="150">
        <v>0.39278935185185188</v>
      </c>
      <c r="L53" t="s">
        <v>165</v>
      </c>
      <c r="N53">
        <v>155403</v>
      </c>
      <c r="O53">
        <v>155403</v>
      </c>
      <c r="P53">
        <v>155283</v>
      </c>
      <c r="Q53">
        <v>973</v>
      </c>
      <c r="R53" t="s">
        <v>166</v>
      </c>
      <c r="S53">
        <v>0</v>
      </c>
      <c r="T53" t="s">
        <v>167</v>
      </c>
      <c r="U53">
        <v>155283</v>
      </c>
      <c r="W53" t="s">
        <v>168</v>
      </c>
      <c r="X53" t="s">
        <v>166</v>
      </c>
    </row>
    <row r="54" spans="1:24" x14ac:dyDescent="0.3">
      <c r="A54" s="7" t="s">
        <v>67</v>
      </c>
      <c r="B54" t="s">
        <v>68</v>
      </c>
      <c r="C54" t="s">
        <v>169</v>
      </c>
      <c r="D54" t="s">
        <v>164</v>
      </c>
      <c r="E54" s="108">
        <v>1000</v>
      </c>
      <c r="F54">
        <v>0</v>
      </c>
      <c r="G54">
        <v>312</v>
      </c>
      <c r="H54" s="108">
        <v>10425</v>
      </c>
      <c r="I54" s="108">
        <v>10425</v>
      </c>
      <c r="J54" s="150">
        <v>0.39292824074074079</v>
      </c>
      <c r="K54" s="150">
        <v>0.39293981481481483</v>
      </c>
      <c r="L54" t="s">
        <v>165</v>
      </c>
      <c r="N54">
        <v>158148</v>
      </c>
      <c r="O54">
        <v>158148</v>
      </c>
      <c r="P54">
        <v>158117</v>
      </c>
      <c r="Q54">
        <v>688</v>
      </c>
      <c r="R54" t="s">
        <v>166</v>
      </c>
      <c r="S54">
        <v>0</v>
      </c>
      <c r="T54" t="s">
        <v>167</v>
      </c>
      <c r="U54">
        <v>158117</v>
      </c>
      <c r="W54" t="s">
        <v>168</v>
      </c>
      <c r="X54" t="s">
        <v>166</v>
      </c>
    </row>
    <row r="55" spans="1:24" x14ac:dyDescent="0.3">
      <c r="A55" s="7" t="s">
        <v>69</v>
      </c>
      <c r="B55" t="s">
        <v>70</v>
      </c>
      <c r="C55" t="s">
        <v>169</v>
      </c>
      <c r="D55" t="s">
        <v>164</v>
      </c>
      <c r="E55" s="108">
        <v>1000</v>
      </c>
      <c r="F55">
        <v>0</v>
      </c>
      <c r="G55" s="108">
        <v>1000</v>
      </c>
      <c r="H55" s="108">
        <v>19230</v>
      </c>
      <c r="I55" s="108">
        <v>19230</v>
      </c>
      <c r="J55" s="150">
        <v>0.39327546296296295</v>
      </c>
      <c r="K55" s="150">
        <v>0.39329861111111114</v>
      </c>
      <c r="L55" t="s">
        <v>165</v>
      </c>
      <c r="N55">
        <v>163994</v>
      </c>
      <c r="O55">
        <v>163994</v>
      </c>
      <c r="P55">
        <v>163886</v>
      </c>
      <c r="Q55">
        <v>0</v>
      </c>
      <c r="R55" t="s">
        <v>166</v>
      </c>
      <c r="S55">
        <v>0</v>
      </c>
      <c r="T55" t="s">
        <v>167</v>
      </c>
      <c r="U55">
        <v>163886</v>
      </c>
      <c r="W55" t="s">
        <v>168</v>
      </c>
      <c r="X55" t="s">
        <v>166</v>
      </c>
    </row>
    <row r="56" spans="1:24" x14ac:dyDescent="0.3">
      <c r="A56" s="7" t="s">
        <v>79</v>
      </c>
      <c r="B56" t="s">
        <v>80</v>
      </c>
      <c r="C56" t="s">
        <v>169</v>
      </c>
      <c r="D56" t="s">
        <v>164</v>
      </c>
      <c r="E56" s="108">
        <v>1000</v>
      </c>
      <c r="F56">
        <v>0</v>
      </c>
      <c r="G56">
        <v>21</v>
      </c>
      <c r="H56" s="108">
        <v>38675</v>
      </c>
      <c r="I56" s="108">
        <v>38675</v>
      </c>
      <c r="J56" s="150">
        <v>0.39328703703703699</v>
      </c>
      <c r="K56" s="150">
        <v>0.39328703703703699</v>
      </c>
      <c r="L56" t="s">
        <v>165</v>
      </c>
      <c r="N56">
        <v>164185</v>
      </c>
      <c r="O56">
        <v>164185</v>
      </c>
      <c r="P56">
        <v>164164</v>
      </c>
      <c r="Q56">
        <v>979</v>
      </c>
      <c r="R56" t="s">
        <v>166</v>
      </c>
      <c r="S56">
        <v>0</v>
      </c>
      <c r="T56" t="s">
        <v>167</v>
      </c>
      <c r="U56">
        <v>164164</v>
      </c>
      <c r="W56" t="s">
        <v>168</v>
      </c>
      <c r="X56" t="s">
        <v>166</v>
      </c>
    </row>
    <row r="57" spans="1:24" x14ac:dyDescent="0.3">
      <c r="A57" s="7" t="s">
        <v>65</v>
      </c>
      <c r="B57" t="s">
        <v>66</v>
      </c>
      <c r="C57" t="s">
        <v>169</v>
      </c>
      <c r="D57" t="s">
        <v>164</v>
      </c>
      <c r="E57" s="108">
        <v>1000</v>
      </c>
      <c r="F57">
        <v>0</v>
      </c>
      <c r="G57">
        <v>14</v>
      </c>
      <c r="H57" s="108">
        <v>4920</v>
      </c>
      <c r="I57" s="108">
        <v>4920</v>
      </c>
      <c r="J57" s="150">
        <v>0.39348379629629626</v>
      </c>
      <c r="K57" s="150">
        <v>0.3935069444444444</v>
      </c>
      <c r="L57" t="s">
        <v>165</v>
      </c>
      <c r="N57">
        <v>167521</v>
      </c>
      <c r="O57">
        <v>167521</v>
      </c>
      <c r="P57">
        <v>167518</v>
      </c>
      <c r="Q57">
        <v>986</v>
      </c>
      <c r="R57" t="s">
        <v>166</v>
      </c>
      <c r="S57">
        <v>0</v>
      </c>
      <c r="T57" t="s">
        <v>167</v>
      </c>
      <c r="U57">
        <v>167518</v>
      </c>
      <c r="W57" t="s">
        <v>168</v>
      </c>
      <c r="X57" t="s">
        <v>166</v>
      </c>
    </row>
    <row r="58" spans="1:24" x14ac:dyDescent="0.3">
      <c r="A58" s="7" t="s">
        <v>63</v>
      </c>
      <c r="B58" t="s">
        <v>64</v>
      </c>
      <c r="C58" t="s">
        <v>163</v>
      </c>
      <c r="D58" t="s">
        <v>164</v>
      </c>
      <c r="E58" s="108">
        <v>1000</v>
      </c>
      <c r="F58">
        <v>0</v>
      </c>
      <c r="G58" s="108">
        <v>1000</v>
      </c>
      <c r="H58" s="108">
        <v>4825</v>
      </c>
      <c r="I58" s="108">
        <v>4825</v>
      </c>
      <c r="J58" s="150">
        <v>0.39356481481481481</v>
      </c>
      <c r="K58" s="150">
        <v>0.39356481481481481</v>
      </c>
      <c r="L58" t="s">
        <v>165</v>
      </c>
      <c r="N58">
        <v>169123</v>
      </c>
      <c r="O58">
        <v>169123</v>
      </c>
      <c r="P58">
        <v>169082</v>
      </c>
      <c r="Q58">
        <v>0</v>
      </c>
      <c r="R58" t="s">
        <v>166</v>
      </c>
      <c r="S58">
        <v>0</v>
      </c>
      <c r="T58" t="s">
        <v>167</v>
      </c>
      <c r="U58">
        <v>169082</v>
      </c>
      <c r="W58" t="s">
        <v>168</v>
      </c>
      <c r="X58" t="s">
        <v>166</v>
      </c>
    </row>
    <row r="59" spans="1:24" x14ac:dyDescent="0.3">
      <c r="A59" s="7" t="s">
        <v>67</v>
      </c>
      <c r="B59" t="s">
        <v>68</v>
      </c>
      <c r="C59" t="s">
        <v>169</v>
      </c>
      <c r="D59" t="s">
        <v>164</v>
      </c>
      <c r="E59" s="108">
        <v>1000</v>
      </c>
      <c r="F59">
        <v>0</v>
      </c>
      <c r="G59">
        <v>642</v>
      </c>
      <c r="H59" s="108">
        <v>10410</v>
      </c>
      <c r="I59" s="108">
        <v>10410</v>
      </c>
      <c r="J59" s="150">
        <v>0.39366898148148149</v>
      </c>
      <c r="K59" s="150">
        <v>0.39368055555555559</v>
      </c>
      <c r="L59" t="s">
        <v>165</v>
      </c>
      <c r="N59">
        <v>171162</v>
      </c>
      <c r="O59">
        <v>171162</v>
      </c>
      <c r="P59">
        <v>171077</v>
      </c>
      <c r="Q59">
        <v>358</v>
      </c>
      <c r="R59" t="s">
        <v>166</v>
      </c>
      <c r="S59">
        <v>0</v>
      </c>
      <c r="T59" t="s">
        <v>167</v>
      </c>
      <c r="U59">
        <v>171077</v>
      </c>
      <c r="W59" t="s">
        <v>168</v>
      </c>
      <c r="X59" t="s">
        <v>166</v>
      </c>
    </row>
    <row r="60" spans="1:24" x14ac:dyDescent="0.3">
      <c r="A60" s="7" t="s">
        <v>77</v>
      </c>
      <c r="B60" t="s">
        <v>78</v>
      </c>
      <c r="C60" t="s">
        <v>163</v>
      </c>
      <c r="D60" t="s">
        <v>164</v>
      </c>
      <c r="E60" s="108">
        <v>1000</v>
      </c>
      <c r="F60">
        <v>0</v>
      </c>
      <c r="G60" s="108">
        <v>1000</v>
      </c>
      <c r="H60" s="108">
        <v>18330</v>
      </c>
      <c r="I60" s="108">
        <v>18330</v>
      </c>
      <c r="J60" s="150">
        <v>0.39408564814814812</v>
      </c>
      <c r="K60" s="150">
        <v>0.39408564814814812</v>
      </c>
      <c r="L60" t="s">
        <v>165</v>
      </c>
      <c r="N60">
        <v>178028</v>
      </c>
      <c r="O60">
        <v>178028</v>
      </c>
      <c r="P60">
        <v>178017</v>
      </c>
      <c r="Q60">
        <v>0</v>
      </c>
      <c r="R60" t="s">
        <v>166</v>
      </c>
      <c r="S60">
        <v>0</v>
      </c>
      <c r="T60" t="s">
        <v>167</v>
      </c>
      <c r="U60">
        <v>178017</v>
      </c>
      <c r="W60" t="s">
        <v>168</v>
      </c>
      <c r="X60" t="s">
        <v>166</v>
      </c>
    </row>
    <row r="61" spans="1:24" x14ac:dyDescent="0.3">
      <c r="A61" s="7" t="s">
        <v>138</v>
      </c>
      <c r="B61" t="s">
        <v>171</v>
      </c>
      <c r="C61" t="s">
        <v>163</v>
      </c>
      <c r="D61" t="s">
        <v>164</v>
      </c>
      <c r="E61" s="108">
        <v>1000</v>
      </c>
      <c r="F61">
        <v>0</v>
      </c>
      <c r="G61" s="108">
        <v>1000</v>
      </c>
      <c r="H61" s="108">
        <v>9090</v>
      </c>
      <c r="I61" s="108">
        <v>9090</v>
      </c>
      <c r="J61" s="150">
        <v>0.39452546296296293</v>
      </c>
      <c r="K61" s="150">
        <v>0.39456018518518521</v>
      </c>
      <c r="L61" t="s">
        <v>165</v>
      </c>
      <c r="N61">
        <v>184968</v>
      </c>
      <c r="O61">
        <v>184968</v>
      </c>
      <c r="P61">
        <v>184914</v>
      </c>
      <c r="Q61">
        <v>0</v>
      </c>
      <c r="R61" t="s">
        <v>166</v>
      </c>
      <c r="S61">
        <v>0</v>
      </c>
      <c r="T61" t="s">
        <v>167</v>
      </c>
      <c r="U61">
        <v>184914</v>
      </c>
      <c r="W61" t="s">
        <v>168</v>
      </c>
      <c r="X61" t="s">
        <v>166</v>
      </c>
    </row>
    <row r="62" spans="1:24" x14ac:dyDescent="0.3">
      <c r="A62" s="7" t="s">
        <v>79</v>
      </c>
      <c r="B62" t="s">
        <v>80</v>
      </c>
      <c r="C62" t="s">
        <v>163</v>
      </c>
      <c r="D62" t="s">
        <v>164</v>
      </c>
      <c r="E62" s="108">
        <v>1000</v>
      </c>
      <c r="F62">
        <v>0</v>
      </c>
      <c r="G62">
        <v>21</v>
      </c>
      <c r="H62" s="108">
        <v>38730</v>
      </c>
      <c r="I62" s="108">
        <v>38730</v>
      </c>
      <c r="J62" s="150">
        <v>0.39462962962962966</v>
      </c>
      <c r="K62" s="150">
        <v>0.39462962962962966</v>
      </c>
      <c r="L62" t="s">
        <v>165</v>
      </c>
      <c r="N62">
        <v>186885</v>
      </c>
      <c r="O62">
        <v>186885</v>
      </c>
      <c r="P62">
        <v>186871</v>
      </c>
      <c r="Q62">
        <v>979</v>
      </c>
      <c r="R62" t="s">
        <v>166</v>
      </c>
      <c r="S62">
        <v>0</v>
      </c>
      <c r="T62" t="s">
        <v>167</v>
      </c>
      <c r="U62">
        <v>186871</v>
      </c>
      <c r="W62" t="s">
        <v>168</v>
      </c>
      <c r="X62" t="s">
        <v>166</v>
      </c>
    </row>
    <row r="63" spans="1:24" x14ac:dyDescent="0.3">
      <c r="A63" s="7" t="s">
        <v>65</v>
      </c>
      <c r="B63" t="s">
        <v>66</v>
      </c>
      <c r="C63" t="s">
        <v>169</v>
      </c>
      <c r="D63" t="s">
        <v>164</v>
      </c>
      <c r="E63" s="108">
        <v>1000</v>
      </c>
      <c r="F63">
        <v>0</v>
      </c>
      <c r="G63">
        <v>840</v>
      </c>
      <c r="H63" s="108">
        <v>4945</v>
      </c>
      <c r="I63" s="108">
        <v>4945</v>
      </c>
      <c r="J63" s="150">
        <v>0.39466435185185184</v>
      </c>
      <c r="K63" s="150">
        <v>0.3947222222222222</v>
      </c>
      <c r="L63" t="s">
        <v>165</v>
      </c>
      <c r="N63">
        <v>187620</v>
      </c>
      <c r="O63">
        <v>187620</v>
      </c>
      <c r="P63">
        <v>187398</v>
      </c>
      <c r="Q63">
        <v>160</v>
      </c>
      <c r="R63" t="s">
        <v>166</v>
      </c>
      <c r="S63">
        <v>0</v>
      </c>
      <c r="T63" t="s">
        <v>167</v>
      </c>
      <c r="U63">
        <v>187398</v>
      </c>
      <c r="W63" t="s">
        <v>168</v>
      </c>
      <c r="X63" t="s">
        <v>166</v>
      </c>
    </row>
    <row r="64" spans="1:24" x14ac:dyDescent="0.3">
      <c r="A64" s="7" t="s">
        <v>77</v>
      </c>
      <c r="B64" t="s">
        <v>78</v>
      </c>
      <c r="C64" t="s">
        <v>163</v>
      </c>
      <c r="D64" t="s">
        <v>164</v>
      </c>
      <c r="E64" s="108">
        <v>1000</v>
      </c>
      <c r="F64">
        <v>0</v>
      </c>
      <c r="G64" s="108">
        <v>1000</v>
      </c>
      <c r="H64" s="108">
        <v>18365</v>
      </c>
      <c r="I64" s="108">
        <v>18365</v>
      </c>
      <c r="J64" s="150">
        <v>0.39478009259259261</v>
      </c>
      <c r="K64" s="150">
        <v>0.39478009259259261</v>
      </c>
      <c r="L64" t="s">
        <v>165</v>
      </c>
      <c r="N64">
        <v>188866</v>
      </c>
      <c r="O64">
        <v>188866</v>
      </c>
      <c r="P64">
        <v>188768</v>
      </c>
      <c r="Q64">
        <v>0</v>
      </c>
      <c r="R64" t="s">
        <v>166</v>
      </c>
      <c r="S64">
        <v>0</v>
      </c>
      <c r="T64" t="s">
        <v>167</v>
      </c>
      <c r="U64">
        <v>188768</v>
      </c>
      <c r="W64" t="s">
        <v>168</v>
      </c>
      <c r="X64" t="s">
        <v>166</v>
      </c>
    </row>
    <row r="65" spans="1:24" x14ac:dyDescent="0.3">
      <c r="A65" s="7" t="s">
        <v>112</v>
      </c>
      <c r="B65" t="s">
        <v>113</v>
      </c>
      <c r="C65" t="s">
        <v>169</v>
      </c>
      <c r="D65" t="s">
        <v>164</v>
      </c>
      <c r="E65" s="108">
        <v>1000</v>
      </c>
      <c r="F65">
        <v>0</v>
      </c>
      <c r="G65">
        <v>3</v>
      </c>
      <c r="H65" s="108">
        <v>56685</v>
      </c>
      <c r="I65" s="108">
        <v>56685</v>
      </c>
      <c r="J65" s="150">
        <v>0.39481481481481479</v>
      </c>
      <c r="K65" s="150">
        <v>0.39482638888888894</v>
      </c>
      <c r="L65" t="s">
        <v>165</v>
      </c>
      <c r="N65">
        <v>189462</v>
      </c>
      <c r="O65">
        <v>189462</v>
      </c>
      <c r="P65">
        <v>189422</v>
      </c>
      <c r="Q65">
        <v>997</v>
      </c>
      <c r="R65" t="s">
        <v>166</v>
      </c>
      <c r="S65">
        <v>0</v>
      </c>
      <c r="T65" t="s">
        <v>167</v>
      </c>
      <c r="U65">
        <v>189422</v>
      </c>
      <c r="W65" t="s">
        <v>168</v>
      </c>
      <c r="X65" t="s">
        <v>166</v>
      </c>
    </row>
    <row r="66" spans="1:24" x14ac:dyDescent="0.3">
      <c r="A66" s="7" t="s">
        <v>65</v>
      </c>
      <c r="B66" t="s">
        <v>66</v>
      </c>
      <c r="C66" t="s">
        <v>169</v>
      </c>
      <c r="D66" t="s">
        <v>170</v>
      </c>
      <c r="E66" s="108">
        <v>1000</v>
      </c>
      <c r="F66">
        <v>0</v>
      </c>
      <c r="G66" s="108">
        <v>1000</v>
      </c>
      <c r="H66" s="108">
        <v>4940</v>
      </c>
      <c r="I66" s="108">
        <v>4940</v>
      </c>
      <c r="J66" s="150">
        <v>0.39540509259259254</v>
      </c>
      <c r="K66" s="150">
        <v>0.39545138888888887</v>
      </c>
      <c r="L66" t="s">
        <v>165</v>
      </c>
      <c r="N66">
        <v>197181</v>
      </c>
      <c r="O66">
        <v>197181</v>
      </c>
      <c r="P66">
        <v>0</v>
      </c>
      <c r="Q66">
        <v>0</v>
      </c>
      <c r="R66" t="s">
        <v>166</v>
      </c>
      <c r="S66">
        <v>0</v>
      </c>
      <c r="T66" t="s">
        <v>167</v>
      </c>
      <c r="U66">
        <v>0</v>
      </c>
      <c r="W66" t="s">
        <v>168</v>
      </c>
      <c r="X66" t="s">
        <v>166</v>
      </c>
    </row>
    <row r="67" spans="1:24" x14ac:dyDescent="0.3">
      <c r="A67" s="7" t="s">
        <v>69</v>
      </c>
      <c r="B67" t="s">
        <v>70</v>
      </c>
      <c r="C67" t="s">
        <v>163</v>
      </c>
      <c r="D67" t="s">
        <v>164</v>
      </c>
      <c r="E67" s="108">
        <v>1000</v>
      </c>
      <c r="F67">
        <v>0</v>
      </c>
      <c r="G67" s="108">
        <v>1000</v>
      </c>
      <c r="H67" s="108">
        <v>19315</v>
      </c>
      <c r="I67" s="108">
        <v>19315</v>
      </c>
      <c r="J67" s="150">
        <v>0.39540509259259254</v>
      </c>
      <c r="K67" s="150">
        <v>0.39541666666666669</v>
      </c>
      <c r="L67" t="s">
        <v>165</v>
      </c>
      <c r="N67">
        <v>197241</v>
      </c>
      <c r="O67">
        <v>197241</v>
      </c>
      <c r="P67">
        <v>197220</v>
      </c>
      <c r="Q67">
        <v>0</v>
      </c>
      <c r="R67" t="s">
        <v>166</v>
      </c>
      <c r="S67">
        <v>0</v>
      </c>
      <c r="T67" t="s">
        <v>167</v>
      </c>
      <c r="U67">
        <v>197220</v>
      </c>
      <c r="W67" t="s">
        <v>168</v>
      </c>
      <c r="X67" t="s">
        <v>166</v>
      </c>
    </row>
    <row r="68" spans="1:24" x14ac:dyDescent="0.3">
      <c r="A68" s="7" t="s">
        <v>85</v>
      </c>
      <c r="B68" t="s">
        <v>86</v>
      </c>
      <c r="C68" t="s">
        <v>163</v>
      </c>
      <c r="D68" t="s">
        <v>164</v>
      </c>
      <c r="E68" s="108">
        <v>1000</v>
      </c>
      <c r="F68">
        <v>0</v>
      </c>
      <c r="G68">
        <v>1</v>
      </c>
      <c r="H68" s="108">
        <v>12720</v>
      </c>
      <c r="I68" s="108">
        <v>12720</v>
      </c>
      <c r="J68" s="150">
        <v>0.39541666666666669</v>
      </c>
      <c r="K68" s="150">
        <v>0.39542824074074073</v>
      </c>
      <c r="L68" t="s">
        <v>165</v>
      </c>
      <c r="N68">
        <v>197331</v>
      </c>
      <c r="O68">
        <v>197331</v>
      </c>
      <c r="P68">
        <v>196596</v>
      </c>
      <c r="Q68">
        <v>999</v>
      </c>
      <c r="R68" t="s">
        <v>166</v>
      </c>
      <c r="S68">
        <v>0</v>
      </c>
      <c r="T68" t="s">
        <v>167</v>
      </c>
      <c r="U68">
        <v>196596</v>
      </c>
      <c r="W68" t="s">
        <v>168</v>
      </c>
      <c r="X68" t="s">
        <v>166</v>
      </c>
    </row>
    <row r="69" spans="1:24" x14ac:dyDescent="0.3">
      <c r="A69" s="7" t="s">
        <v>67</v>
      </c>
      <c r="B69" t="s">
        <v>68</v>
      </c>
      <c r="C69" t="s">
        <v>169</v>
      </c>
      <c r="D69" t="s">
        <v>164</v>
      </c>
      <c r="E69" s="108">
        <v>1000</v>
      </c>
      <c r="F69">
        <v>0</v>
      </c>
      <c r="G69">
        <v>319</v>
      </c>
      <c r="H69" s="108">
        <v>10435</v>
      </c>
      <c r="I69" s="108">
        <v>10435</v>
      </c>
      <c r="J69" s="150">
        <v>0.39542824074074073</v>
      </c>
      <c r="K69" s="150">
        <v>0.39542824074074073</v>
      </c>
      <c r="L69" t="s">
        <v>165</v>
      </c>
      <c r="N69">
        <v>197543</v>
      </c>
      <c r="O69">
        <v>197543</v>
      </c>
      <c r="P69">
        <v>197520</v>
      </c>
      <c r="Q69">
        <v>681</v>
      </c>
      <c r="R69" t="s">
        <v>166</v>
      </c>
      <c r="S69">
        <v>0</v>
      </c>
      <c r="T69" t="s">
        <v>167</v>
      </c>
      <c r="U69">
        <v>197520</v>
      </c>
      <c r="W69" t="s">
        <v>168</v>
      </c>
      <c r="X69" t="s">
        <v>166</v>
      </c>
    </row>
    <row r="70" spans="1:24" x14ac:dyDescent="0.3">
      <c r="A70" s="7" t="s">
        <v>65</v>
      </c>
      <c r="B70" t="s">
        <v>66</v>
      </c>
      <c r="C70" t="s">
        <v>163</v>
      </c>
      <c r="D70" t="s">
        <v>164</v>
      </c>
      <c r="E70" s="108">
        <v>1000</v>
      </c>
      <c r="F70">
        <v>0</v>
      </c>
      <c r="G70" s="108">
        <v>1000</v>
      </c>
      <c r="H70" s="108">
        <v>4955</v>
      </c>
      <c r="I70" s="108">
        <v>4955</v>
      </c>
      <c r="J70" s="150">
        <v>0.39545138888888887</v>
      </c>
      <c r="K70" s="150">
        <v>0.39607638888888891</v>
      </c>
      <c r="L70" t="s">
        <v>165</v>
      </c>
      <c r="N70">
        <v>197813</v>
      </c>
      <c r="O70">
        <v>197813</v>
      </c>
      <c r="P70">
        <v>197259</v>
      </c>
      <c r="Q70">
        <v>0</v>
      </c>
      <c r="R70" t="s">
        <v>166</v>
      </c>
      <c r="S70">
        <v>0</v>
      </c>
      <c r="T70" t="s">
        <v>167</v>
      </c>
      <c r="U70">
        <v>197259</v>
      </c>
      <c r="W70" t="s">
        <v>168</v>
      </c>
      <c r="X70" t="s">
        <v>166</v>
      </c>
    </row>
    <row r="71" spans="1:24" x14ac:dyDescent="0.3">
      <c r="A71" s="7" t="s">
        <v>71</v>
      </c>
      <c r="B71" t="s">
        <v>72</v>
      </c>
      <c r="C71" t="s">
        <v>169</v>
      </c>
      <c r="D71" t="s">
        <v>164</v>
      </c>
      <c r="E71" s="108">
        <v>1000</v>
      </c>
      <c r="F71">
        <v>0</v>
      </c>
      <c r="G71" s="108">
        <v>1000</v>
      </c>
      <c r="H71" s="108">
        <v>18655</v>
      </c>
      <c r="I71" s="108">
        <v>18655</v>
      </c>
      <c r="J71" s="150">
        <v>0.39560185185185182</v>
      </c>
      <c r="K71" s="150">
        <v>0.39561342592592591</v>
      </c>
      <c r="L71" t="s">
        <v>165</v>
      </c>
      <c r="N71">
        <v>199880</v>
      </c>
      <c r="O71">
        <v>199880</v>
      </c>
      <c r="P71">
        <v>199875</v>
      </c>
      <c r="Q71">
        <v>0</v>
      </c>
      <c r="R71" t="s">
        <v>166</v>
      </c>
      <c r="S71">
        <v>0</v>
      </c>
      <c r="T71" t="s">
        <v>167</v>
      </c>
      <c r="U71">
        <v>199875</v>
      </c>
      <c r="W71" t="s">
        <v>168</v>
      </c>
      <c r="X71" t="s">
        <v>166</v>
      </c>
    </row>
    <row r="72" spans="1:24" x14ac:dyDescent="0.3">
      <c r="A72" s="7" t="s">
        <v>77</v>
      </c>
      <c r="B72" t="s">
        <v>78</v>
      </c>
      <c r="C72" t="s">
        <v>163</v>
      </c>
      <c r="D72" t="s">
        <v>164</v>
      </c>
      <c r="E72" s="108">
        <v>1000</v>
      </c>
      <c r="F72">
        <v>0</v>
      </c>
      <c r="G72" s="108">
        <v>1000</v>
      </c>
      <c r="H72" s="108">
        <v>18370</v>
      </c>
      <c r="I72" s="108">
        <v>18370</v>
      </c>
      <c r="J72" s="150">
        <v>0.39583333333333331</v>
      </c>
      <c r="K72" s="150">
        <v>0.39583333333333331</v>
      </c>
      <c r="L72" t="s">
        <v>165</v>
      </c>
      <c r="N72">
        <v>203022</v>
      </c>
      <c r="O72">
        <v>203022</v>
      </c>
      <c r="P72">
        <v>203012</v>
      </c>
      <c r="Q72">
        <v>0</v>
      </c>
      <c r="R72" t="s">
        <v>166</v>
      </c>
      <c r="S72">
        <v>0</v>
      </c>
      <c r="T72" t="s">
        <v>167</v>
      </c>
      <c r="U72">
        <v>203012</v>
      </c>
      <c r="W72" t="s">
        <v>168</v>
      </c>
      <c r="X72" t="s">
        <v>166</v>
      </c>
    </row>
    <row r="73" spans="1:24" x14ac:dyDescent="0.3">
      <c r="A73" s="7" t="s">
        <v>138</v>
      </c>
      <c r="B73" t="s">
        <v>171</v>
      </c>
      <c r="C73" t="s">
        <v>163</v>
      </c>
      <c r="D73" t="s">
        <v>164</v>
      </c>
      <c r="E73" s="108">
        <v>1000</v>
      </c>
      <c r="F73">
        <v>0</v>
      </c>
      <c r="G73" s="108">
        <v>1000</v>
      </c>
      <c r="H73" s="108">
        <v>9100</v>
      </c>
      <c r="I73" s="108">
        <v>9100</v>
      </c>
      <c r="J73" s="150">
        <v>0.39591435185185181</v>
      </c>
      <c r="K73" s="150">
        <v>0.39591435185185181</v>
      </c>
      <c r="L73" t="s">
        <v>165</v>
      </c>
      <c r="N73">
        <v>204449</v>
      </c>
      <c r="O73">
        <v>204449</v>
      </c>
      <c r="P73">
        <v>203888</v>
      </c>
      <c r="Q73">
        <v>0</v>
      </c>
      <c r="R73" t="s">
        <v>166</v>
      </c>
      <c r="S73">
        <v>0</v>
      </c>
      <c r="T73" t="s">
        <v>167</v>
      </c>
      <c r="U73">
        <v>203888</v>
      </c>
      <c r="W73" t="s">
        <v>168</v>
      </c>
      <c r="X73" t="s">
        <v>166</v>
      </c>
    </row>
    <row r="74" spans="1:24" x14ac:dyDescent="0.3">
      <c r="A74" s="7" t="s">
        <v>63</v>
      </c>
      <c r="B74" t="s">
        <v>64</v>
      </c>
      <c r="C74" t="s">
        <v>163</v>
      </c>
      <c r="D74" t="s">
        <v>164</v>
      </c>
      <c r="E74" s="108">
        <v>1000</v>
      </c>
      <c r="F74">
        <v>0</v>
      </c>
      <c r="G74">
        <v>15</v>
      </c>
      <c r="H74" s="108">
        <v>4820</v>
      </c>
      <c r="I74" s="108">
        <v>4820</v>
      </c>
      <c r="J74" s="150">
        <v>0.39604166666666668</v>
      </c>
      <c r="K74" s="150">
        <v>0.39606481481481487</v>
      </c>
      <c r="L74" t="s">
        <v>165</v>
      </c>
      <c r="N74">
        <v>207379</v>
      </c>
      <c r="O74">
        <v>207379</v>
      </c>
      <c r="P74">
        <v>205062</v>
      </c>
      <c r="Q74">
        <v>985</v>
      </c>
      <c r="R74" t="s">
        <v>166</v>
      </c>
      <c r="S74">
        <v>0</v>
      </c>
      <c r="T74" t="s">
        <v>167</v>
      </c>
      <c r="U74">
        <v>205062</v>
      </c>
      <c r="W74" t="s">
        <v>168</v>
      </c>
      <c r="X74" t="s">
        <v>166</v>
      </c>
    </row>
    <row r="75" spans="1:24" x14ac:dyDescent="0.3">
      <c r="A75" s="7" t="s">
        <v>73</v>
      </c>
      <c r="B75" t="s">
        <v>74</v>
      </c>
      <c r="C75" t="s">
        <v>163</v>
      </c>
      <c r="D75" t="s">
        <v>164</v>
      </c>
      <c r="E75" s="108">
        <v>1000</v>
      </c>
      <c r="F75">
        <v>0</v>
      </c>
      <c r="G75">
        <v>48</v>
      </c>
      <c r="H75" s="108">
        <v>22515</v>
      </c>
      <c r="I75" s="108">
        <v>22515</v>
      </c>
      <c r="J75" s="150">
        <v>0.39607638888888891</v>
      </c>
      <c r="K75" s="150">
        <v>0.39608796296296295</v>
      </c>
      <c r="L75" t="s">
        <v>165</v>
      </c>
      <c r="N75">
        <v>208249</v>
      </c>
      <c r="O75">
        <v>208249</v>
      </c>
      <c r="P75">
        <v>208245</v>
      </c>
      <c r="Q75">
        <v>952</v>
      </c>
      <c r="R75" t="s">
        <v>166</v>
      </c>
      <c r="S75">
        <v>0</v>
      </c>
      <c r="T75" t="s">
        <v>167</v>
      </c>
      <c r="U75">
        <v>208245</v>
      </c>
      <c r="W75" t="s">
        <v>168</v>
      </c>
      <c r="X75" t="s">
        <v>166</v>
      </c>
    </row>
    <row r="76" spans="1:24" x14ac:dyDescent="0.3">
      <c r="A76" s="7" t="s">
        <v>77</v>
      </c>
      <c r="B76" t="s">
        <v>78</v>
      </c>
      <c r="C76" t="s">
        <v>163</v>
      </c>
      <c r="D76" t="s">
        <v>164</v>
      </c>
      <c r="E76" s="108">
        <v>1000</v>
      </c>
      <c r="F76">
        <v>0</v>
      </c>
      <c r="G76" s="108">
        <v>1000</v>
      </c>
      <c r="H76" s="108">
        <v>18425</v>
      </c>
      <c r="I76" s="108">
        <v>18425</v>
      </c>
      <c r="J76" s="150">
        <v>0.39608796296296295</v>
      </c>
      <c r="K76" s="150">
        <v>0.39608796296296295</v>
      </c>
      <c r="L76" t="s">
        <v>165</v>
      </c>
      <c r="N76">
        <v>208542</v>
      </c>
      <c r="O76">
        <v>208542</v>
      </c>
      <c r="P76">
        <v>208533</v>
      </c>
      <c r="Q76">
        <v>0</v>
      </c>
      <c r="R76" t="s">
        <v>166</v>
      </c>
      <c r="S76">
        <v>0</v>
      </c>
      <c r="T76" t="s">
        <v>167</v>
      </c>
      <c r="U76">
        <v>208533</v>
      </c>
      <c r="W76" t="s">
        <v>168</v>
      </c>
      <c r="X76" t="s">
        <v>166</v>
      </c>
    </row>
    <row r="77" spans="1:24" x14ac:dyDescent="0.3">
      <c r="A77" s="7" t="s">
        <v>69</v>
      </c>
      <c r="B77" t="s">
        <v>70</v>
      </c>
      <c r="C77" t="s">
        <v>163</v>
      </c>
      <c r="D77" t="s">
        <v>170</v>
      </c>
      <c r="E77" s="108">
        <v>1000</v>
      </c>
      <c r="F77">
        <v>0</v>
      </c>
      <c r="G77" s="108">
        <v>1000</v>
      </c>
      <c r="H77" s="108">
        <v>19325</v>
      </c>
      <c r="I77" s="108">
        <v>19325</v>
      </c>
      <c r="J77" s="150">
        <v>0.39609953703703704</v>
      </c>
      <c r="K77" s="150">
        <v>0.39609953703703704</v>
      </c>
      <c r="L77" t="s">
        <v>165</v>
      </c>
      <c r="N77">
        <v>208669</v>
      </c>
      <c r="O77">
        <v>208669</v>
      </c>
      <c r="P77">
        <v>0</v>
      </c>
      <c r="Q77">
        <v>0</v>
      </c>
      <c r="R77" t="s">
        <v>166</v>
      </c>
      <c r="S77">
        <v>0</v>
      </c>
      <c r="T77" t="s">
        <v>167</v>
      </c>
      <c r="U77">
        <v>0</v>
      </c>
      <c r="W77" t="s">
        <v>168</v>
      </c>
      <c r="X77" t="s">
        <v>166</v>
      </c>
    </row>
    <row r="78" spans="1:24" x14ac:dyDescent="0.3">
      <c r="A78" s="7" t="s">
        <v>69</v>
      </c>
      <c r="B78" t="s">
        <v>70</v>
      </c>
      <c r="C78" t="s">
        <v>169</v>
      </c>
      <c r="D78" t="s">
        <v>170</v>
      </c>
      <c r="E78" s="108">
        <v>1000</v>
      </c>
      <c r="F78">
        <v>0</v>
      </c>
      <c r="G78" s="108">
        <v>1000</v>
      </c>
      <c r="H78" s="108">
        <v>19265</v>
      </c>
      <c r="I78" s="108">
        <v>19265</v>
      </c>
      <c r="J78" s="150">
        <v>0.39609953703703704</v>
      </c>
      <c r="K78" s="150">
        <v>0.39622685185185186</v>
      </c>
      <c r="L78" t="s">
        <v>165</v>
      </c>
      <c r="N78">
        <v>208670</v>
      </c>
      <c r="O78">
        <v>208670</v>
      </c>
      <c r="P78">
        <v>0</v>
      </c>
      <c r="Q78">
        <v>0</v>
      </c>
      <c r="R78" t="s">
        <v>166</v>
      </c>
      <c r="S78">
        <v>0</v>
      </c>
      <c r="T78" t="s">
        <v>167</v>
      </c>
      <c r="U78">
        <v>0</v>
      </c>
      <c r="W78" t="s">
        <v>168</v>
      </c>
      <c r="X78" t="s">
        <v>166</v>
      </c>
    </row>
    <row r="79" spans="1:24" x14ac:dyDescent="0.3">
      <c r="A79" s="7" t="s">
        <v>112</v>
      </c>
      <c r="B79" t="s">
        <v>113</v>
      </c>
      <c r="C79" t="s">
        <v>169</v>
      </c>
      <c r="D79" t="s">
        <v>164</v>
      </c>
      <c r="E79" s="108">
        <v>1000</v>
      </c>
      <c r="F79">
        <v>0</v>
      </c>
      <c r="G79">
        <v>700</v>
      </c>
      <c r="H79" s="108">
        <v>56660</v>
      </c>
      <c r="I79" s="108">
        <v>56660</v>
      </c>
      <c r="J79" s="150">
        <v>0.39621527777777782</v>
      </c>
      <c r="K79" s="150">
        <v>0.39622685185185186</v>
      </c>
      <c r="L79" t="s">
        <v>165</v>
      </c>
      <c r="N79">
        <v>211354</v>
      </c>
      <c r="O79">
        <v>211354</v>
      </c>
      <c r="P79">
        <v>211320</v>
      </c>
      <c r="Q79">
        <v>300</v>
      </c>
      <c r="R79" t="s">
        <v>166</v>
      </c>
      <c r="S79">
        <v>0</v>
      </c>
      <c r="T79" t="s">
        <v>167</v>
      </c>
      <c r="U79">
        <v>211320</v>
      </c>
      <c r="W79" t="s">
        <v>168</v>
      </c>
      <c r="X79" t="s">
        <v>166</v>
      </c>
    </row>
    <row r="80" spans="1:24" x14ac:dyDescent="0.3">
      <c r="A80" s="7" t="s">
        <v>60</v>
      </c>
      <c r="B80" t="s">
        <v>61</v>
      </c>
      <c r="C80" t="s">
        <v>169</v>
      </c>
      <c r="D80" t="s">
        <v>164</v>
      </c>
      <c r="E80">
        <v>500</v>
      </c>
      <c r="F80">
        <v>0</v>
      </c>
      <c r="G80">
        <v>500</v>
      </c>
      <c r="H80" s="108">
        <v>36200</v>
      </c>
      <c r="I80" s="108">
        <v>36200</v>
      </c>
      <c r="J80" s="150">
        <v>0.39621527777777782</v>
      </c>
      <c r="K80" s="150">
        <v>0.39622685185185186</v>
      </c>
      <c r="L80" t="s">
        <v>165</v>
      </c>
      <c r="N80">
        <v>211356</v>
      </c>
      <c r="O80">
        <v>211356</v>
      </c>
      <c r="P80">
        <v>211318</v>
      </c>
      <c r="Q80">
        <v>0</v>
      </c>
      <c r="R80" t="s">
        <v>166</v>
      </c>
      <c r="S80">
        <v>0</v>
      </c>
      <c r="T80" t="s">
        <v>167</v>
      </c>
      <c r="U80">
        <v>211318</v>
      </c>
      <c r="W80" t="s">
        <v>168</v>
      </c>
      <c r="X80" t="s">
        <v>166</v>
      </c>
    </row>
    <row r="81" spans="1:24" x14ac:dyDescent="0.3">
      <c r="A81" s="7" t="s">
        <v>108</v>
      </c>
      <c r="B81" t="s">
        <v>172</v>
      </c>
      <c r="C81" t="s">
        <v>163</v>
      </c>
      <c r="D81" t="s">
        <v>164</v>
      </c>
      <c r="E81">
        <v>500</v>
      </c>
      <c r="F81">
        <v>0</v>
      </c>
      <c r="G81">
        <v>299</v>
      </c>
      <c r="H81" s="108">
        <v>52160</v>
      </c>
      <c r="I81" s="108">
        <v>52160</v>
      </c>
      <c r="J81" s="150">
        <v>0.39621527777777782</v>
      </c>
      <c r="K81" s="150">
        <v>0.39623842592592595</v>
      </c>
      <c r="L81" t="s">
        <v>165</v>
      </c>
      <c r="N81">
        <v>211402</v>
      </c>
      <c r="O81">
        <v>211402</v>
      </c>
      <c r="P81">
        <v>211371</v>
      </c>
      <c r="Q81">
        <v>201</v>
      </c>
      <c r="R81" t="s">
        <v>166</v>
      </c>
      <c r="S81">
        <v>0</v>
      </c>
      <c r="T81" t="s">
        <v>167</v>
      </c>
      <c r="U81">
        <v>211371</v>
      </c>
      <c r="W81" t="s">
        <v>168</v>
      </c>
      <c r="X81" t="s">
        <v>166</v>
      </c>
    </row>
    <row r="82" spans="1:24" x14ac:dyDescent="0.3">
      <c r="A82" s="7" t="s">
        <v>102</v>
      </c>
      <c r="B82" t="s">
        <v>103</v>
      </c>
      <c r="C82" t="s">
        <v>163</v>
      </c>
      <c r="D82" t="s">
        <v>164</v>
      </c>
      <c r="E82" s="108">
        <v>1000</v>
      </c>
      <c r="F82">
        <v>0</v>
      </c>
      <c r="G82" s="108">
        <v>1000</v>
      </c>
      <c r="H82" s="108">
        <v>8355</v>
      </c>
      <c r="I82" s="108">
        <v>8355</v>
      </c>
      <c r="J82" s="150">
        <v>0.39627314814814812</v>
      </c>
      <c r="K82" s="150">
        <v>0.39627314814814812</v>
      </c>
      <c r="L82" t="s">
        <v>165</v>
      </c>
      <c r="N82">
        <v>212378</v>
      </c>
      <c r="O82">
        <v>212378</v>
      </c>
      <c r="P82">
        <v>212334</v>
      </c>
      <c r="Q82">
        <v>0</v>
      </c>
      <c r="R82" t="s">
        <v>166</v>
      </c>
      <c r="S82">
        <v>0</v>
      </c>
      <c r="T82" t="s">
        <v>167</v>
      </c>
      <c r="U82">
        <v>212334</v>
      </c>
      <c r="W82" t="s">
        <v>168</v>
      </c>
      <c r="X82" t="s">
        <v>166</v>
      </c>
    </row>
    <row r="83" spans="1:24" x14ac:dyDescent="0.3">
      <c r="A83" s="7" t="s">
        <v>92</v>
      </c>
      <c r="B83" t="s">
        <v>93</v>
      </c>
      <c r="C83" t="s">
        <v>163</v>
      </c>
      <c r="D83" t="s">
        <v>164</v>
      </c>
      <c r="E83" s="108">
        <v>1000</v>
      </c>
      <c r="F83">
        <v>0</v>
      </c>
      <c r="G83">
        <v>1</v>
      </c>
      <c r="H83" s="108">
        <v>22330</v>
      </c>
      <c r="I83" s="108">
        <v>22330</v>
      </c>
      <c r="J83" s="150">
        <v>0.39628472222222227</v>
      </c>
      <c r="K83" s="150">
        <v>0.39629629629629631</v>
      </c>
      <c r="L83" t="s">
        <v>165</v>
      </c>
      <c r="N83">
        <v>212567</v>
      </c>
      <c r="O83">
        <v>212567</v>
      </c>
      <c r="P83">
        <v>211949</v>
      </c>
      <c r="Q83">
        <v>999</v>
      </c>
      <c r="R83" t="s">
        <v>166</v>
      </c>
      <c r="S83">
        <v>0</v>
      </c>
      <c r="T83" t="s">
        <v>167</v>
      </c>
      <c r="U83">
        <v>211949</v>
      </c>
      <c r="W83" t="s">
        <v>168</v>
      </c>
      <c r="X83" t="s">
        <v>166</v>
      </c>
    </row>
    <row r="84" spans="1:24" x14ac:dyDescent="0.3">
      <c r="A84" s="7" t="s">
        <v>85</v>
      </c>
      <c r="B84" t="s">
        <v>86</v>
      </c>
      <c r="C84" t="s">
        <v>163</v>
      </c>
      <c r="D84" t="s">
        <v>164</v>
      </c>
      <c r="E84" s="108">
        <v>1000</v>
      </c>
      <c r="F84">
        <v>0</v>
      </c>
      <c r="G84">
        <v>6</v>
      </c>
      <c r="H84" s="108">
        <v>12735</v>
      </c>
      <c r="I84" s="108">
        <v>12735</v>
      </c>
      <c r="J84" s="150">
        <v>0.39636574074074077</v>
      </c>
      <c r="K84" s="150">
        <v>0.3963888888888889</v>
      </c>
      <c r="L84" t="s">
        <v>165</v>
      </c>
      <c r="N84">
        <v>214148</v>
      </c>
      <c r="O84">
        <v>214148</v>
      </c>
      <c r="P84">
        <v>214058</v>
      </c>
      <c r="Q84">
        <v>994</v>
      </c>
      <c r="R84" t="s">
        <v>166</v>
      </c>
      <c r="S84">
        <v>0</v>
      </c>
      <c r="T84" t="s">
        <v>167</v>
      </c>
      <c r="U84">
        <v>214058</v>
      </c>
      <c r="W84" t="s">
        <v>168</v>
      </c>
      <c r="X84" t="s">
        <v>166</v>
      </c>
    </row>
    <row r="85" spans="1:24" x14ac:dyDescent="0.3">
      <c r="A85" s="7" t="s">
        <v>67</v>
      </c>
      <c r="B85" t="s">
        <v>68</v>
      </c>
      <c r="C85" t="s">
        <v>169</v>
      </c>
      <c r="D85" t="s">
        <v>164</v>
      </c>
      <c r="E85" s="108">
        <v>1000</v>
      </c>
      <c r="F85">
        <v>0</v>
      </c>
      <c r="G85">
        <v>994</v>
      </c>
      <c r="H85" s="108">
        <v>10435</v>
      </c>
      <c r="I85" s="108">
        <v>10435</v>
      </c>
      <c r="J85" s="150">
        <v>0.39643518518518522</v>
      </c>
      <c r="K85" s="150">
        <v>0.39644675925925926</v>
      </c>
      <c r="L85" t="s">
        <v>165</v>
      </c>
      <c r="N85">
        <v>215054</v>
      </c>
      <c r="O85">
        <v>215054</v>
      </c>
      <c r="P85">
        <v>215037</v>
      </c>
      <c r="Q85">
        <v>6</v>
      </c>
      <c r="R85" t="s">
        <v>166</v>
      </c>
      <c r="S85">
        <v>0</v>
      </c>
      <c r="T85" t="s">
        <v>167</v>
      </c>
      <c r="U85">
        <v>215037</v>
      </c>
      <c r="W85" t="s">
        <v>168</v>
      </c>
      <c r="X85" t="s">
        <v>166</v>
      </c>
    </row>
    <row r="86" spans="1:24" x14ac:dyDescent="0.3">
      <c r="A86" s="7" t="s">
        <v>65</v>
      </c>
      <c r="B86" t="s">
        <v>66</v>
      </c>
      <c r="C86" t="s">
        <v>169</v>
      </c>
      <c r="D86" t="s">
        <v>164</v>
      </c>
      <c r="E86" s="108">
        <v>1000</v>
      </c>
      <c r="F86">
        <v>0</v>
      </c>
      <c r="G86" s="108">
        <v>1000</v>
      </c>
      <c r="H86" s="108">
        <v>4955</v>
      </c>
      <c r="I86" s="108">
        <v>4955</v>
      </c>
      <c r="J86" s="150">
        <v>0.39652777777777781</v>
      </c>
      <c r="K86" s="150">
        <v>0.39652777777777781</v>
      </c>
      <c r="L86" t="s">
        <v>165</v>
      </c>
      <c r="N86">
        <v>216356</v>
      </c>
      <c r="O86">
        <v>216356</v>
      </c>
      <c r="P86">
        <v>215345</v>
      </c>
      <c r="Q86">
        <v>0</v>
      </c>
      <c r="R86" t="s">
        <v>166</v>
      </c>
      <c r="S86">
        <v>0</v>
      </c>
      <c r="T86" t="s">
        <v>167</v>
      </c>
      <c r="U86">
        <v>215345</v>
      </c>
      <c r="W86" t="s">
        <v>168</v>
      </c>
      <c r="X86" t="s">
        <v>166</v>
      </c>
    </row>
    <row r="87" spans="1:24" x14ac:dyDescent="0.3">
      <c r="A87" s="7" t="s">
        <v>71</v>
      </c>
      <c r="B87" t="s">
        <v>72</v>
      </c>
      <c r="C87" t="s">
        <v>169</v>
      </c>
      <c r="D87" t="s">
        <v>164</v>
      </c>
      <c r="E87" s="108">
        <v>1000</v>
      </c>
      <c r="F87">
        <v>0</v>
      </c>
      <c r="G87">
        <v>950</v>
      </c>
      <c r="H87" s="108">
        <v>18670</v>
      </c>
      <c r="I87" s="108">
        <v>18670</v>
      </c>
      <c r="J87" s="150">
        <v>0.39666666666666667</v>
      </c>
      <c r="K87" s="150">
        <v>0.39666666666666667</v>
      </c>
      <c r="L87" t="s">
        <v>165</v>
      </c>
      <c r="N87">
        <v>218894</v>
      </c>
      <c r="O87">
        <v>218894</v>
      </c>
      <c r="P87">
        <v>218803</v>
      </c>
      <c r="Q87">
        <v>50</v>
      </c>
      <c r="R87" t="s">
        <v>166</v>
      </c>
      <c r="S87">
        <v>0</v>
      </c>
      <c r="T87" t="s">
        <v>167</v>
      </c>
      <c r="U87">
        <v>218803</v>
      </c>
      <c r="W87" t="s">
        <v>168</v>
      </c>
      <c r="X87" t="s">
        <v>166</v>
      </c>
    </row>
    <row r="88" spans="1:24" x14ac:dyDescent="0.3">
      <c r="A88" s="7" t="s">
        <v>79</v>
      </c>
      <c r="B88" t="s">
        <v>80</v>
      </c>
      <c r="C88" t="s">
        <v>163</v>
      </c>
      <c r="D88" t="s">
        <v>164</v>
      </c>
      <c r="E88" s="108">
        <v>1000</v>
      </c>
      <c r="F88">
        <v>0</v>
      </c>
      <c r="G88">
        <v>44</v>
      </c>
      <c r="H88" s="108">
        <v>38695</v>
      </c>
      <c r="I88" s="108">
        <v>38695</v>
      </c>
      <c r="J88" s="150">
        <v>0.39677083333333335</v>
      </c>
      <c r="K88" s="150">
        <v>0.39678240740740739</v>
      </c>
      <c r="L88" t="s">
        <v>165</v>
      </c>
      <c r="N88">
        <v>220901</v>
      </c>
      <c r="O88">
        <v>220901</v>
      </c>
      <c r="P88">
        <v>220890</v>
      </c>
      <c r="Q88">
        <v>956</v>
      </c>
      <c r="R88" t="s">
        <v>166</v>
      </c>
      <c r="S88">
        <v>0</v>
      </c>
      <c r="T88" t="s">
        <v>167</v>
      </c>
      <c r="U88">
        <v>220890</v>
      </c>
      <c r="W88" t="s">
        <v>168</v>
      </c>
      <c r="X88" t="s">
        <v>166</v>
      </c>
    </row>
    <row r="89" spans="1:24" x14ac:dyDescent="0.3">
      <c r="A89" s="7" t="s">
        <v>77</v>
      </c>
      <c r="B89" t="s">
        <v>78</v>
      </c>
      <c r="C89" t="s">
        <v>163</v>
      </c>
      <c r="D89" t="s">
        <v>164</v>
      </c>
      <c r="E89" s="108">
        <v>1000</v>
      </c>
      <c r="F89">
        <v>0</v>
      </c>
      <c r="G89">
        <v>1</v>
      </c>
      <c r="H89" s="108">
        <v>18580</v>
      </c>
      <c r="I89" s="108">
        <v>18580</v>
      </c>
      <c r="J89" s="150">
        <v>0.39682870370370371</v>
      </c>
      <c r="K89" s="150">
        <v>0.39682870370370371</v>
      </c>
      <c r="L89" t="s">
        <v>165</v>
      </c>
      <c r="N89">
        <v>221745</v>
      </c>
      <c r="O89">
        <v>221745</v>
      </c>
      <c r="P89">
        <v>221739</v>
      </c>
      <c r="Q89">
        <v>999</v>
      </c>
      <c r="R89" t="s">
        <v>166</v>
      </c>
      <c r="S89">
        <v>0</v>
      </c>
      <c r="T89" t="s">
        <v>167</v>
      </c>
      <c r="U89">
        <v>221739</v>
      </c>
      <c r="W89" t="s">
        <v>168</v>
      </c>
      <c r="X89" t="s">
        <v>166</v>
      </c>
    </row>
    <row r="90" spans="1:24" x14ac:dyDescent="0.3">
      <c r="A90" s="7" t="s">
        <v>69</v>
      </c>
      <c r="B90" t="s">
        <v>70</v>
      </c>
      <c r="C90" t="s">
        <v>163</v>
      </c>
      <c r="D90" t="s">
        <v>164</v>
      </c>
      <c r="E90" s="108">
        <v>1000</v>
      </c>
      <c r="F90">
        <v>0</v>
      </c>
      <c r="G90">
        <v>16</v>
      </c>
      <c r="H90" s="108">
        <v>19250</v>
      </c>
      <c r="I90" s="108">
        <v>19250</v>
      </c>
      <c r="J90" s="150">
        <v>0.39686342592592588</v>
      </c>
      <c r="K90" s="150">
        <v>0.39688657407407407</v>
      </c>
      <c r="L90" t="s">
        <v>165</v>
      </c>
      <c r="N90">
        <v>222334</v>
      </c>
      <c r="O90">
        <v>222334</v>
      </c>
      <c r="P90">
        <v>221971</v>
      </c>
      <c r="Q90">
        <v>984</v>
      </c>
      <c r="R90" t="s">
        <v>166</v>
      </c>
      <c r="S90">
        <v>0</v>
      </c>
      <c r="T90" t="s">
        <v>167</v>
      </c>
      <c r="U90">
        <v>221971</v>
      </c>
      <c r="W90" t="s">
        <v>168</v>
      </c>
      <c r="X90" t="s">
        <v>166</v>
      </c>
    </row>
    <row r="91" spans="1:24" x14ac:dyDescent="0.3">
      <c r="A91" s="7" t="s">
        <v>112</v>
      </c>
      <c r="B91" t="s">
        <v>113</v>
      </c>
      <c r="C91" t="s">
        <v>169</v>
      </c>
      <c r="D91" t="s">
        <v>164</v>
      </c>
      <c r="E91" s="108">
        <v>1000</v>
      </c>
      <c r="F91">
        <v>0</v>
      </c>
      <c r="G91">
        <v>3</v>
      </c>
      <c r="H91" s="108">
        <v>56485</v>
      </c>
      <c r="I91" s="108">
        <v>56485</v>
      </c>
      <c r="J91" s="150">
        <v>0.39704861111111112</v>
      </c>
      <c r="K91" s="150">
        <v>0.39704861111111112</v>
      </c>
      <c r="L91" t="s">
        <v>165</v>
      </c>
      <c r="N91">
        <v>225816</v>
      </c>
      <c r="O91">
        <v>225816</v>
      </c>
      <c r="P91">
        <v>225752</v>
      </c>
      <c r="Q91">
        <v>997</v>
      </c>
      <c r="R91" t="s">
        <v>166</v>
      </c>
      <c r="S91">
        <v>0</v>
      </c>
      <c r="T91" t="s">
        <v>167</v>
      </c>
      <c r="U91">
        <v>225752</v>
      </c>
      <c r="W91" t="s">
        <v>168</v>
      </c>
      <c r="X91" t="s">
        <v>166</v>
      </c>
    </row>
    <row r="92" spans="1:24" x14ac:dyDescent="0.3">
      <c r="A92" s="7" t="s">
        <v>108</v>
      </c>
      <c r="B92" t="s">
        <v>172</v>
      </c>
      <c r="C92" t="s">
        <v>163</v>
      </c>
      <c r="D92" t="s">
        <v>164</v>
      </c>
      <c r="E92">
        <v>500</v>
      </c>
      <c r="F92">
        <v>0</v>
      </c>
      <c r="G92">
        <v>1</v>
      </c>
      <c r="H92" s="108">
        <v>52305</v>
      </c>
      <c r="I92" s="108">
        <v>52305</v>
      </c>
      <c r="J92" s="150">
        <v>0.3973842592592593</v>
      </c>
      <c r="K92" s="150">
        <v>0.3973842592592593</v>
      </c>
      <c r="L92" t="s">
        <v>165</v>
      </c>
      <c r="N92">
        <v>231884</v>
      </c>
      <c r="O92">
        <v>231884</v>
      </c>
      <c r="P92">
        <v>231877</v>
      </c>
      <c r="Q92">
        <v>499</v>
      </c>
      <c r="R92" t="s">
        <v>166</v>
      </c>
      <c r="S92">
        <v>0</v>
      </c>
      <c r="T92" t="s">
        <v>167</v>
      </c>
      <c r="U92">
        <v>231877</v>
      </c>
      <c r="W92" t="s">
        <v>168</v>
      </c>
      <c r="X92" t="s">
        <v>166</v>
      </c>
    </row>
    <row r="93" spans="1:24" x14ac:dyDescent="0.3">
      <c r="A93" s="7" t="s">
        <v>102</v>
      </c>
      <c r="B93" t="s">
        <v>103</v>
      </c>
      <c r="C93" t="s">
        <v>163</v>
      </c>
      <c r="D93" t="s">
        <v>164</v>
      </c>
      <c r="E93" s="108">
        <v>1000</v>
      </c>
      <c r="F93">
        <v>0</v>
      </c>
      <c r="G93">
        <v>49</v>
      </c>
      <c r="H93" s="108">
        <v>8390</v>
      </c>
      <c r="I93" s="108">
        <v>8390</v>
      </c>
      <c r="J93" s="150">
        <v>0.39748842592592593</v>
      </c>
      <c r="K93" s="150">
        <v>0.39748842592592593</v>
      </c>
      <c r="L93" t="s">
        <v>165</v>
      </c>
      <c r="N93">
        <v>233814</v>
      </c>
      <c r="O93">
        <v>233814</v>
      </c>
      <c r="P93">
        <v>233799</v>
      </c>
      <c r="Q93">
        <v>951</v>
      </c>
      <c r="R93" t="s">
        <v>166</v>
      </c>
      <c r="S93">
        <v>0</v>
      </c>
      <c r="T93" t="s">
        <v>167</v>
      </c>
      <c r="U93">
        <v>233799</v>
      </c>
      <c r="W93" t="s">
        <v>168</v>
      </c>
      <c r="X93" t="s">
        <v>166</v>
      </c>
    </row>
    <row r="94" spans="1:24" x14ac:dyDescent="0.3">
      <c r="A94" s="7" t="s">
        <v>67</v>
      </c>
      <c r="B94" t="s">
        <v>68</v>
      </c>
      <c r="C94" t="s">
        <v>169</v>
      </c>
      <c r="D94" t="s">
        <v>164</v>
      </c>
      <c r="E94" s="108">
        <v>1000</v>
      </c>
      <c r="F94">
        <v>0</v>
      </c>
      <c r="G94" s="108">
        <v>1000</v>
      </c>
      <c r="H94" s="108">
        <v>10420</v>
      </c>
      <c r="I94" s="108">
        <v>10420</v>
      </c>
      <c r="J94" s="150">
        <v>0.39763888888888888</v>
      </c>
      <c r="K94" s="150">
        <v>0.39766203703703701</v>
      </c>
      <c r="L94" t="s">
        <v>165</v>
      </c>
      <c r="N94">
        <v>237148</v>
      </c>
      <c r="O94">
        <v>237148</v>
      </c>
      <c r="P94">
        <v>236818</v>
      </c>
      <c r="Q94">
        <v>0</v>
      </c>
      <c r="R94" t="s">
        <v>166</v>
      </c>
      <c r="S94">
        <v>0</v>
      </c>
      <c r="T94" t="s">
        <v>167</v>
      </c>
      <c r="U94">
        <v>236818</v>
      </c>
      <c r="W94" t="s">
        <v>168</v>
      </c>
      <c r="X94" t="s">
        <v>166</v>
      </c>
    </row>
    <row r="95" spans="1:24" x14ac:dyDescent="0.3">
      <c r="A95" s="7" t="s">
        <v>77</v>
      </c>
      <c r="B95" t="s">
        <v>78</v>
      </c>
      <c r="C95" t="s">
        <v>169</v>
      </c>
      <c r="D95" t="s">
        <v>164</v>
      </c>
      <c r="E95" s="108">
        <v>1000</v>
      </c>
      <c r="F95">
        <v>0</v>
      </c>
      <c r="G95" s="108">
        <v>1000</v>
      </c>
      <c r="H95" s="108">
        <v>18415</v>
      </c>
      <c r="I95" s="108">
        <v>18415</v>
      </c>
      <c r="J95" s="150">
        <v>0.39775462962962965</v>
      </c>
      <c r="K95" s="150">
        <v>0.39776620370370369</v>
      </c>
      <c r="L95" t="s">
        <v>165</v>
      </c>
      <c r="N95">
        <v>240009</v>
      </c>
      <c r="O95">
        <v>240009</v>
      </c>
      <c r="P95">
        <v>239976</v>
      </c>
      <c r="Q95">
        <v>0</v>
      </c>
      <c r="R95" t="s">
        <v>166</v>
      </c>
      <c r="S95">
        <v>0</v>
      </c>
      <c r="T95" t="s">
        <v>167</v>
      </c>
      <c r="U95">
        <v>239976</v>
      </c>
      <c r="W95" t="s">
        <v>168</v>
      </c>
      <c r="X95" t="s">
        <v>166</v>
      </c>
    </row>
    <row r="96" spans="1:24" x14ac:dyDescent="0.3">
      <c r="A96" s="7" t="s">
        <v>79</v>
      </c>
      <c r="B96" t="s">
        <v>80</v>
      </c>
      <c r="C96" t="s">
        <v>163</v>
      </c>
      <c r="D96" t="s">
        <v>164</v>
      </c>
      <c r="E96" s="108">
        <v>1000</v>
      </c>
      <c r="F96">
        <v>0</v>
      </c>
      <c r="G96">
        <v>10</v>
      </c>
      <c r="H96" s="108">
        <v>38620</v>
      </c>
      <c r="I96" s="108">
        <v>38620</v>
      </c>
      <c r="J96" s="150">
        <v>0.39775462962962965</v>
      </c>
      <c r="K96" s="150">
        <v>0.39776620370370369</v>
      </c>
      <c r="L96" t="s">
        <v>165</v>
      </c>
      <c r="N96">
        <v>240061</v>
      </c>
      <c r="O96">
        <v>240061</v>
      </c>
      <c r="P96">
        <v>240051</v>
      </c>
      <c r="Q96">
        <v>990</v>
      </c>
      <c r="R96" t="s">
        <v>166</v>
      </c>
      <c r="S96">
        <v>0</v>
      </c>
      <c r="T96" t="s">
        <v>167</v>
      </c>
      <c r="U96">
        <v>240051</v>
      </c>
      <c r="W96" t="s">
        <v>168</v>
      </c>
      <c r="X96" t="s">
        <v>166</v>
      </c>
    </row>
    <row r="97" spans="1:24" x14ac:dyDescent="0.3">
      <c r="A97" s="7" t="s">
        <v>71</v>
      </c>
      <c r="B97" t="s">
        <v>72</v>
      </c>
      <c r="C97" t="s">
        <v>169</v>
      </c>
      <c r="D97" t="s">
        <v>164</v>
      </c>
      <c r="E97" s="108">
        <v>1000</v>
      </c>
      <c r="F97">
        <v>0</v>
      </c>
      <c r="G97" s="108">
        <v>1000</v>
      </c>
      <c r="H97" s="108">
        <v>18665</v>
      </c>
      <c r="I97" s="108">
        <v>18665</v>
      </c>
      <c r="J97" s="150">
        <v>0.39776620370370369</v>
      </c>
      <c r="K97" s="150">
        <v>0.39777777777777779</v>
      </c>
      <c r="L97" t="s">
        <v>165</v>
      </c>
      <c r="N97">
        <v>240360</v>
      </c>
      <c r="O97">
        <v>240360</v>
      </c>
      <c r="P97">
        <v>240281</v>
      </c>
      <c r="Q97">
        <v>0</v>
      </c>
      <c r="R97" t="s">
        <v>166</v>
      </c>
      <c r="S97">
        <v>0</v>
      </c>
      <c r="T97" t="s">
        <v>167</v>
      </c>
      <c r="U97">
        <v>240281</v>
      </c>
      <c r="W97" t="s">
        <v>168</v>
      </c>
      <c r="X97" t="s">
        <v>166</v>
      </c>
    </row>
    <row r="98" spans="1:24" x14ac:dyDescent="0.3">
      <c r="A98" s="7" t="s">
        <v>69</v>
      </c>
      <c r="B98" t="s">
        <v>70</v>
      </c>
      <c r="C98" t="s">
        <v>169</v>
      </c>
      <c r="D98" t="s">
        <v>164</v>
      </c>
      <c r="E98" s="108">
        <v>1000</v>
      </c>
      <c r="F98">
        <v>0</v>
      </c>
      <c r="G98">
        <v>280</v>
      </c>
      <c r="H98" s="108">
        <v>19145</v>
      </c>
      <c r="I98" s="108">
        <v>19145</v>
      </c>
      <c r="J98" s="150">
        <v>0.39777777777777779</v>
      </c>
      <c r="K98" s="150">
        <v>0.39777777777777779</v>
      </c>
      <c r="L98" t="s">
        <v>165</v>
      </c>
      <c r="N98">
        <v>240407</v>
      </c>
      <c r="O98">
        <v>240407</v>
      </c>
      <c r="P98">
        <v>240381</v>
      </c>
      <c r="Q98">
        <v>720</v>
      </c>
      <c r="R98" t="s">
        <v>166</v>
      </c>
      <c r="S98">
        <v>0</v>
      </c>
      <c r="T98" t="s">
        <v>167</v>
      </c>
      <c r="U98">
        <v>240381</v>
      </c>
      <c r="W98" t="s">
        <v>168</v>
      </c>
      <c r="X98" t="s">
        <v>166</v>
      </c>
    </row>
    <row r="99" spans="1:24" x14ac:dyDescent="0.3">
      <c r="A99" s="7" t="s">
        <v>112</v>
      </c>
      <c r="B99" t="s">
        <v>113</v>
      </c>
      <c r="C99" t="s">
        <v>169</v>
      </c>
      <c r="D99" t="s">
        <v>164</v>
      </c>
      <c r="E99" s="108">
        <v>1000</v>
      </c>
      <c r="F99">
        <v>0</v>
      </c>
      <c r="G99">
        <v>213</v>
      </c>
      <c r="H99" s="108">
        <v>56370</v>
      </c>
      <c r="I99" s="108">
        <v>56370</v>
      </c>
      <c r="J99" s="150">
        <v>0.39784722222222224</v>
      </c>
      <c r="K99" s="150">
        <v>0.39785879629629628</v>
      </c>
      <c r="L99" t="s">
        <v>165</v>
      </c>
      <c r="N99">
        <v>241846</v>
      </c>
      <c r="O99">
        <v>241846</v>
      </c>
      <c r="P99">
        <v>241837</v>
      </c>
      <c r="Q99">
        <v>787</v>
      </c>
      <c r="R99" t="s">
        <v>166</v>
      </c>
      <c r="S99">
        <v>0</v>
      </c>
      <c r="T99" t="s">
        <v>167</v>
      </c>
      <c r="U99">
        <v>241837</v>
      </c>
      <c r="W99" t="s">
        <v>168</v>
      </c>
      <c r="X99" t="s">
        <v>166</v>
      </c>
    </row>
    <row r="100" spans="1:24" x14ac:dyDescent="0.3">
      <c r="A100" s="7" t="s">
        <v>102</v>
      </c>
      <c r="B100" t="s">
        <v>103</v>
      </c>
      <c r="C100" t="s">
        <v>163</v>
      </c>
      <c r="D100" t="s">
        <v>164</v>
      </c>
      <c r="E100" s="108">
        <v>1000</v>
      </c>
      <c r="F100">
        <v>0</v>
      </c>
      <c r="G100">
        <v>190</v>
      </c>
      <c r="H100" s="108">
        <v>8330</v>
      </c>
      <c r="I100" s="108">
        <v>8330</v>
      </c>
      <c r="J100" s="150">
        <v>0.3982175925925926</v>
      </c>
      <c r="K100" s="150">
        <v>0.3982175925925926</v>
      </c>
      <c r="L100" t="s">
        <v>165</v>
      </c>
      <c r="N100">
        <v>248130</v>
      </c>
      <c r="O100">
        <v>248130</v>
      </c>
      <c r="P100">
        <v>248112</v>
      </c>
      <c r="Q100">
        <v>810</v>
      </c>
      <c r="R100" t="s">
        <v>166</v>
      </c>
      <c r="S100">
        <v>0</v>
      </c>
      <c r="T100" t="s">
        <v>167</v>
      </c>
      <c r="U100">
        <v>248112</v>
      </c>
      <c r="W100" t="s">
        <v>168</v>
      </c>
      <c r="X100" t="s">
        <v>166</v>
      </c>
    </row>
    <row r="101" spans="1:24" x14ac:dyDescent="0.3">
      <c r="A101" s="7" t="s">
        <v>138</v>
      </c>
      <c r="B101" t="s">
        <v>171</v>
      </c>
      <c r="C101" t="s">
        <v>163</v>
      </c>
      <c r="D101" t="s">
        <v>164</v>
      </c>
      <c r="E101" s="108">
        <v>1000</v>
      </c>
      <c r="F101">
        <v>0</v>
      </c>
      <c r="G101" s="108">
        <v>1000</v>
      </c>
      <c r="H101" s="108">
        <v>9140</v>
      </c>
      <c r="I101" s="108">
        <v>9140</v>
      </c>
      <c r="J101" s="150">
        <v>0.39864583333333337</v>
      </c>
      <c r="K101" s="150">
        <v>0.39878472222222222</v>
      </c>
      <c r="L101" t="s">
        <v>165</v>
      </c>
      <c r="N101">
        <v>256043</v>
      </c>
      <c r="O101">
        <v>256043</v>
      </c>
      <c r="P101">
        <v>255782</v>
      </c>
      <c r="Q101">
        <v>0</v>
      </c>
      <c r="R101" t="s">
        <v>166</v>
      </c>
      <c r="S101">
        <v>0</v>
      </c>
      <c r="T101" t="s">
        <v>167</v>
      </c>
      <c r="U101">
        <v>255782</v>
      </c>
      <c r="W101" t="s">
        <v>168</v>
      </c>
      <c r="X101" t="s">
        <v>166</v>
      </c>
    </row>
    <row r="102" spans="1:24" x14ac:dyDescent="0.3">
      <c r="A102" s="7" t="s">
        <v>67</v>
      </c>
      <c r="B102" t="s">
        <v>68</v>
      </c>
      <c r="C102" t="s">
        <v>169</v>
      </c>
      <c r="D102" t="s">
        <v>164</v>
      </c>
      <c r="E102" s="108">
        <v>1000</v>
      </c>
      <c r="F102">
        <v>0</v>
      </c>
      <c r="G102">
        <v>30</v>
      </c>
      <c r="H102" s="108">
        <v>10425</v>
      </c>
      <c r="I102" s="108">
        <v>10425</v>
      </c>
      <c r="J102" s="150">
        <v>0.3986689814814815</v>
      </c>
      <c r="K102" s="150">
        <v>0.3986689814814815</v>
      </c>
      <c r="L102" t="s">
        <v>165</v>
      </c>
      <c r="N102">
        <v>256345</v>
      </c>
      <c r="O102">
        <v>256345</v>
      </c>
      <c r="P102">
        <v>256329</v>
      </c>
      <c r="Q102">
        <v>970</v>
      </c>
      <c r="R102" t="s">
        <v>166</v>
      </c>
      <c r="S102">
        <v>0</v>
      </c>
      <c r="T102" t="s">
        <v>167</v>
      </c>
      <c r="U102">
        <v>256329</v>
      </c>
      <c r="W102" t="s">
        <v>168</v>
      </c>
      <c r="X102" t="s">
        <v>166</v>
      </c>
    </row>
    <row r="103" spans="1:24" x14ac:dyDescent="0.3">
      <c r="A103" s="7" t="s">
        <v>69</v>
      </c>
      <c r="B103" t="s">
        <v>70</v>
      </c>
      <c r="C103" t="s">
        <v>163</v>
      </c>
      <c r="D103" t="s">
        <v>164</v>
      </c>
      <c r="E103" s="108">
        <v>1000</v>
      </c>
      <c r="F103">
        <v>0</v>
      </c>
      <c r="G103" s="108">
        <v>1000</v>
      </c>
      <c r="H103" s="108">
        <v>19160</v>
      </c>
      <c r="I103" s="108">
        <v>19160</v>
      </c>
      <c r="J103" s="150">
        <v>0.39876157407407403</v>
      </c>
      <c r="K103" s="150">
        <v>0.39876157407407403</v>
      </c>
      <c r="L103" t="s">
        <v>165</v>
      </c>
      <c r="N103">
        <v>258568</v>
      </c>
      <c r="O103">
        <v>258568</v>
      </c>
      <c r="P103">
        <v>258198</v>
      </c>
      <c r="Q103">
        <v>0</v>
      </c>
      <c r="R103" t="s">
        <v>166</v>
      </c>
      <c r="S103">
        <v>0</v>
      </c>
      <c r="T103" t="s">
        <v>167</v>
      </c>
      <c r="U103">
        <v>258198</v>
      </c>
      <c r="W103" t="s">
        <v>168</v>
      </c>
      <c r="X103" t="s">
        <v>166</v>
      </c>
    </row>
    <row r="104" spans="1:24" x14ac:dyDescent="0.3">
      <c r="A104" s="7" t="s">
        <v>112</v>
      </c>
      <c r="B104" t="s">
        <v>113</v>
      </c>
      <c r="C104" t="s">
        <v>169</v>
      </c>
      <c r="D104" t="s">
        <v>164</v>
      </c>
      <c r="E104" s="108">
        <v>1000</v>
      </c>
      <c r="F104">
        <v>0</v>
      </c>
      <c r="G104">
        <v>997</v>
      </c>
      <c r="H104" s="108">
        <v>56310</v>
      </c>
      <c r="I104" s="108">
        <v>56310</v>
      </c>
      <c r="J104" s="150">
        <v>0.39903935185185185</v>
      </c>
      <c r="K104" s="150">
        <v>0.39905092592592589</v>
      </c>
      <c r="L104" t="s">
        <v>165</v>
      </c>
      <c r="N104">
        <v>265393</v>
      </c>
      <c r="O104">
        <v>265393</v>
      </c>
      <c r="P104">
        <v>265379</v>
      </c>
      <c r="Q104">
        <v>3</v>
      </c>
      <c r="R104" t="s">
        <v>166</v>
      </c>
      <c r="S104">
        <v>0</v>
      </c>
      <c r="T104" t="s">
        <v>167</v>
      </c>
      <c r="U104">
        <v>265379</v>
      </c>
      <c r="W104" t="s">
        <v>168</v>
      </c>
      <c r="X104" t="s">
        <v>166</v>
      </c>
    </row>
    <row r="105" spans="1:24" x14ac:dyDescent="0.3">
      <c r="A105" s="7" t="s">
        <v>71</v>
      </c>
      <c r="B105" t="s">
        <v>72</v>
      </c>
      <c r="C105" t="s">
        <v>163</v>
      </c>
      <c r="D105" t="s">
        <v>164</v>
      </c>
      <c r="E105" s="108">
        <v>1000</v>
      </c>
      <c r="F105">
        <v>0</v>
      </c>
      <c r="G105" s="108">
        <v>1000</v>
      </c>
      <c r="H105" s="108">
        <v>18700</v>
      </c>
      <c r="I105" s="108">
        <v>18700</v>
      </c>
      <c r="J105" s="150">
        <v>0.3991898148148148</v>
      </c>
      <c r="K105" s="150">
        <v>0.39971064814814811</v>
      </c>
      <c r="L105" t="s">
        <v>165</v>
      </c>
      <c r="N105">
        <v>269716</v>
      </c>
      <c r="O105">
        <v>269716</v>
      </c>
      <c r="P105">
        <v>269713</v>
      </c>
      <c r="Q105">
        <v>0</v>
      </c>
      <c r="R105" t="s">
        <v>166</v>
      </c>
      <c r="S105">
        <v>0</v>
      </c>
      <c r="T105" t="s">
        <v>167</v>
      </c>
      <c r="U105">
        <v>269713</v>
      </c>
      <c r="W105" t="s">
        <v>168</v>
      </c>
      <c r="X105" t="s">
        <v>166</v>
      </c>
    </row>
    <row r="106" spans="1:24" x14ac:dyDescent="0.3">
      <c r="A106" s="7" t="s">
        <v>71</v>
      </c>
      <c r="B106" t="s">
        <v>72</v>
      </c>
      <c r="C106" t="s">
        <v>169</v>
      </c>
      <c r="D106" t="s">
        <v>164</v>
      </c>
      <c r="E106" s="108">
        <v>1000</v>
      </c>
      <c r="F106">
        <v>0</v>
      </c>
      <c r="G106" s="108">
        <v>1000</v>
      </c>
      <c r="H106" s="108">
        <v>18640</v>
      </c>
      <c r="I106" s="108">
        <v>18640</v>
      </c>
      <c r="J106" s="150">
        <v>0.39920138888888884</v>
      </c>
      <c r="K106" s="150">
        <v>0.39921296296296299</v>
      </c>
      <c r="L106" t="s">
        <v>165</v>
      </c>
      <c r="N106">
        <v>269948</v>
      </c>
      <c r="O106">
        <v>269948</v>
      </c>
      <c r="P106">
        <v>269928</v>
      </c>
      <c r="Q106">
        <v>0</v>
      </c>
      <c r="R106" t="s">
        <v>166</v>
      </c>
      <c r="S106">
        <v>0</v>
      </c>
      <c r="T106" t="s">
        <v>167</v>
      </c>
      <c r="U106">
        <v>269928</v>
      </c>
      <c r="W106" t="s">
        <v>168</v>
      </c>
      <c r="X106" t="s">
        <v>166</v>
      </c>
    </row>
    <row r="107" spans="1:24" x14ac:dyDescent="0.3">
      <c r="A107" s="7" t="s">
        <v>69</v>
      </c>
      <c r="B107" t="s">
        <v>70</v>
      </c>
      <c r="C107" t="s">
        <v>163</v>
      </c>
      <c r="D107" t="s">
        <v>164</v>
      </c>
      <c r="E107" s="108">
        <v>1000</v>
      </c>
      <c r="F107">
        <v>0</v>
      </c>
      <c r="G107">
        <v>124</v>
      </c>
      <c r="H107" s="108">
        <v>19110</v>
      </c>
      <c r="I107" s="108">
        <v>19110</v>
      </c>
      <c r="J107" s="150">
        <v>0.39972222222222226</v>
      </c>
      <c r="K107" s="150">
        <v>0.39974537037037039</v>
      </c>
      <c r="L107" t="s">
        <v>165</v>
      </c>
      <c r="N107">
        <v>282396</v>
      </c>
      <c r="O107">
        <v>282396</v>
      </c>
      <c r="P107">
        <v>282290</v>
      </c>
      <c r="Q107">
        <v>876</v>
      </c>
      <c r="R107" t="s">
        <v>166</v>
      </c>
      <c r="S107">
        <v>0</v>
      </c>
      <c r="T107" t="s">
        <v>167</v>
      </c>
      <c r="U107">
        <v>282290</v>
      </c>
      <c r="W107" t="s">
        <v>168</v>
      </c>
      <c r="X107" t="s">
        <v>166</v>
      </c>
    </row>
    <row r="108" spans="1:24" x14ac:dyDescent="0.3">
      <c r="A108" s="7" t="s">
        <v>138</v>
      </c>
      <c r="B108" t="s">
        <v>171</v>
      </c>
      <c r="C108" t="s">
        <v>169</v>
      </c>
      <c r="D108" t="s">
        <v>164</v>
      </c>
      <c r="E108" s="108">
        <v>1000</v>
      </c>
      <c r="F108">
        <v>0</v>
      </c>
      <c r="G108">
        <v>2</v>
      </c>
      <c r="H108" s="108">
        <v>9110</v>
      </c>
      <c r="I108" s="108">
        <v>9110</v>
      </c>
      <c r="J108" s="150">
        <v>0.39987268518518521</v>
      </c>
      <c r="K108" s="150">
        <v>0.39988425925925924</v>
      </c>
      <c r="L108" t="s">
        <v>165</v>
      </c>
      <c r="N108">
        <v>285709</v>
      </c>
      <c r="O108">
        <v>285709</v>
      </c>
      <c r="P108">
        <v>285158</v>
      </c>
      <c r="Q108">
        <v>998</v>
      </c>
      <c r="R108" t="s">
        <v>166</v>
      </c>
      <c r="S108">
        <v>0</v>
      </c>
      <c r="T108" t="s">
        <v>167</v>
      </c>
      <c r="U108">
        <v>285158</v>
      </c>
      <c r="W108" t="s">
        <v>168</v>
      </c>
      <c r="X108" t="s">
        <v>166</v>
      </c>
    </row>
    <row r="109" spans="1:24" x14ac:dyDescent="0.3">
      <c r="A109" s="7" t="s">
        <v>77</v>
      </c>
      <c r="B109" t="s">
        <v>78</v>
      </c>
      <c r="C109" t="s">
        <v>169</v>
      </c>
      <c r="D109" t="s">
        <v>164</v>
      </c>
      <c r="E109" s="108">
        <v>1000</v>
      </c>
      <c r="F109">
        <v>0</v>
      </c>
      <c r="G109">
        <v>3</v>
      </c>
      <c r="H109" s="108">
        <v>18320</v>
      </c>
      <c r="I109" s="108">
        <v>18320</v>
      </c>
      <c r="J109" s="150">
        <v>0.3999537037037037</v>
      </c>
      <c r="K109" s="150">
        <v>0.3999537037037037</v>
      </c>
      <c r="L109" t="s">
        <v>165</v>
      </c>
      <c r="N109">
        <v>287633</v>
      </c>
      <c r="O109">
        <v>287633</v>
      </c>
      <c r="P109">
        <v>287552</v>
      </c>
      <c r="Q109">
        <v>997</v>
      </c>
      <c r="R109" t="s">
        <v>166</v>
      </c>
      <c r="S109">
        <v>0</v>
      </c>
      <c r="T109" t="s">
        <v>167</v>
      </c>
      <c r="U109">
        <v>287552</v>
      </c>
      <c r="W109" t="s">
        <v>168</v>
      </c>
      <c r="X109" t="s">
        <v>166</v>
      </c>
    </row>
    <row r="110" spans="1:24" x14ac:dyDescent="0.3">
      <c r="A110" s="7" t="s">
        <v>98</v>
      </c>
      <c r="B110" t="s">
        <v>99</v>
      </c>
      <c r="C110" t="s">
        <v>169</v>
      </c>
      <c r="D110" t="s">
        <v>164</v>
      </c>
      <c r="E110" s="108">
        <v>1000</v>
      </c>
      <c r="F110">
        <v>0</v>
      </c>
      <c r="G110">
        <v>583</v>
      </c>
      <c r="H110" s="108">
        <v>15535</v>
      </c>
      <c r="I110" s="108">
        <v>15535</v>
      </c>
      <c r="J110" s="150">
        <v>0.40004629629629629</v>
      </c>
      <c r="K110" s="150">
        <v>0.40004629629629629</v>
      </c>
      <c r="L110" t="s">
        <v>165</v>
      </c>
      <c r="N110">
        <v>289452</v>
      </c>
      <c r="O110">
        <v>289452</v>
      </c>
      <c r="P110">
        <v>288472</v>
      </c>
      <c r="Q110">
        <v>417</v>
      </c>
      <c r="R110" t="s">
        <v>166</v>
      </c>
      <c r="S110">
        <v>0</v>
      </c>
      <c r="T110" t="s">
        <v>167</v>
      </c>
      <c r="U110">
        <v>288472</v>
      </c>
      <c r="W110" t="s">
        <v>168</v>
      </c>
      <c r="X110" t="s">
        <v>166</v>
      </c>
    </row>
    <row r="111" spans="1:24" x14ac:dyDescent="0.3">
      <c r="A111" s="7" t="s">
        <v>102</v>
      </c>
      <c r="B111" t="s">
        <v>103</v>
      </c>
      <c r="C111" t="s">
        <v>163</v>
      </c>
      <c r="D111" t="s">
        <v>164</v>
      </c>
      <c r="E111" s="108">
        <v>1000</v>
      </c>
      <c r="F111">
        <v>0</v>
      </c>
      <c r="G111" s="108">
        <v>1000</v>
      </c>
      <c r="H111" s="108">
        <v>8325</v>
      </c>
      <c r="I111" s="108">
        <v>8325</v>
      </c>
      <c r="J111" s="150">
        <v>0.40021990740740737</v>
      </c>
      <c r="K111" s="150">
        <v>0.40021990740740737</v>
      </c>
      <c r="L111" t="s">
        <v>165</v>
      </c>
      <c r="N111">
        <v>292935</v>
      </c>
      <c r="O111">
        <v>292935</v>
      </c>
      <c r="P111">
        <v>292925</v>
      </c>
      <c r="Q111">
        <v>0</v>
      </c>
      <c r="R111" t="s">
        <v>166</v>
      </c>
      <c r="S111">
        <v>0</v>
      </c>
      <c r="T111" t="s">
        <v>167</v>
      </c>
      <c r="U111">
        <v>292925</v>
      </c>
      <c r="W111" t="s">
        <v>168</v>
      </c>
      <c r="X111" t="s">
        <v>166</v>
      </c>
    </row>
    <row r="112" spans="1:24" x14ac:dyDescent="0.3">
      <c r="A112" s="7" t="s">
        <v>65</v>
      </c>
      <c r="B112" t="s">
        <v>66</v>
      </c>
      <c r="C112" t="s">
        <v>169</v>
      </c>
      <c r="D112" t="s">
        <v>164</v>
      </c>
      <c r="E112" s="108">
        <v>1000</v>
      </c>
      <c r="F112">
        <v>0</v>
      </c>
      <c r="G112">
        <v>193</v>
      </c>
      <c r="H112" s="108">
        <v>4960</v>
      </c>
      <c r="I112" s="108">
        <v>4960</v>
      </c>
      <c r="J112" s="150">
        <v>0.40039351851851851</v>
      </c>
      <c r="K112" s="150">
        <v>0.40046296296296297</v>
      </c>
      <c r="L112" t="s">
        <v>165</v>
      </c>
      <c r="N112">
        <v>296119</v>
      </c>
      <c r="O112">
        <v>296119</v>
      </c>
      <c r="P112">
        <v>296064</v>
      </c>
      <c r="Q112">
        <v>807</v>
      </c>
      <c r="R112" t="s">
        <v>166</v>
      </c>
      <c r="S112">
        <v>0</v>
      </c>
      <c r="T112" t="s">
        <v>167</v>
      </c>
      <c r="U112">
        <v>296064</v>
      </c>
      <c r="W112" t="s">
        <v>168</v>
      </c>
      <c r="X112" t="s">
        <v>166</v>
      </c>
    </row>
    <row r="113" spans="1:24" x14ac:dyDescent="0.3">
      <c r="A113" s="7" t="s">
        <v>69</v>
      </c>
      <c r="B113" t="s">
        <v>70</v>
      </c>
      <c r="C113" t="s">
        <v>163</v>
      </c>
      <c r="D113" t="s">
        <v>170</v>
      </c>
      <c r="E113" s="108">
        <v>1000</v>
      </c>
      <c r="F113">
        <v>0</v>
      </c>
      <c r="G113">
        <v>62</v>
      </c>
      <c r="H113" s="108">
        <v>19190</v>
      </c>
      <c r="I113" s="108">
        <v>19190</v>
      </c>
      <c r="J113" s="150">
        <v>0.40042824074074074</v>
      </c>
      <c r="K113" s="150">
        <v>0.40042824074074074</v>
      </c>
      <c r="L113" t="s">
        <v>165</v>
      </c>
      <c r="N113">
        <v>296652</v>
      </c>
      <c r="O113">
        <v>296652</v>
      </c>
      <c r="P113">
        <v>0</v>
      </c>
      <c r="Q113">
        <v>938</v>
      </c>
      <c r="R113" t="s">
        <v>166</v>
      </c>
      <c r="S113">
        <v>0</v>
      </c>
      <c r="T113" t="s">
        <v>167</v>
      </c>
      <c r="U113">
        <v>0</v>
      </c>
      <c r="W113" t="s">
        <v>168</v>
      </c>
      <c r="X113" t="s">
        <v>166</v>
      </c>
    </row>
    <row r="114" spans="1:24" x14ac:dyDescent="0.3">
      <c r="A114" s="7" t="s">
        <v>138</v>
      </c>
      <c r="B114" t="s">
        <v>171</v>
      </c>
      <c r="C114" t="s">
        <v>163</v>
      </c>
      <c r="D114" t="s">
        <v>164</v>
      </c>
      <c r="E114" s="108">
        <v>1000</v>
      </c>
      <c r="F114">
        <v>0</v>
      </c>
      <c r="G114">
        <v>120</v>
      </c>
      <c r="H114" s="108">
        <v>9115</v>
      </c>
      <c r="I114" s="108">
        <v>9115</v>
      </c>
      <c r="J114" s="150">
        <v>0.40067129629629633</v>
      </c>
      <c r="K114" s="150">
        <v>0.40072916666666664</v>
      </c>
      <c r="L114" t="s">
        <v>165</v>
      </c>
      <c r="N114">
        <v>301178</v>
      </c>
      <c r="O114">
        <v>301178</v>
      </c>
      <c r="P114">
        <v>300581</v>
      </c>
      <c r="Q114">
        <v>880</v>
      </c>
      <c r="R114" t="s">
        <v>166</v>
      </c>
      <c r="S114">
        <v>0</v>
      </c>
      <c r="T114" t="s">
        <v>167</v>
      </c>
      <c r="U114">
        <v>300581</v>
      </c>
      <c r="W114" t="s">
        <v>168</v>
      </c>
      <c r="X114" t="s">
        <v>166</v>
      </c>
    </row>
    <row r="115" spans="1:24" x14ac:dyDescent="0.3">
      <c r="A115" s="7" t="s">
        <v>69</v>
      </c>
      <c r="B115" t="s">
        <v>70</v>
      </c>
      <c r="C115" t="s">
        <v>163</v>
      </c>
      <c r="D115" t="s">
        <v>164</v>
      </c>
      <c r="E115" s="108">
        <v>1000</v>
      </c>
      <c r="F115">
        <v>0</v>
      </c>
      <c r="G115">
        <v>71</v>
      </c>
      <c r="H115" s="108">
        <v>19125</v>
      </c>
      <c r="I115" s="108">
        <v>19125</v>
      </c>
      <c r="J115" s="150">
        <v>0.40149305555555559</v>
      </c>
      <c r="K115" s="150">
        <v>0.40151620370370367</v>
      </c>
      <c r="L115" t="s">
        <v>165</v>
      </c>
      <c r="N115">
        <v>318570</v>
      </c>
      <c r="O115">
        <v>318570</v>
      </c>
      <c r="P115">
        <v>318420</v>
      </c>
      <c r="Q115">
        <v>929</v>
      </c>
      <c r="R115" t="s">
        <v>166</v>
      </c>
      <c r="S115">
        <v>0</v>
      </c>
      <c r="T115" t="s">
        <v>167</v>
      </c>
      <c r="U115">
        <v>318420</v>
      </c>
      <c r="W115" t="s">
        <v>168</v>
      </c>
      <c r="X115" t="s">
        <v>166</v>
      </c>
    </row>
    <row r="116" spans="1:24" x14ac:dyDescent="0.3">
      <c r="A116" s="7" t="s">
        <v>98</v>
      </c>
      <c r="B116" t="s">
        <v>99</v>
      </c>
      <c r="C116" t="s">
        <v>169</v>
      </c>
      <c r="D116" t="s">
        <v>164</v>
      </c>
      <c r="E116" s="108">
        <v>1000</v>
      </c>
      <c r="F116">
        <v>0</v>
      </c>
      <c r="G116">
        <v>38</v>
      </c>
      <c r="H116" s="108">
        <v>15540</v>
      </c>
      <c r="I116" s="108">
        <v>15540</v>
      </c>
      <c r="J116" s="150">
        <v>0.40179398148148149</v>
      </c>
      <c r="K116" s="150">
        <v>0.40179398148148149</v>
      </c>
      <c r="L116" t="s">
        <v>165</v>
      </c>
      <c r="N116">
        <v>325743</v>
      </c>
      <c r="O116">
        <v>325743</v>
      </c>
      <c r="P116">
        <v>325609</v>
      </c>
      <c r="Q116">
        <v>962</v>
      </c>
      <c r="R116" t="s">
        <v>166</v>
      </c>
      <c r="S116">
        <v>0</v>
      </c>
      <c r="T116" t="s">
        <v>167</v>
      </c>
      <c r="U116">
        <v>325609</v>
      </c>
      <c r="W116" t="s">
        <v>168</v>
      </c>
      <c r="X116" t="s">
        <v>166</v>
      </c>
    </row>
    <row r="117" spans="1:24" x14ac:dyDescent="0.3">
      <c r="A117" s="7" t="s">
        <v>69</v>
      </c>
      <c r="B117" t="s">
        <v>70</v>
      </c>
      <c r="C117" t="s">
        <v>163</v>
      </c>
      <c r="D117" t="s">
        <v>170</v>
      </c>
      <c r="E117" s="108">
        <v>1000</v>
      </c>
      <c r="F117">
        <v>0</v>
      </c>
      <c r="G117" s="108">
        <v>1000</v>
      </c>
      <c r="H117" s="108">
        <v>19150</v>
      </c>
      <c r="I117" s="108">
        <v>19150</v>
      </c>
      <c r="J117" s="150">
        <v>0.40219907407407413</v>
      </c>
      <c r="K117" s="150">
        <v>0.40219907407407413</v>
      </c>
      <c r="L117" t="s">
        <v>165</v>
      </c>
      <c r="N117">
        <v>335311</v>
      </c>
      <c r="O117">
        <v>335311</v>
      </c>
      <c r="P117">
        <v>0</v>
      </c>
      <c r="Q117">
        <v>0</v>
      </c>
      <c r="R117" t="s">
        <v>166</v>
      </c>
      <c r="S117">
        <v>0</v>
      </c>
      <c r="T117" t="s">
        <v>167</v>
      </c>
      <c r="U117">
        <v>0</v>
      </c>
      <c r="W117" t="s">
        <v>168</v>
      </c>
      <c r="X117" t="s">
        <v>166</v>
      </c>
    </row>
    <row r="118" spans="1:24" x14ac:dyDescent="0.3">
      <c r="A118" s="7" t="s">
        <v>138</v>
      </c>
      <c r="B118" t="s">
        <v>171</v>
      </c>
      <c r="C118" t="s">
        <v>163</v>
      </c>
      <c r="D118" t="s">
        <v>164</v>
      </c>
      <c r="E118" s="108">
        <v>1000</v>
      </c>
      <c r="F118">
        <v>0</v>
      </c>
      <c r="G118">
        <v>2</v>
      </c>
      <c r="H118" s="108">
        <v>9105</v>
      </c>
      <c r="I118" s="108">
        <v>9105</v>
      </c>
      <c r="J118" s="150">
        <v>0.40219907407407413</v>
      </c>
      <c r="K118" s="150">
        <v>0.40232638888888889</v>
      </c>
      <c r="L118" t="s">
        <v>165</v>
      </c>
      <c r="N118">
        <v>335363</v>
      </c>
      <c r="O118">
        <v>335363</v>
      </c>
      <c r="P118">
        <v>333270</v>
      </c>
      <c r="Q118">
        <v>998</v>
      </c>
      <c r="R118" t="s">
        <v>166</v>
      </c>
      <c r="S118">
        <v>0</v>
      </c>
      <c r="T118" t="s">
        <v>167</v>
      </c>
      <c r="U118">
        <v>333270</v>
      </c>
      <c r="W118" t="s">
        <v>168</v>
      </c>
      <c r="X118" t="s">
        <v>166</v>
      </c>
    </row>
    <row r="119" spans="1:24" x14ac:dyDescent="0.3">
      <c r="A119" s="7" t="s">
        <v>73</v>
      </c>
      <c r="B119" t="s">
        <v>74</v>
      </c>
      <c r="C119" t="s">
        <v>169</v>
      </c>
      <c r="D119" t="s">
        <v>164</v>
      </c>
      <c r="E119" s="108">
        <v>1000</v>
      </c>
      <c r="F119">
        <v>0</v>
      </c>
      <c r="G119">
        <v>69</v>
      </c>
      <c r="H119" s="108">
        <v>22535</v>
      </c>
      <c r="I119" s="108">
        <v>22535</v>
      </c>
      <c r="J119" s="150">
        <v>0.40219907407407413</v>
      </c>
      <c r="K119" s="150">
        <v>0.40221064814814816</v>
      </c>
      <c r="L119" t="s">
        <v>165</v>
      </c>
      <c r="N119">
        <v>335583</v>
      </c>
      <c r="O119">
        <v>335583</v>
      </c>
      <c r="P119">
        <v>335535</v>
      </c>
      <c r="Q119">
        <v>931</v>
      </c>
      <c r="R119" t="s">
        <v>166</v>
      </c>
      <c r="S119">
        <v>0</v>
      </c>
      <c r="T119" t="s">
        <v>167</v>
      </c>
      <c r="U119">
        <v>335535</v>
      </c>
      <c r="W119" t="s">
        <v>168</v>
      </c>
      <c r="X119" t="s">
        <v>166</v>
      </c>
    </row>
    <row r="120" spans="1:24" x14ac:dyDescent="0.3">
      <c r="A120" s="7" t="s">
        <v>77</v>
      </c>
      <c r="B120" t="s">
        <v>78</v>
      </c>
      <c r="C120" t="s">
        <v>163</v>
      </c>
      <c r="D120" t="s">
        <v>164</v>
      </c>
      <c r="E120" s="108">
        <v>1000</v>
      </c>
      <c r="F120">
        <v>0</v>
      </c>
      <c r="G120" s="108">
        <v>1000</v>
      </c>
      <c r="H120" s="108">
        <v>18490</v>
      </c>
      <c r="I120" s="108">
        <v>18490</v>
      </c>
      <c r="J120" s="150">
        <v>0.40230324074074075</v>
      </c>
      <c r="K120" s="150">
        <v>0.40277777777777773</v>
      </c>
      <c r="L120" t="s">
        <v>165</v>
      </c>
      <c r="N120">
        <v>339330</v>
      </c>
      <c r="O120">
        <v>339330</v>
      </c>
      <c r="P120">
        <v>339288</v>
      </c>
      <c r="Q120">
        <v>0</v>
      </c>
      <c r="R120" t="s">
        <v>166</v>
      </c>
      <c r="S120">
        <v>0</v>
      </c>
      <c r="T120" t="s">
        <v>167</v>
      </c>
      <c r="U120">
        <v>339288</v>
      </c>
      <c r="W120" t="s">
        <v>168</v>
      </c>
      <c r="X120" t="s">
        <v>166</v>
      </c>
    </row>
    <row r="121" spans="1:24" x14ac:dyDescent="0.3">
      <c r="A121" s="7" t="s">
        <v>77</v>
      </c>
      <c r="B121" t="s">
        <v>78</v>
      </c>
      <c r="C121" t="s">
        <v>169</v>
      </c>
      <c r="D121" t="s">
        <v>164</v>
      </c>
      <c r="E121" s="108">
        <v>1000</v>
      </c>
      <c r="F121">
        <v>0</v>
      </c>
      <c r="G121" s="108">
        <v>1000</v>
      </c>
      <c r="H121" s="108">
        <v>18430</v>
      </c>
      <c r="I121" s="108">
        <v>18430</v>
      </c>
      <c r="J121" s="150">
        <v>0.40230324074074075</v>
      </c>
      <c r="K121" s="150">
        <v>0.40230324074074075</v>
      </c>
      <c r="L121" t="s">
        <v>165</v>
      </c>
      <c r="N121">
        <v>339331</v>
      </c>
      <c r="O121">
        <v>339331</v>
      </c>
      <c r="P121">
        <v>339287</v>
      </c>
      <c r="Q121">
        <v>0</v>
      </c>
      <c r="R121" t="s">
        <v>166</v>
      </c>
      <c r="S121">
        <v>0</v>
      </c>
      <c r="T121" t="s">
        <v>167</v>
      </c>
      <c r="U121">
        <v>339287</v>
      </c>
      <c r="W121" t="s">
        <v>168</v>
      </c>
      <c r="X121" t="s">
        <v>166</v>
      </c>
    </row>
    <row r="122" spans="1:24" x14ac:dyDescent="0.3">
      <c r="A122" s="7" t="s">
        <v>67</v>
      </c>
      <c r="B122" t="s">
        <v>68</v>
      </c>
      <c r="C122" t="s">
        <v>163</v>
      </c>
      <c r="D122" t="s">
        <v>164</v>
      </c>
      <c r="E122" s="108">
        <v>1000</v>
      </c>
      <c r="F122">
        <v>0</v>
      </c>
      <c r="G122" s="108">
        <v>1000</v>
      </c>
      <c r="H122" s="108">
        <v>10465</v>
      </c>
      <c r="I122" s="108">
        <v>10465</v>
      </c>
      <c r="J122" s="150">
        <v>0.40247685185185184</v>
      </c>
      <c r="K122" s="150">
        <v>0.40247685185185184</v>
      </c>
      <c r="L122" t="s">
        <v>165</v>
      </c>
      <c r="N122">
        <v>344470</v>
      </c>
      <c r="O122">
        <v>344470</v>
      </c>
      <c r="P122">
        <v>344208</v>
      </c>
      <c r="Q122">
        <v>0</v>
      </c>
      <c r="R122" t="s">
        <v>166</v>
      </c>
      <c r="S122">
        <v>0</v>
      </c>
      <c r="T122" t="s">
        <v>167</v>
      </c>
      <c r="U122">
        <v>344208</v>
      </c>
      <c r="W122" t="s">
        <v>168</v>
      </c>
      <c r="X122" t="s">
        <v>166</v>
      </c>
    </row>
    <row r="123" spans="1:24" x14ac:dyDescent="0.3">
      <c r="A123" s="7" t="s">
        <v>60</v>
      </c>
      <c r="B123" t="s">
        <v>61</v>
      </c>
      <c r="C123" t="s">
        <v>169</v>
      </c>
      <c r="D123" t="s">
        <v>164</v>
      </c>
      <c r="E123">
        <v>500</v>
      </c>
      <c r="F123">
        <v>0</v>
      </c>
      <c r="G123">
        <v>9</v>
      </c>
      <c r="H123" s="108">
        <v>35810</v>
      </c>
      <c r="I123" s="108">
        <v>35810</v>
      </c>
      <c r="J123" s="150">
        <v>0.40304398148148146</v>
      </c>
      <c r="K123" s="150">
        <v>0.40304398148148146</v>
      </c>
      <c r="L123" t="s">
        <v>165</v>
      </c>
      <c r="N123">
        <v>356539</v>
      </c>
      <c r="O123">
        <v>356539</v>
      </c>
      <c r="P123">
        <v>356515</v>
      </c>
      <c r="Q123">
        <v>491</v>
      </c>
      <c r="R123" t="s">
        <v>166</v>
      </c>
      <c r="S123">
        <v>0</v>
      </c>
      <c r="T123" t="s">
        <v>167</v>
      </c>
      <c r="U123">
        <v>356515</v>
      </c>
      <c r="W123" t="s">
        <v>168</v>
      </c>
      <c r="X123" t="s">
        <v>166</v>
      </c>
    </row>
    <row r="124" spans="1:24" x14ac:dyDescent="0.3">
      <c r="A124" s="7" t="s">
        <v>60</v>
      </c>
      <c r="B124" t="s">
        <v>61</v>
      </c>
      <c r="C124" t="s">
        <v>169</v>
      </c>
      <c r="D124" t="s">
        <v>164</v>
      </c>
      <c r="E124">
        <v>500</v>
      </c>
      <c r="F124">
        <v>0</v>
      </c>
      <c r="G124">
        <v>491</v>
      </c>
      <c r="H124" s="108">
        <v>35805</v>
      </c>
      <c r="I124" s="108">
        <v>35805</v>
      </c>
      <c r="J124" s="150">
        <v>0.40304398148148146</v>
      </c>
      <c r="K124" s="150">
        <v>0.40305555555555556</v>
      </c>
      <c r="L124" t="s">
        <v>165</v>
      </c>
      <c r="N124">
        <v>356550</v>
      </c>
      <c r="O124">
        <v>356550</v>
      </c>
      <c r="P124">
        <v>356539</v>
      </c>
      <c r="Q124">
        <v>0</v>
      </c>
      <c r="R124" t="s">
        <v>166</v>
      </c>
      <c r="S124">
        <v>9</v>
      </c>
      <c r="T124" t="s">
        <v>167</v>
      </c>
      <c r="U124">
        <v>356539</v>
      </c>
      <c r="W124" t="s">
        <v>168</v>
      </c>
      <c r="X124" t="s">
        <v>166</v>
      </c>
    </row>
    <row r="125" spans="1:24" x14ac:dyDescent="0.3">
      <c r="A125" s="7" t="s">
        <v>138</v>
      </c>
      <c r="B125" t="s">
        <v>171</v>
      </c>
      <c r="C125" t="s">
        <v>163</v>
      </c>
      <c r="D125" t="s">
        <v>164</v>
      </c>
      <c r="E125" s="108">
        <v>1000</v>
      </c>
      <c r="F125">
        <v>0</v>
      </c>
      <c r="G125">
        <v>7</v>
      </c>
      <c r="H125" s="108">
        <v>9110</v>
      </c>
      <c r="I125" s="108">
        <v>9110</v>
      </c>
      <c r="J125" s="150">
        <v>0.40307870370370374</v>
      </c>
      <c r="K125" s="150">
        <v>0.403287037037037</v>
      </c>
      <c r="L125" t="s">
        <v>165</v>
      </c>
      <c r="N125">
        <v>357181</v>
      </c>
      <c r="O125">
        <v>357181</v>
      </c>
      <c r="P125">
        <v>355534</v>
      </c>
      <c r="Q125">
        <v>993</v>
      </c>
      <c r="R125" t="s">
        <v>166</v>
      </c>
      <c r="S125">
        <v>0</v>
      </c>
      <c r="T125" t="s">
        <v>167</v>
      </c>
      <c r="U125">
        <v>355534</v>
      </c>
      <c r="W125" t="s">
        <v>168</v>
      </c>
      <c r="X125" t="s">
        <v>166</v>
      </c>
    </row>
    <row r="126" spans="1:24" x14ac:dyDescent="0.3">
      <c r="A126" s="7" t="s">
        <v>106</v>
      </c>
      <c r="B126" t="s">
        <v>107</v>
      </c>
      <c r="C126" t="s">
        <v>163</v>
      </c>
      <c r="D126" t="s">
        <v>164</v>
      </c>
      <c r="E126" s="108">
        <v>1000</v>
      </c>
      <c r="F126">
        <v>0</v>
      </c>
      <c r="G126">
        <v>3</v>
      </c>
      <c r="H126" s="108">
        <v>2705</v>
      </c>
      <c r="I126" s="108">
        <v>2705</v>
      </c>
      <c r="J126" s="150">
        <v>0.40310185185185188</v>
      </c>
      <c r="K126" s="150">
        <v>0.40356481481481482</v>
      </c>
      <c r="L126" t="s">
        <v>165</v>
      </c>
      <c r="N126">
        <v>357701</v>
      </c>
      <c r="O126">
        <v>357701</v>
      </c>
      <c r="P126">
        <v>357626</v>
      </c>
      <c r="Q126">
        <v>997</v>
      </c>
      <c r="R126" t="s">
        <v>166</v>
      </c>
      <c r="S126">
        <v>0</v>
      </c>
      <c r="T126" t="s">
        <v>167</v>
      </c>
      <c r="U126">
        <v>357626</v>
      </c>
      <c r="W126" t="s">
        <v>168</v>
      </c>
      <c r="X126" t="s">
        <v>166</v>
      </c>
    </row>
    <row r="127" spans="1:24" x14ac:dyDescent="0.3">
      <c r="A127" s="7" t="s">
        <v>69</v>
      </c>
      <c r="B127" t="s">
        <v>70</v>
      </c>
      <c r="C127" t="s">
        <v>163</v>
      </c>
      <c r="D127" t="s">
        <v>164</v>
      </c>
      <c r="E127" s="108">
        <v>1000</v>
      </c>
      <c r="F127">
        <v>0</v>
      </c>
      <c r="G127">
        <v>88</v>
      </c>
      <c r="H127" s="108">
        <v>19235</v>
      </c>
      <c r="I127" s="108">
        <v>19235</v>
      </c>
      <c r="J127" s="150">
        <v>0.40312500000000001</v>
      </c>
      <c r="K127" s="150">
        <v>0.40313657407407405</v>
      </c>
      <c r="L127" t="s">
        <v>165</v>
      </c>
      <c r="N127">
        <v>358094</v>
      </c>
      <c r="O127">
        <v>358094</v>
      </c>
      <c r="P127">
        <v>358048</v>
      </c>
      <c r="Q127">
        <v>912</v>
      </c>
      <c r="R127" t="s">
        <v>166</v>
      </c>
      <c r="S127">
        <v>0</v>
      </c>
      <c r="T127" t="s">
        <v>167</v>
      </c>
      <c r="U127">
        <v>358048</v>
      </c>
      <c r="W127" t="s">
        <v>168</v>
      </c>
      <c r="X127" t="s">
        <v>166</v>
      </c>
    </row>
    <row r="128" spans="1:24" x14ac:dyDescent="0.3">
      <c r="A128" s="7" t="s">
        <v>104</v>
      </c>
      <c r="B128" t="s">
        <v>105</v>
      </c>
      <c r="C128" t="s">
        <v>163</v>
      </c>
      <c r="D128" t="s">
        <v>164</v>
      </c>
      <c r="E128" s="108">
        <v>1000</v>
      </c>
      <c r="F128">
        <v>0</v>
      </c>
      <c r="G128">
        <v>2</v>
      </c>
      <c r="H128" s="108">
        <v>3765</v>
      </c>
      <c r="I128" s="108">
        <v>3765</v>
      </c>
      <c r="J128" s="150">
        <v>0.40317129629629633</v>
      </c>
      <c r="K128" s="150">
        <v>0.40319444444444441</v>
      </c>
      <c r="L128" t="s">
        <v>165</v>
      </c>
      <c r="N128">
        <v>358952</v>
      </c>
      <c r="O128">
        <v>358952</v>
      </c>
      <c r="P128">
        <v>358750</v>
      </c>
      <c r="Q128">
        <v>998</v>
      </c>
      <c r="R128" t="s">
        <v>166</v>
      </c>
      <c r="S128">
        <v>0</v>
      </c>
      <c r="T128" t="s">
        <v>167</v>
      </c>
      <c r="U128">
        <v>358750</v>
      </c>
      <c r="W128" t="s">
        <v>168</v>
      </c>
      <c r="X128" t="s">
        <v>166</v>
      </c>
    </row>
    <row r="129" spans="1:24" x14ac:dyDescent="0.3">
      <c r="A129" s="7" t="s">
        <v>98</v>
      </c>
      <c r="B129" t="s">
        <v>99</v>
      </c>
      <c r="C129" t="s">
        <v>169</v>
      </c>
      <c r="D129" t="s">
        <v>164</v>
      </c>
      <c r="E129" s="108">
        <v>1000</v>
      </c>
      <c r="F129">
        <v>0</v>
      </c>
      <c r="G129">
        <v>819</v>
      </c>
      <c r="H129" s="108">
        <v>15575</v>
      </c>
      <c r="I129" s="108">
        <v>15575</v>
      </c>
      <c r="J129" s="150">
        <v>0.40320601851851851</v>
      </c>
      <c r="K129" s="150">
        <v>0.40320601851851851</v>
      </c>
      <c r="L129" t="s">
        <v>165</v>
      </c>
      <c r="N129">
        <v>359754</v>
      </c>
      <c r="O129">
        <v>359754</v>
      </c>
      <c r="P129">
        <v>358838</v>
      </c>
      <c r="Q129">
        <v>181</v>
      </c>
      <c r="R129" t="s">
        <v>166</v>
      </c>
      <c r="S129">
        <v>0</v>
      </c>
      <c r="T129" t="s">
        <v>167</v>
      </c>
      <c r="U129">
        <v>358838</v>
      </c>
      <c r="W129" t="s">
        <v>168</v>
      </c>
      <c r="X129" t="s">
        <v>166</v>
      </c>
    </row>
    <row r="130" spans="1:24" x14ac:dyDescent="0.3">
      <c r="A130" s="7" t="s">
        <v>102</v>
      </c>
      <c r="B130" t="s">
        <v>103</v>
      </c>
      <c r="C130" t="s">
        <v>163</v>
      </c>
      <c r="D130" t="s">
        <v>164</v>
      </c>
      <c r="E130" s="108">
        <v>1000</v>
      </c>
      <c r="F130">
        <v>0</v>
      </c>
      <c r="G130">
        <v>3</v>
      </c>
      <c r="H130" s="108">
        <v>8355</v>
      </c>
      <c r="I130" s="108">
        <v>8355</v>
      </c>
      <c r="J130" s="150">
        <v>0.40332175925925928</v>
      </c>
      <c r="K130" s="150">
        <v>0.40333333333333332</v>
      </c>
      <c r="L130" t="s">
        <v>165</v>
      </c>
      <c r="N130">
        <v>362355</v>
      </c>
      <c r="O130">
        <v>362355</v>
      </c>
      <c r="P130">
        <v>362335</v>
      </c>
      <c r="Q130">
        <v>997</v>
      </c>
      <c r="R130" t="s">
        <v>166</v>
      </c>
      <c r="S130">
        <v>0</v>
      </c>
      <c r="T130" t="s">
        <v>167</v>
      </c>
      <c r="U130">
        <v>362335</v>
      </c>
      <c r="W130" t="s">
        <v>168</v>
      </c>
      <c r="X130" t="s">
        <v>166</v>
      </c>
    </row>
    <row r="131" spans="1:24" x14ac:dyDescent="0.3">
      <c r="A131" s="7" t="s">
        <v>77</v>
      </c>
      <c r="B131" t="s">
        <v>78</v>
      </c>
      <c r="C131" t="s">
        <v>163</v>
      </c>
      <c r="D131" t="s">
        <v>164</v>
      </c>
      <c r="E131" s="108">
        <v>1000</v>
      </c>
      <c r="F131">
        <v>0</v>
      </c>
      <c r="G131">
        <v>1</v>
      </c>
      <c r="H131" s="108">
        <v>18500</v>
      </c>
      <c r="I131" s="108">
        <v>18500</v>
      </c>
      <c r="J131" s="150">
        <v>0.40339120370370374</v>
      </c>
      <c r="K131" s="150">
        <v>0.40339120370370374</v>
      </c>
      <c r="L131" t="s">
        <v>165</v>
      </c>
      <c r="N131">
        <v>363515</v>
      </c>
      <c r="O131">
        <v>363515</v>
      </c>
      <c r="P131">
        <v>363512</v>
      </c>
      <c r="Q131">
        <v>999</v>
      </c>
      <c r="R131" t="s">
        <v>166</v>
      </c>
      <c r="S131">
        <v>0</v>
      </c>
      <c r="T131" t="s">
        <v>167</v>
      </c>
      <c r="U131">
        <v>363512</v>
      </c>
      <c r="W131" t="s">
        <v>168</v>
      </c>
      <c r="X131" t="s">
        <v>166</v>
      </c>
    </row>
    <row r="132" spans="1:24" x14ac:dyDescent="0.3">
      <c r="A132" s="7" t="s">
        <v>100</v>
      </c>
      <c r="B132" t="s">
        <v>101</v>
      </c>
      <c r="C132" t="s">
        <v>169</v>
      </c>
      <c r="D132" t="s">
        <v>164</v>
      </c>
      <c r="E132" s="108">
        <v>1000</v>
      </c>
      <c r="F132">
        <v>0</v>
      </c>
      <c r="G132" s="108">
        <v>1000</v>
      </c>
      <c r="H132" s="108">
        <v>26440</v>
      </c>
      <c r="I132" s="108">
        <v>26440</v>
      </c>
      <c r="J132" s="150">
        <v>0.40342592592592591</v>
      </c>
      <c r="K132" s="150">
        <v>0.40342592592592591</v>
      </c>
      <c r="L132" t="s">
        <v>165</v>
      </c>
      <c r="N132">
        <v>363951</v>
      </c>
      <c r="O132">
        <v>363951</v>
      </c>
      <c r="P132">
        <v>363811</v>
      </c>
      <c r="Q132">
        <v>0</v>
      </c>
      <c r="R132" t="s">
        <v>166</v>
      </c>
      <c r="S132">
        <v>0</v>
      </c>
      <c r="T132" t="s">
        <v>167</v>
      </c>
      <c r="U132">
        <v>363811</v>
      </c>
      <c r="W132" t="s">
        <v>168</v>
      </c>
      <c r="X132" t="s">
        <v>166</v>
      </c>
    </row>
    <row r="133" spans="1:24" x14ac:dyDescent="0.3">
      <c r="A133" s="7" t="s">
        <v>65</v>
      </c>
      <c r="B133" t="s">
        <v>66</v>
      </c>
      <c r="C133" t="s">
        <v>169</v>
      </c>
      <c r="D133" t="s">
        <v>164</v>
      </c>
      <c r="E133" s="108">
        <v>1000</v>
      </c>
      <c r="F133">
        <v>0</v>
      </c>
      <c r="G133" s="108">
        <v>1000</v>
      </c>
      <c r="H133" s="108">
        <v>4985</v>
      </c>
      <c r="I133" s="108">
        <v>4985</v>
      </c>
      <c r="J133" s="150">
        <v>0.40357638888888886</v>
      </c>
      <c r="K133" s="150">
        <v>0.4039699074074074</v>
      </c>
      <c r="L133" t="s">
        <v>165</v>
      </c>
      <c r="N133">
        <v>366451</v>
      </c>
      <c r="O133">
        <v>366451</v>
      </c>
      <c r="P133">
        <v>366412</v>
      </c>
      <c r="Q133">
        <v>0</v>
      </c>
      <c r="R133" t="s">
        <v>166</v>
      </c>
      <c r="S133">
        <v>0</v>
      </c>
      <c r="T133" t="s">
        <v>167</v>
      </c>
      <c r="U133">
        <v>366412</v>
      </c>
      <c r="W133" t="s">
        <v>168</v>
      </c>
      <c r="X133" t="s">
        <v>166</v>
      </c>
    </row>
    <row r="134" spans="1:24" x14ac:dyDescent="0.3">
      <c r="A134" s="7" t="s">
        <v>73</v>
      </c>
      <c r="B134" t="s">
        <v>74</v>
      </c>
      <c r="C134" t="s">
        <v>169</v>
      </c>
      <c r="D134" t="s">
        <v>164</v>
      </c>
      <c r="E134" s="108">
        <v>1000</v>
      </c>
      <c r="F134">
        <v>0</v>
      </c>
      <c r="G134">
        <v>23</v>
      </c>
      <c r="H134" s="108">
        <v>22685</v>
      </c>
      <c r="I134" s="108">
        <v>22685</v>
      </c>
      <c r="J134" s="150">
        <v>0.40365740740740735</v>
      </c>
      <c r="K134" s="150">
        <v>0.4036689814814815</v>
      </c>
      <c r="L134" t="s">
        <v>165</v>
      </c>
      <c r="N134">
        <v>367735</v>
      </c>
      <c r="O134">
        <v>367735</v>
      </c>
      <c r="P134">
        <v>367698</v>
      </c>
      <c r="Q134">
        <v>977</v>
      </c>
      <c r="R134" t="s">
        <v>166</v>
      </c>
      <c r="S134">
        <v>0</v>
      </c>
      <c r="T134" t="s">
        <v>167</v>
      </c>
      <c r="U134">
        <v>367698</v>
      </c>
      <c r="W134" t="s">
        <v>168</v>
      </c>
      <c r="X134" t="s">
        <v>166</v>
      </c>
    </row>
    <row r="135" spans="1:24" x14ac:dyDescent="0.3">
      <c r="A135" s="7" t="s">
        <v>69</v>
      </c>
      <c r="B135" t="s">
        <v>70</v>
      </c>
      <c r="C135" t="s">
        <v>163</v>
      </c>
      <c r="D135" t="s">
        <v>164</v>
      </c>
      <c r="E135" s="108">
        <v>1000</v>
      </c>
      <c r="F135">
        <v>0</v>
      </c>
      <c r="G135">
        <v>2</v>
      </c>
      <c r="H135" s="108">
        <v>19235</v>
      </c>
      <c r="I135" s="108">
        <v>19235</v>
      </c>
      <c r="J135" s="150">
        <v>0.40391203703703704</v>
      </c>
      <c r="K135" s="150">
        <v>0.40392361111111108</v>
      </c>
      <c r="L135" t="s">
        <v>165</v>
      </c>
      <c r="N135">
        <v>371608</v>
      </c>
      <c r="O135">
        <v>371608</v>
      </c>
      <c r="P135">
        <v>371602</v>
      </c>
      <c r="Q135">
        <v>998</v>
      </c>
      <c r="R135" t="s">
        <v>166</v>
      </c>
      <c r="S135">
        <v>0</v>
      </c>
      <c r="T135" t="s">
        <v>167</v>
      </c>
      <c r="U135">
        <v>371602</v>
      </c>
      <c r="W135" t="s">
        <v>168</v>
      </c>
      <c r="X135" t="s">
        <v>166</v>
      </c>
    </row>
    <row r="136" spans="1:24" x14ac:dyDescent="0.3">
      <c r="A136" s="7" t="s">
        <v>67</v>
      </c>
      <c r="B136" t="s">
        <v>68</v>
      </c>
      <c r="C136" t="s">
        <v>169</v>
      </c>
      <c r="D136" t="s">
        <v>164</v>
      </c>
      <c r="E136" s="108">
        <v>1000</v>
      </c>
      <c r="F136">
        <v>0</v>
      </c>
      <c r="G136" s="108">
        <v>1000</v>
      </c>
      <c r="H136" s="108">
        <v>10490</v>
      </c>
      <c r="I136" s="108">
        <v>10490</v>
      </c>
      <c r="J136" s="150">
        <v>0.40395833333333336</v>
      </c>
      <c r="K136" s="150">
        <v>0.40395833333333336</v>
      </c>
      <c r="L136" t="s">
        <v>165</v>
      </c>
      <c r="N136">
        <v>372174</v>
      </c>
      <c r="O136">
        <v>372174</v>
      </c>
      <c r="P136">
        <v>372128</v>
      </c>
      <c r="Q136">
        <v>0</v>
      </c>
      <c r="R136" t="s">
        <v>166</v>
      </c>
      <c r="S136">
        <v>0</v>
      </c>
      <c r="T136" t="s">
        <v>167</v>
      </c>
      <c r="U136">
        <v>372128</v>
      </c>
      <c r="W136" t="s">
        <v>168</v>
      </c>
      <c r="X136" t="s">
        <v>166</v>
      </c>
    </row>
    <row r="137" spans="1:24" x14ac:dyDescent="0.3">
      <c r="A137" s="7" t="s">
        <v>79</v>
      </c>
      <c r="B137" t="s">
        <v>80</v>
      </c>
      <c r="C137" t="s">
        <v>169</v>
      </c>
      <c r="D137" t="s">
        <v>164</v>
      </c>
      <c r="E137" s="108">
        <v>1000</v>
      </c>
      <c r="F137">
        <v>0</v>
      </c>
      <c r="G137">
        <v>18</v>
      </c>
      <c r="H137" s="108">
        <v>38450</v>
      </c>
      <c r="I137" s="108">
        <v>38450</v>
      </c>
      <c r="J137" s="150">
        <v>0.40412037037037035</v>
      </c>
      <c r="K137" s="150">
        <v>0.40412037037037035</v>
      </c>
      <c r="L137" t="s">
        <v>165</v>
      </c>
      <c r="N137">
        <v>375117</v>
      </c>
      <c r="O137">
        <v>375117</v>
      </c>
      <c r="P137">
        <v>375101</v>
      </c>
      <c r="Q137">
        <v>982</v>
      </c>
      <c r="R137" t="s">
        <v>166</v>
      </c>
      <c r="S137">
        <v>0</v>
      </c>
      <c r="T137" t="s">
        <v>167</v>
      </c>
      <c r="U137">
        <v>375101</v>
      </c>
      <c r="W137" t="s">
        <v>168</v>
      </c>
      <c r="X137" t="s">
        <v>166</v>
      </c>
    </row>
    <row r="138" spans="1:24" x14ac:dyDescent="0.3">
      <c r="A138" s="7" t="s">
        <v>77</v>
      </c>
      <c r="B138" t="s">
        <v>78</v>
      </c>
      <c r="C138" t="s">
        <v>163</v>
      </c>
      <c r="D138" t="s">
        <v>164</v>
      </c>
      <c r="E138" s="108">
        <v>1000</v>
      </c>
      <c r="F138">
        <v>0</v>
      </c>
      <c r="G138">
        <v>1</v>
      </c>
      <c r="H138" s="108">
        <v>18535</v>
      </c>
      <c r="I138" s="108">
        <v>18535</v>
      </c>
      <c r="J138" s="150">
        <v>0.40425925925925926</v>
      </c>
      <c r="K138" s="150">
        <v>0.40427083333333336</v>
      </c>
      <c r="L138" t="s">
        <v>165</v>
      </c>
      <c r="N138">
        <v>377938</v>
      </c>
      <c r="O138">
        <v>377938</v>
      </c>
      <c r="P138">
        <v>377907</v>
      </c>
      <c r="Q138">
        <v>999</v>
      </c>
      <c r="R138" t="s">
        <v>166</v>
      </c>
      <c r="S138">
        <v>0</v>
      </c>
      <c r="T138" t="s">
        <v>167</v>
      </c>
      <c r="U138">
        <v>377907</v>
      </c>
      <c r="W138" t="s">
        <v>168</v>
      </c>
      <c r="X138" t="s">
        <v>166</v>
      </c>
    </row>
    <row r="139" spans="1:24" x14ac:dyDescent="0.3">
      <c r="A139" s="7" t="s">
        <v>100</v>
      </c>
      <c r="B139" t="s">
        <v>101</v>
      </c>
      <c r="C139" t="s">
        <v>169</v>
      </c>
      <c r="D139" t="s">
        <v>164</v>
      </c>
      <c r="E139" s="108">
        <v>1000</v>
      </c>
      <c r="F139">
        <v>0</v>
      </c>
      <c r="G139" s="108">
        <v>1000</v>
      </c>
      <c r="H139" s="108">
        <v>26445</v>
      </c>
      <c r="I139" s="108">
        <v>26445</v>
      </c>
      <c r="J139" s="150">
        <v>0.40434027777777781</v>
      </c>
      <c r="K139" s="150">
        <v>0.40437499999999998</v>
      </c>
      <c r="L139" t="s">
        <v>165</v>
      </c>
      <c r="N139">
        <v>379391</v>
      </c>
      <c r="O139">
        <v>379391</v>
      </c>
      <c r="P139">
        <v>379273</v>
      </c>
      <c r="Q139">
        <v>0</v>
      </c>
      <c r="R139" t="s">
        <v>166</v>
      </c>
      <c r="S139">
        <v>0</v>
      </c>
      <c r="T139" t="s">
        <v>167</v>
      </c>
      <c r="U139">
        <v>379273</v>
      </c>
      <c r="W139" t="s">
        <v>168</v>
      </c>
      <c r="X139" t="s">
        <v>166</v>
      </c>
    </row>
    <row r="140" spans="1:24" x14ac:dyDescent="0.3">
      <c r="A140" s="7" t="s">
        <v>138</v>
      </c>
      <c r="B140" t="s">
        <v>171</v>
      </c>
      <c r="C140" t="s">
        <v>163</v>
      </c>
      <c r="D140" t="s">
        <v>164</v>
      </c>
      <c r="E140" s="108">
        <v>1000</v>
      </c>
      <c r="F140">
        <v>0</v>
      </c>
      <c r="G140">
        <v>2</v>
      </c>
      <c r="H140" s="108">
        <v>9105</v>
      </c>
      <c r="I140" s="108">
        <v>9105</v>
      </c>
      <c r="J140" s="150">
        <v>0.40504629629629635</v>
      </c>
      <c r="K140" s="150">
        <v>0.40506944444444443</v>
      </c>
      <c r="L140" t="s">
        <v>165</v>
      </c>
      <c r="N140">
        <v>390895</v>
      </c>
      <c r="O140">
        <v>390895</v>
      </c>
      <c r="P140">
        <v>389816</v>
      </c>
      <c r="Q140">
        <v>998</v>
      </c>
      <c r="R140" t="s">
        <v>166</v>
      </c>
      <c r="S140">
        <v>0</v>
      </c>
      <c r="T140" t="s">
        <v>167</v>
      </c>
      <c r="U140">
        <v>389816</v>
      </c>
      <c r="W140" t="s">
        <v>168</v>
      </c>
      <c r="X140" t="s">
        <v>166</v>
      </c>
    </row>
    <row r="141" spans="1:24" x14ac:dyDescent="0.3">
      <c r="A141" s="7" t="s">
        <v>69</v>
      </c>
      <c r="B141" t="s">
        <v>70</v>
      </c>
      <c r="C141" t="s">
        <v>163</v>
      </c>
      <c r="D141" t="s">
        <v>164</v>
      </c>
      <c r="E141" s="108">
        <v>1000</v>
      </c>
      <c r="F141">
        <v>0</v>
      </c>
      <c r="G141">
        <v>1</v>
      </c>
      <c r="H141" s="108">
        <v>19250</v>
      </c>
      <c r="I141" s="108">
        <v>19250</v>
      </c>
      <c r="J141" s="150">
        <v>0.4052546296296296</v>
      </c>
      <c r="K141" s="150">
        <v>0.4052546296296296</v>
      </c>
      <c r="L141" t="s">
        <v>165</v>
      </c>
      <c r="N141">
        <v>394778</v>
      </c>
      <c r="O141">
        <v>394778</v>
      </c>
      <c r="P141">
        <v>394724</v>
      </c>
      <c r="Q141">
        <v>999</v>
      </c>
      <c r="R141" t="s">
        <v>166</v>
      </c>
      <c r="S141">
        <v>0</v>
      </c>
      <c r="T141" t="s">
        <v>167</v>
      </c>
      <c r="U141">
        <v>394724</v>
      </c>
      <c r="W141" t="s">
        <v>168</v>
      </c>
      <c r="X141" t="s">
        <v>166</v>
      </c>
    </row>
    <row r="142" spans="1:24" x14ac:dyDescent="0.3">
      <c r="A142" s="7" t="s">
        <v>100</v>
      </c>
      <c r="B142" t="s">
        <v>101</v>
      </c>
      <c r="C142" t="s">
        <v>169</v>
      </c>
      <c r="D142" t="s">
        <v>164</v>
      </c>
      <c r="E142" s="108">
        <v>1000</v>
      </c>
      <c r="F142">
        <v>0</v>
      </c>
      <c r="G142" s="108">
        <v>1000</v>
      </c>
      <c r="H142" s="108">
        <v>26450</v>
      </c>
      <c r="I142" s="108">
        <v>26450</v>
      </c>
      <c r="J142" s="150">
        <v>0.40527777777777779</v>
      </c>
      <c r="K142" s="150">
        <v>0.40527777777777779</v>
      </c>
      <c r="L142" t="s">
        <v>165</v>
      </c>
      <c r="N142">
        <v>395322</v>
      </c>
      <c r="O142">
        <v>395322</v>
      </c>
      <c r="P142">
        <v>395269</v>
      </c>
      <c r="Q142">
        <v>0</v>
      </c>
      <c r="R142" t="s">
        <v>166</v>
      </c>
      <c r="S142">
        <v>0</v>
      </c>
      <c r="T142" t="s">
        <v>167</v>
      </c>
      <c r="U142">
        <v>395269</v>
      </c>
      <c r="W142" t="s">
        <v>168</v>
      </c>
      <c r="X142" t="s">
        <v>166</v>
      </c>
    </row>
    <row r="143" spans="1:24" x14ac:dyDescent="0.3">
      <c r="A143" s="7" t="s">
        <v>108</v>
      </c>
      <c r="B143" t="s">
        <v>172</v>
      </c>
      <c r="C143" t="s">
        <v>169</v>
      </c>
      <c r="D143" t="s">
        <v>164</v>
      </c>
      <c r="E143">
        <v>500</v>
      </c>
      <c r="F143">
        <v>0</v>
      </c>
      <c r="G143">
        <v>93</v>
      </c>
      <c r="H143" s="108">
        <v>52140</v>
      </c>
      <c r="I143" s="108">
        <v>52140</v>
      </c>
      <c r="J143" s="150">
        <v>0.40528935185185189</v>
      </c>
      <c r="K143" s="150">
        <v>0.40528935185185189</v>
      </c>
      <c r="L143" t="s">
        <v>165</v>
      </c>
      <c r="N143">
        <v>395544</v>
      </c>
      <c r="O143">
        <v>395544</v>
      </c>
      <c r="P143">
        <v>395539</v>
      </c>
      <c r="Q143">
        <v>407</v>
      </c>
      <c r="R143" t="s">
        <v>166</v>
      </c>
      <c r="S143">
        <v>0</v>
      </c>
      <c r="T143" t="s">
        <v>167</v>
      </c>
      <c r="U143">
        <v>395539</v>
      </c>
      <c r="W143" t="s">
        <v>168</v>
      </c>
      <c r="X143" t="s">
        <v>166</v>
      </c>
    </row>
    <row r="144" spans="1:24" x14ac:dyDescent="0.3">
      <c r="A144" s="7" t="s">
        <v>67</v>
      </c>
      <c r="B144" t="s">
        <v>68</v>
      </c>
      <c r="C144" t="s">
        <v>163</v>
      </c>
      <c r="D144" t="s">
        <v>164</v>
      </c>
      <c r="E144" s="108">
        <v>1000</v>
      </c>
      <c r="F144">
        <v>0</v>
      </c>
      <c r="G144" s="108">
        <v>1000</v>
      </c>
      <c r="H144" s="108">
        <v>10480</v>
      </c>
      <c r="I144" s="108">
        <v>10480</v>
      </c>
      <c r="J144" s="150">
        <v>0.40534722222222225</v>
      </c>
      <c r="K144" s="150">
        <v>0.40534722222222225</v>
      </c>
      <c r="L144" t="s">
        <v>165</v>
      </c>
      <c r="N144">
        <v>396748</v>
      </c>
      <c r="O144">
        <v>396748</v>
      </c>
      <c r="P144">
        <v>396714</v>
      </c>
      <c r="Q144">
        <v>0</v>
      </c>
      <c r="R144" t="s">
        <v>166</v>
      </c>
      <c r="S144">
        <v>0</v>
      </c>
      <c r="T144" t="s">
        <v>167</v>
      </c>
      <c r="U144">
        <v>396714</v>
      </c>
      <c r="W144" t="s">
        <v>168</v>
      </c>
      <c r="X144" t="s">
        <v>166</v>
      </c>
    </row>
    <row r="145" spans="1:24" x14ac:dyDescent="0.3">
      <c r="A145" s="7" t="s">
        <v>104</v>
      </c>
      <c r="B145" t="s">
        <v>105</v>
      </c>
      <c r="C145" t="s">
        <v>163</v>
      </c>
      <c r="D145" t="s">
        <v>164</v>
      </c>
      <c r="E145" s="108">
        <v>1000</v>
      </c>
      <c r="F145">
        <v>0</v>
      </c>
      <c r="G145">
        <v>1</v>
      </c>
      <c r="H145" s="108">
        <v>3765</v>
      </c>
      <c r="I145" s="108">
        <v>3765</v>
      </c>
      <c r="J145" s="150">
        <v>0.40552083333333333</v>
      </c>
      <c r="K145" s="150">
        <v>0.40553240740740742</v>
      </c>
      <c r="L145" t="s">
        <v>165</v>
      </c>
      <c r="N145">
        <v>400471</v>
      </c>
      <c r="O145">
        <v>400471</v>
      </c>
      <c r="P145">
        <v>400121</v>
      </c>
      <c r="Q145">
        <v>999</v>
      </c>
      <c r="R145" t="s">
        <v>166</v>
      </c>
      <c r="S145">
        <v>0</v>
      </c>
      <c r="T145" t="s">
        <v>167</v>
      </c>
      <c r="U145">
        <v>400121</v>
      </c>
      <c r="W145" t="s">
        <v>168</v>
      </c>
      <c r="X145" t="s">
        <v>166</v>
      </c>
    </row>
    <row r="146" spans="1:24" x14ac:dyDescent="0.3">
      <c r="A146" s="7" t="s">
        <v>71</v>
      </c>
      <c r="B146" t="s">
        <v>72</v>
      </c>
      <c r="C146" t="s">
        <v>169</v>
      </c>
      <c r="D146" t="s">
        <v>164</v>
      </c>
      <c r="E146" s="108">
        <v>1000</v>
      </c>
      <c r="F146">
        <v>0</v>
      </c>
      <c r="G146" s="108">
        <v>1000</v>
      </c>
      <c r="H146" s="108">
        <v>18760</v>
      </c>
      <c r="I146" s="108">
        <v>18760</v>
      </c>
      <c r="J146" s="150">
        <v>0.40577546296296302</v>
      </c>
      <c r="K146" s="150">
        <v>0.40577546296296302</v>
      </c>
      <c r="L146" t="s">
        <v>165</v>
      </c>
      <c r="N146">
        <v>405137</v>
      </c>
      <c r="O146">
        <v>405137</v>
      </c>
      <c r="P146">
        <v>405104</v>
      </c>
      <c r="Q146">
        <v>0</v>
      </c>
      <c r="R146" t="s">
        <v>166</v>
      </c>
      <c r="S146">
        <v>0</v>
      </c>
      <c r="T146" t="s">
        <v>167</v>
      </c>
      <c r="U146">
        <v>405104</v>
      </c>
      <c r="W146" t="s">
        <v>168</v>
      </c>
      <c r="X146" t="s">
        <v>166</v>
      </c>
    </row>
    <row r="147" spans="1:24" x14ac:dyDescent="0.3">
      <c r="A147" s="7" t="s">
        <v>69</v>
      </c>
      <c r="B147" t="s">
        <v>70</v>
      </c>
      <c r="C147" t="s">
        <v>163</v>
      </c>
      <c r="D147" t="s">
        <v>170</v>
      </c>
      <c r="E147" s="108">
        <v>1000</v>
      </c>
      <c r="F147">
        <v>0</v>
      </c>
      <c r="G147">
        <v>787</v>
      </c>
      <c r="H147" s="108">
        <v>19260</v>
      </c>
      <c r="I147" s="108">
        <v>19260</v>
      </c>
      <c r="J147" s="150">
        <v>0.4059490740740741</v>
      </c>
      <c r="K147" s="150">
        <v>0.40596064814814814</v>
      </c>
      <c r="L147" t="s">
        <v>165</v>
      </c>
      <c r="N147">
        <v>408287</v>
      </c>
      <c r="O147">
        <v>408287</v>
      </c>
      <c r="P147">
        <v>0</v>
      </c>
      <c r="Q147">
        <v>213</v>
      </c>
      <c r="R147" t="s">
        <v>166</v>
      </c>
      <c r="S147">
        <v>0</v>
      </c>
      <c r="T147" t="s">
        <v>167</v>
      </c>
      <c r="U147">
        <v>0</v>
      </c>
      <c r="W147" t="s">
        <v>168</v>
      </c>
      <c r="X147" t="s">
        <v>166</v>
      </c>
    </row>
    <row r="148" spans="1:24" x14ac:dyDescent="0.3">
      <c r="A148" s="7" t="s">
        <v>100</v>
      </c>
      <c r="B148" t="s">
        <v>101</v>
      </c>
      <c r="C148" t="s">
        <v>169</v>
      </c>
      <c r="D148" t="s">
        <v>164</v>
      </c>
      <c r="E148" s="108">
        <v>1000</v>
      </c>
      <c r="F148">
        <v>0</v>
      </c>
      <c r="G148" s="108">
        <v>1000</v>
      </c>
      <c r="H148" s="108">
        <v>26420</v>
      </c>
      <c r="I148" s="108">
        <v>26420</v>
      </c>
      <c r="J148" s="150">
        <v>0.40597222222222223</v>
      </c>
      <c r="K148" s="150">
        <v>0.40597222222222223</v>
      </c>
      <c r="L148" t="s">
        <v>165</v>
      </c>
      <c r="N148">
        <v>409022</v>
      </c>
      <c r="O148">
        <v>409022</v>
      </c>
      <c r="P148">
        <v>408898</v>
      </c>
      <c r="Q148">
        <v>0</v>
      </c>
      <c r="R148" t="s">
        <v>166</v>
      </c>
      <c r="S148">
        <v>0</v>
      </c>
      <c r="T148" t="s">
        <v>167</v>
      </c>
      <c r="U148">
        <v>408898</v>
      </c>
      <c r="W148" t="s">
        <v>168</v>
      </c>
      <c r="X148" t="s">
        <v>166</v>
      </c>
    </row>
    <row r="149" spans="1:24" x14ac:dyDescent="0.3">
      <c r="A149" s="7" t="s">
        <v>77</v>
      </c>
      <c r="B149" t="s">
        <v>78</v>
      </c>
      <c r="C149" t="s">
        <v>169</v>
      </c>
      <c r="D149" t="s">
        <v>164</v>
      </c>
      <c r="E149" s="108">
        <v>1000</v>
      </c>
      <c r="F149">
        <v>0</v>
      </c>
      <c r="G149" s="108">
        <v>1000</v>
      </c>
      <c r="H149" s="108">
        <v>18330</v>
      </c>
      <c r="I149" s="108">
        <v>18330</v>
      </c>
      <c r="J149" s="150">
        <v>0.40597222222222223</v>
      </c>
      <c r="K149" s="150">
        <v>0.40598379629629627</v>
      </c>
      <c r="L149" t="s">
        <v>165</v>
      </c>
      <c r="N149">
        <v>409155</v>
      </c>
      <c r="O149">
        <v>409155</v>
      </c>
      <c r="P149">
        <v>409125</v>
      </c>
      <c r="Q149">
        <v>0</v>
      </c>
      <c r="R149" t="s">
        <v>166</v>
      </c>
      <c r="S149">
        <v>0</v>
      </c>
      <c r="T149" t="s">
        <v>167</v>
      </c>
      <c r="U149">
        <v>409125</v>
      </c>
      <c r="W149" t="s">
        <v>168</v>
      </c>
      <c r="X149" t="s">
        <v>166</v>
      </c>
    </row>
    <row r="150" spans="1:24" x14ac:dyDescent="0.3">
      <c r="A150" s="7" t="s">
        <v>73</v>
      </c>
      <c r="B150" t="s">
        <v>74</v>
      </c>
      <c r="C150" t="s">
        <v>169</v>
      </c>
      <c r="D150" t="s">
        <v>164</v>
      </c>
      <c r="E150" s="108">
        <v>1000</v>
      </c>
      <c r="F150">
        <v>0</v>
      </c>
      <c r="G150" s="108">
        <v>1000</v>
      </c>
      <c r="H150" s="108">
        <v>22680</v>
      </c>
      <c r="I150" s="108">
        <v>22680</v>
      </c>
      <c r="J150" s="150">
        <v>0.40598379629629627</v>
      </c>
      <c r="K150" s="150">
        <v>0.40599537037037042</v>
      </c>
      <c r="L150" t="s">
        <v>165</v>
      </c>
      <c r="N150">
        <v>409320</v>
      </c>
      <c r="O150">
        <v>409320</v>
      </c>
      <c r="P150">
        <v>408719</v>
      </c>
      <c r="Q150">
        <v>0</v>
      </c>
      <c r="R150" t="s">
        <v>166</v>
      </c>
      <c r="S150">
        <v>0</v>
      </c>
      <c r="T150" t="s">
        <v>167</v>
      </c>
      <c r="U150">
        <v>408719</v>
      </c>
      <c r="W150" t="s">
        <v>168</v>
      </c>
      <c r="X150" t="s">
        <v>166</v>
      </c>
    </row>
    <row r="151" spans="1:24" x14ac:dyDescent="0.3">
      <c r="A151" s="7" t="s">
        <v>98</v>
      </c>
      <c r="B151" t="s">
        <v>99</v>
      </c>
      <c r="C151" t="s">
        <v>169</v>
      </c>
      <c r="D151" t="s">
        <v>164</v>
      </c>
      <c r="E151" s="108">
        <v>1000</v>
      </c>
      <c r="F151">
        <v>0</v>
      </c>
      <c r="G151" s="108">
        <v>1000</v>
      </c>
      <c r="H151" s="108">
        <v>15560</v>
      </c>
      <c r="I151" s="108">
        <v>15560</v>
      </c>
      <c r="J151" s="150">
        <v>0.40625</v>
      </c>
      <c r="K151" s="150">
        <v>0.40627314814814813</v>
      </c>
      <c r="L151" t="s">
        <v>165</v>
      </c>
      <c r="N151">
        <v>414197</v>
      </c>
      <c r="O151">
        <v>414197</v>
      </c>
      <c r="P151">
        <v>413594</v>
      </c>
      <c r="Q151">
        <v>0</v>
      </c>
      <c r="R151" t="s">
        <v>166</v>
      </c>
      <c r="S151">
        <v>0</v>
      </c>
      <c r="T151" t="s">
        <v>167</v>
      </c>
      <c r="U151">
        <v>413594</v>
      </c>
      <c r="W151" t="s">
        <v>168</v>
      </c>
      <c r="X151" t="s">
        <v>166</v>
      </c>
    </row>
    <row r="152" spans="1:24" x14ac:dyDescent="0.3">
      <c r="A152" s="7" t="s">
        <v>112</v>
      </c>
      <c r="B152" t="s">
        <v>113</v>
      </c>
      <c r="C152" t="s">
        <v>169</v>
      </c>
      <c r="D152" t="s">
        <v>164</v>
      </c>
      <c r="E152" s="108">
        <v>1000</v>
      </c>
      <c r="F152">
        <v>0</v>
      </c>
      <c r="G152">
        <v>111</v>
      </c>
      <c r="H152" s="108">
        <v>56040</v>
      </c>
      <c r="I152" s="108">
        <v>56040</v>
      </c>
      <c r="J152" s="150">
        <v>0.40631944444444446</v>
      </c>
      <c r="K152" s="150">
        <v>0.40631944444444446</v>
      </c>
      <c r="L152" t="s">
        <v>165</v>
      </c>
      <c r="N152">
        <v>415377</v>
      </c>
      <c r="O152">
        <v>415377</v>
      </c>
      <c r="P152">
        <v>415363</v>
      </c>
      <c r="Q152">
        <v>889</v>
      </c>
      <c r="R152" t="s">
        <v>166</v>
      </c>
      <c r="S152">
        <v>0</v>
      </c>
      <c r="T152" t="s">
        <v>167</v>
      </c>
      <c r="U152">
        <v>415363</v>
      </c>
      <c r="W152" t="s">
        <v>168</v>
      </c>
      <c r="X152" t="s">
        <v>166</v>
      </c>
    </row>
    <row r="153" spans="1:24" x14ac:dyDescent="0.3">
      <c r="A153" s="7" t="s">
        <v>100</v>
      </c>
      <c r="B153" t="s">
        <v>101</v>
      </c>
      <c r="C153" t="s">
        <v>169</v>
      </c>
      <c r="D153" t="s">
        <v>164</v>
      </c>
      <c r="E153" s="108">
        <v>1000</v>
      </c>
      <c r="F153">
        <v>0</v>
      </c>
      <c r="G153">
        <v>77</v>
      </c>
      <c r="H153" s="108">
        <v>26385</v>
      </c>
      <c r="I153" s="108">
        <v>26385</v>
      </c>
      <c r="J153" s="150">
        <v>0.40673611111111113</v>
      </c>
      <c r="K153" s="150">
        <v>0.40675925925925926</v>
      </c>
      <c r="L153" t="s">
        <v>165</v>
      </c>
      <c r="N153">
        <v>424997</v>
      </c>
      <c r="O153">
        <v>424997</v>
      </c>
      <c r="P153">
        <v>424815</v>
      </c>
      <c r="Q153">
        <v>923</v>
      </c>
      <c r="R153" t="s">
        <v>166</v>
      </c>
      <c r="S153">
        <v>0</v>
      </c>
      <c r="T153" t="s">
        <v>167</v>
      </c>
      <c r="U153">
        <v>424815</v>
      </c>
      <c r="W153" t="s">
        <v>168</v>
      </c>
      <c r="X153" t="s">
        <v>166</v>
      </c>
    </row>
    <row r="154" spans="1:24" x14ac:dyDescent="0.3">
      <c r="A154" s="7" t="s">
        <v>102</v>
      </c>
      <c r="B154" t="s">
        <v>103</v>
      </c>
      <c r="C154" t="s">
        <v>163</v>
      </c>
      <c r="D154" t="s">
        <v>164</v>
      </c>
      <c r="E154" s="108">
        <v>1000</v>
      </c>
      <c r="F154">
        <v>0</v>
      </c>
      <c r="G154">
        <v>29</v>
      </c>
      <c r="H154" s="108">
        <v>8260</v>
      </c>
      <c r="I154" s="108">
        <v>8260</v>
      </c>
      <c r="J154" s="150">
        <v>0.40686342592592589</v>
      </c>
      <c r="K154" s="150">
        <v>0.40686342592592589</v>
      </c>
      <c r="L154" t="s">
        <v>165</v>
      </c>
      <c r="N154">
        <v>427597</v>
      </c>
      <c r="O154">
        <v>427597</v>
      </c>
      <c r="P154">
        <v>427588</v>
      </c>
      <c r="Q154">
        <v>971</v>
      </c>
      <c r="R154" t="s">
        <v>166</v>
      </c>
      <c r="S154">
        <v>0</v>
      </c>
      <c r="T154" t="s">
        <v>167</v>
      </c>
      <c r="U154">
        <v>427588</v>
      </c>
      <c r="W154" t="s">
        <v>168</v>
      </c>
      <c r="X154" t="s">
        <v>166</v>
      </c>
    </row>
    <row r="155" spans="1:24" x14ac:dyDescent="0.3">
      <c r="A155" s="7" t="s">
        <v>79</v>
      </c>
      <c r="B155" t="s">
        <v>80</v>
      </c>
      <c r="C155" t="s">
        <v>169</v>
      </c>
      <c r="D155" t="s">
        <v>164</v>
      </c>
      <c r="E155" s="108">
        <v>1000</v>
      </c>
      <c r="F155">
        <v>0</v>
      </c>
      <c r="G155">
        <v>15</v>
      </c>
      <c r="H155" s="108">
        <v>38305</v>
      </c>
      <c r="I155" s="108">
        <v>38305</v>
      </c>
      <c r="J155" s="150">
        <v>0.40733796296296299</v>
      </c>
      <c r="K155" s="150">
        <v>0.40733796296296299</v>
      </c>
      <c r="L155" t="s">
        <v>165</v>
      </c>
      <c r="N155">
        <v>439080</v>
      </c>
      <c r="O155">
        <v>439080</v>
      </c>
      <c r="P155">
        <v>439071</v>
      </c>
      <c r="Q155">
        <v>985</v>
      </c>
      <c r="R155" t="s">
        <v>166</v>
      </c>
      <c r="S155">
        <v>0</v>
      </c>
      <c r="T155" t="s">
        <v>167</v>
      </c>
      <c r="U155">
        <v>439071</v>
      </c>
      <c r="W155" t="s">
        <v>168</v>
      </c>
      <c r="X155" t="s">
        <v>166</v>
      </c>
    </row>
    <row r="156" spans="1:24" x14ac:dyDescent="0.3">
      <c r="A156" s="7" t="s">
        <v>116</v>
      </c>
      <c r="B156" t="s">
        <v>117</v>
      </c>
      <c r="C156" t="s">
        <v>169</v>
      </c>
      <c r="D156" t="s">
        <v>164</v>
      </c>
      <c r="E156" s="108">
        <v>1000</v>
      </c>
      <c r="F156">
        <v>0</v>
      </c>
      <c r="G156">
        <v>58</v>
      </c>
      <c r="H156" s="108">
        <v>13085</v>
      </c>
      <c r="I156" s="108">
        <v>13085</v>
      </c>
      <c r="J156" s="150">
        <v>0.40736111111111112</v>
      </c>
      <c r="K156" s="150">
        <v>0.40737268518518516</v>
      </c>
      <c r="L156" t="s">
        <v>165</v>
      </c>
      <c r="N156">
        <v>439503</v>
      </c>
      <c r="O156">
        <v>439503</v>
      </c>
      <c r="P156">
        <v>439434</v>
      </c>
      <c r="Q156">
        <v>942</v>
      </c>
      <c r="R156" t="s">
        <v>166</v>
      </c>
      <c r="S156">
        <v>0</v>
      </c>
      <c r="T156" t="s">
        <v>167</v>
      </c>
      <c r="U156">
        <v>439434</v>
      </c>
      <c r="W156" t="s">
        <v>168</v>
      </c>
      <c r="X156" t="s">
        <v>166</v>
      </c>
    </row>
    <row r="157" spans="1:24" x14ac:dyDescent="0.3">
      <c r="A157" s="7" t="s">
        <v>100</v>
      </c>
      <c r="B157" t="s">
        <v>101</v>
      </c>
      <c r="C157" t="s">
        <v>169</v>
      </c>
      <c r="D157" t="s">
        <v>170</v>
      </c>
      <c r="E157" s="108">
        <v>1000</v>
      </c>
      <c r="F157">
        <v>0</v>
      </c>
      <c r="G157">
        <v>947</v>
      </c>
      <c r="H157" s="108">
        <v>26400</v>
      </c>
      <c r="I157" s="108">
        <v>26400</v>
      </c>
      <c r="J157" s="150">
        <v>0.40745370370370365</v>
      </c>
      <c r="K157" s="150">
        <v>0.40745370370370365</v>
      </c>
      <c r="L157" t="s">
        <v>165</v>
      </c>
      <c r="N157">
        <v>441326</v>
      </c>
      <c r="O157">
        <v>441326</v>
      </c>
      <c r="P157">
        <v>0</v>
      </c>
      <c r="Q157">
        <v>53</v>
      </c>
      <c r="R157" t="s">
        <v>166</v>
      </c>
      <c r="S157">
        <v>0</v>
      </c>
      <c r="T157" t="s">
        <v>167</v>
      </c>
      <c r="U157">
        <v>0</v>
      </c>
      <c r="W157" t="s">
        <v>168</v>
      </c>
      <c r="X157" t="s">
        <v>166</v>
      </c>
    </row>
    <row r="158" spans="1:24" x14ac:dyDescent="0.3">
      <c r="A158" s="7" t="s">
        <v>112</v>
      </c>
      <c r="B158" t="s">
        <v>113</v>
      </c>
      <c r="C158" t="s">
        <v>163</v>
      </c>
      <c r="D158" t="s">
        <v>164</v>
      </c>
      <c r="E158" s="108">
        <v>1000</v>
      </c>
      <c r="F158">
        <v>0</v>
      </c>
      <c r="G158">
        <v>219</v>
      </c>
      <c r="H158" s="108">
        <v>55905</v>
      </c>
      <c r="I158" s="108">
        <v>55905</v>
      </c>
      <c r="J158" s="150">
        <v>0.40745370370370365</v>
      </c>
      <c r="K158" s="150">
        <v>0.4074652777777778</v>
      </c>
      <c r="L158" t="s">
        <v>165</v>
      </c>
      <c r="N158">
        <v>441524</v>
      </c>
      <c r="O158">
        <v>441524</v>
      </c>
      <c r="P158">
        <v>441478</v>
      </c>
      <c r="Q158">
        <v>781</v>
      </c>
      <c r="R158" t="s">
        <v>166</v>
      </c>
      <c r="S158">
        <v>0</v>
      </c>
      <c r="T158" t="s">
        <v>167</v>
      </c>
      <c r="U158">
        <v>441478</v>
      </c>
      <c r="W158" t="s">
        <v>168</v>
      </c>
      <c r="X158" t="s">
        <v>166</v>
      </c>
    </row>
    <row r="159" spans="1:24" x14ac:dyDescent="0.3">
      <c r="A159" s="7" t="s">
        <v>67</v>
      </c>
      <c r="B159" t="s">
        <v>68</v>
      </c>
      <c r="C159" t="s">
        <v>169</v>
      </c>
      <c r="D159" t="s">
        <v>164</v>
      </c>
      <c r="E159" s="108">
        <v>1000</v>
      </c>
      <c r="F159">
        <v>0</v>
      </c>
      <c r="G159" s="108">
        <v>1000</v>
      </c>
      <c r="H159" s="108">
        <v>10490</v>
      </c>
      <c r="I159" s="108">
        <v>10490</v>
      </c>
      <c r="J159" s="150">
        <v>0.4075462962962963</v>
      </c>
      <c r="K159" s="150">
        <v>0.40758101851851852</v>
      </c>
      <c r="L159" t="s">
        <v>165</v>
      </c>
      <c r="N159">
        <v>443228</v>
      </c>
      <c r="O159">
        <v>443228</v>
      </c>
      <c r="P159">
        <v>443059</v>
      </c>
      <c r="Q159">
        <v>0</v>
      </c>
      <c r="R159" t="s">
        <v>166</v>
      </c>
      <c r="S159">
        <v>0</v>
      </c>
      <c r="T159" t="s">
        <v>167</v>
      </c>
      <c r="U159">
        <v>443059</v>
      </c>
      <c r="W159" t="s">
        <v>168</v>
      </c>
      <c r="X159" t="s">
        <v>166</v>
      </c>
    </row>
    <row r="160" spans="1:24" x14ac:dyDescent="0.3">
      <c r="A160" s="7" t="s">
        <v>69</v>
      </c>
      <c r="B160" t="s">
        <v>70</v>
      </c>
      <c r="C160" t="s">
        <v>163</v>
      </c>
      <c r="D160" t="s">
        <v>164</v>
      </c>
      <c r="E160" s="108">
        <v>1000</v>
      </c>
      <c r="F160">
        <v>0</v>
      </c>
      <c r="G160">
        <v>14</v>
      </c>
      <c r="H160" s="108">
        <v>19185</v>
      </c>
      <c r="I160" s="108">
        <v>19185</v>
      </c>
      <c r="J160" s="150">
        <v>0.40759259259259256</v>
      </c>
      <c r="K160" s="150">
        <v>0.40759259259259256</v>
      </c>
      <c r="L160" t="s">
        <v>165</v>
      </c>
      <c r="N160">
        <v>444003</v>
      </c>
      <c r="O160">
        <v>444003</v>
      </c>
      <c r="P160">
        <v>443836</v>
      </c>
      <c r="Q160">
        <v>986</v>
      </c>
      <c r="R160" t="s">
        <v>166</v>
      </c>
      <c r="S160">
        <v>0</v>
      </c>
      <c r="T160" t="s">
        <v>167</v>
      </c>
      <c r="U160">
        <v>443836</v>
      </c>
      <c r="W160" t="s">
        <v>168</v>
      </c>
      <c r="X160" t="s">
        <v>166</v>
      </c>
    </row>
    <row r="161" spans="1:24" x14ac:dyDescent="0.3">
      <c r="A161" s="7" t="s">
        <v>60</v>
      </c>
      <c r="B161" t="s">
        <v>61</v>
      </c>
      <c r="C161" t="s">
        <v>163</v>
      </c>
      <c r="D161" t="s">
        <v>164</v>
      </c>
      <c r="E161">
        <v>500</v>
      </c>
      <c r="F161">
        <v>0</v>
      </c>
      <c r="G161">
        <v>500</v>
      </c>
      <c r="H161" s="108">
        <v>35765</v>
      </c>
      <c r="I161" s="108">
        <v>35765</v>
      </c>
      <c r="J161" s="150">
        <v>0.40763888888888888</v>
      </c>
      <c r="K161" s="150">
        <v>0.40765046296296298</v>
      </c>
      <c r="L161" t="s">
        <v>165</v>
      </c>
      <c r="N161">
        <v>444951</v>
      </c>
      <c r="O161">
        <v>444951</v>
      </c>
      <c r="P161">
        <v>444937</v>
      </c>
      <c r="Q161">
        <v>0</v>
      </c>
      <c r="R161" t="s">
        <v>166</v>
      </c>
      <c r="S161">
        <v>0</v>
      </c>
      <c r="T161" t="s">
        <v>167</v>
      </c>
      <c r="U161">
        <v>444937</v>
      </c>
      <c r="W161" t="s">
        <v>168</v>
      </c>
      <c r="X161" t="s">
        <v>166</v>
      </c>
    </row>
    <row r="162" spans="1:24" x14ac:dyDescent="0.3">
      <c r="A162" s="7" t="s">
        <v>96</v>
      </c>
      <c r="B162" t="s">
        <v>97</v>
      </c>
      <c r="C162" t="s">
        <v>163</v>
      </c>
      <c r="D162" t="s">
        <v>164</v>
      </c>
      <c r="E162" s="108">
        <v>1000</v>
      </c>
      <c r="F162">
        <v>0</v>
      </c>
      <c r="G162">
        <v>979</v>
      </c>
      <c r="H162" s="108">
        <v>14140</v>
      </c>
      <c r="I162" s="108">
        <v>14140</v>
      </c>
      <c r="J162" s="150">
        <v>0.40769675925925924</v>
      </c>
      <c r="K162" s="150">
        <v>0.40769675925925924</v>
      </c>
      <c r="L162" t="s">
        <v>165</v>
      </c>
      <c r="N162">
        <v>445677</v>
      </c>
      <c r="O162">
        <v>445677</v>
      </c>
      <c r="P162">
        <v>445662</v>
      </c>
      <c r="Q162">
        <v>21</v>
      </c>
      <c r="R162" t="s">
        <v>166</v>
      </c>
      <c r="S162">
        <v>0</v>
      </c>
      <c r="T162" t="s">
        <v>167</v>
      </c>
      <c r="U162">
        <v>445662</v>
      </c>
      <c r="W162" t="s">
        <v>168</v>
      </c>
      <c r="X162" t="s">
        <v>166</v>
      </c>
    </row>
    <row r="163" spans="1:24" x14ac:dyDescent="0.3">
      <c r="A163" s="7" t="s">
        <v>96</v>
      </c>
      <c r="B163" t="s">
        <v>97</v>
      </c>
      <c r="C163" t="s">
        <v>163</v>
      </c>
      <c r="D163" t="s">
        <v>164</v>
      </c>
      <c r="E163" s="108">
        <v>1000</v>
      </c>
      <c r="F163">
        <v>0</v>
      </c>
      <c r="G163">
        <v>21</v>
      </c>
      <c r="H163" s="108">
        <v>14135</v>
      </c>
      <c r="I163" s="108">
        <v>14135</v>
      </c>
      <c r="J163" s="150">
        <v>0.40769675925925924</v>
      </c>
      <c r="K163" s="150">
        <v>0.40770833333333334</v>
      </c>
      <c r="L163" t="s">
        <v>165</v>
      </c>
      <c r="N163">
        <v>445728</v>
      </c>
      <c r="O163">
        <v>445728</v>
      </c>
      <c r="P163">
        <v>445677</v>
      </c>
      <c r="Q163">
        <v>0</v>
      </c>
      <c r="R163" t="s">
        <v>166</v>
      </c>
      <c r="S163">
        <v>979</v>
      </c>
      <c r="T163" t="s">
        <v>167</v>
      </c>
      <c r="U163">
        <v>445677</v>
      </c>
      <c r="W163" t="s">
        <v>168</v>
      </c>
      <c r="X163" t="s">
        <v>166</v>
      </c>
    </row>
    <row r="164" spans="1:24" x14ac:dyDescent="0.3">
      <c r="A164" s="7" t="s">
        <v>98</v>
      </c>
      <c r="B164" t="s">
        <v>99</v>
      </c>
      <c r="C164" t="s">
        <v>169</v>
      </c>
      <c r="D164" t="s">
        <v>164</v>
      </c>
      <c r="E164" s="108">
        <v>1000</v>
      </c>
      <c r="F164">
        <v>0</v>
      </c>
      <c r="G164" s="108">
        <v>1000</v>
      </c>
      <c r="H164" s="108">
        <v>15540</v>
      </c>
      <c r="I164" s="108">
        <v>15540</v>
      </c>
      <c r="J164" s="150">
        <v>0.40769675925925924</v>
      </c>
      <c r="K164" s="150">
        <v>0.40770833333333334</v>
      </c>
      <c r="L164" t="s">
        <v>165</v>
      </c>
      <c r="N164">
        <v>445738</v>
      </c>
      <c r="O164">
        <v>445738</v>
      </c>
      <c r="P164">
        <v>445648</v>
      </c>
      <c r="Q164">
        <v>0</v>
      </c>
      <c r="R164" t="s">
        <v>166</v>
      </c>
      <c r="S164">
        <v>0</v>
      </c>
      <c r="T164" t="s">
        <v>167</v>
      </c>
      <c r="U164">
        <v>445648</v>
      </c>
      <c r="W164" t="s">
        <v>168</v>
      </c>
      <c r="X164" t="s">
        <v>166</v>
      </c>
    </row>
    <row r="165" spans="1:24" x14ac:dyDescent="0.3">
      <c r="A165" s="7" t="s">
        <v>73</v>
      </c>
      <c r="B165" t="s">
        <v>74</v>
      </c>
      <c r="C165" t="s">
        <v>169</v>
      </c>
      <c r="D165" t="s">
        <v>164</v>
      </c>
      <c r="E165" s="108">
        <v>1000</v>
      </c>
      <c r="F165">
        <v>0</v>
      </c>
      <c r="G165" s="108">
        <v>1000</v>
      </c>
      <c r="H165" s="108">
        <v>22690</v>
      </c>
      <c r="I165" s="108">
        <v>22690</v>
      </c>
      <c r="J165" s="150">
        <v>0.40775462962962966</v>
      </c>
      <c r="K165" s="150">
        <v>0.40777777777777779</v>
      </c>
      <c r="L165" t="s">
        <v>165</v>
      </c>
      <c r="N165">
        <v>446489</v>
      </c>
      <c r="O165">
        <v>446489</v>
      </c>
      <c r="P165">
        <v>446232</v>
      </c>
      <c r="Q165">
        <v>0</v>
      </c>
      <c r="R165" t="s">
        <v>166</v>
      </c>
      <c r="S165">
        <v>0</v>
      </c>
      <c r="T165" t="s">
        <v>167</v>
      </c>
      <c r="U165">
        <v>446232</v>
      </c>
      <c r="W165" t="s">
        <v>168</v>
      </c>
      <c r="X165" t="s">
        <v>166</v>
      </c>
    </row>
    <row r="166" spans="1:24" x14ac:dyDescent="0.3">
      <c r="A166" s="7" t="s">
        <v>79</v>
      </c>
      <c r="B166" t="s">
        <v>80</v>
      </c>
      <c r="C166" t="s">
        <v>169</v>
      </c>
      <c r="D166" t="s">
        <v>164</v>
      </c>
      <c r="E166" s="108">
        <v>1000</v>
      </c>
      <c r="F166">
        <v>0</v>
      </c>
      <c r="G166">
        <v>18</v>
      </c>
      <c r="H166" s="108">
        <v>38305</v>
      </c>
      <c r="I166" s="108">
        <v>38305</v>
      </c>
      <c r="J166" s="150">
        <v>0.40805555555555556</v>
      </c>
      <c r="K166" s="150">
        <v>0.40806712962962965</v>
      </c>
      <c r="L166" t="s">
        <v>165</v>
      </c>
      <c r="N166">
        <v>450819</v>
      </c>
      <c r="O166">
        <v>450819</v>
      </c>
      <c r="P166">
        <v>450767</v>
      </c>
      <c r="Q166">
        <v>982</v>
      </c>
      <c r="R166" t="s">
        <v>166</v>
      </c>
      <c r="S166">
        <v>0</v>
      </c>
      <c r="T166" t="s">
        <v>167</v>
      </c>
      <c r="U166">
        <v>450767</v>
      </c>
      <c r="W166" t="s">
        <v>168</v>
      </c>
      <c r="X166" t="s">
        <v>166</v>
      </c>
    </row>
    <row r="167" spans="1:24" x14ac:dyDescent="0.3">
      <c r="A167" s="7" t="s">
        <v>65</v>
      </c>
      <c r="B167" t="s">
        <v>66</v>
      </c>
      <c r="C167" t="s">
        <v>169</v>
      </c>
      <c r="D167" t="s">
        <v>164</v>
      </c>
      <c r="E167" s="108">
        <v>1000</v>
      </c>
      <c r="F167">
        <v>0</v>
      </c>
      <c r="G167" s="108">
        <v>1000</v>
      </c>
      <c r="H167" s="108">
        <v>4995</v>
      </c>
      <c r="I167" s="108">
        <v>4995</v>
      </c>
      <c r="J167" s="150">
        <v>0.40812500000000002</v>
      </c>
      <c r="K167" s="150">
        <v>0.40815972222222219</v>
      </c>
      <c r="L167" t="s">
        <v>165</v>
      </c>
      <c r="N167">
        <v>451795</v>
      </c>
      <c r="O167">
        <v>451795</v>
      </c>
      <c r="P167">
        <v>450946</v>
      </c>
      <c r="Q167">
        <v>0</v>
      </c>
      <c r="R167" t="s">
        <v>166</v>
      </c>
      <c r="S167">
        <v>0</v>
      </c>
      <c r="T167" t="s">
        <v>167</v>
      </c>
      <c r="U167">
        <v>450946</v>
      </c>
      <c r="W167" t="s">
        <v>168</v>
      </c>
      <c r="X167" t="s">
        <v>166</v>
      </c>
    </row>
    <row r="168" spans="1:24" x14ac:dyDescent="0.3">
      <c r="A168" s="7" t="s">
        <v>100</v>
      </c>
      <c r="B168" t="s">
        <v>101</v>
      </c>
      <c r="C168" t="s">
        <v>169</v>
      </c>
      <c r="D168" t="s">
        <v>170</v>
      </c>
      <c r="E168" s="108">
        <v>1000</v>
      </c>
      <c r="F168">
        <v>0</v>
      </c>
      <c r="G168">
        <v>981</v>
      </c>
      <c r="H168" s="108">
        <v>26375</v>
      </c>
      <c r="I168" s="108">
        <v>26375</v>
      </c>
      <c r="J168" s="150">
        <v>0.40814814814814815</v>
      </c>
      <c r="K168" s="150">
        <v>0.40814814814814815</v>
      </c>
      <c r="L168" t="s">
        <v>165</v>
      </c>
      <c r="N168">
        <v>452170</v>
      </c>
      <c r="O168">
        <v>452170</v>
      </c>
      <c r="P168">
        <v>0</v>
      </c>
      <c r="Q168">
        <v>19</v>
      </c>
      <c r="R168" t="s">
        <v>166</v>
      </c>
      <c r="S168">
        <v>0</v>
      </c>
      <c r="T168" t="s">
        <v>167</v>
      </c>
      <c r="U168">
        <v>0</v>
      </c>
      <c r="W168" t="s">
        <v>168</v>
      </c>
      <c r="X168" t="s">
        <v>166</v>
      </c>
    </row>
    <row r="169" spans="1:24" x14ac:dyDescent="0.3">
      <c r="A169" s="7" t="s">
        <v>69</v>
      </c>
      <c r="B169" t="s">
        <v>70</v>
      </c>
      <c r="C169" t="s">
        <v>163</v>
      </c>
      <c r="D169" t="s">
        <v>170</v>
      </c>
      <c r="E169" s="108">
        <v>1000</v>
      </c>
      <c r="F169">
        <v>0</v>
      </c>
      <c r="G169">
        <v>1</v>
      </c>
      <c r="H169" s="108">
        <v>19205</v>
      </c>
      <c r="I169" s="108">
        <v>19205</v>
      </c>
      <c r="J169" s="150">
        <v>0.40828703703703706</v>
      </c>
      <c r="K169" s="150">
        <v>0.40828703703703706</v>
      </c>
      <c r="L169" t="s">
        <v>165</v>
      </c>
      <c r="N169">
        <v>454269</v>
      </c>
      <c r="O169">
        <v>454269</v>
      </c>
      <c r="P169">
        <v>0</v>
      </c>
      <c r="Q169">
        <v>999</v>
      </c>
      <c r="R169" t="s">
        <v>166</v>
      </c>
      <c r="S169">
        <v>0</v>
      </c>
      <c r="T169" t="s">
        <v>167</v>
      </c>
      <c r="U169">
        <v>0</v>
      </c>
      <c r="W169" t="s">
        <v>168</v>
      </c>
      <c r="X169" t="s">
        <v>166</v>
      </c>
    </row>
    <row r="170" spans="1:24" x14ac:dyDescent="0.3">
      <c r="A170" s="7" t="s">
        <v>77</v>
      </c>
      <c r="B170" t="s">
        <v>78</v>
      </c>
      <c r="C170" t="s">
        <v>169</v>
      </c>
      <c r="D170" t="s">
        <v>164</v>
      </c>
      <c r="E170" s="108">
        <v>1000</v>
      </c>
      <c r="F170">
        <v>0</v>
      </c>
      <c r="G170" s="108">
        <v>1000</v>
      </c>
      <c r="H170" s="108">
        <v>18220</v>
      </c>
      <c r="I170" s="108">
        <v>18220</v>
      </c>
      <c r="J170" s="150">
        <v>0.40834490740740742</v>
      </c>
      <c r="K170" s="150">
        <v>0.40835648148148151</v>
      </c>
      <c r="L170" t="s">
        <v>165</v>
      </c>
      <c r="N170">
        <v>455400</v>
      </c>
      <c r="O170">
        <v>455400</v>
      </c>
      <c r="P170">
        <v>455366</v>
      </c>
      <c r="Q170">
        <v>0</v>
      </c>
      <c r="R170" t="s">
        <v>166</v>
      </c>
      <c r="S170">
        <v>0</v>
      </c>
      <c r="T170" t="s">
        <v>167</v>
      </c>
      <c r="U170">
        <v>455366</v>
      </c>
      <c r="W170" t="s">
        <v>168</v>
      </c>
      <c r="X170" t="s">
        <v>166</v>
      </c>
    </row>
    <row r="171" spans="1:24" x14ac:dyDescent="0.3">
      <c r="A171" s="7" t="s">
        <v>98</v>
      </c>
      <c r="B171" t="s">
        <v>99</v>
      </c>
      <c r="C171" t="s">
        <v>169</v>
      </c>
      <c r="D171" t="s">
        <v>164</v>
      </c>
      <c r="E171" s="108">
        <v>1000</v>
      </c>
      <c r="F171">
        <v>0</v>
      </c>
      <c r="G171">
        <v>31</v>
      </c>
      <c r="H171" s="108">
        <v>15530</v>
      </c>
      <c r="I171" s="108">
        <v>15530</v>
      </c>
      <c r="J171" s="150">
        <v>0.40841435185185188</v>
      </c>
      <c r="K171" s="150">
        <v>0.40841435185185188</v>
      </c>
      <c r="L171" t="s">
        <v>165</v>
      </c>
      <c r="N171">
        <v>456644</v>
      </c>
      <c r="O171">
        <v>456644</v>
      </c>
      <c r="P171">
        <v>456374</v>
      </c>
      <c r="Q171">
        <v>969</v>
      </c>
      <c r="R171" t="s">
        <v>166</v>
      </c>
      <c r="S171">
        <v>0</v>
      </c>
      <c r="T171" t="s">
        <v>167</v>
      </c>
      <c r="U171">
        <v>456374</v>
      </c>
      <c r="W171" t="s">
        <v>168</v>
      </c>
      <c r="X171" t="s">
        <v>166</v>
      </c>
    </row>
    <row r="172" spans="1:24" x14ac:dyDescent="0.3">
      <c r="A172" s="7" t="s">
        <v>67</v>
      </c>
      <c r="B172" t="s">
        <v>68</v>
      </c>
      <c r="C172" t="s">
        <v>169</v>
      </c>
      <c r="D172" t="s">
        <v>164</v>
      </c>
      <c r="E172" s="108">
        <v>1000</v>
      </c>
      <c r="F172">
        <v>0</v>
      </c>
      <c r="G172">
        <v>1</v>
      </c>
      <c r="H172" s="108">
        <v>10475</v>
      </c>
      <c r="I172" s="108">
        <v>10475</v>
      </c>
      <c r="J172" s="150">
        <v>0.40843750000000001</v>
      </c>
      <c r="K172" s="150">
        <v>0.40843750000000001</v>
      </c>
      <c r="L172" t="s">
        <v>165</v>
      </c>
      <c r="N172">
        <v>457031</v>
      </c>
      <c r="O172">
        <v>457031</v>
      </c>
      <c r="P172">
        <v>455688</v>
      </c>
      <c r="Q172">
        <v>999</v>
      </c>
      <c r="R172" t="s">
        <v>166</v>
      </c>
      <c r="S172">
        <v>0</v>
      </c>
      <c r="T172" t="s">
        <v>167</v>
      </c>
      <c r="U172">
        <v>455688</v>
      </c>
      <c r="W172" t="s">
        <v>168</v>
      </c>
      <c r="X172" t="s">
        <v>166</v>
      </c>
    </row>
    <row r="173" spans="1:24" x14ac:dyDescent="0.3">
      <c r="A173" s="7" t="s">
        <v>138</v>
      </c>
      <c r="B173" t="s">
        <v>171</v>
      </c>
      <c r="C173" t="s">
        <v>169</v>
      </c>
      <c r="D173" t="s">
        <v>164</v>
      </c>
      <c r="E173" s="108">
        <v>1000</v>
      </c>
      <c r="F173">
        <v>0</v>
      </c>
      <c r="G173" s="108">
        <v>1000</v>
      </c>
      <c r="H173" s="108">
        <v>9090</v>
      </c>
      <c r="I173" s="108">
        <v>9090</v>
      </c>
      <c r="J173" s="150">
        <v>0.40849537037037037</v>
      </c>
      <c r="K173" s="150">
        <v>0.40865740740740741</v>
      </c>
      <c r="L173" t="s">
        <v>165</v>
      </c>
      <c r="N173">
        <v>457761</v>
      </c>
      <c r="O173">
        <v>457761</v>
      </c>
      <c r="P173">
        <v>455670</v>
      </c>
      <c r="Q173">
        <v>0</v>
      </c>
      <c r="R173" t="s">
        <v>166</v>
      </c>
      <c r="S173">
        <v>0</v>
      </c>
      <c r="T173" t="s">
        <v>167</v>
      </c>
      <c r="U173">
        <v>455670</v>
      </c>
      <c r="W173" t="s">
        <v>168</v>
      </c>
      <c r="X173" t="s">
        <v>166</v>
      </c>
    </row>
    <row r="174" spans="1:24" x14ac:dyDescent="0.3">
      <c r="A174" s="7" t="s">
        <v>60</v>
      </c>
      <c r="B174" t="s">
        <v>61</v>
      </c>
      <c r="C174" t="s">
        <v>163</v>
      </c>
      <c r="D174" t="s">
        <v>164</v>
      </c>
      <c r="E174">
        <v>500</v>
      </c>
      <c r="F174">
        <v>0</v>
      </c>
      <c r="G174">
        <v>80</v>
      </c>
      <c r="H174" s="108">
        <v>35730</v>
      </c>
      <c r="I174" s="108">
        <v>35730</v>
      </c>
      <c r="J174" s="150">
        <v>0.40855324074074079</v>
      </c>
      <c r="K174" s="150">
        <v>0.40856481481481483</v>
      </c>
      <c r="L174" t="s">
        <v>165</v>
      </c>
      <c r="N174">
        <v>459152</v>
      </c>
      <c r="O174">
        <v>459152</v>
      </c>
      <c r="P174">
        <v>459130</v>
      </c>
      <c r="Q174">
        <v>420</v>
      </c>
      <c r="R174" t="s">
        <v>166</v>
      </c>
      <c r="S174">
        <v>0</v>
      </c>
      <c r="T174" t="s">
        <v>167</v>
      </c>
      <c r="U174">
        <v>459130</v>
      </c>
      <c r="W174" t="s">
        <v>168</v>
      </c>
      <c r="X174" t="s">
        <v>166</v>
      </c>
    </row>
    <row r="175" spans="1:24" x14ac:dyDescent="0.3">
      <c r="A175" s="7" t="s">
        <v>73</v>
      </c>
      <c r="B175" t="s">
        <v>74</v>
      </c>
      <c r="C175" t="s">
        <v>169</v>
      </c>
      <c r="D175" t="s">
        <v>164</v>
      </c>
      <c r="E175" s="108">
        <v>1000</v>
      </c>
      <c r="F175">
        <v>0</v>
      </c>
      <c r="G175">
        <v>932</v>
      </c>
      <c r="H175" s="108">
        <v>22655</v>
      </c>
      <c r="I175" s="108">
        <v>22655</v>
      </c>
      <c r="J175" s="150">
        <v>0.40866898148148145</v>
      </c>
      <c r="K175" s="150">
        <v>0.40868055555555555</v>
      </c>
      <c r="L175" t="s">
        <v>165</v>
      </c>
      <c r="N175">
        <v>461013</v>
      </c>
      <c r="O175">
        <v>461013</v>
      </c>
      <c r="P175">
        <v>460973</v>
      </c>
      <c r="Q175">
        <v>68</v>
      </c>
      <c r="R175" t="s">
        <v>166</v>
      </c>
      <c r="S175">
        <v>0</v>
      </c>
      <c r="T175" t="s">
        <v>167</v>
      </c>
      <c r="U175">
        <v>460973</v>
      </c>
      <c r="W175" t="s">
        <v>168</v>
      </c>
      <c r="X175" t="s">
        <v>166</v>
      </c>
    </row>
    <row r="176" spans="1:24" x14ac:dyDescent="0.3">
      <c r="A176" s="7" t="s">
        <v>100</v>
      </c>
      <c r="B176" t="s">
        <v>101</v>
      </c>
      <c r="C176" t="s">
        <v>169</v>
      </c>
      <c r="D176" t="s">
        <v>170</v>
      </c>
      <c r="E176" s="108">
        <v>1000</v>
      </c>
      <c r="F176">
        <v>0</v>
      </c>
      <c r="G176" s="108">
        <v>1000</v>
      </c>
      <c r="H176" s="108">
        <v>26345</v>
      </c>
      <c r="I176" s="108">
        <v>26345</v>
      </c>
      <c r="J176" s="150">
        <v>0.40884259259259265</v>
      </c>
      <c r="K176" s="150">
        <v>0.40884259259259265</v>
      </c>
      <c r="L176" t="s">
        <v>165</v>
      </c>
      <c r="N176">
        <v>464564</v>
      </c>
      <c r="O176">
        <v>464564</v>
      </c>
      <c r="P176">
        <v>0</v>
      </c>
      <c r="Q176">
        <v>0</v>
      </c>
      <c r="R176" t="s">
        <v>166</v>
      </c>
      <c r="S176">
        <v>0</v>
      </c>
      <c r="T176" t="s">
        <v>167</v>
      </c>
      <c r="U176">
        <v>0</v>
      </c>
      <c r="W176" t="s">
        <v>168</v>
      </c>
      <c r="X176" t="s">
        <v>166</v>
      </c>
    </row>
    <row r="177" spans="1:24" x14ac:dyDescent="0.3">
      <c r="A177" s="7" t="s">
        <v>65</v>
      </c>
      <c r="B177" t="s">
        <v>66</v>
      </c>
      <c r="C177" t="s">
        <v>169</v>
      </c>
      <c r="D177" t="s">
        <v>164</v>
      </c>
      <c r="E177" s="108">
        <v>1000</v>
      </c>
      <c r="F177">
        <v>0</v>
      </c>
      <c r="G177">
        <v>114</v>
      </c>
      <c r="H177" s="108">
        <v>4975</v>
      </c>
      <c r="I177" s="108">
        <v>4975</v>
      </c>
      <c r="J177" s="150">
        <v>0.40893518518518518</v>
      </c>
      <c r="K177" s="150">
        <v>0.40896990740740741</v>
      </c>
      <c r="L177" t="s">
        <v>165</v>
      </c>
      <c r="N177">
        <v>466701</v>
      </c>
      <c r="O177">
        <v>466701</v>
      </c>
      <c r="P177">
        <v>466406</v>
      </c>
      <c r="Q177">
        <v>886</v>
      </c>
      <c r="R177" t="s">
        <v>166</v>
      </c>
      <c r="S177">
        <v>0</v>
      </c>
      <c r="T177" t="s">
        <v>167</v>
      </c>
      <c r="U177">
        <v>466406</v>
      </c>
      <c r="W177" t="s">
        <v>168</v>
      </c>
      <c r="X177" t="s">
        <v>166</v>
      </c>
    </row>
    <row r="178" spans="1:24" x14ac:dyDescent="0.3">
      <c r="A178" s="7" t="s">
        <v>69</v>
      </c>
      <c r="B178" t="s">
        <v>70</v>
      </c>
      <c r="C178" t="s">
        <v>163</v>
      </c>
      <c r="D178" t="s">
        <v>164</v>
      </c>
      <c r="E178" s="108">
        <v>1000</v>
      </c>
      <c r="F178">
        <v>0</v>
      </c>
      <c r="G178" s="108">
        <v>1000</v>
      </c>
      <c r="H178" s="108">
        <v>19185</v>
      </c>
      <c r="I178" s="108">
        <v>19185</v>
      </c>
      <c r="J178" s="150">
        <v>0.40901620370370373</v>
      </c>
      <c r="K178" s="150">
        <v>0.40902777777777777</v>
      </c>
      <c r="L178" t="s">
        <v>165</v>
      </c>
      <c r="N178">
        <v>468923</v>
      </c>
      <c r="O178">
        <v>468923</v>
      </c>
      <c r="P178">
        <v>468916</v>
      </c>
      <c r="Q178">
        <v>0</v>
      </c>
      <c r="R178" t="s">
        <v>166</v>
      </c>
      <c r="S178">
        <v>0</v>
      </c>
      <c r="T178" t="s">
        <v>167</v>
      </c>
      <c r="U178">
        <v>468916</v>
      </c>
      <c r="W178" t="s">
        <v>168</v>
      </c>
      <c r="X178" t="s">
        <v>166</v>
      </c>
    </row>
    <row r="179" spans="1:24" x14ac:dyDescent="0.3">
      <c r="A179" s="7" t="s">
        <v>112</v>
      </c>
      <c r="B179" t="s">
        <v>113</v>
      </c>
      <c r="C179" t="s">
        <v>163</v>
      </c>
      <c r="D179" t="s">
        <v>164</v>
      </c>
      <c r="E179" s="108">
        <v>1000</v>
      </c>
      <c r="F179">
        <v>0</v>
      </c>
      <c r="G179">
        <v>1</v>
      </c>
      <c r="H179" s="108">
        <v>55870</v>
      </c>
      <c r="I179" s="108">
        <v>55870</v>
      </c>
      <c r="J179" s="150">
        <v>0.40902777777777777</v>
      </c>
      <c r="K179" s="150">
        <v>0.40902777777777777</v>
      </c>
      <c r="L179" t="s">
        <v>165</v>
      </c>
      <c r="N179">
        <v>469027</v>
      </c>
      <c r="O179">
        <v>469027</v>
      </c>
      <c r="P179">
        <v>469004</v>
      </c>
      <c r="Q179">
        <v>999</v>
      </c>
      <c r="R179" t="s">
        <v>166</v>
      </c>
      <c r="S179">
        <v>0</v>
      </c>
      <c r="T179" t="s">
        <v>167</v>
      </c>
      <c r="U179">
        <v>469004</v>
      </c>
      <c r="W179" t="s">
        <v>168</v>
      </c>
      <c r="X179" t="s">
        <v>166</v>
      </c>
    </row>
    <row r="180" spans="1:24" x14ac:dyDescent="0.3">
      <c r="A180" s="7" t="s">
        <v>77</v>
      </c>
      <c r="B180" t="s">
        <v>78</v>
      </c>
      <c r="C180" t="s">
        <v>163</v>
      </c>
      <c r="D180" t="s">
        <v>164</v>
      </c>
      <c r="E180" s="108">
        <v>1000</v>
      </c>
      <c r="F180">
        <v>0</v>
      </c>
      <c r="G180">
        <v>701</v>
      </c>
      <c r="H180" s="108">
        <v>18200</v>
      </c>
      <c r="I180" s="108">
        <v>18200</v>
      </c>
      <c r="J180" s="150">
        <v>0.40903935185185186</v>
      </c>
      <c r="K180" s="150">
        <v>0.40903935185185186</v>
      </c>
      <c r="L180" t="s">
        <v>165</v>
      </c>
      <c r="N180">
        <v>469186</v>
      </c>
      <c r="O180">
        <v>469186</v>
      </c>
      <c r="P180">
        <v>469162</v>
      </c>
      <c r="Q180">
        <v>299</v>
      </c>
      <c r="R180" t="s">
        <v>166</v>
      </c>
      <c r="S180">
        <v>0</v>
      </c>
      <c r="T180" t="s">
        <v>167</v>
      </c>
      <c r="U180">
        <v>469162</v>
      </c>
      <c r="W180" t="s">
        <v>168</v>
      </c>
      <c r="X180" t="s">
        <v>166</v>
      </c>
    </row>
    <row r="181" spans="1:24" x14ac:dyDescent="0.3">
      <c r="A181" s="7" t="s">
        <v>98</v>
      </c>
      <c r="B181" t="s">
        <v>99</v>
      </c>
      <c r="C181" t="s">
        <v>169</v>
      </c>
      <c r="D181" t="s">
        <v>164</v>
      </c>
      <c r="E181" s="108">
        <v>1000</v>
      </c>
      <c r="F181">
        <v>0</v>
      </c>
      <c r="G181" s="108">
        <v>1000</v>
      </c>
      <c r="H181" s="108">
        <v>15530</v>
      </c>
      <c r="I181" s="108">
        <v>15530</v>
      </c>
      <c r="J181" s="150">
        <v>0.40923611111111113</v>
      </c>
      <c r="K181" s="150">
        <v>0.40924768518518517</v>
      </c>
      <c r="L181" t="s">
        <v>165</v>
      </c>
      <c r="N181">
        <v>472314</v>
      </c>
      <c r="O181">
        <v>472314</v>
      </c>
      <c r="P181">
        <v>472066</v>
      </c>
      <c r="Q181">
        <v>0</v>
      </c>
      <c r="R181" t="s">
        <v>166</v>
      </c>
      <c r="S181">
        <v>0</v>
      </c>
      <c r="T181" t="s">
        <v>167</v>
      </c>
      <c r="U181">
        <v>472066</v>
      </c>
      <c r="W181" t="s">
        <v>168</v>
      </c>
      <c r="X181" t="s">
        <v>166</v>
      </c>
    </row>
    <row r="182" spans="1:24" x14ac:dyDescent="0.3">
      <c r="A182" s="7" t="s">
        <v>100</v>
      </c>
      <c r="B182" t="s">
        <v>101</v>
      </c>
      <c r="C182" t="s">
        <v>169</v>
      </c>
      <c r="D182" t="s">
        <v>164</v>
      </c>
      <c r="E182" s="108">
        <v>1000</v>
      </c>
      <c r="F182">
        <v>0</v>
      </c>
      <c r="G182">
        <v>14</v>
      </c>
      <c r="H182" s="108">
        <v>26365</v>
      </c>
      <c r="I182" s="108">
        <v>26365</v>
      </c>
      <c r="J182" s="150">
        <v>0.40953703703703703</v>
      </c>
      <c r="K182" s="150">
        <v>0.40953703703703703</v>
      </c>
      <c r="L182" t="s">
        <v>165</v>
      </c>
      <c r="N182">
        <v>477362</v>
      </c>
      <c r="O182">
        <v>477362</v>
      </c>
      <c r="P182">
        <v>477317</v>
      </c>
      <c r="Q182">
        <v>986</v>
      </c>
      <c r="R182" t="s">
        <v>166</v>
      </c>
      <c r="S182">
        <v>0</v>
      </c>
      <c r="T182" t="s">
        <v>167</v>
      </c>
      <c r="U182">
        <v>477317</v>
      </c>
      <c r="W182" t="s">
        <v>168</v>
      </c>
      <c r="X182" t="s">
        <v>166</v>
      </c>
    </row>
    <row r="183" spans="1:24" x14ac:dyDescent="0.3">
      <c r="A183" s="7" t="s">
        <v>67</v>
      </c>
      <c r="B183" t="s">
        <v>68</v>
      </c>
      <c r="C183" t="s">
        <v>163</v>
      </c>
      <c r="D183" t="s">
        <v>164</v>
      </c>
      <c r="E183" s="108">
        <v>1000</v>
      </c>
      <c r="F183">
        <v>0</v>
      </c>
      <c r="G183">
        <v>606</v>
      </c>
      <c r="H183" s="108">
        <v>10460</v>
      </c>
      <c r="I183" s="108">
        <v>10460</v>
      </c>
      <c r="J183" s="150">
        <v>0.40967592592592594</v>
      </c>
      <c r="K183" s="150">
        <v>0.40967592592592594</v>
      </c>
      <c r="L183" t="s">
        <v>165</v>
      </c>
      <c r="N183">
        <v>479765</v>
      </c>
      <c r="O183">
        <v>479765</v>
      </c>
      <c r="P183">
        <v>479406</v>
      </c>
      <c r="Q183">
        <v>394</v>
      </c>
      <c r="R183" t="s">
        <v>166</v>
      </c>
      <c r="S183">
        <v>0</v>
      </c>
      <c r="T183" t="s">
        <v>167</v>
      </c>
      <c r="U183">
        <v>479406</v>
      </c>
      <c r="W183" t="s">
        <v>168</v>
      </c>
      <c r="X183" t="s">
        <v>166</v>
      </c>
    </row>
    <row r="184" spans="1:24" x14ac:dyDescent="0.3">
      <c r="A184" s="7" t="s">
        <v>69</v>
      </c>
      <c r="B184" t="s">
        <v>70</v>
      </c>
      <c r="C184" t="s">
        <v>163</v>
      </c>
      <c r="D184" t="s">
        <v>170</v>
      </c>
      <c r="E184" s="108">
        <v>1000</v>
      </c>
      <c r="F184">
        <v>0</v>
      </c>
      <c r="G184" s="108">
        <v>1000</v>
      </c>
      <c r="H184" s="108">
        <v>19210</v>
      </c>
      <c r="I184" s="108">
        <v>19210</v>
      </c>
      <c r="J184" s="150">
        <v>0.40971064814814812</v>
      </c>
      <c r="K184" s="150">
        <v>0.40971064814814812</v>
      </c>
      <c r="L184" t="s">
        <v>165</v>
      </c>
      <c r="N184">
        <v>480311</v>
      </c>
      <c r="O184">
        <v>480311</v>
      </c>
      <c r="P184">
        <v>0</v>
      </c>
      <c r="Q184">
        <v>0</v>
      </c>
      <c r="R184" t="s">
        <v>166</v>
      </c>
      <c r="S184">
        <v>0</v>
      </c>
      <c r="T184" t="s">
        <v>167</v>
      </c>
      <c r="U184">
        <v>0</v>
      </c>
      <c r="W184" t="s">
        <v>168</v>
      </c>
      <c r="X184" t="s">
        <v>166</v>
      </c>
    </row>
    <row r="185" spans="1:24" x14ac:dyDescent="0.3">
      <c r="A185" s="7" t="s">
        <v>65</v>
      </c>
      <c r="B185" t="s">
        <v>66</v>
      </c>
      <c r="C185" t="s">
        <v>169</v>
      </c>
      <c r="D185" t="s">
        <v>164</v>
      </c>
      <c r="E185" s="108">
        <v>1000</v>
      </c>
      <c r="F185">
        <v>0</v>
      </c>
      <c r="G185">
        <v>974</v>
      </c>
      <c r="H185" s="108">
        <v>4970</v>
      </c>
      <c r="I185" s="108">
        <v>4970</v>
      </c>
      <c r="J185" s="150">
        <v>0.40988425925925925</v>
      </c>
      <c r="K185" s="150">
        <v>0.40989583333333335</v>
      </c>
      <c r="L185" t="s">
        <v>165</v>
      </c>
      <c r="N185">
        <v>484189</v>
      </c>
      <c r="O185">
        <v>484189</v>
      </c>
      <c r="P185">
        <v>484120</v>
      </c>
      <c r="Q185">
        <v>26</v>
      </c>
      <c r="R185" t="s">
        <v>166</v>
      </c>
      <c r="S185">
        <v>0</v>
      </c>
      <c r="T185" t="s">
        <v>167</v>
      </c>
      <c r="U185">
        <v>484120</v>
      </c>
      <c r="W185" t="s">
        <v>168</v>
      </c>
      <c r="X185" t="s">
        <v>166</v>
      </c>
    </row>
    <row r="186" spans="1:24" x14ac:dyDescent="0.3">
      <c r="A186" s="7" t="s">
        <v>77</v>
      </c>
      <c r="B186" t="s">
        <v>78</v>
      </c>
      <c r="C186" t="s">
        <v>169</v>
      </c>
      <c r="D186" t="s">
        <v>164</v>
      </c>
      <c r="E186" s="108">
        <v>1000</v>
      </c>
      <c r="F186">
        <v>0</v>
      </c>
      <c r="G186" s="108">
        <v>1000</v>
      </c>
      <c r="H186" s="108">
        <v>18180</v>
      </c>
      <c r="I186" s="108">
        <v>18180</v>
      </c>
      <c r="J186" s="150">
        <v>0.4099652777777778</v>
      </c>
      <c r="K186" s="150">
        <v>0.4099652777777778</v>
      </c>
      <c r="L186" t="s">
        <v>165</v>
      </c>
      <c r="N186">
        <v>485846</v>
      </c>
      <c r="O186">
        <v>485846</v>
      </c>
      <c r="P186">
        <v>485715</v>
      </c>
      <c r="Q186">
        <v>0</v>
      </c>
      <c r="R186" t="s">
        <v>166</v>
      </c>
      <c r="S186">
        <v>0</v>
      </c>
      <c r="T186" t="s">
        <v>167</v>
      </c>
      <c r="U186">
        <v>485715</v>
      </c>
      <c r="W186" t="s">
        <v>168</v>
      </c>
      <c r="X186" t="s">
        <v>166</v>
      </c>
    </row>
    <row r="187" spans="1:24" x14ac:dyDescent="0.3">
      <c r="A187" s="7" t="s">
        <v>98</v>
      </c>
      <c r="B187" t="s">
        <v>99</v>
      </c>
      <c r="C187" t="s">
        <v>169</v>
      </c>
      <c r="D187" t="s">
        <v>164</v>
      </c>
      <c r="E187" s="108">
        <v>1000</v>
      </c>
      <c r="F187">
        <v>0</v>
      </c>
      <c r="G187">
        <v>32</v>
      </c>
      <c r="H187" s="108">
        <v>15530</v>
      </c>
      <c r="I187" s="108">
        <v>15530</v>
      </c>
      <c r="J187" s="150">
        <v>0.41005787037037034</v>
      </c>
      <c r="K187" s="150">
        <v>0.41005787037037034</v>
      </c>
      <c r="L187" t="s">
        <v>165</v>
      </c>
      <c r="N187">
        <v>487425</v>
      </c>
      <c r="O187">
        <v>487425</v>
      </c>
      <c r="P187">
        <v>485142</v>
      </c>
      <c r="Q187">
        <v>968</v>
      </c>
      <c r="R187" t="s">
        <v>166</v>
      </c>
      <c r="S187">
        <v>0</v>
      </c>
      <c r="T187" t="s">
        <v>167</v>
      </c>
      <c r="U187">
        <v>485142</v>
      </c>
      <c r="W187" t="s">
        <v>168</v>
      </c>
      <c r="X187" t="s">
        <v>166</v>
      </c>
    </row>
    <row r="188" spans="1:24" x14ac:dyDescent="0.3">
      <c r="A188" s="7" t="s">
        <v>79</v>
      </c>
      <c r="B188" t="s">
        <v>80</v>
      </c>
      <c r="C188" t="s">
        <v>169</v>
      </c>
      <c r="D188" t="s">
        <v>164</v>
      </c>
      <c r="E188" s="108">
        <v>1000</v>
      </c>
      <c r="F188">
        <v>0</v>
      </c>
      <c r="G188">
        <v>15</v>
      </c>
      <c r="H188" s="108">
        <v>38225</v>
      </c>
      <c r="I188" s="108">
        <v>38225</v>
      </c>
      <c r="J188" s="150">
        <v>0.41005787037037034</v>
      </c>
      <c r="K188" s="150">
        <v>0.41005787037037034</v>
      </c>
      <c r="L188" t="s">
        <v>165</v>
      </c>
      <c r="N188">
        <v>487429</v>
      </c>
      <c r="O188">
        <v>487429</v>
      </c>
      <c r="P188">
        <v>487385</v>
      </c>
      <c r="Q188">
        <v>985</v>
      </c>
      <c r="R188" t="s">
        <v>166</v>
      </c>
      <c r="S188">
        <v>0</v>
      </c>
      <c r="T188" t="s">
        <v>167</v>
      </c>
      <c r="U188">
        <v>487385</v>
      </c>
      <c r="W188" t="s">
        <v>168</v>
      </c>
      <c r="X188" t="s">
        <v>166</v>
      </c>
    </row>
    <row r="189" spans="1:24" x14ac:dyDescent="0.3">
      <c r="A189" s="7" t="s">
        <v>81</v>
      </c>
      <c r="B189" t="s">
        <v>82</v>
      </c>
      <c r="C189" t="s">
        <v>169</v>
      </c>
      <c r="D189" t="s">
        <v>164</v>
      </c>
      <c r="E189" s="108">
        <v>1000</v>
      </c>
      <c r="F189">
        <v>0</v>
      </c>
      <c r="G189">
        <v>381</v>
      </c>
      <c r="H189" s="108">
        <v>13485</v>
      </c>
      <c r="I189" s="108">
        <v>13485</v>
      </c>
      <c r="J189" s="150">
        <v>0.41012731481481479</v>
      </c>
      <c r="K189" s="150">
        <v>0.41017361111111111</v>
      </c>
      <c r="L189" t="s">
        <v>165</v>
      </c>
      <c r="N189">
        <v>488792</v>
      </c>
      <c r="O189">
        <v>488792</v>
      </c>
      <c r="P189">
        <v>488760</v>
      </c>
      <c r="Q189">
        <v>619</v>
      </c>
      <c r="R189" t="s">
        <v>166</v>
      </c>
      <c r="S189">
        <v>0</v>
      </c>
      <c r="T189" t="s">
        <v>167</v>
      </c>
      <c r="U189">
        <v>488760</v>
      </c>
      <c r="W189" t="s">
        <v>168</v>
      </c>
      <c r="X189" t="s">
        <v>166</v>
      </c>
    </row>
    <row r="190" spans="1:24" x14ac:dyDescent="0.3">
      <c r="A190" s="7" t="s">
        <v>100</v>
      </c>
      <c r="B190" t="s">
        <v>101</v>
      </c>
      <c r="C190" t="s">
        <v>169</v>
      </c>
      <c r="D190" t="s">
        <v>164</v>
      </c>
      <c r="E190" s="108">
        <v>1000</v>
      </c>
      <c r="F190">
        <v>0</v>
      </c>
      <c r="G190">
        <v>260</v>
      </c>
      <c r="H190" s="108">
        <v>26360</v>
      </c>
      <c r="I190" s="108">
        <v>26360</v>
      </c>
      <c r="J190" s="150">
        <v>0.41024305555555557</v>
      </c>
      <c r="K190" s="150">
        <v>0.41024305555555557</v>
      </c>
      <c r="L190" t="s">
        <v>165</v>
      </c>
      <c r="N190">
        <v>490557</v>
      </c>
      <c r="O190">
        <v>490557</v>
      </c>
      <c r="P190">
        <v>490359</v>
      </c>
      <c r="Q190">
        <v>740</v>
      </c>
      <c r="R190" t="s">
        <v>166</v>
      </c>
      <c r="S190">
        <v>0</v>
      </c>
      <c r="T190" t="s">
        <v>167</v>
      </c>
      <c r="U190">
        <v>490359</v>
      </c>
      <c r="W190" t="s">
        <v>168</v>
      </c>
      <c r="X190" t="s">
        <v>166</v>
      </c>
    </row>
    <row r="191" spans="1:24" x14ac:dyDescent="0.3">
      <c r="A191" s="7" t="s">
        <v>100</v>
      </c>
      <c r="B191" t="s">
        <v>101</v>
      </c>
      <c r="C191" t="s">
        <v>169</v>
      </c>
      <c r="D191" t="s">
        <v>164</v>
      </c>
      <c r="E191" s="108">
        <v>1000</v>
      </c>
      <c r="F191">
        <v>0</v>
      </c>
      <c r="G191">
        <v>740</v>
      </c>
      <c r="H191" s="108">
        <v>26355</v>
      </c>
      <c r="I191" s="108">
        <v>26355</v>
      </c>
      <c r="J191" s="150">
        <v>0.41024305555555557</v>
      </c>
      <c r="K191" s="150">
        <v>0.41024305555555557</v>
      </c>
      <c r="L191" t="s">
        <v>165</v>
      </c>
      <c r="N191">
        <v>490594</v>
      </c>
      <c r="O191">
        <v>490594</v>
      </c>
      <c r="P191">
        <v>490557</v>
      </c>
      <c r="Q191">
        <v>0</v>
      </c>
      <c r="R191" t="s">
        <v>166</v>
      </c>
      <c r="S191">
        <v>260</v>
      </c>
      <c r="T191" t="s">
        <v>167</v>
      </c>
      <c r="U191">
        <v>490557</v>
      </c>
      <c r="W191" t="s">
        <v>168</v>
      </c>
      <c r="X191" t="s">
        <v>166</v>
      </c>
    </row>
    <row r="192" spans="1:24" x14ac:dyDescent="0.3">
      <c r="A192" s="7" t="s">
        <v>69</v>
      </c>
      <c r="B192" t="s">
        <v>70</v>
      </c>
      <c r="C192" t="s">
        <v>163</v>
      </c>
      <c r="D192" t="s">
        <v>164</v>
      </c>
      <c r="E192" s="108">
        <v>1000</v>
      </c>
      <c r="F192">
        <v>0</v>
      </c>
      <c r="G192">
        <v>2</v>
      </c>
      <c r="H192" s="108">
        <v>19190</v>
      </c>
      <c r="I192" s="108">
        <v>19190</v>
      </c>
      <c r="J192" s="150">
        <v>0.41045138888888894</v>
      </c>
      <c r="K192" s="150">
        <v>0.41046296296296297</v>
      </c>
      <c r="L192" t="s">
        <v>165</v>
      </c>
      <c r="N192">
        <v>493618</v>
      </c>
      <c r="O192">
        <v>493618</v>
      </c>
      <c r="P192">
        <v>493594</v>
      </c>
      <c r="Q192">
        <v>998</v>
      </c>
      <c r="R192" t="s">
        <v>166</v>
      </c>
      <c r="S192">
        <v>0</v>
      </c>
      <c r="T192" t="s">
        <v>167</v>
      </c>
      <c r="U192">
        <v>493594</v>
      </c>
      <c r="W192" t="s">
        <v>168</v>
      </c>
      <c r="X192" t="s">
        <v>166</v>
      </c>
    </row>
    <row r="193" spans="1:24" x14ac:dyDescent="0.3">
      <c r="A193" s="7" t="s">
        <v>71</v>
      </c>
      <c r="B193" t="s">
        <v>72</v>
      </c>
      <c r="C193" t="s">
        <v>169</v>
      </c>
      <c r="D193" t="s">
        <v>164</v>
      </c>
      <c r="E193" s="108">
        <v>1000</v>
      </c>
      <c r="F193">
        <v>0</v>
      </c>
      <c r="G193">
        <v>4</v>
      </c>
      <c r="H193" s="108">
        <v>18685</v>
      </c>
      <c r="I193" s="108">
        <v>18685</v>
      </c>
      <c r="J193" s="150">
        <v>0.41061342592592592</v>
      </c>
      <c r="K193" s="150">
        <v>0.41062500000000002</v>
      </c>
      <c r="L193" t="s">
        <v>165</v>
      </c>
      <c r="N193">
        <v>496053</v>
      </c>
      <c r="O193">
        <v>496053</v>
      </c>
      <c r="P193">
        <v>496043</v>
      </c>
      <c r="Q193">
        <v>996</v>
      </c>
      <c r="R193" t="s">
        <v>166</v>
      </c>
      <c r="S193">
        <v>0</v>
      </c>
      <c r="T193" t="s">
        <v>167</v>
      </c>
      <c r="U193">
        <v>496043</v>
      </c>
      <c r="W193" t="s">
        <v>168</v>
      </c>
      <c r="X193" t="s">
        <v>166</v>
      </c>
    </row>
    <row r="194" spans="1:24" x14ac:dyDescent="0.3">
      <c r="A194" s="7" t="s">
        <v>83</v>
      </c>
      <c r="B194" t="s">
        <v>84</v>
      </c>
      <c r="C194" t="s">
        <v>163</v>
      </c>
      <c r="D194" t="s">
        <v>164</v>
      </c>
      <c r="E194" s="108">
        <v>1000</v>
      </c>
      <c r="F194">
        <v>0</v>
      </c>
      <c r="G194">
        <v>466</v>
      </c>
      <c r="H194" s="108">
        <v>4795</v>
      </c>
      <c r="I194" s="108">
        <v>4795</v>
      </c>
      <c r="J194" s="150">
        <v>0.41083333333333333</v>
      </c>
      <c r="K194" s="150">
        <v>0.41083333333333333</v>
      </c>
      <c r="L194" t="s">
        <v>165</v>
      </c>
      <c r="N194">
        <v>499903</v>
      </c>
      <c r="O194">
        <v>499903</v>
      </c>
      <c r="P194">
        <v>499883</v>
      </c>
      <c r="Q194">
        <v>534</v>
      </c>
      <c r="R194" t="s">
        <v>166</v>
      </c>
      <c r="S194">
        <v>0</v>
      </c>
      <c r="T194" t="s">
        <v>167</v>
      </c>
      <c r="U194">
        <v>499883</v>
      </c>
      <c r="W194" t="s">
        <v>168</v>
      </c>
      <c r="X194" t="s">
        <v>166</v>
      </c>
    </row>
    <row r="195" spans="1:24" x14ac:dyDescent="0.3">
      <c r="A195" s="7" t="s">
        <v>100</v>
      </c>
      <c r="B195" t="s">
        <v>101</v>
      </c>
      <c r="C195" t="s">
        <v>169</v>
      </c>
      <c r="D195" t="s">
        <v>164</v>
      </c>
      <c r="E195" s="108">
        <v>1000</v>
      </c>
      <c r="F195">
        <v>0</v>
      </c>
      <c r="G195">
        <v>96</v>
      </c>
      <c r="H195" s="108">
        <v>26350</v>
      </c>
      <c r="I195" s="108">
        <v>26350</v>
      </c>
      <c r="J195" s="150">
        <v>0.41103009259259254</v>
      </c>
      <c r="K195" s="150">
        <v>0.41104166666666669</v>
      </c>
      <c r="L195" t="s">
        <v>165</v>
      </c>
      <c r="N195">
        <v>504101</v>
      </c>
      <c r="O195">
        <v>504101</v>
      </c>
      <c r="P195">
        <v>503822</v>
      </c>
      <c r="Q195">
        <v>904</v>
      </c>
      <c r="R195" t="s">
        <v>166</v>
      </c>
      <c r="S195">
        <v>0</v>
      </c>
      <c r="T195" t="s">
        <v>167</v>
      </c>
      <c r="U195">
        <v>503822</v>
      </c>
      <c r="W195" t="s">
        <v>168</v>
      </c>
      <c r="X195" t="s">
        <v>166</v>
      </c>
    </row>
    <row r="196" spans="1:24" x14ac:dyDescent="0.3">
      <c r="A196" s="7" t="s">
        <v>112</v>
      </c>
      <c r="B196" t="s">
        <v>113</v>
      </c>
      <c r="C196" t="s">
        <v>163</v>
      </c>
      <c r="D196" t="s">
        <v>164</v>
      </c>
      <c r="E196" s="108">
        <v>1000</v>
      </c>
      <c r="F196">
        <v>0</v>
      </c>
      <c r="G196">
        <v>950</v>
      </c>
      <c r="H196" s="108">
        <v>55805</v>
      </c>
      <c r="I196" s="108">
        <v>55805</v>
      </c>
      <c r="J196" s="150">
        <v>0.41111111111111115</v>
      </c>
      <c r="K196" s="150">
        <v>0.41112268518518519</v>
      </c>
      <c r="L196" t="s">
        <v>165</v>
      </c>
      <c r="N196">
        <v>505624</v>
      </c>
      <c r="O196">
        <v>505624</v>
      </c>
      <c r="P196">
        <v>505414</v>
      </c>
      <c r="Q196">
        <v>50</v>
      </c>
      <c r="R196" t="s">
        <v>166</v>
      </c>
      <c r="S196">
        <v>0</v>
      </c>
      <c r="T196" t="s">
        <v>167</v>
      </c>
      <c r="U196">
        <v>505414</v>
      </c>
      <c r="W196" t="s">
        <v>168</v>
      </c>
      <c r="X196" t="s">
        <v>166</v>
      </c>
    </row>
    <row r="197" spans="1:24" x14ac:dyDescent="0.3">
      <c r="A197" s="7" t="s">
        <v>138</v>
      </c>
      <c r="B197" t="s">
        <v>171</v>
      </c>
      <c r="C197" t="s">
        <v>169</v>
      </c>
      <c r="D197" t="s">
        <v>164</v>
      </c>
      <c r="E197" s="108">
        <v>1000</v>
      </c>
      <c r="F197">
        <v>0</v>
      </c>
      <c r="G197">
        <v>986</v>
      </c>
      <c r="H197" s="108">
        <v>9055</v>
      </c>
      <c r="I197" s="108">
        <v>9055</v>
      </c>
      <c r="J197" s="150">
        <v>0.41120370370370374</v>
      </c>
      <c r="K197" s="150">
        <v>0.41121527777777778</v>
      </c>
      <c r="L197" t="s">
        <v>165</v>
      </c>
      <c r="N197">
        <v>507398</v>
      </c>
      <c r="O197">
        <v>507398</v>
      </c>
      <c r="P197">
        <v>507366</v>
      </c>
      <c r="Q197">
        <v>14</v>
      </c>
      <c r="R197" t="s">
        <v>166</v>
      </c>
      <c r="S197">
        <v>0</v>
      </c>
      <c r="T197" t="s">
        <v>167</v>
      </c>
      <c r="U197">
        <v>507366</v>
      </c>
      <c r="W197" t="s">
        <v>168</v>
      </c>
      <c r="X197" t="s">
        <v>166</v>
      </c>
    </row>
    <row r="198" spans="1:24" x14ac:dyDescent="0.3">
      <c r="A198" s="7" t="s">
        <v>65</v>
      </c>
      <c r="B198" t="s">
        <v>66</v>
      </c>
      <c r="C198" t="s">
        <v>169</v>
      </c>
      <c r="D198" t="s">
        <v>164</v>
      </c>
      <c r="E198" s="108">
        <v>1000</v>
      </c>
      <c r="F198">
        <v>0</v>
      </c>
      <c r="G198" s="108">
        <v>1000</v>
      </c>
      <c r="H198" s="108">
        <v>4940</v>
      </c>
      <c r="I198" s="108">
        <v>4940</v>
      </c>
      <c r="J198" s="150">
        <v>0.41149305555555554</v>
      </c>
      <c r="K198" s="150">
        <v>0.4115625</v>
      </c>
      <c r="L198" t="s">
        <v>165</v>
      </c>
      <c r="N198">
        <v>513689</v>
      </c>
      <c r="O198">
        <v>513689</v>
      </c>
      <c r="P198">
        <v>512442</v>
      </c>
      <c r="Q198">
        <v>0</v>
      </c>
      <c r="R198" t="s">
        <v>166</v>
      </c>
      <c r="S198">
        <v>0</v>
      </c>
      <c r="T198" t="s">
        <v>167</v>
      </c>
      <c r="U198">
        <v>512442</v>
      </c>
      <c r="W198" t="s">
        <v>168</v>
      </c>
      <c r="X198" t="s">
        <v>166</v>
      </c>
    </row>
    <row r="199" spans="1:24" x14ac:dyDescent="0.3">
      <c r="A199" s="7" t="s">
        <v>67</v>
      </c>
      <c r="B199" t="s">
        <v>68</v>
      </c>
      <c r="C199" t="s">
        <v>163</v>
      </c>
      <c r="D199" t="s">
        <v>164</v>
      </c>
      <c r="E199" s="108">
        <v>1000</v>
      </c>
      <c r="F199">
        <v>0</v>
      </c>
      <c r="G199">
        <v>605</v>
      </c>
      <c r="H199" s="108">
        <v>10420</v>
      </c>
      <c r="I199" s="108">
        <v>10420</v>
      </c>
      <c r="J199" s="150">
        <v>0.41155092592592596</v>
      </c>
      <c r="K199" s="150">
        <v>0.41155092592592596</v>
      </c>
      <c r="L199" t="s">
        <v>165</v>
      </c>
      <c r="N199">
        <v>514856</v>
      </c>
      <c r="O199">
        <v>514856</v>
      </c>
      <c r="P199">
        <v>514836</v>
      </c>
      <c r="Q199">
        <v>395</v>
      </c>
      <c r="R199" t="s">
        <v>166</v>
      </c>
      <c r="S199">
        <v>0</v>
      </c>
      <c r="T199" t="s">
        <v>167</v>
      </c>
      <c r="U199">
        <v>514836</v>
      </c>
      <c r="W199" t="s">
        <v>168</v>
      </c>
      <c r="X199" t="s">
        <v>166</v>
      </c>
    </row>
    <row r="200" spans="1:24" x14ac:dyDescent="0.3">
      <c r="A200" s="7" t="s">
        <v>112</v>
      </c>
      <c r="B200" t="s">
        <v>113</v>
      </c>
      <c r="C200" t="s">
        <v>163</v>
      </c>
      <c r="D200" t="s">
        <v>164</v>
      </c>
      <c r="E200" s="108">
        <v>1000</v>
      </c>
      <c r="F200">
        <v>0</v>
      </c>
      <c r="G200">
        <v>800</v>
      </c>
      <c r="H200" s="108">
        <v>55640</v>
      </c>
      <c r="I200" s="108">
        <v>55640</v>
      </c>
      <c r="J200" s="150">
        <v>0.41180555555555554</v>
      </c>
      <c r="K200" s="150">
        <v>0.41181712962962963</v>
      </c>
      <c r="L200" t="s">
        <v>165</v>
      </c>
      <c r="N200">
        <v>520375</v>
      </c>
      <c r="O200">
        <v>520375</v>
      </c>
      <c r="P200">
        <v>520358</v>
      </c>
      <c r="Q200">
        <v>200</v>
      </c>
      <c r="R200" t="s">
        <v>166</v>
      </c>
      <c r="S200">
        <v>0</v>
      </c>
      <c r="T200" t="s">
        <v>167</v>
      </c>
      <c r="U200">
        <v>520358</v>
      </c>
      <c r="W200" t="s">
        <v>168</v>
      </c>
      <c r="X200" t="s">
        <v>166</v>
      </c>
    </row>
    <row r="201" spans="1:24" x14ac:dyDescent="0.3">
      <c r="A201" s="7" t="s">
        <v>69</v>
      </c>
      <c r="B201" t="s">
        <v>70</v>
      </c>
      <c r="C201" t="s">
        <v>169</v>
      </c>
      <c r="D201" t="s">
        <v>164</v>
      </c>
      <c r="E201" s="108">
        <v>1000</v>
      </c>
      <c r="F201">
        <v>0</v>
      </c>
      <c r="G201" s="108">
        <v>1000</v>
      </c>
      <c r="H201" s="108">
        <v>19070</v>
      </c>
      <c r="I201" s="108">
        <v>19070</v>
      </c>
      <c r="J201" s="150">
        <v>0.41181712962962963</v>
      </c>
      <c r="K201" s="150">
        <v>0.41182870370370367</v>
      </c>
      <c r="L201" t="s">
        <v>165</v>
      </c>
      <c r="N201">
        <v>520746</v>
      </c>
      <c r="O201">
        <v>520746</v>
      </c>
      <c r="P201">
        <v>520626</v>
      </c>
      <c r="Q201">
        <v>0</v>
      </c>
      <c r="R201" t="s">
        <v>166</v>
      </c>
      <c r="S201">
        <v>0</v>
      </c>
      <c r="T201" t="s">
        <v>167</v>
      </c>
      <c r="U201">
        <v>520626</v>
      </c>
      <c r="W201" t="s">
        <v>168</v>
      </c>
      <c r="X201" t="s">
        <v>166</v>
      </c>
    </row>
    <row r="202" spans="1:24" x14ac:dyDescent="0.3">
      <c r="A202" s="7" t="s">
        <v>73</v>
      </c>
      <c r="B202" t="s">
        <v>74</v>
      </c>
      <c r="C202" t="s">
        <v>169</v>
      </c>
      <c r="D202" t="s">
        <v>164</v>
      </c>
      <c r="E202" s="108">
        <v>1000</v>
      </c>
      <c r="F202">
        <v>0</v>
      </c>
      <c r="G202">
        <v>480</v>
      </c>
      <c r="H202" s="108">
        <v>22465</v>
      </c>
      <c r="I202" s="108">
        <v>22465</v>
      </c>
      <c r="J202" s="150">
        <v>0.41202546296296294</v>
      </c>
      <c r="K202" s="150">
        <v>0.41203703703703703</v>
      </c>
      <c r="L202" t="s">
        <v>165</v>
      </c>
      <c r="N202">
        <v>525981</v>
      </c>
      <c r="O202">
        <v>525981</v>
      </c>
      <c r="P202">
        <v>525852</v>
      </c>
      <c r="Q202">
        <v>520</v>
      </c>
      <c r="R202" t="s">
        <v>166</v>
      </c>
      <c r="S202">
        <v>0</v>
      </c>
      <c r="T202" t="s">
        <v>167</v>
      </c>
      <c r="U202">
        <v>525852</v>
      </c>
      <c r="W202" t="s">
        <v>168</v>
      </c>
      <c r="X202" t="s">
        <v>166</v>
      </c>
    </row>
    <row r="203" spans="1:24" x14ac:dyDescent="0.3">
      <c r="A203" s="7" t="s">
        <v>75</v>
      </c>
      <c r="B203" t="s">
        <v>76</v>
      </c>
      <c r="C203" t="s">
        <v>169</v>
      </c>
      <c r="D203" t="s">
        <v>164</v>
      </c>
      <c r="E203" s="108">
        <v>1000</v>
      </c>
      <c r="F203">
        <v>0</v>
      </c>
      <c r="G203" s="108">
        <v>1000</v>
      </c>
      <c r="H203" s="108">
        <v>7650</v>
      </c>
      <c r="I203" s="108">
        <v>7650</v>
      </c>
      <c r="J203" s="150">
        <v>0.41216435185185185</v>
      </c>
      <c r="K203" s="150">
        <v>0.41222222222222221</v>
      </c>
      <c r="L203" t="s">
        <v>165</v>
      </c>
      <c r="N203">
        <v>530001</v>
      </c>
      <c r="O203">
        <v>530001</v>
      </c>
      <c r="P203">
        <v>529471</v>
      </c>
      <c r="Q203">
        <v>0</v>
      </c>
      <c r="R203" t="s">
        <v>166</v>
      </c>
      <c r="S203">
        <v>0</v>
      </c>
      <c r="T203" t="s">
        <v>167</v>
      </c>
      <c r="U203">
        <v>529471</v>
      </c>
      <c r="W203" t="s">
        <v>168</v>
      </c>
      <c r="X203" t="s">
        <v>166</v>
      </c>
    </row>
    <row r="204" spans="1:24" x14ac:dyDescent="0.3">
      <c r="A204" s="7" t="s">
        <v>67</v>
      </c>
      <c r="B204" t="s">
        <v>68</v>
      </c>
      <c r="C204" t="s">
        <v>163</v>
      </c>
      <c r="D204" t="s">
        <v>164</v>
      </c>
      <c r="E204" s="108">
        <v>1000</v>
      </c>
      <c r="F204">
        <v>0</v>
      </c>
      <c r="G204">
        <v>676</v>
      </c>
      <c r="H204" s="108">
        <v>10380</v>
      </c>
      <c r="I204" s="108">
        <v>10380</v>
      </c>
      <c r="J204" s="150">
        <v>0.41229166666666667</v>
      </c>
      <c r="K204" s="150">
        <v>0.4123148148148148</v>
      </c>
      <c r="L204" t="s">
        <v>165</v>
      </c>
      <c r="N204">
        <v>533203</v>
      </c>
      <c r="O204">
        <v>533203</v>
      </c>
      <c r="P204">
        <v>532958</v>
      </c>
      <c r="Q204">
        <v>324</v>
      </c>
      <c r="R204" t="s">
        <v>166</v>
      </c>
      <c r="S204">
        <v>0</v>
      </c>
      <c r="T204" t="s">
        <v>167</v>
      </c>
      <c r="U204">
        <v>532958</v>
      </c>
      <c r="W204" t="s">
        <v>168</v>
      </c>
      <c r="X204" t="s">
        <v>166</v>
      </c>
    </row>
    <row r="205" spans="1:24" x14ac:dyDescent="0.3">
      <c r="A205" s="7" t="s">
        <v>60</v>
      </c>
      <c r="B205" t="s">
        <v>61</v>
      </c>
      <c r="C205" t="s">
        <v>163</v>
      </c>
      <c r="D205" t="s">
        <v>164</v>
      </c>
      <c r="E205">
        <v>500</v>
      </c>
      <c r="F205">
        <v>0</v>
      </c>
      <c r="G205">
        <v>500</v>
      </c>
      <c r="H205" s="108">
        <v>35475</v>
      </c>
      <c r="I205" s="108">
        <v>35475</v>
      </c>
      <c r="J205" s="150">
        <v>0.41297453703703701</v>
      </c>
      <c r="K205" s="150">
        <v>0.41299768518518515</v>
      </c>
      <c r="L205" t="s">
        <v>165</v>
      </c>
      <c r="N205">
        <v>551729</v>
      </c>
      <c r="O205">
        <v>551729</v>
      </c>
      <c r="P205">
        <v>551714</v>
      </c>
      <c r="Q205">
        <v>0</v>
      </c>
      <c r="R205" t="s">
        <v>166</v>
      </c>
      <c r="S205">
        <v>0</v>
      </c>
      <c r="T205" t="s">
        <v>167</v>
      </c>
      <c r="U205">
        <v>551714</v>
      </c>
      <c r="W205" t="s">
        <v>168</v>
      </c>
      <c r="X205" t="s">
        <v>166</v>
      </c>
    </row>
    <row r="206" spans="1:24" x14ac:dyDescent="0.3">
      <c r="A206" s="7" t="s">
        <v>112</v>
      </c>
      <c r="B206" t="s">
        <v>113</v>
      </c>
      <c r="C206" t="s">
        <v>163</v>
      </c>
      <c r="D206" t="s">
        <v>164</v>
      </c>
      <c r="E206" s="108">
        <v>1000</v>
      </c>
      <c r="F206">
        <v>0</v>
      </c>
      <c r="G206">
        <v>90</v>
      </c>
      <c r="H206" s="108">
        <v>55490</v>
      </c>
      <c r="I206" s="108">
        <v>55490</v>
      </c>
      <c r="J206" s="150">
        <v>0.41298611111111111</v>
      </c>
      <c r="K206" s="150">
        <v>0.41298611111111111</v>
      </c>
      <c r="L206" t="s">
        <v>165</v>
      </c>
      <c r="N206">
        <v>551862</v>
      </c>
      <c r="O206">
        <v>551862</v>
      </c>
      <c r="P206">
        <v>551845</v>
      </c>
      <c r="Q206">
        <v>910</v>
      </c>
      <c r="R206" t="s">
        <v>166</v>
      </c>
      <c r="S206">
        <v>0</v>
      </c>
      <c r="T206" t="s">
        <v>167</v>
      </c>
      <c r="U206">
        <v>551845</v>
      </c>
      <c r="W206" t="s">
        <v>168</v>
      </c>
      <c r="X206" t="s">
        <v>166</v>
      </c>
    </row>
    <row r="207" spans="1:24" x14ac:dyDescent="0.3">
      <c r="A207" s="7" t="s">
        <v>67</v>
      </c>
      <c r="B207" t="s">
        <v>68</v>
      </c>
      <c r="C207" t="s">
        <v>163</v>
      </c>
      <c r="D207" t="s">
        <v>164</v>
      </c>
      <c r="E207" s="108">
        <v>1000</v>
      </c>
      <c r="F207">
        <v>0</v>
      </c>
      <c r="G207" s="108">
        <v>1000</v>
      </c>
      <c r="H207" s="108">
        <v>10370</v>
      </c>
      <c r="I207" s="108">
        <v>10370</v>
      </c>
      <c r="J207" s="150">
        <v>0.41299768518518515</v>
      </c>
      <c r="K207" s="150">
        <v>0.4130092592592593</v>
      </c>
      <c r="L207" t="s">
        <v>165</v>
      </c>
      <c r="N207">
        <v>552346</v>
      </c>
      <c r="O207">
        <v>552346</v>
      </c>
      <c r="P207">
        <v>552303</v>
      </c>
      <c r="Q207">
        <v>0</v>
      </c>
      <c r="R207" t="s">
        <v>166</v>
      </c>
      <c r="S207">
        <v>0</v>
      </c>
      <c r="T207" t="s">
        <v>167</v>
      </c>
      <c r="U207">
        <v>552303</v>
      </c>
      <c r="W207" t="s">
        <v>168</v>
      </c>
      <c r="X207" t="s">
        <v>166</v>
      </c>
    </row>
    <row r="208" spans="1:24" x14ac:dyDescent="0.3">
      <c r="A208" s="7" t="s">
        <v>79</v>
      </c>
      <c r="B208" t="s">
        <v>80</v>
      </c>
      <c r="C208" t="s">
        <v>169</v>
      </c>
      <c r="D208" t="s">
        <v>164</v>
      </c>
      <c r="E208" s="108">
        <v>1000</v>
      </c>
      <c r="F208">
        <v>0</v>
      </c>
      <c r="G208">
        <v>50</v>
      </c>
      <c r="H208" s="108">
        <v>38025</v>
      </c>
      <c r="I208" s="108">
        <v>38025</v>
      </c>
      <c r="J208" s="150">
        <v>0.41302083333333334</v>
      </c>
      <c r="K208" s="150">
        <v>0.41302083333333334</v>
      </c>
      <c r="L208" t="s">
        <v>165</v>
      </c>
      <c r="N208">
        <v>552759</v>
      </c>
      <c r="O208">
        <v>552759</v>
      </c>
      <c r="P208">
        <v>552752</v>
      </c>
      <c r="Q208">
        <v>950</v>
      </c>
      <c r="R208" t="s">
        <v>166</v>
      </c>
      <c r="S208">
        <v>0</v>
      </c>
      <c r="T208" t="s">
        <v>167</v>
      </c>
      <c r="U208">
        <v>552752</v>
      </c>
      <c r="W208" t="s">
        <v>168</v>
      </c>
      <c r="X208" t="s">
        <v>166</v>
      </c>
    </row>
    <row r="209" spans="1:24" x14ac:dyDescent="0.3">
      <c r="A209" s="7" t="s">
        <v>69</v>
      </c>
      <c r="B209" t="s">
        <v>70</v>
      </c>
      <c r="C209" t="s">
        <v>163</v>
      </c>
      <c r="D209" t="s">
        <v>164</v>
      </c>
      <c r="E209" s="108">
        <v>1000</v>
      </c>
      <c r="F209">
        <v>0</v>
      </c>
      <c r="G209" s="108">
        <v>1000</v>
      </c>
      <c r="H209" s="108">
        <v>19030</v>
      </c>
      <c r="I209" s="108">
        <v>19030</v>
      </c>
      <c r="J209" s="150">
        <v>0.41304398148148147</v>
      </c>
      <c r="K209" s="150">
        <v>0.41305555555555556</v>
      </c>
      <c r="L209" t="s">
        <v>165</v>
      </c>
      <c r="N209">
        <v>553411</v>
      </c>
      <c r="O209">
        <v>553411</v>
      </c>
      <c r="P209">
        <v>553262</v>
      </c>
      <c r="Q209">
        <v>0</v>
      </c>
      <c r="R209" t="s">
        <v>166</v>
      </c>
      <c r="S209">
        <v>0</v>
      </c>
      <c r="T209" t="s">
        <v>167</v>
      </c>
      <c r="U209">
        <v>553262</v>
      </c>
      <c r="W209" t="s">
        <v>168</v>
      </c>
      <c r="X209" t="s">
        <v>166</v>
      </c>
    </row>
    <row r="210" spans="1:24" x14ac:dyDescent="0.3">
      <c r="A210" s="7" t="s">
        <v>102</v>
      </c>
      <c r="B210" t="s">
        <v>103</v>
      </c>
      <c r="C210" t="s">
        <v>163</v>
      </c>
      <c r="D210" t="s">
        <v>164</v>
      </c>
      <c r="E210" s="108">
        <v>1000</v>
      </c>
      <c r="F210">
        <v>0</v>
      </c>
      <c r="G210" s="108">
        <v>1000</v>
      </c>
      <c r="H210" s="108">
        <v>8135</v>
      </c>
      <c r="I210" s="108">
        <v>8135</v>
      </c>
      <c r="J210" s="150">
        <v>0.41348379629629628</v>
      </c>
      <c r="K210" s="150">
        <v>0.41349537037037037</v>
      </c>
      <c r="L210" t="s">
        <v>165</v>
      </c>
      <c r="N210">
        <v>562632</v>
      </c>
      <c r="O210">
        <v>562632</v>
      </c>
      <c r="P210">
        <v>562620</v>
      </c>
      <c r="Q210">
        <v>0</v>
      </c>
      <c r="R210" t="s">
        <v>166</v>
      </c>
      <c r="S210">
        <v>0</v>
      </c>
      <c r="T210" t="s">
        <v>167</v>
      </c>
      <c r="U210">
        <v>562620</v>
      </c>
      <c r="W210" t="s">
        <v>168</v>
      </c>
      <c r="X210" t="s">
        <v>166</v>
      </c>
    </row>
    <row r="211" spans="1:24" x14ac:dyDescent="0.3">
      <c r="A211" s="7" t="s">
        <v>67</v>
      </c>
      <c r="B211" t="s">
        <v>68</v>
      </c>
      <c r="C211" t="s">
        <v>163</v>
      </c>
      <c r="D211" t="s">
        <v>164</v>
      </c>
      <c r="E211" s="108">
        <v>1000</v>
      </c>
      <c r="F211">
        <v>0</v>
      </c>
      <c r="G211" s="108">
        <v>1000</v>
      </c>
      <c r="H211" s="108">
        <v>10390</v>
      </c>
      <c r="I211" s="108">
        <v>10390</v>
      </c>
      <c r="J211" s="150">
        <v>0.41373842592592597</v>
      </c>
      <c r="K211" s="150">
        <v>0.41373842592592597</v>
      </c>
      <c r="L211" t="s">
        <v>165</v>
      </c>
      <c r="N211">
        <v>567556</v>
      </c>
      <c r="O211">
        <v>567556</v>
      </c>
      <c r="P211">
        <v>567463</v>
      </c>
      <c r="Q211">
        <v>0</v>
      </c>
      <c r="R211" t="s">
        <v>166</v>
      </c>
      <c r="S211">
        <v>0</v>
      </c>
      <c r="T211" t="s">
        <v>167</v>
      </c>
      <c r="U211">
        <v>567463</v>
      </c>
      <c r="W211" t="s">
        <v>168</v>
      </c>
      <c r="X211" t="s">
        <v>166</v>
      </c>
    </row>
    <row r="212" spans="1:24" x14ac:dyDescent="0.3">
      <c r="A212" s="7" t="s">
        <v>79</v>
      </c>
      <c r="B212" t="s">
        <v>80</v>
      </c>
      <c r="C212" t="s">
        <v>169</v>
      </c>
      <c r="D212" t="s">
        <v>164</v>
      </c>
      <c r="E212" s="108">
        <v>1000</v>
      </c>
      <c r="F212">
        <v>0</v>
      </c>
      <c r="G212">
        <v>298</v>
      </c>
      <c r="H212" s="108">
        <v>38065</v>
      </c>
      <c r="I212" s="108">
        <v>38055</v>
      </c>
      <c r="J212" s="150">
        <v>0.41380787037037042</v>
      </c>
      <c r="K212" s="150">
        <v>0.41380787037037042</v>
      </c>
      <c r="L212" t="s">
        <v>165</v>
      </c>
      <c r="N212">
        <v>569385</v>
      </c>
      <c r="O212">
        <v>569385</v>
      </c>
      <c r="P212">
        <v>569360</v>
      </c>
      <c r="Q212">
        <v>702</v>
      </c>
      <c r="R212" t="s">
        <v>166</v>
      </c>
      <c r="S212">
        <v>0</v>
      </c>
      <c r="T212" t="s">
        <v>167</v>
      </c>
      <c r="U212">
        <v>569360</v>
      </c>
      <c r="W212" t="s">
        <v>168</v>
      </c>
      <c r="X212" t="s">
        <v>166</v>
      </c>
    </row>
    <row r="213" spans="1:24" x14ac:dyDescent="0.3">
      <c r="A213" s="7" t="s">
        <v>138</v>
      </c>
      <c r="B213" t="s">
        <v>171</v>
      </c>
      <c r="C213" t="s">
        <v>163</v>
      </c>
      <c r="D213" t="s">
        <v>164</v>
      </c>
      <c r="E213" s="108">
        <v>1000</v>
      </c>
      <c r="F213">
        <v>0</v>
      </c>
      <c r="G213">
        <v>2</v>
      </c>
      <c r="H213" s="108">
        <v>9015</v>
      </c>
      <c r="I213" s="108">
        <v>9015</v>
      </c>
      <c r="J213" s="150">
        <v>0.4138425925925926</v>
      </c>
      <c r="K213" s="150">
        <v>0.41388888888888892</v>
      </c>
      <c r="L213" t="s">
        <v>165</v>
      </c>
      <c r="N213">
        <v>570288</v>
      </c>
      <c r="O213">
        <v>570288</v>
      </c>
      <c r="P213">
        <v>569879</v>
      </c>
      <c r="Q213">
        <v>998</v>
      </c>
      <c r="R213" t="s">
        <v>166</v>
      </c>
      <c r="S213">
        <v>0</v>
      </c>
      <c r="T213" t="s">
        <v>167</v>
      </c>
      <c r="U213">
        <v>569879</v>
      </c>
      <c r="W213" t="s">
        <v>168</v>
      </c>
      <c r="X213" t="s">
        <v>166</v>
      </c>
    </row>
    <row r="214" spans="1:24" x14ac:dyDescent="0.3">
      <c r="A214" s="7" t="s">
        <v>69</v>
      </c>
      <c r="B214" t="s">
        <v>70</v>
      </c>
      <c r="C214" t="s">
        <v>163</v>
      </c>
      <c r="D214" t="s">
        <v>164</v>
      </c>
      <c r="E214" s="108">
        <v>1000</v>
      </c>
      <c r="F214">
        <v>0</v>
      </c>
      <c r="G214" s="108">
        <v>1000</v>
      </c>
      <c r="H214" s="108">
        <v>19030</v>
      </c>
      <c r="I214" s="108">
        <v>19030</v>
      </c>
      <c r="J214" s="150">
        <v>0.41386574074074073</v>
      </c>
      <c r="K214" s="150">
        <v>0.41386574074074073</v>
      </c>
      <c r="L214" t="s">
        <v>165</v>
      </c>
      <c r="N214">
        <v>571001</v>
      </c>
      <c r="O214">
        <v>571001</v>
      </c>
      <c r="P214">
        <v>570901</v>
      </c>
      <c r="Q214">
        <v>0</v>
      </c>
      <c r="R214" t="s">
        <v>166</v>
      </c>
      <c r="S214">
        <v>0</v>
      </c>
      <c r="T214" t="s">
        <v>167</v>
      </c>
      <c r="U214">
        <v>570901</v>
      </c>
      <c r="W214" t="s">
        <v>168</v>
      </c>
      <c r="X214" t="s">
        <v>166</v>
      </c>
    </row>
    <row r="215" spans="1:24" x14ac:dyDescent="0.3">
      <c r="A215" s="7" t="s">
        <v>69</v>
      </c>
      <c r="B215" t="s">
        <v>70</v>
      </c>
      <c r="C215" t="s">
        <v>169</v>
      </c>
      <c r="D215" t="s">
        <v>164</v>
      </c>
      <c r="E215" s="108">
        <v>1000</v>
      </c>
      <c r="F215">
        <v>0</v>
      </c>
      <c r="G215" s="108">
        <v>1000</v>
      </c>
      <c r="H215" s="108">
        <v>18985</v>
      </c>
      <c r="I215" s="108">
        <v>18985</v>
      </c>
      <c r="J215" s="150">
        <v>0.41386574074074073</v>
      </c>
      <c r="K215" s="150">
        <v>0.41412037037037036</v>
      </c>
      <c r="L215" t="s">
        <v>165</v>
      </c>
      <c r="N215">
        <v>571006</v>
      </c>
      <c r="O215">
        <v>571006</v>
      </c>
      <c r="P215">
        <v>570860</v>
      </c>
      <c r="Q215">
        <v>0</v>
      </c>
      <c r="R215" t="s">
        <v>166</v>
      </c>
      <c r="S215">
        <v>0</v>
      </c>
      <c r="T215" t="s">
        <v>167</v>
      </c>
      <c r="U215">
        <v>570860</v>
      </c>
      <c r="W215" t="s">
        <v>168</v>
      </c>
      <c r="X215" t="s">
        <v>166</v>
      </c>
    </row>
    <row r="216" spans="1:24" x14ac:dyDescent="0.3">
      <c r="A216" s="7" t="s">
        <v>108</v>
      </c>
      <c r="B216" t="s">
        <v>172</v>
      </c>
      <c r="C216" t="s">
        <v>169</v>
      </c>
      <c r="D216" t="s">
        <v>164</v>
      </c>
      <c r="E216">
        <v>500</v>
      </c>
      <c r="F216">
        <v>0</v>
      </c>
      <c r="G216">
        <v>5</v>
      </c>
      <c r="H216" s="108">
        <v>51705</v>
      </c>
      <c r="I216" s="108">
        <v>51705</v>
      </c>
      <c r="J216" s="150">
        <v>0.41412037037037036</v>
      </c>
      <c r="K216" s="150">
        <v>0.41412037037037036</v>
      </c>
      <c r="L216" t="s">
        <v>165</v>
      </c>
      <c r="N216">
        <v>577184</v>
      </c>
      <c r="O216">
        <v>577184</v>
      </c>
      <c r="P216">
        <v>577142</v>
      </c>
      <c r="Q216">
        <v>495</v>
      </c>
      <c r="R216" t="s">
        <v>166</v>
      </c>
      <c r="S216">
        <v>0</v>
      </c>
      <c r="T216" t="s">
        <v>167</v>
      </c>
      <c r="U216">
        <v>577142</v>
      </c>
      <c r="W216" t="s">
        <v>168</v>
      </c>
      <c r="X216" t="s">
        <v>166</v>
      </c>
    </row>
    <row r="217" spans="1:24" x14ac:dyDescent="0.3">
      <c r="A217" s="7" t="s">
        <v>65</v>
      </c>
      <c r="B217" t="s">
        <v>66</v>
      </c>
      <c r="C217" t="s">
        <v>169</v>
      </c>
      <c r="D217" t="s">
        <v>164</v>
      </c>
      <c r="E217" s="108">
        <v>1000</v>
      </c>
      <c r="F217">
        <v>0</v>
      </c>
      <c r="G217" s="108">
        <v>1000</v>
      </c>
      <c r="H217" s="108">
        <v>4945</v>
      </c>
      <c r="I217" s="108">
        <v>4945</v>
      </c>
      <c r="J217" s="150">
        <v>0.41439814814814818</v>
      </c>
      <c r="K217" s="150">
        <v>0.41443287037037035</v>
      </c>
      <c r="L217" t="s">
        <v>165</v>
      </c>
      <c r="N217">
        <v>582909</v>
      </c>
      <c r="O217">
        <v>582909</v>
      </c>
      <c r="P217">
        <v>582877</v>
      </c>
      <c r="Q217">
        <v>0</v>
      </c>
      <c r="R217" t="s">
        <v>166</v>
      </c>
      <c r="S217">
        <v>0</v>
      </c>
      <c r="T217" t="s">
        <v>167</v>
      </c>
      <c r="U217">
        <v>582877</v>
      </c>
      <c r="W217" t="s">
        <v>168</v>
      </c>
      <c r="X217" t="s">
        <v>166</v>
      </c>
    </row>
    <row r="218" spans="1:24" x14ac:dyDescent="0.3">
      <c r="A218" s="7" t="s">
        <v>77</v>
      </c>
      <c r="B218" t="s">
        <v>78</v>
      </c>
      <c r="C218" t="s">
        <v>169</v>
      </c>
      <c r="D218" t="s">
        <v>164</v>
      </c>
      <c r="E218" s="108">
        <v>1000</v>
      </c>
      <c r="F218">
        <v>0</v>
      </c>
      <c r="G218" s="108">
        <v>1000</v>
      </c>
      <c r="H218" s="108">
        <v>17920</v>
      </c>
      <c r="I218" s="108">
        <v>17920</v>
      </c>
      <c r="J218" s="150">
        <v>0.41449074074074077</v>
      </c>
      <c r="K218" s="150">
        <v>0.41449074074074077</v>
      </c>
      <c r="L218" t="s">
        <v>165</v>
      </c>
      <c r="N218">
        <v>584586</v>
      </c>
      <c r="O218">
        <v>584586</v>
      </c>
      <c r="P218">
        <v>584536</v>
      </c>
      <c r="Q218">
        <v>0</v>
      </c>
      <c r="R218" t="s">
        <v>166</v>
      </c>
      <c r="S218">
        <v>0</v>
      </c>
      <c r="T218" t="s">
        <v>167</v>
      </c>
      <c r="U218">
        <v>584536</v>
      </c>
      <c r="W218" t="s">
        <v>168</v>
      </c>
      <c r="X218" t="s">
        <v>166</v>
      </c>
    </row>
    <row r="219" spans="1:24" x14ac:dyDescent="0.3">
      <c r="A219" s="7" t="s">
        <v>100</v>
      </c>
      <c r="B219" t="s">
        <v>101</v>
      </c>
      <c r="C219" t="s">
        <v>169</v>
      </c>
      <c r="D219" t="s">
        <v>164</v>
      </c>
      <c r="E219" s="108">
        <v>1000</v>
      </c>
      <c r="F219">
        <v>0</v>
      </c>
      <c r="G219" s="108">
        <v>1000</v>
      </c>
      <c r="H219" s="108">
        <v>26400</v>
      </c>
      <c r="I219" s="108">
        <v>26400</v>
      </c>
      <c r="J219" s="150">
        <v>0.41479166666666667</v>
      </c>
      <c r="K219" s="150">
        <v>0.41479166666666667</v>
      </c>
      <c r="L219" t="s">
        <v>165</v>
      </c>
      <c r="N219">
        <v>591028</v>
      </c>
      <c r="O219">
        <v>591028</v>
      </c>
      <c r="P219">
        <v>590697</v>
      </c>
      <c r="Q219">
        <v>0</v>
      </c>
      <c r="R219" t="s">
        <v>166</v>
      </c>
      <c r="S219">
        <v>0</v>
      </c>
      <c r="T219" t="s">
        <v>167</v>
      </c>
      <c r="U219">
        <v>590697</v>
      </c>
      <c r="W219" t="s">
        <v>168</v>
      </c>
      <c r="X219" t="s">
        <v>166</v>
      </c>
    </row>
    <row r="220" spans="1:24" x14ac:dyDescent="0.3">
      <c r="A220" s="7" t="s">
        <v>67</v>
      </c>
      <c r="B220" t="s">
        <v>68</v>
      </c>
      <c r="C220" t="s">
        <v>163</v>
      </c>
      <c r="D220" t="s">
        <v>164</v>
      </c>
      <c r="E220" s="108">
        <v>1000</v>
      </c>
      <c r="F220">
        <v>0</v>
      </c>
      <c r="G220" s="108">
        <v>1000</v>
      </c>
      <c r="H220" s="108">
        <v>10415</v>
      </c>
      <c r="I220" s="108">
        <v>10415</v>
      </c>
      <c r="J220" s="150">
        <v>0.41486111111111112</v>
      </c>
      <c r="K220" s="150">
        <v>0.41487268518518516</v>
      </c>
      <c r="L220" t="s">
        <v>165</v>
      </c>
      <c r="N220">
        <v>592534</v>
      </c>
      <c r="O220">
        <v>592534</v>
      </c>
      <c r="P220">
        <v>592485</v>
      </c>
      <c r="Q220">
        <v>0</v>
      </c>
      <c r="R220" t="s">
        <v>166</v>
      </c>
      <c r="S220">
        <v>0</v>
      </c>
      <c r="T220" t="s">
        <v>167</v>
      </c>
      <c r="U220">
        <v>592485</v>
      </c>
      <c r="W220" t="s">
        <v>168</v>
      </c>
      <c r="X220" t="s">
        <v>166</v>
      </c>
    </row>
    <row r="221" spans="1:24" x14ac:dyDescent="0.3">
      <c r="A221" s="7" t="s">
        <v>112</v>
      </c>
      <c r="B221" t="s">
        <v>113</v>
      </c>
      <c r="C221" t="s">
        <v>163</v>
      </c>
      <c r="D221" t="s">
        <v>164</v>
      </c>
      <c r="E221" s="108">
        <v>1000</v>
      </c>
      <c r="F221">
        <v>0</v>
      </c>
      <c r="G221">
        <v>1</v>
      </c>
      <c r="H221" s="108">
        <v>55615</v>
      </c>
      <c r="I221" s="108">
        <v>55615</v>
      </c>
      <c r="J221" s="150">
        <v>0.41493055555555558</v>
      </c>
      <c r="K221" s="150">
        <v>0.41493055555555558</v>
      </c>
      <c r="L221" t="s">
        <v>165</v>
      </c>
      <c r="N221">
        <v>593823</v>
      </c>
      <c r="O221">
        <v>593823</v>
      </c>
      <c r="P221">
        <v>593813</v>
      </c>
      <c r="Q221">
        <v>999</v>
      </c>
      <c r="R221" t="s">
        <v>166</v>
      </c>
      <c r="S221">
        <v>0</v>
      </c>
      <c r="T221" t="s">
        <v>167</v>
      </c>
      <c r="U221">
        <v>593813</v>
      </c>
      <c r="W221" t="s">
        <v>168</v>
      </c>
      <c r="X221" t="s">
        <v>166</v>
      </c>
    </row>
    <row r="222" spans="1:24" x14ac:dyDescent="0.3">
      <c r="A222" s="7" t="s">
        <v>112</v>
      </c>
      <c r="B222" t="s">
        <v>113</v>
      </c>
      <c r="C222" t="s">
        <v>163</v>
      </c>
      <c r="D222" t="s">
        <v>164</v>
      </c>
      <c r="E222" s="108">
        <v>1000</v>
      </c>
      <c r="F222">
        <v>0</v>
      </c>
      <c r="G222">
        <v>999</v>
      </c>
      <c r="H222" s="108">
        <v>55605</v>
      </c>
      <c r="I222" s="108">
        <v>55605</v>
      </c>
      <c r="J222" s="150">
        <v>0.41493055555555558</v>
      </c>
      <c r="K222" s="150">
        <v>0.41494212962962962</v>
      </c>
      <c r="L222" t="s">
        <v>165</v>
      </c>
      <c r="N222">
        <v>593893</v>
      </c>
      <c r="O222">
        <v>593893</v>
      </c>
      <c r="P222">
        <v>593823</v>
      </c>
      <c r="Q222">
        <v>0</v>
      </c>
      <c r="R222" t="s">
        <v>166</v>
      </c>
      <c r="S222">
        <v>1</v>
      </c>
      <c r="T222" t="s">
        <v>167</v>
      </c>
      <c r="U222">
        <v>593823</v>
      </c>
      <c r="W222" t="s">
        <v>168</v>
      </c>
      <c r="X222" t="s">
        <v>166</v>
      </c>
    </row>
    <row r="223" spans="1:24" x14ac:dyDescent="0.3">
      <c r="A223" s="7" t="s">
        <v>69</v>
      </c>
      <c r="B223" t="s">
        <v>70</v>
      </c>
      <c r="C223" t="s">
        <v>163</v>
      </c>
      <c r="D223" t="s">
        <v>164</v>
      </c>
      <c r="E223" s="108">
        <v>1000</v>
      </c>
      <c r="F223">
        <v>0</v>
      </c>
      <c r="G223" s="108">
        <v>1000</v>
      </c>
      <c r="H223" s="108">
        <v>19005</v>
      </c>
      <c r="I223" s="108">
        <v>19005</v>
      </c>
      <c r="J223" s="150">
        <v>0.41493055555555558</v>
      </c>
      <c r="K223" s="150">
        <v>0.41495370370370371</v>
      </c>
      <c r="L223" t="s">
        <v>165</v>
      </c>
      <c r="N223">
        <v>593909</v>
      </c>
      <c r="O223">
        <v>593909</v>
      </c>
      <c r="P223">
        <v>593790</v>
      </c>
      <c r="Q223">
        <v>0</v>
      </c>
      <c r="R223" t="s">
        <v>166</v>
      </c>
      <c r="S223">
        <v>0</v>
      </c>
      <c r="T223" t="s">
        <v>167</v>
      </c>
      <c r="U223">
        <v>593790</v>
      </c>
      <c r="W223" t="s">
        <v>168</v>
      </c>
      <c r="X223" t="s">
        <v>166</v>
      </c>
    </row>
    <row r="224" spans="1:24" x14ac:dyDescent="0.3">
      <c r="A224" s="7" t="s">
        <v>71</v>
      </c>
      <c r="B224" t="s">
        <v>72</v>
      </c>
      <c r="C224" t="s">
        <v>163</v>
      </c>
      <c r="D224" t="s">
        <v>164</v>
      </c>
      <c r="E224" s="108">
        <v>1000</v>
      </c>
      <c r="F224">
        <v>0</v>
      </c>
      <c r="G224">
        <v>40</v>
      </c>
      <c r="H224" s="108">
        <v>18655</v>
      </c>
      <c r="I224" s="108">
        <v>18655</v>
      </c>
      <c r="J224" s="150">
        <v>0.4151157407407407</v>
      </c>
      <c r="K224" s="150">
        <v>0.41512731481481485</v>
      </c>
      <c r="L224" t="s">
        <v>165</v>
      </c>
      <c r="N224">
        <v>597428</v>
      </c>
      <c r="O224">
        <v>597428</v>
      </c>
      <c r="P224">
        <v>597298</v>
      </c>
      <c r="Q224">
        <v>960</v>
      </c>
      <c r="R224" t="s">
        <v>166</v>
      </c>
      <c r="S224">
        <v>0</v>
      </c>
      <c r="T224" t="s">
        <v>167</v>
      </c>
      <c r="U224">
        <v>597298</v>
      </c>
      <c r="W224" t="s">
        <v>168</v>
      </c>
      <c r="X224" t="s">
        <v>166</v>
      </c>
    </row>
    <row r="225" spans="1:24" x14ac:dyDescent="0.3">
      <c r="A225" s="7" t="s">
        <v>81</v>
      </c>
      <c r="B225" t="s">
        <v>82</v>
      </c>
      <c r="C225" t="s">
        <v>169</v>
      </c>
      <c r="D225" t="s">
        <v>164</v>
      </c>
      <c r="E225" s="108">
        <v>1000</v>
      </c>
      <c r="F225">
        <v>0</v>
      </c>
      <c r="G225">
        <v>10</v>
      </c>
      <c r="H225" s="108">
        <v>13415</v>
      </c>
      <c r="I225" s="108">
        <v>13415</v>
      </c>
      <c r="J225" s="150">
        <v>0.41590277777777779</v>
      </c>
      <c r="K225" s="150">
        <v>0.41591435185185183</v>
      </c>
      <c r="L225" t="s">
        <v>165</v>
      </c>
      <c r="N225">
        <v>611896</v>
      </c>
      <c r="O225">
        <v>611896</v>
      </c>
      <c r="P225">
        <v>611833</v>
      </c>
      <c r="Q225">
        <v>990</v>
      </c>
      <c r="R225" t="s">
        <v>166</v>
      </c>
      <c r="S225">
        <v>0</v>
      </c>
      <c r="T225" t="s">
        <v>167</v>
      </c>
      <c r="U225">
        <v>611833</v>
      </c>
      <c r="W225" t="s">
        <v>168</v>
      </c>
      <c r="X225" t="s">
        <v>166</v>
      </c>
    </row>
    <row r="226" spans="1:24" x14ac:dyDescent="0.3">
      <c r="A226" s="7" t="s">
        <v>69</v>
      </c>
      <c r="B226" t="s">
        <v>70</v>
      </c>
      <c r="C226" t="s">
        <v>163</v>
      </c>
      <c r="D226" t="s">
        <v>164</v>
      </c>
      <c r="E226" s="108">
        <v>1000</v>
      </c>
      <c r="F226">
        <v>0</v>
      </c>
      <c r="G226" s="108">
        <v>1000</v>
      </c>
      <c r="H226" s="108">
        <v>19005</v>
      </c>
      <c r="I226" s="108">
        <v>19005</v>
      </c>
      <c r="J226" s="150">
        <v>0.41594907407407411</v>
      </c>
      <c r="K226" s="150">
        <v>0.41594907407407411</v>
      </c>
      <c r="L226" t="s">
        <v>165</v>
      </c>
      <c r="N226">
        <v>612505</v>
      </c>
      <c r="O226">
        <v>612505</v>
      </c>
      <c r="P226">
        <v>612228</v>
      </c>
      <c r="Q226">
        <v>0</v>
      </c>
      <c r="R226" t="s">
        <v>166</v>
      </c>
      <c r="S226">
        <v>0</v>
      </c>
      <c r="T226" t="s">
        <v>167</v>
      </c>
      <c r="U226">
        <v>612228</v>
      </c>
      <c r="W226" t="s">
        <v>168</v>
      </c>
      <c r="X226" t="s">
        <v>166</v>
      </c>
    </row>
    <row r="227" spans="1:24" x14ac:dyDescent="0.3">
      <c r="A227" s="7" t="s">
        <v>106</v>
      </c>
      <c r="B227" t="s">
        <v>107</v>
      </c>
      <c r="C227" t="s">
        <v>163</v>
      </c>
      <c r="D227" t="s">
        <v>164</v>
      </c>
      <c r="E227" s="108">
        <v>1000</v>
      </c>
      <c r="F227">
        <v>0</v>
      </c>
      <c r="G227" s="108">
        <v>1000</v>
      </c>
      <c r="H227" s="108">
        <v>2690</v>
      </c>
      <c r="I227" s="108">
        <v>2690</v>
      </c>
      <c r="J227" s="150">
        <v>0.41616898148148151</v>
      </c>
      <c r="K227" s="150">
        <v>0.41618055555555555</v>
      </c>
      <c r="L227" t="s">
        <v>165</v>
      </c>
      <c r="N227">
        <v>616592</v>
      </c>
      <c r="O227">
        <v>616592</v>
      </c>
      <c r="P227">
        <v>616572</v>
      </c>
      <c r="Q227">
        <v>0</v>
      </c>
      <c r="R227" t="s">
        <v>166</v>
      </c>
      <c r="S227">
        <v>0</v>
      </c>
      <c r="T227" t="s">
        <v>167</v>
      </c>
      <c r="U227">
        <v>616572</v>
      </c>
      <c r="W227" t="s">
        <v>168</v>
      </c>
      <c r="X227" t="s">
        <v>166</v>
      </c>
    </row>
    <row r="228" spans="1:24" x14ac:dyDescent="0.3">
      <c r="A228" s="7" t="s">
        <v>100</v>
      </c>
      <c r="B228" t="s">
        <v>101</v>
      </c>
      <c r="C228" t="s">
        <v>169</v>
      </c>
      <c r="D228" t="s">
        <v>164</v>
      </c>
      <c r="E228" s="108">
        <v>1000</v>
      </c>
      <c r="F228">
        <v>0</v>
      </c>
      <c r="G228">
        <v>587</v>
      </c>
      <c r="H228" s="108">
        <v>26445</v>
      </c>
      <c r="I228" s="108">
        <v>26445</v>
      </c>
      <c r="J228" s="150">
        <v>0.41631944444444446</v>
      </c>
      <c r="K228" s="150">
        <v>0.41631944444444446</v>
      </c>
      <c r="L228" t="s">
        <v>165</v>
      </c>
      <c r="N228">
        <v>619152</v>
      </c>
      <c r="O228">
        <v>619152</v>
      </c>
      <c r="P228">
        <v>619146</v>
      </c>
      <c r="Q228">
        <v>413</v>
      </c>
      <c r="R228" t="s">
        <v>166</v>
      </c>
      <c r="S228">
        <v>0</v>
      </c>
      <c r="T228" t="s">
        <v>167</v>
      </c>
      <c r="U228">
        <v>619146</v>
      </c>
      <c r="W228" t="s">
        <v>168</v>
      </c>
      <c r="X228" t="s">
        <v>166</v>
      </c>
    </row>
    <row r="229" spans="1:24" x14ac:dyDescent="0.3">
      <c r="A229" s="7" t="s">
        <v>102</v>
      </c>
      <c r="B229" t="s">
        <v>103</v>
      </c>
      <c r="C229" t="s">
        <v>163</v>
      </c>
      <c r="D229" t="s">
        <v>164</v>
      </c>
      <c r="E229" s="108">
        <v>1000</v>
      </c>
      <c r="F229">
        <v>0</v>
      </c>
      <c r="G229">
        <v>1</v>
      </c>
      <c r="H229" s="108">
        <v>8150</v>
      </c>
      <c r="I229" s="108">
        <v>8150</v>
      </c>
      <c r="J229" s="150">
        <v>0.41635416666666664</v>
      </c>
      <c r="K229" s="150">
        <v>0.41636574074074079</v>
      </c>
      <c r="L229" t="s">
        <v>165</v>
      </c>
      <c r="N229">
        <v>619675</v>
      </c>
      <c r="O229">
        <v>619675</v>
      </c>
      <c r="P229">
        <v>619627</v>
      </c>
      <c r="Q229">
        <v>999</v>
      </c>
      <c r="R229" t="s">
        <v>166</v>
      </c>
      <c r="S229">
        <v>0</v>
      </c>
      <c r="T229" t="s">
        <v>167</v>
      </c>
      <c r="U229">
        <v>619627</v>
      </c>
      <c r="W229" t="s">
        <v>168</v>
      </c>
      <c r="X229" t="s">
        <v>166</v>
      </c>
    </row>
    <row r="230" spans="1:24" x14ac:dyDescent="0.3">
      <c r="A230" s="7" t="s">
        <v>71</v>
      </c>
      <c r="B230" t="s">
        <v>72</v>
      </c>
      <c r="C230" t="s">
        <v>169</v>
      </c>
      <c r="D230" t="s">
        <v>164</v>
      </c>
      <c r="E230" s="108">
        <v>1000</v>
      </c>
      <c r="F230">
        <v>0</v>
      </c>
      <c r="G230">
        <v>50</v>
      </c>
      <c r="H230" s="108">
        <v>18620</v>
      </c>
      <c r="I230" s="108">
        <v>18620</v>
      </c>
      <c r="J230" s="150">
        <v>0.41693287037037036</v>
      </c>
      <c r="K230" s="150">
        <v>0.41695601851851855</v>
      </c>
      <c r="L230" t="s">
        <v>165</v>
      </c>
      <c r="N230">
        <v>630879</v>
      </c>
      <c r="O230">
        <v>630879</v>
      </c>
      <c r="P230">
        <v>630845</v>
      </c>
      <c r="Q230">
        <v>950</v>
      </c>
      <c r="R230" t="s">
        <v>166</v>
      </c>
      <c r="S230">
        <v>0</v>
      </c>
      <c r="T230" t="s">
        <v>167</v>
      </c>
      <c r="U230">
        <v>630845</v>
      </c>
      <c r="W230" t="s">
        <v>168</v>
      </c>
      <c r="X230" t="s">
        <v>166</v>
      </c>
    </row>
    <row r="231" spans="1:24" x14ac:dyDescent="0.3">
      <c r="A231" s="7" t="s">
        <v>106</v>
      </c>
      <c r="B231" t="s">
        <v>107</v>
      </c>
      <c r="C231" t="s">
        <v>163</v>
      </c>
      <c r="D231" t="s">
        <v>164</v>
      </c>
      <c r="E231" s="108">
        <v>1000</v>
      </c>
      <c r="F231">
        <v>0</v>
      </c>
      <c r="G231">
        <v>10</v>
      </c>
      <c r="H231" s="108">
        <v>2690</v>
      </c>
      <c r="I231" s="108">
        <v>2690</v>
      </c>
      <c r="J231" s="150">
        <v>0.41697916666666668</v>
      </c>
      <c r="K231" s="150">
        <v>0.41709490740740746</v>
      </c>
      <c r="L231" t="s">
        <v>165</v>
      </c>
      <c r="N231">
        <v>631661</v>
      </c>
      <c r="O231">
        <v>631661</v>
      </c>
      <c r="P231">
        <v>631525</v>
      </c>
      <c r="Q231">
        <v>990</v>
      </c>
      <c r="R231" t="s">
        <v>166</v>
      </c>
      <c r="S231">
        <v>0</v>
      </c>
      <c r="T231" t="s">
        <v>167</v>
      </c>
      <c r="U231">
        <v>631525</v>
      </c>
      <c r="W231" t="s">
        <v>168</v>
      </c>
      <c r="X231" t="s">
        <v>166</v>
      </c>
    </row>
    <row r="232" spans="1:24" x14ac:dyDescent="0.3">
      <c r="A232" s="7" t="s">
        <v>138</v>
      </c>
      <c r="B232" t="s">
        <v>171</v>
      </c>
      <c r="C232" t="s">
        <v>163</v>
      </c>
      <c r="D232" t="s">
        <v>164</v>
      </c>
      <c r="E232" s="108">
        <v>1000</v>
      </c>
      <c r="F232">
        <v>0</v>
      </c>
      <c r="G232" s="108">
        <v>1000</v>
      </c>
      <c r="H232" s="108">
        <v>9010</v>
      </c>
      <c r="I232" s="108">
        <v>9010</v>
      </c>
      <c r="J232" s="150">
        <v>0.41703703703703704</v>
      </c>
      <c r="K232" s="150">
        <v>0.41703703703703704</v>
      </c>
      <c r="L232" t="s">
        <v>165</v>
      </c>
      <c r="N232">
        <v>632947</v>
      </c>
      <c r="O232">
        <v>632947</v>
      </c>
      <c r="P232">
        <v>632400</v>
      </c>
      <c r="Q232">
        <v>0</v>
      </c>
      <c r="R232" t="s">
        <v>166</v>
      </c>
      <c r="S232">
        <v>0</v>
      </c>
      <c r="T232" t="s">
        <v>167</v>
      </c>
      <c r="U232">
        <v>632400</v>
      </c>
      <c r="W232" t="s">
        <v>168</v>
      </c>
      <c r="X232" t="s">
        <v>166</v>
      </c>
    </row>
    <row r="233" spans="1:24" x14ac:dyDescent="0.3">
      <c r="A233" s="7" t="s">
        <v>69</v>
      </c>
      <c r="B233" t="s">
        <v>70</v>
      </c>
      <c r="C233" t="s">
        <v>163</v>
      </c>
      <c r="D233" t="s">
        <v>164</v>
      </c>
      <c r="E233" s="108">
        <v>1000</v>
      </c>
      <c r="F233">
        <v>0</v>
      </c>
      <c r="G233">
        <v>838</v>
      </c>
      <c r="H233" s="108">
        <v>18990</v>
      </c>
      <c r="I233" s="108">
        <v>18990</v>
      </c>
      <c r="J233" s="150">
        <v>0.41709490740740746</v>
      </c>
      <c r="K233" s="150">
        <v>0.41709490740740746</v>
      </c>
      <c r="L233" t="s">
        <v>165</v>
      </c>
      <c r="N233">
        <v>634156</v>
      </c>
      <c r="O233">
        <v>634156</v>
      </c>
      <c r="P233">
        <v>634005</v>
      </c>
      <c r="Q233">
        <v>162</v>
      </c>
      <c r="R233" t="s">
        <v>166</v>
      </c>
      <c r="S233">
        <v>0</v>
      </c>
      <c r="T233" t="s">
        <v>167</v>
      </c>
      <c r="U233">
        <v>634005</v>
      </c>
      <c r="W233" t="s">
        <v>168</v>
      </c>
      <c r="X233" t="s">
        <v>166</v>
      </c>
    </row>
    <row r="234" spans="1:24" x14ac:dyDescent="0.3">
      <c r="A234" s="7" t="s">
        <v>69</v>
      </c>
      <c r="B234" t="s">
        <v>70</v>
      </c>
      <c r="C234" t="s">
        <v>163</v>
      </c>
      <c r="D234" t="s">
        <v>164</v>
      </c>
      <c r="E234" s="108">
        <v>1000</v>
      </c>
      <c r="F234">
        <v>0</v>
      </c>
      <c r="G234">
        <v>162</v>
      </c>
      <c r="H234" s="108">
        <v>18995</v>
      </c>
      <c r="I234" s="108">
        <v>18995</v>
      </c>
      <c r="J234" s="150">
        <v>0.41709490740740746</v>
      </c>
      <c r="K234" s="150">
        <v>0.41709490740740746</v>
      </c>
      <c r="L234" t="s">
        <v>165</v>
      </c>
      <c r="N234">
        <v>634159</v>
      </c>
      <c r="O234">
        <v>634159</v>
      </c>
      <c r="P234">
        <v>634156</v>
      </c>
      <c r="Q234">
        <v>0</v>
      </c>
      <c r="R234" t="s">
        <v>166</v>
      </c>
      <c r="S234">
        <v>838</v>
      </c>
      <c r="T234" t="s">
        <v>167</v>
      </c>
      <c r="U234">
        <v>634156</v>
      </c>
      <c r="W234" t="s">
        <v>168</v>
      </c>
      <c r="X234" t="s">
        <v>166</v>
      </c>
    </row>
    <row r="235" spans="1:24" x14ac:dyDescent="0.3">
      <c r="A235" s="7" t="s">
        <v>108</v>
      </c>
      <c r="B235" t="s">
        <v>172</v>
      </c>
      <c r="C235" t="s">
        <v>163</v>
      </c>
      <c r="D235" t="s">
        <v>164</v>
      </c>
      <c r="E235">
        <v>500</v>
      </c>
      <c r="F235">
        <v>0</v>
      </c>
      <c r="G235">
        <v>1</v>
      </c>
      <c r="H235" s="108">
        <v>51875</v>
      </c>
      <c r="I235" s="108">
        <v>51875</v>
      </c>
      <c r="J235" s="150">
        <v>0.41712962962962963</v>
      </c>
      <c r="K235" s="150">
        <v>0.41712962962962963</v>
      </c>
      <c r="L235" t="s">
        <v>165</v>
      </c>
      <c r="N235">
        <v>634887</v>
      </c>
      <c r="O235">
        <v>634887</v>
      </c>
      <c r="P235">
        <v>634860</v>
      </c>
      <c r="Q235">
        <v>499</v>
      </c>
      <c r="R235" t="s">
        <v>166</v>
      </c>
      <c r="S235">
        <v>0</v>
      </c>
      <c r="T235" t="s">
        <v>167</v>
      </c>
      <c r="U235">
        <v>634860</v>
      </c>
      <c r="W235" t="s">
        <v>168</v>
      </c>
      <c r="X235" t="s">
        <v>166</v>
      </c>
    </row>
    <row r="236" spans="1:24" x14ac:dyDescent="0.3">
      <c r="A236" s="7" t="s">
        <v>100</v>
      </c>
      <c r="B236" t="s">
        <v>101</v>
      </c>
      <c r="C236" t="s">
        <v>169</v>
      </c>
      <c r="D236" t="s">
        <v>164</v>
      </c>
      <c r="E236" s="108">
        <v>1000</v>
      </c>
      <c r="F236">
        <v>0</v>
      </c>
      <c r="G236">
        <v>884</v>
      </c>
      <c r="H236" s="108">
        <v>26435</v>
      </c>
      <c r="I236" s="108">
        <v>26435</v>
      </c>
      <c r="J236" s="150">
        <v>0.41719907407407408</v>
      </c>
      <c r="K236" s="150">
        <v>0.41721064814814812</v>
      </c>
      <c r="L236" t="s">
        <v>165</v>
      </c>
      <c r="N236">
        <v>636562</v>
      </c>
      <c r="O236">
        <v>636562</v>
      </c>
      <c r="P236">
        <v>636539</v>
      </c>
      <c r="Q236">
        <v>116</v>
      </c>
      <c r="R236" t="s">
        <v>166</v>
      </c>
      <c r="S236">
        <v>0</v>
      </c>
      <c r="T236" t="s">
        <v>167</v>
      </c>
      <c r="U236">
        <v>636539</v>
      </c>
      <c r="W236" t="s">
        <v>168</v>
      </c>
      <c r="X236" t="s">
        <v>166</v>
      </c>
    </row>
    <row r="237" spans="1:24" x14ac:dyDescent="0.3">
      <c r="A237" s="7" t="s">
        <v>85</v>
      </c>
      <c r="B237" t="s">
        <v>86</v>
      </c>
      <c r="C237" t="s">
        <v>169</v>
      </c>
      <c r="D237" t="s">
        <v>164</v>
      </c>
      <c r="E237" s="108">
        <v>1000</v>
      </c>
      <c r="F237">
        <v>0</v>
      </c>
      <c r="G237">
        <v>37</v>
      </c>
      <c r="H237" s="108">
        <v>12605</v>
      </c>
      <c r="I237" s="108">
        <v>12605</v>
      </c>
      <c r="J237" s="150">
        <v>0.41733796296296299</v>
      </c>
      <c r="K237" s="150">
        <v>0.41737268518518517</v>
      </c>
      <c r="L237" t="s">
        <v>165</v>
      </c>
      <c r="N237">
        <v>638717</v>
      </c>
      <c r="O237">
        <v>638717</v>
      </c>
      <c r="P237">
        <v>638487</v>
      </c>
      <c r="Q237">
        <v>963</v>
      </c>
      <c r="R237" t="s">
        <v>166</v>
      </c>
      <c r="S237">
        <v>0</v>
      </c>
      <c r="T237" t="s">
        <v>167</v>
      </c>
      <c r="U237">
        <v>638487</v>
      </c>
      <c r="W237" t="s">
        <v>168</v>
      </c>
      <c r="X237" t="s">
        <v>166</v>
      </c>
    </row>
    <row r="238" spans="1:24" x14ac:dyDescent="0.3">
      <c r="A238" s="7" t="s">
        <v>79</v>
      </c>
      <c r="B238" t="s">
        <v>80</v>
      </c>
      <c r="C238" t="s">
        <v>169</v>
      </c>
      <c r="D238" t="s">
        <v>164</v>
      </c>
      <c r="E238" s="108">
        <v>1000</v>
      </c>
      <c r="F238">
        <v>0</v>
      </c>
      <c r="G238" s="108">
        <v>1000</v>
      </c>
      <c r="H238" s="108">
        <v>38020</v>
      </c>
      <c r="I238" s="108">
        <v>38020</v>
      </c>
      <c r="J238" s="150">
        <v>0.41733796296296299</v>
      </c>
      <c r="K238" s="150">
        <v>0.41734953703703703</v>
      </c>
      <c r="L238" t="s">
        <v>165</v>
      </c>
      <c r="N238">
        <v>638881</v>
      </c>
      <c r="O238">
        <v>638881</v>
      </c>
      <c r="P238">
        <v>638862</v>
      </c>
      <c r="Q238">
        <v>0</v>
      </c>
      <c r="R238" t="s">
        <v>166</v>
      </c>
      <c r="S238">
        <v>0</v>
      </c>
      <c r="T238" t="s">
        <v>167</v>
      </c>
      <c r="U238">
        <v>638862</v>
      </c>
      <c r="W238" t="s">
        <v>168</v>
      </c>
      <c r="X238" t="s">
        <v>166</v>
      </c>
    </row>
    <row r="239" spans="1:24" x14ac:dyDescent="0.3">
      <c r="A239" s="7" t="s">
        <v>77</v>
      </c>
      <c r="B239" t="s">
        <v>78</v>
      </c>
      <c r="C239" t="s">
        <v>169</v>
      </c>
      <c r="D239" t="s">
        <v>164</v>
      </c>
      <c r="E239" s="108">
        <v>1000</v>
      </c>
      <c r="F239">
        <v>0</v>
      </c>
      <c r="G239" s="108">
        <v>1000</v>
      </c>
      <c r="H239" s="108">
        <v>17955</v>
      </c>
      <c r="I239" s="108">
        <v>17955</v>
      </c>
      <c r="J239" s="150">
        <v>0.41734953703703703</v>
      </c>
      <c r="K239" s="150">
        <v>0.41736111111111113</v>
      </c>
      <c r="L239" t="s">
        <v>165</v>
      </c>
      <c r="N239">
        <v>639003</v>
      </c>
      <c r="O239">
        <v>639003</v>
      </c>
      <c r="P239">
        <v>638966</v>
      </c>
      <c r="Q239">
        <v>0</v>
      </c>
      <c r="R239" t="s">
        <v>166</v>
      </c>
      <c r="S239">
        <v>0</v>
      </c>
      <c r="T239" t="s">
        <v>167</v>
      </c>
      <c r="U239">
        <v>638966</v>
      </c>
      <c r="W239" t="s">
        <v>168</v>
      </c>
      <c r="X239" t="s">
        <v>166</v>
      </c>
    </row>
    <row r="240" spans="1:24" x14ac:dyDescent="0.3">
      <c r="A240" s="7" t="s">
        <v>92</v>
      </c>
      <c r="B240" t="s">
        <v>93</v>
      </c>
      <c r="C240" t="s">
        <v>163</v>
      </c>
      <c r="D240" t="s">
        <v>164</v>
      </c>
      <c r="E240" s="108">
        <v>1000</v>
      </c>
      <c r="F240">
        <v>0</v>
      </c>
      <c r="G240">
        <v>1</v>
      </c>
      <c r="H240" s="108">
        <v>22140</v>
      </c>
      <c r="I240" s="108">
        <v>22140</v>
      </c>
      <c r="J240" s="150">
        <v>0.41751157407407408</v>
      </c>
      <c r="K240" s="150">
        <v>0.41752314814814812</v>
      </c>
      <c r="L240" t="s">
        <v>165</v>
      </c>
      <c r="N240">
        <v>642367</v>
      </c>
      <c r="O240">
        <v>642367</v>
      </c>
      <c r="P240">
        <v>642194</v>
      </c>
      <c r="Q240">
        <v>999</v>
      </c>
      <c r="R240" t="s">
        <v>166</v>
      </c>
      <c r="S240">
        <v>0</v>
      </c>
      <c r="T240" t="s">
        <v>167</v>
      </c>
      <c r="U240">
        <v>642194</v>
      </c>
      <c r="W240" t="s">
        <v>168</v>
      </c>
      <c r="X240" t="s">
        <v>166</v>
      </c>
    </row>
    <row r="241" spans="1:24" x14ac:dyDescent="0.3">
      <c r="A241" s="7" t="s">
        <v>60</v>
      </c>
      <c r="B241" t="s">
        <v>61</v>
      </c>
      <c r="C241" t="s">
        <v>163</v>
      </c>
      <c r="D241" t="s">
        <v>164</v>
      </c>
      <c r="E241">
        <v>500</v>
      </c>
      <c r="F241">
        <v>0</v>
      </c>
      <c r="G241">
        <v>500</v>
      </c>
      <c r="H241" s="108">
        <v>35410</v>
      </c>
      <c r="I241" s="108">
        <v>35410</v>
      </c>
      <c r="J241" s="150">
        <v>0.4176273148148148</v>
      </c>
      <c r="K241" s="150">
        <v>0.4176273148148148</v>
      </c>
      <c r="L241" t="s">
        <v>165</v>
      </c>
      <c r="N241">
        <v>644743</v>
      </c>
      <c r="O241">
        <v>644743</v>
      </c>
      <c r="P241">
        <v>644722</v>
      </c>
      <c r="Q241">
        <v>0</v>
      </c>
      <c r="R241" t="s">
        <v>166</v>
      </c>
      <c r="S241">
        <v>0</v>
      </c>
      <c r="T241" t="s">
        <v>167</v>
      </c>
      <c r="U241">
        <v>644722</v>
      </c>
      <c r="W241" t="s">
        <v>168</v>
      </c>
      <c r="X241" t="s">
        <v>166</v>
      </c>
    </row>
    <row r="242" spans="1:24" x14ac:dyDescent="0.3">
      <c r="A242" s="7" t="s">
        <v>67</v>
      </c>
      <c r="B242" t="s">
        <v>68</v>
      </c>
      <c r="C242" t="s">
        <v>163</v>
      </c>
      <c r="D242" t="s">
        <v>164</v>
      </c>
      <c r="E242" s="108">
        <v>1000</v>
      </c>
      <c r="F242">
        <v>0</v>
      </c>
      <c r="G242">
        <v>714</v>
      </c>
      <c r="H242" s="108">
        <v>10395</v>
      </c>
      <c r="I242" s="108">
        <v>10395</v>
      </c>
      <c r="J242" s="150">
        <v>0.41775462962962967</v>
      </c>
      <c r="K242" s="150">
        <v>0.41775462962962967</v>
      </c>
      <c r="L242" t="s">
        <v>165</v>
      </c>
      <c r="N242">
        <v>646925</v>
      </c>
      <c r="O242">
        <v>646925</v>
      </c>
      <c r="P242">
        <v>646681</v>
      </c>
      <c r="Q242">
        <v>286</v>
      </c>
      <c r="R242" t="s">
        <v>166</v>
      </c>
      <c r="S242">
        <v>0</v>
      </c>
      <c r="T242" t="s">
        <v>167</v>
      </c>
      <c r="U242">
        <v>646681</v>
      </c>
      <c r="W242" t="s">
        <v>168</v>
      </c>
      <c r="X242" t="s">
        <v>166</v>
      </c>
    </row>
    <row r="243" spans="1:24" x14ac:dyDescent="0.3">
      <c r="A243" s="7" t="s">
        <v>98</v>
      </c>
      <c r="B243" t="s">
        <v>99</v>
      </c>
      <c r="C243" t="s">
        <v>163</v>
      </c>
      <c r="D243" t="s">
        <v>164</v>
      </c>
      <c r="E243" s="108">
        <v>1000</v>
      </c>
      <c r="F243">
        <v>0</v>
      </c>
      <c r="G243">
        <v>1</v>
      </c>
      <c r="H243" s="108">
        <v>15525</v>
      </c>
      <c r="I243" s="108">
        <v>15525</v>
      </c>
      <c r="J243" s="150">
        <v>0.41775462962962967</v>
      </c>
      <c r="K243" s="150">
        <v>0.41776620370370371</v>
      </c>
      <c r="L243" t="s">
        <v>165</v>
      </c>
      <c r="N243">
        <v>646958</v>
      </c>
      <c r="O243">
        <v>646958</v>
      </c>
      <c r="P243">
        <v>646768</v>
      </c>
      <c r="Q243">
        <v>999</v>
      </c>
      <c r="R243" t="s">
        <v>166</v>
      </c>
      <c r="S243">
        <v>0</v>
      </c>
      <c r="T243" t="s">
        <v>167</v>
      </c>
      <c r="U243">
        <v>646768</v>
      </c>
      <c r="W243" t="s">
        <v>168</v>
      </c>
      <c r="X243" t="s">
        <v>166</v>
      </c>
    </row>
    <row r="244" spans="1:24" x14ac:dyDescent="0.3">
      <c r="A244" s="7" t="s">
        <v>69</v>
      </c>
      <c r="B244" t="s">
        <v>70</v>
      </c>
      <c r="C244" t="s">
        <v>163</v>
      </c>
      <c r="D244" t="s">
        <v>170</v>
      </c>
      <c r="E244" s="108">
        <v>1000</v>
      </c>
      <c r="F244">
        <v>0</v>
      </c>
      <c r="G244" s="108">
        <v>1000</v>
      </c>
      <c r="H244" s="108">
        <v>18870</v>
      </c>
      <c r="I244" s="108">
        <v>18870</v>
      </c>
      <c r="J244" s="150">
        <v>0.41778935185185184</v>
      </c>
      <c r="K244" s="150">
        <v>0.41778935185185184</v>
      </c>
      <c r="L244" t="s">
        <v>165</v>
      </c>
      <c r="N244">
        <v>647408</v>
      </c>
      <c r="O244">
        <v>647408</v>
      </c>
      <c r="P244">
        <v>0</v>
      </c>
      <c r="Q244">
        <v>0</v>
      </c>
      <c r="R244" t="s">
        <v>166</v>
      </c>
      <c r="S244">
        <v>0</v>
      </c>
      <c r="T244" t="s">
        <v>167</v>
      </c>
      <c r="U244">
        <v>0</v>
      </c>
      <c r="W244" t="s">
        <v>168</v>
      </c>
      <c r="X244" t="s">
        <v>166</v>
      </c>
    </row>
    <row r="245" spans="1:24" x14ac:dyDescent="0.3">
      <c r="A245" s="7" t="s">
        <v>112</v>
      </c>
      <c r="B245" t="s">
        <v>113</v>
      </c>
      <c r="C245" t="s">
        <v>163</v>
      </c>
      <c r="D245" t="s">
        <v>164</v>
      </c>
      <c r="E245" s="108">
        <v>1000</v>
      </c>
      <c r="F245">
        <v>0</v>
      </c>
      <c r="G245">
        <v>69</v>
      </c>
      <c r="H245" s="108">
        <v>55340</v>
      </c>
      <c r="I245" s="108">
        <v>55340</v>
      </c>
      <c r="J245" s="150">
        <v>0.41792824074074075</v>
      </c>
      <c r="K245" s="150">
        <v>0.41792824074074075</v>
      </c>
      <c r="L245" t="s">
        <v>165</v>
      </c>
      <c r="N245">
        <v>649377</v>
      </c>
      <c r="O245">
        <v>649377</v>
      </c>
      <c r="P245">
        <v>649341</v>
      </c>
      <c r="Q245">
        <v>931</v>
      </c>
      <c r="R245" t="s">
        <v>166</v>
      </c>
      <c r="S245">
        <v>0</v>
      </c>
      <c r="T245" t="s">
        <v>167</v>
      </c>
      <c r="U245">
        <v>649341</v>
      </c>
      <c r="W245" t="s">
        <v>168</v>
      </c>
      <c r="X245" t="s">
        <v>166</v>
      </c>
    </row>
    <row r="246" spans="1:24" x14ac:dyDescent="0.3">
      <c r="A246" s="7" t="s">
        <v>77</v>
      </c>
      <c r="B246" t="s">
        <v>78</v>
      </c>
      <c r="C246" t="s">
        <v>163</v>
      </c>
      <c r="D246" t="s">
        <v>164</v>
      </c>
      <c r="E246" s="108">
        <v>1000</v>
      </c>
      <c r="F246">
        <v>0</v>
      </c>
      <c r="G246">
        <v>62</v>
      </c>
      <c r="H246" s="108">
        <v>17975</v>
      </c>
      <c r="I246" s="108">
        <v>17975</v>
      </c>
      <c r="J246" s="150">
        <v>0.41811342592592587</v>
      </c>
      <c r="K246" s="150">
        <v>0.41811342592592587</v>
      </c>
      <c r="L246" t="s">
        <v>165</v>
      </c>
      <c r="N246">
        <v>652465</v>
      </c>
      <c r="O246">
        <v>652465</v>
      </c>
      <c r="P246">
        <v>652412</v>
      </c>
      <c r="Q246">
        <v>938</v>
      </c>
      <c r="R246" t="s">
        <v>166</v>
      </c>
      <c r="S246">
        <v>0</v>
      </c>
      <c r="T246" t="s">
        <v>167</v>
      </c>
      <c r="U246">
        <v>652412</v>
      </c>
      <c r="W246" t="s">
        <v>168</v>
      </c>
      <c r="X246" t="s">
        <v>166</v>
      </c>
    </row>
    <row r="247" spans="1:24" x14ac:dyDescent="0.3">
      <c r="A247" s="7" t="s">
        <v>100</v>
      </c>
      <c r="B247" t="s">
        <v>101</v>
      </c>
      <c r="C247" t="s">
        <v>169</v>
      </c>
      <c r="D247" t="s">
        <v>164</v>
      </c>
      <c r="E247" s="108">
        <v>1000</v>
      </c>
      <c r="F247">
        <v>0</v>
      </c>
      <c r="G247" s="108">
        <v>1000</v>
      </c>
      <c r="H247" s="108">
        <v>26445</v>
      </c>
      <c r="I247" s="108">
        <v>26445</v>
      </c>
      <c r="J247" s="150">
        <v>0.41826388888888894</v>
      </c>
      <c r="K247" s="150">
        <v>0.41829861111111111</v>
      </c>
      <c r="L247" t="s">
        <v>165</v>
      </c>
      <c r="N247">
        <v>655505</v>
      </c>
      <c r="O247">
        <v>655505</v>
      </c>
      <c r="P247">
        <v>654866</v>
      </c>
      <c r="Q247">
        <v>0</v>
      </c>
      <c r="R247" t="s">
        <v>166</v>
      </c>
      <c r="S247">
        <v>0</v>
      </c>
      <c r="T247" t="s">
        <v>167</v>
      </c>
      <c r="U247">
        <v>654866</v>
      </c>
      <c r="W247" t="s">
        <v>168</v>
      </c>
      <c r="X247" t="s">
        <v>166</v>
      </c>
    </row>
    <row r="248" spans="1:24" x14ac:dyDescent="0.3">
      <c r="A248" s="7" t="s">
        <v>60</v>
      </c>
      <c r="B248" t="s">
        <v>61</v>
      </c>
      <c r="C248" t="s">
        <v>163</v>
      </c>
      <c r="D248" t="s">
        <v>164</v>
      </c>
      <c r="E248">
        <v>500</v>
      </c>
      <c r="F248">
        <v>0</v>
      </c>
      <c r="G248">
        <v>500</v>
      </c>
      <c r="H248" s="108">
        <v>35560</v>
      </c>
      <c r="I248" s="108">
        <v>35560</v>
      </c>
      <c r="J248" s="150">
        <v>0.41842592592592592</v>
      </c>
      <c r="K248" s="150">
        <v>0.41842592592592592</v>
      </c>
      <c r="L248" t="s">
        <v>165</v>
      </c>
      <c r="N248">
        <v>658189</v>
      </c>
      <c r="O248">
        <v>658189</v>
      </c>
      <c r="P248">
        <v>658181</v>
      </c>
      <c r="Q248">
        <v>0</v>
      </c>
      <c r="R248" t="s">
        <v>166</v>
      </c>
      <c r="S248">
        <v>0</v>
      </c>
      <c r="T248" t="s">
        <v>167</v>
      </c>
      <c r="U248">
        <v>658181</v>
      </c>
      <c r="W248" t="s">
        <v>168</v>
      </c>
      <c r="X248" t="s">
        <v>166</v>
      </c>
    </row>
    <row r="249" spans="1:24" x14ac:dyDescent="0.3">
      <c r="A249" s="7" t="s">
        <v>67</v>
      </c>
      <c r="B249" t="s">
        <v>68</v>
      </c>
      <c r="C249" t="s">
        <v>163</v>
      </c>
      <c r="D249" t="s">
        <v>164</v>
      </c>
      <c r="E249" s="108">
        <v>1000</v>
      </c>
      <c r="F249">
        <v>0</v>
      </c>
      <c r="G249" s="108">
        <v>1000</v>
      </c>
      <c r="H249" s="108">
        <v>10420</v>
      </c>
      <c r="I249" s="108">
        <v>10420</v>
      </c>
      <c r="J249" s="150">
        <v>0.41853009259259261</v>
      </c>
      <c r="K249" s="150">
        <v>0.41853009259259261</v>
      </c>
      <c r="L249" t="s">
        <v>165</v>
      </c>
      <c r="N249">
        <v>659962</v>
      </c>
      <c r="O249">
        <v>659962</v>
      </c>
      <c r="P249">
        <v>659933</v>
      </c>
      <c r="Q249">
        <v>0</v>
      </c>
      <c r="R249" t="s">
        <v>166</v>
      </c>
      <c r="S249">
        <v>0</v>
      </c>
      <c r="T249" t="s">
        <v>167</v>
      </c>
      <c r="U249">
        <v>659933</v>
      </c>
      <c r="W249" t="s">
        <v>168</v>
      </c>
      <c r="X249" t="s">
        <v>166</v>
      </c>
    </row>
    <row r="250" spans="1:24" x14ac:dyDescent="0.3">
      <c r="A250" s="7" t="s">
        <v>69</v>
      </c>
      <c r="B250" t="s">
        <v>70</v>
      </c>
      <c r="C250" t="s">
        <v>163</v>
      </c>
      <c r="D250" t="s">
        <v>164</v>
      </c>
      <c r="E250" s="108">
        <v>1000</v>
      </c>
      <c r="F250">
        <v>0</v>
      </c>
      <c r="G250" s="108">
        <v>1000</v>
      </c>
      <c r="H250" s="108">
        <v>18940</v>
      </c>
      <c r="I250" s="108">
        <v>18940</v>
      </c>
      <c r="J250" s="150">
        <v>0.41853009259259261</v>
      </c>
      <c r="K250" s="150">
        <v>0.41854166666666665</v>
      </c>
      <c r="L250" t="s">
        <v>165</v>
      </c>
      <c r="N250">
        <v>659986</v>
      </c>
      <c r="O250">
        <v>659986</v>
      </c>
      <c r="P250">
        <v>659977</v>
      </c>
      <c r="Q250">
        <v>0</v>
      </c>
      <c r="R250" t="s">
        <v>166</v>
      </c>
      <c r="S250">
        <v>0</v>
      </c>
      <c r="T250" t="s">
        <v>167</v>
      </c>
      <c r="U250">
        <v>659977</v>
      </c>
      <c r="W250" t="s">
        <v>168</v>
      </c>
      <c r="X250" t="s">
        <v>166</v>
      </c>
    </row>
    <row r="251" spans="1:24" x14ac:dyDescent="0.3">
      <c r="A251" s="7" t="s">
        <v>114</v>
      </c>
      <c r="B251" t="s">
        <v>173</v>
      </c>
      <c r="C251" t="s">
        <v>169</v>
      </c>
      <c r="D251" t="s">
        <v>164</v>
      </c>
      <c r="E251" s="108">
        <v>1000</v>
      </c>
      <c r="F251">
        <v>0</v>
      </c>
      <c r="G251">
        <v>10</v>
      </c>
      <c r="H251" s="108">
        <v>16835</v>
      </c>
      <c r="I251" s="108">
        <v>16835</v>
      </c>
      <c r="J251" s="150">
        <v>0.41896990740740742</v>
      </c>
      <c r="K251" s="150">
        <v>0.4189930555555556</v>
      </c>
      <c r="L251" t="s">
        <v>165</v>
      </c>
      <c r="N251">
        <v>667008</v>
      </c>
      <c r="O251">
        <v>667008</v>
      </c>
      <c r="P251">
        <v>667003</v>
      </c>
      <c r="Q251">
        <v>990</v>
      </c>
      <c r="R251" t="s">
        <v>166</v>
      </c>
      <c r="S251">
        <v>0</v>
      </c>
      <c r="T251" t="s">
        <v>167</v>
      </c>
      <c r="U251">
        <v>667003</v>
      </c>
      <c r="W251" t="s">
        <v>168</v>
      </c>
      <c r="X251" t="s">
        <v>166</v>
      </c>
    </row>
    <row r="252" spans="1:24" x14ac:dyDescent="0.3">
      <c r="A252" s="7" t="s">
        <v>138</v>
      </c>
      <c r="B252" t="s">
        <v>171</v>
      </c>
      <c r="C252" t="s">
        <v>163</v>
      </c>
      <c r="D252" t="s">
        <v>164</v>
      </c>
      <c r="E252" s="108">
        <v>1000</v>
      </c>
      <c r="F252">
        <v>0</v>
      </c>
      <c r="G252" s="108">
        <v>1000</v>
      </c>
      <c r="H252" s="108">
        <v>9015</v>
      </c>
      <c r="I252" s="108">
        <v>9015</v>
      </c>
      <c r="J252" s="150">
        <v>0.41910879629629627</v>
      </c>
      <c r="K252" s="150">
        <v>0.41914351851851855</v>
      </c>
      <c r="L252" t="s">
        <v>165</v>
      </c>
      <c r="N252">
        <v>669051</v>
      </c>
      <c r="O252">
        <v>669051</v>
      </c>
      <c r="P252">
        <v>668903</v>
      </c>
      <c r="Q252">
        <v>0</v>
      </c>
      <c r="R252" t="s">
        <v>166</v>
      </c>
      <c r="S252">
        <v>0</v>
      </c>
      <c r="T252" t="s">
        <v>167</v>
      </c>
      <c r="U252">
        <v>668903</v>
      </c>
      <c r="W252" t="s">
        <v>168</v>
      </c>
      <c r="X252" t="s">
        <v>166</v>
      </c>
    </row>
    <row r="253" spans="1:24" x14ac:dyDescent="0.3">
      <c r="A253" s="7" t="s">
        <v>124</v>
      </c>
      <c r="B253" t="s">
        <v>125</v>
      </c>
      <c r="C253" t="s">
        <v>163</v>
      </c>
      <c r="D253" t="s">
        <v>164</v>
      </c>
      <c r="E253" s="108">
        <v>1000</v>
      </c>
      <c r="F253">
        <v>0</v>
      </c>
      <c r="G253">
        <v>1</v>
      </c>
      <c r="H253" s="108">
        <v>12555</v>
      </c>
      <c r="I253" s="108">
        <v>12555</v>
      </c>
      <c r="J253" s="150">
        <v>0.41924768518518518</v>
      </c>
      <c r="K253" s="150">
        <v>0.41938657407407409</v>
      </c>
      <c r="L253" t="s">
        <v>165</v>
      </c>
      <c r="N253">
        <v>671453</v>
      </c>
      <c r="O253">
        <v>671453</v>
      </c>
      <c r="P253">
        <v>670895</v>
      </c>
      <c r="Q253">
        <v>999</v>
      </c>
      <c r="R253" t="s">
        <v>166</v>
      </c>
      <c r="S253">
        <v>0</v>
      </c>
      <c r="T253" t="s">
        <v>167</v>
      </c>
      <c r="U253">
        <v>670895</v>
      </c>
      <c r="W253" t="s">
        <v>168</v>
      </c>
      <c r="X253" t="s">
        <v>166</v>
      </c>
    </row>
    <row r="254" spans="1:24" x14ac:dyDescent="0.3">
      <c r="A254" s="7" t="s">
        <v>67</v>
      </c>
      <c r="B254" t="s">
        <v>68</v>
      </c>
      <c r="C254" t="s">
        <v>163</v>
      </c>
      <c r="D254" t="s">
        <v>164</v>
      </c>
      <c r="E254" s="108">
        <v>1000</v>
      </c>
      <c r="F254">
        <v>0</v>
      </c>
      <c r="G254" s="108">
        <v>1000</v>
      </c>
      <c r="H254" s="108">
        <v>10465</v>
      </c>
      <c r="I254" s="108">
        <v>10465</v>
      </c>
      <c r="J254" s="150">
        <v>0.41928240740740735</v>
      </c>
      <c r="K254" s="150">
        <v>0.41928240740740735</v>
      </c>
      <c r="L254" t="s">
        <v>165</v>
      </c>
      <c r="N254">
        <v>672045</v>
      </c>
      <c r="O254">
        <v>672045</v>
      </c>
      <c r="P254">
        <v>671991</v>
      </c>
      <c r="Q254">
        <v>0</v>
      </c>
      <c r="R254" t="s">
        <v>166</v>
      </c>
      <c r="S254">
        <v>0</v>
      </c>
      <c r="T254" t="s">
        <v>167</v>
      </c>
      <c r="U254">
        <v>671991</v>
      </c>
      <c r="W254" t="s">
        <v>168</v>
      </c>
      <c r="X254" t="s">
        <v>166</v>
      </c>
    </row>
    <row r="255" spans="1:24" x14ac:dyDescent="0.3">
      <c r="A255" s="7" t="s">
        <v>69</v>
      </c>
      <c r="B255" t="s">
        <v>70</v>
      </c>
      <c r="C255" t="s">
        <v>163</v>
      </c>
      <c r="D255" t="s">
        <v>164</v>
      </c>
      <c r="E255" s="108">
        <v>1000</v>
      </c>
      <c r="F255">
        <v>0</v>
      </c>
      <c r="G255">
        <v>65</v>
      </c>
      <c r="H255" s="108">
        <v>18985</v>
      </c>
      <c r="I255" s="108">
        <v>18985</v>
      </c>
      <c r="J255" s="150">
        <v>0.41928240740740735</v>
      </c>
      <c r="K255" s="150">
        <v>0.4192939814814815</v>
      </c>
      <c r="L255" t="s">
        <v>165</v>
      </c>
      <c r="N255">
        <v>672266</v>
      </c>
      <c r="O255">
        <v>672266</v>
      </c>
      <c r="P255">
        <v>672067</v>
      </c>
      <c r="Q255">
        <v>935</v>
      </c>
      <c r="R255" t="s">
        <v>166</v>
      </c>
      <c r="S255">
        <v>0</v>
      </c>
      <c r="T255" t="s">
        <v>167</v>
      </c>
      <c r="U255">
        <v>672067</v>
      </c>
      <c r="W255" t="s">
        <v>168</v>
      </c>
      <c r="X255" t="s">
        <v>166</v>
      </c>
    </row>
    <row r="256" spans="1:24" x14ac:dyDescent="0.3">
      <c r="A256" s="7" t="s">
        <v>77</v>
      </c>
      <c r="B256" t="s">
        <v>78</v>
      </c>
      <c r="C256" t="s">
        <v>163</v>
      </c>
      <c r="D256" t="s">
        <v>164</v>
      </c>
      <c r="E256" s="108">
        <v>1000</v>
      </c>
      <c r="F256">
        <v>0</v>
      </c>
      <c r="G256">
        <v>979</v>
      </c>
      <c r="H256" s="108">
        <v>17995</v>
      </c>
      <c r="I256" s="108">
        <v>17995</v>
      </c>
      <c r="J256" s="150">
        <v>0.41949074074074072</v>
      </c>
      <c r="K256" s="150">
        <v>0.41949074074074072</v>
      </c>
      <c r="L256" t="s">
        <v>165</v>
      </c>
      <c r="N256">
        <v>676172</v>
      </c>
      <c r="O256">
        <v>676172</v>
      </c>
      <c r="P256">
        <v>676153</v>
      </c>
      <c r="Q256">
        <v>21</v>
      </c>
      <c r="R256" t="s">
        <v>166</v>
      </c>
      <c r="S256">
        <v>0</v>
      </c>
      <c r="T256" t="s">
        <v>167</v>
      </c>
      <c r="U256">
        <v>676153</v>
      </c>
      <c r="W256" t="s">
        <v>168</v>
      </c>
      <c r="X256" t="s">
        <v>166</v>
      </c>
    </row>
    <row r="257" spans="1:24" x14ac:dyDescent="0.3">
      <c r="A257" s="7" t="s">
        <v>85</v>
      </c>
      <c r="B257" t="s">
        <v>86</v>
      </c>
      <c r="C257" t="s">
        <v>163</v>
      </c>
      <c r="D257" t="s">
        <v>164</v>
      </c>
      <c r="E257" s="108">
        <v>1000</v>
      </c>
      <c r="F257">
        <v>0</v>
      </c>
      <c r="G257" s="108">
        <v>1000</v>
      </c>
      <c r="H257" s="108">
        <v>12665</v>
      </c>
      <c r="I257" s="108">
        <v>12665</v>
      </c>
      <c r="J257" s="150">
        <v>0.41954861111111108</v>
      </c>
      <c r="K257" s="150">
        <v>0.41954861111111108</v>
      </c>
      <c r="L257" t="s">
        <v>165</v>
      </c>
      <c r="N257">
        <v>677469</v>
      </c>
      <c r="O257">
        <v>677469</v>
      </c>
      <c r="P257">
        <v>676424</v>
      </c>
      <c r="Q257">
        <v>0</v>
      </c>
      <c r="R257" t="s">
        <v>166</v>
      </c>
      <c r="S257">
        <v>0</v>
      </c>
      <c r="T257" t="s">
        <v>167</v>
      </c>
      <c r="U257">
        <v>676424</v>
      </c>
      <c r="W257" t="s">
        <v>168</v>
      </c>
      <c r="X257" t="s">
        <v>166</v>
      </c>
    </row>
    <row r="258" spans="1:24" x14ac:dyDescent="0.3">
      <c r="A258" s="7" t="s">
        <v>94</v>
      </c>
      <c r="B258" t="s">
        <v>95</v>
      </c>
      <c r="C258" t="s">
        <v>163</v>
      </c>
      <c r="D258" t="s">
        <v>164</v>
      </c>
      <c r="E258" s="108">
        <v>1000</v>
      </c>
      <c r="F258">
        <v>0</v>
      </c>
      <c r="G258">
        <v>1</v>
      </c>
      <c r="H258" s="108">
        <v>8465</v>
      </c>
      <c r="I258" s="108">
        <v>8465</v>
      </c>
      <c r="J258" s="150">
        <v>0.41962962962962963</v>
      </c>
      <c r="K258" s="150">
        <v>0.41964120370370367</v>
      </c>
      <c r="L258" t="s">
        <v>165</v>
      </c>
      <c r="N258">
        <v>679281</v>
      </c>
      <c r="O258">
        <v>679281</v>
      </c>
      <c r="P258">
        <v>679178</v>
      </c>
      <c r="Q258">
        <v>999</v>
      </c>
      <c r="R258" t="s">
        <v>166</v>
      </c>
      <c r="S258">
        <v>0</v>
      </c>
      <c r="T258" t="s">
        <v>167</v>
      </c>
      <c r="U258">
        <v>679178</v>
      </c>
      <c r="W258" t="s">
        <v>168</v>
      </c>
      <c r="X258" t="s">
        <v>166</v>
      </c>
    </row>
    <row r="259" spans="1:24" x14ac:dyDescent="0.3">
      <c r="A259" s="7" t="s">
        <v>92</v>
      </c>
      <c r="B259" t="s">
        <v>93</v>
      </c>
      <c r="C259" t="s">
        <v>163</v>
      </c>
      <c r="D259" t="s">
        <v>164</v>
      </c>
      <c r="E259" s="108">
        <v>1000</v>
      </c>
      <c r="F259">
        <v>0</v>
      </c>
      <c r="G259">
        <v>4</v>
      </c>
      <c r="H259" s="108">
        <v>22245</v>
      </c>
      <c r="I259" s="108">
        <v>22245</v>
      </c>
      <c r="J259" s="150">
        <v>0.41971064814814812</v>
      </c>
      <c r="K259" s="150">
        <v>0.41971064814814812</v>
      </c>
      <c r="L259" t="s">
        <v>165</v>
      </c>
      <c r="N259">
        <v>681249</v>
      </c>
      <c r="O259">
        <v>681249</v>
      </c>
      <c r="P259">
        <v>681205</v>
      </c>
      <c r="Q259">
        <v>996</v>
      </c>
      <c r="R259" t="s">
        <v>166</v>
      </c>
      <c r="S259">
        <v>0</v>
      </c>
      <c r="T259" t="s">
        <v>167</v>
      </c>
      <c r="U259">
        <v>681205</v>
      </c>
      <c r="W259" t="s">
        <v>168</v>
      </c>
      <c r="X259" t="s">
        <v>166</v>
      </c>
    </row>
    <row r="260" spans="1:24" x14ac:dyDescent="0.3">
      <c r="A260" s="7" t="s">
        <v>67</v>
      </c>
      <c r="B260" t="s">
        <v>68</v>
      </c>
      <c r="C260" t="s">
        <v>163</v>
      </c>
      <c r="D260" t="s">
        <v>164</v>
      </c>
      <c r="E260" s="108">
        <v>1000</v>
      </c>
      <c r="F260">
        <v>0</v>
      </c>
      <c r="G260" s="108">
        <v>1000</v>
      </c>
      <c r="H260" s="108">
        <v>10490</v>
      </c>
      <c r="I260" s="108">
        <v>10490</v>
      </c>
      <c r="J260" s="150">
        <v>0.42</v>
      </c>
      <c r="K260" s="150">
        <v>0.42001157407407402</v>
      </c>
      <c r="L260" t="s">
        <v>165</v>
      </c>
      <c r="N260">
        <v>686869</v>
      </c>
      <c r="O260">
        <v>686869</v>
      </c>
      <c r="P260">
        <v>686602</v>
      </c>
      <c r="Q260">
        <v>0</v>
      </c>
      <c r="R260" t="s">
        <v>166</v>
      </c>
      <c r="S260">
        <v>0</v>
      </c>
      <c r="T260" t="s">
        <v>167</v>
      </c>
      <c r="U260">
        <v>686602</v>
      </c>
      <c r="W260" t="s">
        <v>168</v>
      </c>
      <c r="X260" t="s">
        <v>166</v>
      </c>
    </row>
    <row r="261" spans="1:24" x14ac:dyDescent="0.3">
      <c r="A261" s="7" t="s">
        <v>79</v>
      </c>
      <c r="B261" t="s">
        <v>80</v>
      </c>
      <c r="C261" t="s">
        <v>169</v>
      </c>
      <c r="D261" t="s">
        <v>164</v>
      </c>
      <c r="E261" s="108">
        <v>1000</v>
      </c>
      <c r="F261">
        <v>0</v>
      </c>
      <c r="G261">
        <v>3</v>
      </c>
      <c r="H261" s="108">
        <v>38255</v>
      </c>
      <c r="I261" s="108">
        <v>38255</v>
      </c>
      <c r="J261" s="150">
        <v>0.42001157407407402</v>
      </c>
      <c r="K261" s="150">
        <v>0.42001157407407402</v>
      </c>
      <c r="L261" t="s">
        <v>165</v>
      </c>
      <c r="N261">
        <v>687090</v>
      </c>
      <c r="O261">
        <v>687090</v>
      </c>
      <c r="P261">
        <v>687072</v>
      </c>
      <c r="Q261">
        <v>997</v>
      </c>
      <c r="R261" t="s">
        <v>166</v>
      </c>
      <c r="S261">
        <v>0</v>
      </c>
      <c r="T261" t="s">
        <v>167</v>
      </c>
      <c r="U261">
        <v>687072</v>
      </c>
      <c r="W261" t="s">
        <v>168</v>
      </c>
      <c r="X261" t="s">
        <v>166</v>
      </c>
    </row>
    <row r="262" spans="1:24" x14ac:dyDescent="0.3">
      <c r="A262" s="7" t="s">
        <v>73</v>
      </c>
      <c r="B262" t="s">
        <v>74</v>
      </c>
      <c r="C262" t="s">
        <v>169</v>
      </c>
      <c r="D262" t="s">
        <v>164</v>
      </c>
      <c r="E262" s="108">
        <v>1000</v>
      </c>
      <c r="F262">
        <v>0</v>
      </c>
      <c r="G262">
        <v>89</v>
      </c>
      <c r="H262" s="108">
        <v>22505</v>
      </c>
      <c r="I262" s="108">
        <v>22505</v>
      </c>
      <c r="J262" s="150">
        <v>0.42033564814814817</v>
      </c>
      <c r="K262" s="150">
        <v>0.42034722222222221</v>
      </c>
      <c r="L262" t="s">
        <v>165</v>
      </c>
      <c r="N262">
        <v>692967</v>
      </c>
      <c r="O262">
        <v>692967</v>
      </c>
      <c r="P262">
        <v>691954</v>
      </c>
      <c r="Q262">
        <v>911</v>
      </c>
      <c r="R262" t="s">
        <v>166</v>
      </c>
      <c r="S262">
        <v>0</v>
      </c>
      <c r="T262" t="s">
        <v>167</v>
      </c>
      <c r="U262">
        <v>691954</v>
      </c>
      <c r="W262" t="s">
        <v>168</v>
      </c>
      <c r="X262" t="s">
        <v>166</v>
      </c>
    </row>
    <row r="263" spans="1:24" x14ac:dyDescent="0.3">
      <c r="A263" s="7" t="s">
        <v>69</v>
      </c>
      <c r="B263" t="s">
        <v>70</v>
      </c>
      <c r="C263" t="s">
        <v>163</v>
      </c>
      <c r="D263" t="s">
        <v>164</v>
      </c>
      <c r="E263" s="108">
        <v>1000</v>
      </c>
      <c r="F263">
        <v>0</v>
      </c>
      <c r="G263">
        <v>48</v>
      </c>
      <c r="H263" s="108">
        <v>19035</v>
      </c>
      <c r="I263" s="108">
        <v>19035</v>
      </c>
      <c r="J263" s="150">
        <v>0.42061342592592593</v>
      </c>
      <c r="K263" s="150">
        <v>0.42063657407407407</v>
      </c>
      <c r="L263" t="s">
        <v>165</v>
      </c>
      <c r="N263">
        <v>697328</v>
      </c>
      <c r="O263">
        <v>697328</v>
      </c>
      <c r="P263">
        <v>697288</v>
      </c>
      <c r="Q263">
        <v>952</v>
      </c>
      <c r="R263" t="s">
        <v>166</v>
      </c>
      <c r="S263">
        <v>0</v>
      </c>
      <c r="T263" t="s">
        <v>167</v>
      </c>
      <c r="U263">
        <v>697288</v>
      </c>
      <c r="W263" t="s">
        <v>168</v>
      </c>
      <c r="X263" t="s">
        <v>166</v>
      </c>
    </row>
    <row r="264" spans="1:24" x14ac:dyDescent="0.3">
      <c r="A264" s="7" t="s">
        <v>63</v>
      </c>
      <c r="B264" t="s">
        <v>64</v>
      </c>
      <c r="C264" t="s">
        <v>163</v>
      </c>
      <c r="D264" t="s">
        <v>164</v>
      </c>
      <c r="E264" s="108">
        <v>1000</v>
      </c>
      <c r="F264">
        <v>0</v>
      </c>
      <c r="G264">
        <v>12</v>
      </c>
      <c r="H264" s="108">
        <v>4770</v>
      </c>
      <c r="I264" s="108">
        <v>4770</v>
      </c>
      <c r="J264" s="150">
        <v>0.42083333333333334</v>
      </c>
      <c r="K264" s="150">
        <v>0.42086805555555556</v>
      </c>
      <c r="L264" t="s">
        <v>165</v>
      </c>
      <c r="N264">
        <v>701157</v>
      </c>
      <c r="O264">
        <v>701157</v>
      </c>
      <c r="P264">
        <v>701150</v>
      </c>
      <c r="Q264">
        <v>988</v>
      </c>
      <c r="R264" t="s">
        <v>166</v>
      </c>
      <c r="S264">
        <v>0</v>
      </c>
      <c r="T264" t="s">
        <v>167</v>
      </c>
      <c r="U264">
        <v>701150</v>
      </c>
      <c r="W264" t="s">
        <v>168</v>
      </c>
      <c r="X264" t="s">
        <v>166</v>
      </c>
    </row>
    <row r="265" spans="1:24" x14ac:dyDescent="0.3">
      <c r="A265" s="7" t="s">
        <v>112</v>
      </c>
      <c r="B265" t="s">
        <v>113</v>
      </c>
      <c r="C265" t="s">
        <v>163</v>
      </c>
      <c r="D265" t="s">
        <v>164</v>
      </c>
      <c r="E265" s="108">
        <v>1000</v>
      </c>
      <c r="F265">
        <v>0</v>
      </c>
      <c r="G265">
        <v>37</v>
      </c>
      <c r="H265" s="108">
        <v>55815</v>
      </c>
      <c r="I265" s="108">
        <v>55815</v>
      </c>
      <c r="J265" s="150">
        <v>0.4209606481481481</v>
      </c>
      <c r="K265" s="150">
        <v>0.4209606481481481</v>
      </c>
      <c r="L265" t="s">
        <v>165</v>
      </c>
      <c r="N265">
        <v>703715</v>
      </c>
      <c r="O265">
        <v>703715</v>
      </c>
      <c r="P265">
        <v>703705</v>
      </c>
      <c r="Q265">
        <v>963</v>
      </c>
      <c r="R265" t="s">
        <v>166</v>
      </c>
      <c r="S265">
        <v>0</v>
      </c>
      <c r="T265" t="s">
        <v>167</v>
      </c>
      <c r="U265">
        <v>703705</v>
      </c>
      <c r="W265" t="s">
        <v>168</v>
      </c>
      <c r="X265" t="s">
        <v>166</v>
      </c>
    </row>
    <row r="266" spans="1:24" x14ac:dyDescent="0.3">
      <c r="A266" s="7" t="s">
        <v>92</v>
      </c>
      <c r="B266" t="s">
        <v>93</v>
      </c>
      <c r="C266" t="s">
        <v>163</v>
      </c>
      <c r="D266" t="s">
        <v>164</v>
      </c>
      <c r="E266" s="108">
        <v>1000</v>
      </c>
      <c r="F266">
        <v>0</v>
      </c>
      <c r="G266" s="108">
        <v>1000</v>
      </c>
      <c r="H266" s="108">
        <v>22245</v>
      </c>
      <c r="I266" s="108">
        <v>22245</v>
      </c>
      <c r="J266" s="150">
        <v>0.42097222222222225</v>
      </c>
      <c r="K266" s="150">
        <v>0.42098379629629629</v>
      </c>
      <c r="L266" t="s">
        <v>165</v>
      </c>
      <c r="N266">
        <v>704011</v>
      </c>
      <c r="O266">
        <v>704011</v>
      </c>
      <c r="P266">
        <v>703882</v>
      </c>
      <c r="Q266">
        <v>0</v>
      </c>
      <c r="R266" t="s">
        <v>166</v>
      </c>
      <c r="S266">
        <v>0</v>
      </c>
      <c r="T266" t="s">
        <v>167</v>
      </c>
      <c r="U266">
        <v>703882</v>
      </c>
      <c r="W266" t="s">
        <v>168</v>
      </c>
      <c r="X266" t="s">
        <v>166</v>
      </c>
    </row>
    <row r="267" spans="1:24" x14ac:dyDescent="0.3">
      <c r="A267" s="7" t="s">
        <v>67</v>
      </c>
      <c r="B267" t="s">
        <v>68</v>
      </c>
      <c r="C267" t="s">
        <v>163</v>
      </c>
      <c r="D267" t="s">
        <v>164</v>
      </c>
      <c r="E267" s="108">
        <v>1000</v>
      </c>
      <c r="F267">
        <v>0</v>
      </c>
      <c r="G267" s="108">
        <v>1000</v>
      </c>
      <c r="H267" s="108">
        <v>10510</v>
      </c>
      <c r="I267" s="108">
        <v>10510</v>
      </c>
      <c r="J267" s="150">
        <v>0.42098379629629629</v>
      </c>
      <c r="K267" s="150">
        <v>0.42099537037037038</v>
      </c>
      <c r="L267" t="s">
        <v>165</v>
      </c>
      <c r="N267">
        <v>704161</v>
      </c>
      <c r="O267">
        <v>704161</v>
      </c>
      <c r="P267">
        <v>704091</v>
      </c>
      <c r="Q267">
        <v>0</v>
      </c>
      <c r="R267" t="s">
        <v>166</v>
      </c>
      <c r="S267">
        <v>0</v>
      </c>
      <c r="T267" t="s">
        <v>167</v>
      </c>
      <c r="U267">
        <v>704091</v>
      </c>
      <c r="W267" t="s">
        <v>168</v>
      </c>
      <c r="X267" t="s">
        <v>166</v>
      </c>
    </row>
    <row r="268" spans="1:24" x14ac:dyDescent="0.3">
      <c r="A268" s="7" t="s">
        <v>60</v>
      </c>
      <c r="B268" t="s">
        <v>61</v>
      </c>
      <c r="C268" t="s">
        <v>163</v>
      </c>
      <c r="D268" t="s">
        <v>164</v>
      </c>
      <c r="E268">
        <v>500</v>
      </c>
      <c r="F268">
        <v>0</v>
      </c>
      <c r="G268">
        <v>500</v>
      </c>
      <c r="H268" s="108">
        <v>35700</v>
      </c>
      <c r="I268" s="108">
        <v>35700</v>
      </c>
      <c r="J268" s="150">
        <v>0.42098379629629629</v>
      </c>
      <c r="K268" s="150">
        <v>0.42098379629629629</v>
      </c>
      <c r="L268" t="s">
        <v>165</v>
      </c>
      <c r="N268">
        <v>704245</v>
      </c>
      <c r="O268">
        <v>704245</v>
      </c>
      <c r="P268">
        <v>704215</v>
      </c>
      <c r="Q268">
        <v>0</v>
      </c>
      <c r="R268" t="s">
        <v>166</v>
      </c>
      <c r="S268">
        <v>0</v>
      </c>
      <c r="T268" t="s">
        <v>167</v>
      </c>
      <c r="U268">
        <v>704215</v>
      </c>
      <c r="W268" t="s">
        <v>168</v>
      </c>
      <c r="X268" t="s">
        <v>166</v>
      </c>
    </row>
    <row r="269" spans="1:24" x14ac:dyDescent="0.3">
      <c r="A269" s="7" t="s">
        <v>100</v>
      </c>
      <c r="B269" t="s">
        <v>101</v>
      </c>
      <c r="C269" t="s">
        <v>169</v>
      </c>
      <c r="D269" t="s">
        <v>164</v>
      </c>
      <c r="E269" s="108">
        <v>1000</v>
      </c>
      <c r="F269">
        <v>0</v>
      </c>
      <c r="G269">
        <v>1</v>
      </c>
      <c r="H269" s="108">
        <v>26530</v>
      </c>
      <c r="I269" s="108">
        <v>26530</v>
      </c>
      <c r="J269" s="150">
        <v>0.42168981481481477</v>
      </c>
      <c r="K269" s="150">
        <v>0.42172453703703705</v>
      </c>
      <c r="L269" t="s">
        <v>165</v>
      </c>
      <c r="N269">
        <v>714719</v>
      </c>
      <c r="O269">
        <v>714719</v>
      </c>
      <c r="P269">
        <v>714494</v>
      </c>
      <c r="Q269">
        <v>999</v>
      </c>
      <c r="R269" t="s">
        <v>166</v>
      </c>
      <c r="S269">
        <v>0</v>
      </c>
      <c r="T269" t="s">
        <v>167</v>
      </c>
      <c r="U269">
        <v>714494</v>
      </c>
      <c r="W269" t="s">
        <v>168</v>
      </c>
      <c r="X269" t="s">
        <v>166</v>
      </c>
    </row>
    <row r="270" spans="1:24" x14ac:dyDescent="0.3">
      <c r="A270" s="7" t="s">
        <v>100</v>
      </c>
      <c r="B270" t="s">
        <v>101</v>
      </c>
      <c r="C270" t="s">
        <v>169</v>
      </c>
      <c r="D270" t="s">
        <v>170</v>
      </c>
      <c r="E270" s="108">
        <v>1000</v>
      </c>
      <c r="F270">
        <v>0</v>
      </c>
      <c r="G270" s="108">
        <v>1000</v>
      </c>
      <c r="H270" s="108">
        <v>26485</v>
      </c>
      <c r="I270" s="108">
        <v>26485</v>
      </c>
      <c r="J270" s="150">
        <v>0.42241898148148144</v>
      </c>
      <c r="K270" s="150">
        <v>0.42241898148148144</v>
      </c>
      <c r="L270" t="s">
        <v>165</v>
      </c>
      <c r="N270">
        <v>726690</v>
      </c>
      <c r="O270">
        <v>726690</v>
      </c>
      <c r="P270">
        <v>0</v>
      </c>
      <c r="Q270">
        <v>0</v>
      </c>
      <c r="R270" t="s">
        <v>166</v>
      </c>
      <c r="S270">
        <v>0</v>
      </c>
      <c r="T270" t="s">
        <v>167</v>
      </c>
      <c r="U270">
        <v>0</v>
      </c>
      <c r="W270" t="s">
        <v>168</v>
      </c>
      <c r="X270" t="s">
        <v>166</v>
      </c>
    </row>
    <row r="271" spans="1:24" x14ac:dyDescent="0.3">
      <c r="A271" s="7" t="s">
        <v>77</v>
      </c>
      <c r="B271" t="s">
        <v>78</v>
      </c>
      <c r="C271" t="s">
        <v>169</v>
      </c>
      <c r="D271" t="s">
        <v>164</v>
      </c>
      <c r="E271" s="108">
        <v>1000</v>
      </c>
      <c r="F271">
        <v>0</v>
      </c>
      <c r="G271" s="108">
        <v>1000</v>
      </c>
      <c r="H271" s="108">
        <v>17985</v>
      </c>
      <c r="I271" s="108">
        <v>17985</v>
      </c>
      <c r="J271" s="150">
        <v>0.42271990740740745</v>
      </c>
      <c r="K271" s="150">
        <v>0.42273148148148149</v>
      </c>
      <c r="L271" t="s">
        <v>165</v>
      </c>
      <c r="N271">
        <v>731534</v>
      </c>
      <c r="O271">
        <v>731534</v>
      </c>
      <c r="P271">
        <v>731521</v>
      </c>
      <c r="Q271">
        <v>0</v>
      </c>
      <c r="R271" t="s">
        <v>166</v>
      </c>
      <c r="S271">
        <v>0</v>
      </c>
      <c r="T271" t="s">
        <v>167</v>
      </c>
      <c r="U271">
        <v>731521</v>
      </c>
      <c r="W271" t="s">
        <v>168</v>
      </c>
      <c r="X271" t="s">
        <v>166</v>
      </c>
    </row>
    <row r="272" spans="1:24" x14ac:dyDescent="0.3">
      <c r="A272" s="7" t="s">
        <v>69</v>
      </c>
      <c r="B272" t="s">
        <v>70</v>
      </c>
      <c r="C272" t="s">
        <v>169</v>
      </c>
      <c r="D272" t="s">
        <v>164</v>
      </c>
      <c r="E272" s="108">
        <v>1000</v>
      </c>
      <c r="F272">
        <v>0</v>
      </c>
      <c r="G272" s="108">
        <v>1000</v>
      </c>
      <c r="H272" s="108">
        <v>19010</v>
      </c>
      <c r="I272" s="108">
        <v>19010</v>
      </c>
      <c r="J272" s="150">
        <v>0.42275462962962962</v>
      </c>
      <c r="K272" s="150">
        <v>0.42275462962962962</v>
      </c>
      <c r="L272" t="s">
        <v>165</v>
      </c>
      <c r="N272">
        <v>731947</v>
      </c>
      <c r="O272">
        <v>731947</v>
      </c>
      <c r="P272">
        <v>731769</v>
      </c>
      <c r="Q272">
        <v>0</v>
      </c>
      <c r="R272" t="s">
        <v>166</v>
      </c>
      <c r="S272">
        <v>0</v>
      </c>
      <c r="T272" t="s">
        <v>167</v>
      </c>
      <c r="U272">
        <v>731769</v>
      </c>
      <c r="W272" t="s">
        <v>168</v>
      </c>
      <c r="X272" t="s">
        <v>166</v>
      </c>
    </row>
    <row r="273" spans="1:24" x14ac:dyDescent="0.3">
      <c r="A273" s="7" t="s">
        <v>65</v>
      </c>
      <c r="B273" t="s">
        <v>66</v>
      </c>
      <c r="C273" t="s">
        <v>169</v>
      </c>
      <c r="D273" t="s">
        <v>164</v>
      </c>
      <c r="E273" s="108">
        <v>1000</v>
      </c>
      <c r="F273">
        <v>0</v>
      </c>
      <c r="G273" s="108">
        <v>1000</v>
      </c>
      <c r="H273" s="108">
        <v>4955</v>
      </c>
      <c r="I273" s="108">
        <v>4955</v>
      </c>
      <c r="J273" s="150">
        <v>0.42290509259259257</v>
      </c>
      <c r="K273" s="150">
        <v>0.42315972222222226</v>
      </c>
      <c r="L273" t="s">
        <v>165</v>
      </c>
      <c r="N273">
        <v>734503</v>
      </c>
      <c r="O273">
        <v>734503</v>
      </c>
      <c r="P273">
        <v>734370</v>
      </c>
      <c r="Q273">
        <v>0</v>
      </c>
      <c r="R273" t="s">
        <v>166</v>
      </c>
      <c r="S273">
        <v>0</v>
      </c>
      <c r="T273" t="s">
        <v>167</v>
      </c>
      <c r="U273">
        <v>734370</v>
      </c>
      <c r="W273" t="s">
        <v>168</v>
      </c>
      <c r="X273" t="s">
        <v>166</v>
      </c>
    </row>
    <row r="274" spans="1:24" x14ac:dyDescent="0.3">
      <c r="A274" s="7" t="s">
        <v>65</v>
      </c>
      <c r="B274" t="s">
        <v>66</v>
      </c>
      <c r="C274" t="s">
        <v>163</v>
      </c>
      <c r="D274" t="s">
        <v>164</v>
      </c>
      <c r="E274" s="108">
        <v>1000</v>
      </c>
      <c r="F274">
        <v>0</v>
      </c>
      <c r="G274" s="108">
        <v>1000</v>
      </c>
      <c r="H274" s="108">
        <v>4970</v>
      </c>
      <c r="I274" s="108">
        <v>4970</v>
      </c>
      <c r="J274" s="150">
        <v>0.42315972222222226</v>
      </c>
      <c r="K274" s="150">
        <v>0.42377314814814815</v>
      </c>
      <c r="L274" t="s">
        <v>165</v>
      </c>
      <c r="N274">
        <v>738899</v>
      </c>
      <c r="O274">
        <v>738899</v>
      </c>
      <c r="P274">
        <v>738369</v>
      </c>
      <c r="Q274">
        <v>0</v>
      </c>
      <c r="R274" t="s">
        <v>166</v>
      </c>
      <c r="S274">
        <v>0</v>
      </c>
      <c r="T274" t="s">
        <v>167</v>
      </c>
      <c r="U274">
        <v>738369</v>
      </c>
      <c r="W274" t="s">
        <v>168</v>
      </c>
      <c r="X274" t="s">
        <v>166</v>
      </c>
    </row>
    <row r="275" spans="1:24" x14ac:dyDescent="0.3">
      <c r="A275" s="7" t="s">
        <v>67</v>
      </c>
      <c r="B275" t="s">
        <v>68</v>
      </c>
      <c r="C275" t="s">
        <v>163</v>
      </c>
      <c r="D275" t="s">
        <v>164</v>
      </c>
      <c r="E275" s="108">
        <v>1000</v>
      </c>
      <c r="F275">
        <v>0</v>
      </c>
      <c r="G275" s="108">
        <v>1000</v>
      </c>
      <c r="H275" s="108">
        <v>10495</v>
      </c>
      <c r="I275" s="108">
        <v>10495</v>
      </c>
      <c r="J275" s="150">
        <v>0.42315972222222226</v>
      </c>
      <c r="K275" s="150">
        <v>0.42354166666666665</v>
      </c>
      <c r="L275" t="s">
        <v>165</v>
      </c>
      <c r="N275">
        <v>738957</v>
      </c>
      <c r="O275">
        <v>738957</v>
      </c>
      <c r="P275">
        <v>738632</v>
      </c>
      <c r="Q275">
        <v>0</v>
      </c>
      <c r="R275" t="s">
        <v>166</v>
      </c>
      <c r="S275">
        <v>0</v>
      </c>
      <c r="T275" t="s">
        <v>167</v>
      </c>
      <c r="U275">
        <v>738632</v>
      </c>
      <c r="W275" t="s">
        <v>168</v>
      </c>
      <c r="X275" t="s">
        <v>166</v>
      </c>
    </row>
    <row r="276" spans="1:24" x14ac:dyDescent="0.3">
      <c r="A276" s="7" t="s">
        <v>67</v>
      </c>
      <c r="B276" t="s">
        <v>68</v>
      </c>
      <c r="C276" t="s">
        <v>169</v>
      </c>
      <c r="D276" t="s">
        <v>164</v>
      </c>
      <c r="E276" s="108">
        <v>1000</v>
      </c>
      <c r="F276">
        <v>0</v>
      </c>
      <c r="G276" s="108">
        <v>1000</v>
      </c>
      <c r="H276" s="108">
        <v>10460</v>
      </c>
      <c r="I276" s="108">
        <v>10460</v>
      </c>
      <c r="J276" s="150">
        <v>0.42315972222222226</v>
      </c>
      <c r="K276" s="150">
        <v>0.4231712962962963</v>
      </c>
      <c r="L276" t="s">
        <v>165</v>
      </c>
      <c r="N276">
        <v>738958</v>
      </c>
      <c r="O276">
        <v>738958</v>
      </c>
      <c r="P276">
        <v>738827</v>
      </c>
      <c r="Q276">
        <v>0</v>
      </c>
      <c r="R276" t="s">
        <v>166</v>
      </c>
      <c r="S276">
        <v>0</v>
      </c>
      <c r="T276" t="s">
        <v>167</v>
      </c>
      <c r="U276">
        <v>738827</v>
      </c>
      <c r="W276" t="s">
        <v>168</v>
      </c>
      <c r="X276" t="s">
        <v>166</v>
      </c>
    </row>
    <row r="277" spans="1:24" x14ac:dyDescent="0.3">
      <c r="A277" s="7" t="s">
        <v>79</v>
      </c>
      <c r="B277" t="s">
        <v>80</v>
      </c>
      <c r="C277" t="s">
        <v>169</v>
      </c>
      <c r="D277" t="s">
        <v>164</v>
      </c>
      <c r="E277" s="108">
        <v>1000</v>
      </c>
      <c r="F277">
        <v>0</v>
      </c>
      <c r="G277">
        <v>1</v>
      </c>
      <c r="H277" s="108">
        <v>38220</v>
      </c>
      <c r="I277" s="108">
        <v>38220</v>
      </c>
      <c r="J277" s="150">
        <v>0.42371527777777779</v>
      </c>
      <c r="K277" s="150">
        <v>0.42371527777777779</v>
      </c>
      <c r="L277" t="s">
        <v>165</v>
      </c>
      <c r="N277">
        <v>747308</v>
      </c>
      <c r="O277">
        <v>747308</v>
      </c>
      <c r="P277">
        <v>747243</v>
      </c>
      <c r="Q277">
        <v>999</v>
      </c>
      <c r="R277" t="s">
        <v>166</v>
      </c>
      <c r="S277">
        <v>0</v>
      </c>
      <c r="T277" t="s">
        <v>167</v>
      </c>
      <c r="U277">
        <v>747243</v>
      </c>
      <c r="W277" t="s">
        <v>168</v>
      </c>
      <c r="X277" t="s">
        <v>166</v>
      </c>
    </row>
    <row r="278" spans="1:24" x14ac:dyDescent="0.3">
      <c r="A278" s="7" t="s">
        <v>77</v>
      </c>
      <c r="B278" t="s">
        <v>78</v>
      </c>
      <c r="C278" t="s">
        <v>169</v>
      </c>
      <c r="D278" t="s">
        <v>164</v>
      </c>
      <c r="E278" s="108">
        <v>1000</v>
      </c>
      <c r="F278">
        <v>0</v>
      </c>
      <c r="G278" s="108">
        <v>1000</v>
      </c>
      <c r="H278" s="108">
        <v>17945</v>
      </c>
      <c r="I278" s="108">
        <v>17945</v>
      </c>
      <c r="J278" s="150">
        <v>0.4241435185185185</v>
      </c>
      <c r="K278" s="150">
        <v>0.4241550925925926</v>
      </c>
      <c r="L278" t="s">
        <v>165</v>
      </c>
      <c r="N278">
        <v>752747</v>
      </c>
      <c r="O278">
        <v>752747</v>
      </c>
      <c r="P278">
        <v>752631</v>
      </c>
      <c r="Q278">
        <v>0</v>
      </c>
      <c r="R278" t="s">
        <v>166</v>
      </c>
      <c r="S278">
        <v>0</v>
      </c>
      <c r="T278" t="s">
        <v>167</v>
      </c>
      <c r="U278">
        <v>752631</v>
      </c>
      <c r="W278" t="s">
        <v>168</v>
      </c>
      <c r="X278" t="s">
        <v>166</v>
      </c>
    </row>
    <row r="279" spans="1:24" x14ac:dyDescent="0.3">
      <c r="A279" s="7" t="s">
        <v>138</v>
      </c>
      <c r="B279" t="s">
        <v>171</v>
      </c>
      <c r="C279" t="s">
        <v>169</v>
      </c>
      <c r="D279" t="s">
        <v>164</v>
      </c>
      <c r="E279" s="108">
        <v>1000</v>
      </c>
      <c r="F279">
        <v>0</v>
      </c>
      <c r="G279" s="108">
        <v>1000</v>
      </c>
      <c r="H279" s="108">
        <v>9030</v>
      </c>
      <c r="I279" s="108">
        <v>9030</v>
      </c>
      <c r="J279" s="150">
        <v>0.42420138888888892</v>
      </c>
      <c r="K279" s="150">
        <v>0.42422453703703705</v>
      </c>
      <c r="L279" t="s">
        <v>165</v>
      </c>
      <c r="N279">
        <v>753511</v>
      </c>
      <c r="O279">
        <v>753511</v>
      </c>
      <c r="P279">
        <v>753499</v>
      </c>
      <c r="Q279">
        <v>0</v>
      </c>
      <c r="R279" t="s">
        <v>166</v>
      </c>
      <c r="S279">
        <v>0</v>
      </c>
      <c r="T279" t="s">
        <v>167</v>
      </c>
      <c r="U279">
        <v>753499</v>
      </c>
      <c r="W279" t="s">
        <v>168</v>
      </c>
      <c r="X279" t="s">
        <v>166</v>
      </c>
    </row>
    <row r="280" spans="1:24" x14ac:dyDescent="0.3">
      <c r="A280" s="7" t="s">
        <v>65</v>
      </c>
      <c r="B280" t="s">
        <v>66</v>
      </c>
      <c r="C280" t="s">
        <v>169</v>
      </c>
      <c r="D280" t="s">
        <v>164</v>
      </c>
      <c r="E280" s="108">
        <v>1000</v>
      </c>
      <c r="F280">
        <v>0</v>
      </c>
      <c r="G280" s="108">
        <v>1000</v>
      </c>
      <c r="H280" s="108">
        <v>4960</v>
      </c>
      <c r="I280" s="108">
        <v>4960</v>
      </c>
      <c r="J280" s="150">
        <v>0.42422453703703705</v>
      </c>
      <c r="K280" s="150">
        <v>0.42429398148148145</v>
      </c>
      <c r="L280" t="s">
        <v>165</v>
      </c>
      <c r="N280">
        <v>754077</v>
      </c>
      <c r="O280">
        <v>754077</v>
      </c>
      <c r="P280">
        <v>754067</v>
      </c>
      <c r="Q280">
        <v>0</v>
      </c>
      <c r="R280" t="s">
        <v>166</v>
      </c>
      <c r="S280">
        <v>0</v>
      </c>
      <c r="T280" t="s">
        <v>167</v>
      </c>
      <c r="U280">
        <v>754067</v>
      </c>
      <c r="W280" t="s">
        <v>168</v>
      </c>
      <c r="X280" t="s">
        <v>166</v>
      </c>
    </row>
    <row r="281" spans="1:24" x14ac:dyDescent="0.3">
      <c r="A281" s="7" t="s">
        <v>100</v>
      </c>
      <c r="B281" t="s">
        <v>101</v>
      </c>
      <c r="C281" t="s">
        <v>169</v>
      </c>
      <c r="D281" t="s">
        <v>164</v>
      </c>
      <c r="E281" s="108">
        <v>1000</v>
      </c>
      <c r="F281">
        <v>0</v>
      </c>
      <c r="G281" s="108">
        <v>1000</v>
      </c>
      <c r="H281" s="108">
        <v>26475</v>
      </c>
      <c r="I281" s="108">
        <v>26475</v>
      </c>
      <c r="J281" s="150">
        <v>0.42422453703703705</v>
      </c>
      <c r="K281" s="150">
        <v>0.42425925925925928</v>
      </c>
      <c r="L281" t="s">
        <v>165</v>
      </c>
      <c r="N281">
        <v>754096</v>
      </c>
      <c r="O281">
        <v>754096</v>
      </c>
      <c r="P281">
        <v>754002</v>
      </c>
      <c r="Q281">
        <v>0</v>
      </c>
      <c r="R281" t="s">
        <v>166</v>
      </c>
      <c r="S281">
        <v>0</v>
      </c>
      <c r="T281" t="s">
        <v>167</v>
      </c>
      <c r="U281">
        <v>754002</v>
      </c>
      <c r="W281" t="s">
        <v>168</v>
      </c>
      <c r="X281" t="s">
        <v>166</v>
      </c>
    </row>
    <row r="282" spans="1:24" x14ac:dyDescent="0.3">
      <c r="A282" s="7" t="s">
        <v>67</v>
      </c>
      <c r="B282" t="s">
        <v>68</v>
      </c>
      <c r="C282" t="s">
        <v>169</v>
      </c>
      <c r="D282" t="s">
        <v>164</v>
      </c>
      <c r="E282" s="108">
        <v>1000</v>
      </c>
      <c r="F282">
        <v>0</v>
      </c>
      <c r="G282" s="108">
        <v>1000</v>
      </c>
      <c r="H282" s="108">
        <v>10470</v>
      </c>
      <c r="I282" s="108">
        <v>10470</v>
      </c>
      <c r="J282" s="150">
        <v>0.42432870370370374</v>
      </c>
      <c r="K282" s="150">
        <v>0.42434027777777777</v>
      </c>
      <c r="L282" t="s">
        <v>165</v>
      </c>
      <c r="N282">
        <v>755512</v>
      </c>
      <c r="O282">
        <v>755512</v>
      </c>
      <c r="P282">
        <v>755487</v>
      </c>
      <c r="Q282">
        <v>0</v>
      </c>
      <c r="R282" t="s">
        <v>166</v>
      </c>
      <c r="S282">
        <v>0</v>
      </c>
      <c r="T282" t="s">
        <v>167</v>
      </c>
      <c r="U282">
        <v>755487</v>
      </c>
      <c r="W282" t="s">
        <v>168</v>
      </c>
      <c r="X282" t="s">
        <v>166</v>
      </c>
    </row>
    <row r="283" spans="1:24" x14ac:dyDescent="0.3">
      <c r="A283" s="7" t="s">
        <v>69</v>
      </c>
      <c r="B283" t="s">
        <v>70</v>
      </c>
      <c r="C283" t="s">
        <v>169</v>
      </c>
      <c r="D283" t="s">
        <v>164</v>
      </c>
      <c r="E283" s="108">
        <v>1000</v>
      </c>
      <c r="F283">
        <v>0</v>
      </c>
      <c r="G283">
        <v>130</v>
      </c>
      <c r="H283" s="108">
        <v>18975</v>
      </c>
      <c r="I283" s="108">
        <v>18975</v>
      </c>
      <c r="J283" s="150">
        <v>0.42446759259259265</v>
      </c>
      <c r="K283" s="150">
        <v>0.42449074074074072</v>
      </c>
      <c r="L283" t="s">
        <v>165</v>
      </c>
      <c r="N283">
        <v>758121</v>
      </c>
      <c r="O283">
        <v>758121</v>
      </c>
      <c r="P283">
        <v>757672</v>
      </c>
      <c r="Q283">
        <v>870</v>
      </c>
      <c r="R283" t="s">
        <v>166</v>
      </c>
      <c r="S283">
        <v>0</v>
      </c>
      <c r="T283" t="s">
        <v>167</v>
      </c>
      <c r="U283">
        <v>757672</v>
      </c>
      <c r="W283" t="s">
        <v>168</v>
      </c>
      <c r="X283" t="s">
        <v>166</v>
      </c>
    </row>
    <row r="284" spans="1:24" x14ac:dyDescent="0.3">
      <c r="A284" s="7" t="s">
        <v>69</v>
      </c>
      <c r="B284" t="s">
        <v>70</v>
      </c>
      <c r="C284" t="s">
        <v>169</v>
      </c>
      <c r="D284" t="s">
        <v>164</v>
      </c>
      <c r="E284" s="108">
        <v>1000</v>
      </c>
      <c r="F284">
        <v>0</v>
      </c>
      <c r="G284">
        <v>870</v>
      </c>
      <c r="H284" s="108">
        <v>18970</v>
      </c>
      <c r="I284" s="108">
        <v>18970</v>
      </c>
      <c r="J284" s="150">
        <v>0.42447916666666669</v>
      </c>
      <c r="K284" s="150">
        <v>0.42449074074074072</v>
      </c>
      <c r="L284" t="s">
        <v>165</v>
      </c>
      <c r="N284">
        <v>758366</v>
      </c>
      <c r="O284">
        <v>758366</v>
      </c>
      <c r="P284">
        <v>758121</v>
      </c>
      <c r="Q284">
        <v>0</v>
      </c>
      <c r="R284" t="s">
        <v>166</v>
      </c>
      <c r="S284">
        <v>130</v>
      </c>
      <c r="T284" t="s">
        <v>167</v>
      </c>
      <c r="U284">
        <v>758121</v>
      </c>
      <c r="W284" t="s">
        <v>168</v>
      </c>
      <c r="X284" t="s">
        <v>166</v>
      </c>
    </row>
    <row r="285" spans="1:24" x14ac:dyDescent="0.3">
      <c r="A285" s="7" t="s">
        <v>98</v>
      </c>
      <c r="B285" t="s">
        <v>99</v>
      </c>
      <c r="C285" t="s">
        <v>169</v>
      </c>
      <c r="D285" t="s">
        <v>164</v>
      </c>
      <c r="E285" s="108">
        <v>1000</v>
      </c>
      <c r="F285">
        <v>0</v>
      </c>
      <c r="G285" s="108">
        <v>1000</v>
      </c>
      <c r="H285" s="108">
        <v>15530</v>
      </c>
      <c r="I285" s="108">
        <v>15530</v>
      </c>
      <c r="J285" s="150">
        <v>0.42449074074074072</v>
      </c>
      <c r="K285" s="150">
        <v>0.42466435185185186</v>
      </c>
      <c r="L285" t="s">
        <v>165</v>
      </c>
      <c r="N285">
        <v>758398</v>
      </c>
      <c r="O285">
        <v>758398</v>
      </c>
      <c r="P285">
        <v>756622</v>
      </c>
      <c r="Q285">
        <v>0</v>
      </c>
      <c r="R285" t="s">
        <v>166</v>
      </c>
      <c r="S285">
        <v>0</v>
      </c>
      <c r="T285" t="s">
        <v>167</v>
      </c>
      <c r="U285">
        <v>756622</v>
      </c>
      <c r="W285" t="s">
        <v>168</v>
      </c>
      <c r="X285" t="s">
        <v>166</v>
      </c>
    </row>
    <row r="286" spans="1:24" x14ac:dyDescent="0.3">
      <c r="A286" s="7" t="s">
        <v>71</v>
      </c>
      <c r="B286" t="s">
        <v>72</v>
      </c>
      <c r="C286" t="s">
        <v>169</v>
      </c>
      <c r="D286" t="s">
        <v>164</v>
      </c>
      <c r="E286" s="108">
        <v>1000</v>
      </c>
      <c r="F286">
        <v>0</v>
      </c>
      <c r="G286">
        <v>1</v>
      </c>
      <c r="H286" s="108">
        <v>18705</v>
      </c>
      <c r="I286" s="108">
        <v>18705</v>
      </c>
      <c r="J286" s="150">
        <v>0.42450231481481482</v>
      </c>
      <c r="K286" s="150">
        <v>0.42451388888888886</v>
      </c>
      <c r="L286" t="s">
        <v>165</v>
      </c>
      <c r="N286">
        <v>758584</v>
      </c>
      <c r="O286">
        <v>758584</v>
      </c>
      <c r="P286">
        <v>758482</v>
      </c>
      <c r="Q286">
        <v>999</v>
      </c>
      <c r="R286" t="s">
        <v>166</v>
      </c>
      <c r="S286">
        <v>0</v>
      </c>
      <c r="T286" t="s">
        <v>167</v>
      </c>
      <c r="U286">
        <v>758482</v>
      </c>
      <c r="W286" t="s">
        <v>168</v>
      </c>
      <c r="X286" t="s">
        <v>166</v>
      </c>
    </row>
    <row r="287" spans="1:24" x14ac:dyDescent="0.3">
      <c r="A287" s="7" t="s">
        <v>100</v>
      </c>
      <c r="B287" t="s">
        <v>101</v>
      </c>
      <c r="C287" t="s">
        <v>169</v>
      </c>
      <c r="D287" t="s">
        <v>164</v>
      </c>
      <c r="E287" s="108">
        <v>1000</v>
      </c>
      <c r="F287">
        <v>0</v>
      </c>
      <c r="G287">
        <v>960</v>
      </c>
      <c r="H287" s="108">
        <v>26480</v>
      </c>
      <c r="I287" s="108">
        <v>26480</v>
      </c>
      <c r="J287" s="150">
        <v>0.42505787037037041</v>
      </c>
      <c r="K287" s="150">
        <v>0.42506944444444444</v>
      </c>
      <c r="L287" t="s">
        <v>165</v>
      </c>
      <c r="N287">
        <v>767181</v>
      </c>
      <c r="O287">
        <v>767181</v>
      </c>
      <c r="P287">
        <v>766301</v>
      </c>
      <c r="Q287">
        <v>40</v>
      </c>
      <c r="R287" t="s">
        <v>166</v>
      </c>
      <c r="S287">
        <v>0</v>
      </c>
      <c r="T287" t="s">
        <v>167</v>
      </c>
      <c r="U287">
        <v>766301</v>
      </c>
      <c r="W287" t="s">
        <v>168</v>
      </c>
      <c r="X287" t="s">
        <v>166</v>
      </c>
    </row>
    <row r="288" spans="1:24" x14ac:dyDescent="0.3">
      <c r="A288" s="7" t="s">
        <v>100</v>
      </c>
      <c r="B288" t="s">
        <v>101</v>
      </c>
      <c r="C288" t="s">
        <v>169</v>
      </c>
      <c r="D288" t="s">
        <v>164</v>
      </c>
      <c r="E288" s="108">
        <v>1000</v>
      </c>
      <c r="F288">
        <v>0</v>
      </c>
      <c r="G288">
        <v>499</v>
      </c>
      <c r="H288" s="108">
        <v>26465</v>
      </c>
      <c r="I288" s="108">
        <v>26465</v>
      </c>
      <c r="J288" s="150">
        <v>0.42575231481481479</v>
      </c>
      <c r="K288" s="150">
        <v>0.42578703703703707</v>
      </c>
      <c r="L288" t="s">
        <v>165</v>
      </c>
      <c r="N288">
        <v>778312</v>
      </c>
      <c r="O288">
        <v>778312</v>
      </c>
      <c r="P288">
        <v>778234</v>
      </c>
      <c r="Q288">
        <v>501</v>
      </c>
      <c r="R288" t="s">
        <v>166</v>
      </c>
      <c r="S288">
        <v>0</v>
      </c>
      <c r="T288" t="s">
        <v>167</v>
      </c>
      <c r="U288">
        <v>778234</v>
      </c>
      <c r="W288" t="s">
        <v>168</v>
      </c>
      <c r="X288" t="s">
        <v>166</v>
      </c>
    </row>
    <row r="289" spans="1:24" x14ac:dyDescent="0.3">
      <c r="A289" s="7" t="s">
        <v>65</v>
      </c>
      <c r="B289" t="s">
        <v>66</v>
      </c>
      <c r="C289" t="s">
        <v>169</v>
      </c>
      <c r="D289" t="s">
        <v>164</v>
      </c>
      <c r="E289" s="108">
        <v>1000</v>
      </c>
      <c r="F289">
        <v>0</v>
      </c>
      <c r="G289" s="108">
        <v>1000</v>
      </c>
      <c r="H289" s="108">
        <v>4970</v>
      </c>
      <c r="I289" s="108">
        <v>4970</v>
      </c>
      <c r="J289" s="150">
        <v>0.42587962962962966</v>
      </c>
      <c r="K289" s="150">
        <v>0.4258912037037037</v>
      </c>
      <c r="L289" t="s">
        <v>165</v>
      </c>
      <c r="N289">
        <v>780359</v>
      </c>
      <c r="O289">
        <v>780359</v>
      </c>
      <c r="P289">
        <v>780049</v>
      </c>
      <c r="Q289">
        <v>0</v>
      </c>
      <c r="R289" t="s">
        <v>166</v>
      </c>
      <c r="S289">
        <v>0</v>
      </c>
      <c r="T289" t="s">
        <v>167</v>
      </c>
      <c r="U289">
        <v>780049</v>
      </c>
      <c r="W289" t="s">
        <v>168</v>
      </c>
      <c r="X289" t="s">
        <v>166</v>
      </c>
    </row>
    <row r="290" spans="1:24" x14ac:dyDescent="0.3">
      <c r="A290" s="7" t="s">
        <v>73</v>
      </c>
      <c r="B290" t="s">
        <v>74</v>
      </c>
      <c r="C290" t="s">
        <v>169</v>
      </c>
      <c r="D290" t="s">
        <v>164</v>
      </c>
      <c r="E290" s="108">
        <v>1000</v>
      </c>
      <c r="F290">
        <v>0</v>
      </c>
      <c r="G290">
        <v>19</v>
      </c>
      <c r="H290" s="108">
        <v>22480</v>
      </c>
      <c r="I290" s="108">
        <v>22480</v>
      </c>
      <c r="J290" s="150">
        <v>0.42605324074074075</v>
      </c>
      <c r="K290" s="150">
        <v>0.42606481481481479</v>
      </c>
      <c r="L290" t="s">
        <v>165</v>
      </c>
      <c r="N290">
        <v>783051</v>
      </c>
      <c r="O290">
        <v>783051</v>
      </c>
      <c r="P290">
        <v>782959</v>
      </c>
      <c r="Q290">
        <v>981</v>
      </c>
      <c r="R290" t="s">
        <v>166</v>
      </c>
      <c r="S290">
        <v>0</v>
      </c>
      <c r="T290" t="s">
        <v>167</v>
      </c>
      <c r="U290">
        <v>782959</v>
      </c>
      <c r="W290" t="s">
        <v>168</v>
      </c>
      <c r="X290" t="s">
        <v>166</v>
      </c>
    </row>
    <row r="291" spans="1:24" x14ac:dyDescent="0.3">
      <c r="A291" s="7" t="s">
        <v>67</v>
      </c>
      <c r="B291" t="s">
        <v>68</v>
      </c>
      <c r="C291" t="s">
        <v>169</v>
      </c>
      <c r="D291" t="s">
        <v>164</v>
      </c>
      <c r="E291" s="108">
        <v>1000</v>
      </c>
      <c r="F291">
        <v>0</v>
      </c>
      <c r="G291" s="108">
        <v>1000</v>
      </c>
      <c r="H291" s="108">
        <v>10490</v>
      </c>
      <c r="I291" s="108">
        <v>10490</v>
      </c>
      <c r="J291" s="150">
        <v>0.42614583333333328</v>
      </c>
      <c r="K291" s="150">
        <v>0.42616898148148147</v>
      </c>
      <c r="L291" t="s">
        <v>165</v>
      </c>
      <c r="N291">
        <v>784535</v>
      </c>
      <c r="O291">
        <v>784535</v>
      </c>
      <c r="P291">
        <v>784496</v>
      </c>
      <c r="Q291">
        <v>0</v>
      </c>
      <c r="R291" t="s">
        <v>166</v>
      </c>
      <c r="S291">
        <v>0</v>
      </c>
      <c r="T291" t="s">
        <v>167</v>
      </c>
      <c r="U291">
        <v>784496</v>
      </c>
      <c r="W291" t="s">
        <v>168</v>
      </c>
      <c r="X291" t="s">
        <v>166</v>
      </c>
    </row>
    <row r="292" spans="1:24" x14ac:dyDescent="0.3">
      <c r="A292" s="7" t="s">
        <v>77</v>
      </c>
      <c r="B292" t="s">
        <v>78</v>
      </c>
      <c r="C292" t="s">
        <v>169</v>
      </c>
      <c r="D292" t="s">
        <v>164</v>
      </c>
      <c r="E292" s="108">
        <v>1000</v>
      </c>
      <c r="F292">
        <v>0</v>
      </c>
      <c r="G292" s="108">
        <v>1000</v>
      </c>
      <c r="H292" s="108">
        <v>17910</v>
      </c>
      <c r="I292" s="108">
        <v>17910</v>
      </c>
      <c r="J292" s="150">
        <v>0.42616898148148147</v>
      </c>
      <c r="K292" s="150">
        <v>0.42616898148148147</v>
      </c>
      <c r="L292" t="s">
        <v>165</v>
      </c>
      <c r="N292">
        <v>784937</v>
      </c>
      <c r="O292">
        <v>784937</v>
      </c>
      <c r="P292">
        <v>784780</v>
      </c>
      <c r="Q292">
        <v>0</v>
      </c>
      <c r="R292" t="s">
        <v>166</v>
      </c>
      <c r="S292">
        <v>0</v>
      </c>
      <c r="T292" t="s">
        <v>167</v>
      </c>
      <c r="U292">
        <v>784780</v>
      </c>
      <c r="W292" t="s">
        <v>168</v>
      </c>
      <c r="X292" t="s">
        <v>166</v>
      </c>
    </row>
    <row r="293" spans="1:24" x14ac:dyDescent="0.3">
      <c r="A293" s="7" t="s">
        <v>71</v>
      </c>
      <c r="B293" t="s">
        <v>72</v>
      </c>
      <c r="C293" t="s">
        <v>169</v>
      </c>
      <c r="D293" t="s">
        <v>164</v>
      </c>
      <c r="E293" s="108">
        <v>1000</v>
      </c>
      <c r="F293">
        <v>0</v>
      </c>
      <c r="G293">
        <v>19</v>
      </c>
      <c r="H293" s="108">
        <v>18745</v>
      </c>
      <c r="I293" s="108">
        <v>18745</v>
      </c>
      <c r="J293" s="150">
        <v>0.42616898148148147</v>
      </c>
      <c r="K293" s="150">
        <v>0.42618055555555556</v>
      </c>
      <c r="L293" t="s">
        <v>165</v>
      </c>
      <c r="N293">
        <v>784983</v>
      </c>
      <c r="O293">
        <v>784983</v>
      </c>
      <c r="P293">
        <v>784944</v>
      </c>
      <c r="Q293">
        <v>981</v>
      </c>
      <c r="R293" t="s">
        <v>166</v>
      </c>
      <c r="S293">
        <v>0</v>
      </c>
      <c r="T293" t="s">
        <v>167</v>
      </c>
      <c r="U293">
        <v>784944</v>
      </c>
      <c r="W293" t="s">
        <v>168</v>
      </c>
      <c r="X293" t="s">
        <v>166</v>
      </c>
    </row>
    <row r="294" spans="1:24" x14ac:dyDescent="0.3">
      <c r="A294" s="7" t="s">
        <v>65</v>
      </c>
      <c r="B294" t="s">
        <v>66</v>
      </c>
      <c r="C294" t="s">
        <v>169</v>
      </c>
      <c r="D294" t="s">
        <v>164</v>
      </c>
      <c r="E294" s="108">
        <v>1000</v>
      </c>
      <c r="F294">
        <v>0</v>
      </c>
      <c r="G294">
        <v>10</v>
      </c>
      <c r="H294" s="108">
        <v>4960</v>
      </c>
      <c r="I294" s="108">
        <v>4960</v>
      </c>
      <c r="J294" s="150">
        <v>0.4268055555555556</v>
      </c>
      <c r="K294" s="150">
        <v>0.42681712962962964</v>
      </c>
      <c r="L294" t="s">
        <v>165</v>
      </c>
      <c r="N294">
        <v>797482</v>
      </c>
      <c r="O294">
        <v>797482</v>
      </c>
      <c r="P294">
        <v>797143</v>
      </c>
      <c r="Q294">
        <v>990</v>
      </c>
      <c r="R294" t="s">
        <v>166</v>
      </c>
      <c r="S294">
        <v>0</v>
      </c>
      <c r="T294" t="s">
        <v>167</v>
      </c>
      <c r="U294">
        <v>797143</v>
      </c>
      <c r="W294" t="s">
        <v>168</v>
      </c>
      <c r="X294" t="s">
        <v>166</v>
      </c>
    </row>
    <row r="295" spans="1:24" x14ac:dyDescent="0.3">
      <c r="A295" s="7" t="s">
        <v>69</v>
      </c>
      <c r="B295" t="s">
        <v>70</v>
      </c>
      <c r="C295" t="s">
        <v>163</v>
      </c>
      <c r="D295" t="s">
        <v>164</v>
      </c>
      <c r="E295" s="108">
        <v>1000</v>
      </c>
      <c r="F295">
        <v>0</v>
      </c>
      <c r="G295" s="108">
        <v>1000</v>
      </c>
      <c r="H295" s="108">
        <v>18900</v>
      </c>
      <c r="I295" s="108">
        <v>18900</v>
      </c>
      <c r="J295" s="150">
        <v>0.42692129629629627</v>
      </c>
      <c r="K295" s="150">
        <v>0.4269444444444444</v>
      </c>
      <c r="L295" t="s">
        <v>165</v>
      </c>
      <c r="N295">
        <v>800077</v>
      </c>
      <c r="O295">
        <v>800077</v>
      </c>
      <c r="P295">
        <v>799798</v>
      </c>
      <c r="Q295">
        <v>0</v>
      </c>
      <c r="R295" t="s">
        <v>166</v>
      </c>
      <c r="S295">
        <v>0</v>
      </c>
      <c r="T295" t="s">
        <v>167</v>
      </c>
      <c r="U295">
        <v>799798</v>
      </c>
      <c r="W295" t="s">
        <v>168</v>
      </c>
      <c r="X295" t="s">
        <v>166</v>
      </c>
    </row>
    <row r="296" spans="1:24" x14ac:dyDescent="0.3">
      <c r="A296" s="7" t="s">
        <v>92</v>
      </c>
      <c r="B296" t="s">
        <v>93</v>
      </c>
      <c r="C296" t="s">
        <v>169</v>
      </c>
      <c r="D296" t="s">
        <v>164</v>
      </c>
      <c r="E296" s="108">
        <v>1000</v>
      </c>
      <c r="F296">
        <v>0</v>
      </c>
      <c r="G296" s="108">
        <v>1000</v>
      </c>
      <c r="H296" s="108">
        <v>22140</v>
      </c>
      <c r="I296" s="108">
        <v>22140</v>
      </c>
      <c r="J296" s="150">
        <v>0.42695601851851855</v>
      </c>
      <c r="K296" s="150">
        <v>0.42697916666666669</v>
      </c>
      <c r="L296" t="s">
        <v>165</v>
      </c>
      <c r="N296">
        <v>800908</v>
      </c>
      <c r="O296">
        <v>800908</v>
      </c>
      <c r="P296">
        <v>800813</v>
      </c>
      <c r="Q296">
        <v>0</v>
      </c>
      <c r="R296" t="s">
        <v>166</v>
      </c>
      <c r="S296">
        <v>0</v>
      </c>
      <c r="T296" t="s">
        <v>167</v>
      </c>
      <c r="U296">
        <v>800813</v>
      </c>
      <c r="W296" t="s">
        <v>168</v>
      </c>
      <c r="X296" t="s">
        <v>166</v>
      </c>
    </row>
    <row r="297" spans="1:24" x14ac:dyDescent="0.3">
      <c r="A297" s="7" t="s">
        <v>92</v>
      </c>
      <c r="B297" t="s">
        <v>93</v>
      </c>
      <c r="C297" t="s">
        <v>163</v>
      </c>
      <c r="D297" t="s">
        <v>164</v>
      </c>
      <c r="E297" s="108">
        <v>1000</v>
      </c>
      <c r="F297">
        <v>0</v>
      </c>
      <c r="G297" s="108">
        <v>1000</v>
      </c>
      <c r="H297" s="108">
        <v>22210</v>
      </c>
      <c r="I297" s="108">
        <v>22210</v>
      </c>
      <c r="J297" s="150">
        <v>0.42696759259259259</v>
      </c>
      <c r="K297" s="150">
        <v>0.42751157407407409</v>
      </c>
      <c r="L297" t="s">
        <v>165</v>
      </c>
      <c r="N297">
        <v>801286</v>
      </c>
      <c r="O297">
        <v>801286</v>
      </c>
      <c r="P297">
        <v>800969</v>
      </c>
      <c r="Q297">
        <v>0</v>
      </c>
      <c r="R297" t="s">
        <v>166</v>
      </c>
      <c r="S297">
        <v>0</v>
      </c>
      <c r="T297" t="s">
        <v>167</v>
      </c>
      <c r="U297">
        <v>800969</v>
      </c>
      <c r="W297" t="s">
        <v>168</v>
      </c>
      <c r="X297" t="s">
        <v>166</v>
      </c>
    </row>
    <row r="298" spans="1:24" x14ac:dyDescent="0.3">
      <c r="A298" s="7" t="s">
        <v>60</v>
      </c>
      <c r="B298" t="s">
        <v>61</v>
      </c>
      <c r="C298" t="s">
        <v>163</v>
      </c>
      <c r="D298" t="s">
        <v>164</v>
      </c>
      <c r="E298">
        <v>500</v>
      </c>
      <c r="F298">
        <v>0</v>
      </c>
      <c r="G298">
        <v>500</v>
      </c>
      <c r="H298" s="108">
        <v>35465</v>
      </c>
      <c r="I298" s="108">
        <v>35465</v>
      </c>
      <c r="J298" s="150">
        <v>0.42719907407407409</v>
      </c>
      <c r="K298" s="150">
        <v>0.42721064814814813</v>
      </c>
      <c r="L298" t="s">
        <v>165</v>
      </c>
      <c r="N298">
        <v>806594</v>
      </c>
      <c r="O298">
        <v>806594</v>
      </c>
      <c r="P298">
        <v>806580</v>
      </c>
      <c r="Q298">
        <v>0</v>
      </c>
      <c r="R298" t="s">
        <v>166</v>
      </c>
      <c r="S298">
        <v>0</v>
      </c>
      <c r="T298" t="s">
        <v>167</v>
      </c>
      <c r="U298">
        <v>806580</v>
      </c>
      <c r="W298" t="s">
        <v>168</v>
      </c>
      <c r="X298" t="s">
        <v>166</v>
      </c>
    </row>
    <row r="299" spans="1:24" x14ac:dyDescent="0.3">
      <c r="A299" s="7" t="s">
        <v>79</v>
      </c>
      <c r="B299" t="s">
        <v>80</v>
      </c>
      <c r="C299" t="s">
        <v>169</v>
      </c>
      <c r="D299" t="s">
        <v>164</v>
      </c>
      <c r="E299" s="108">
        <v>1000</v>
      </c>
      <c r="F299">
        <v>0</v>
      </c>
      <c r="G299">
        <v>60</v>
      </c>
      <c r="H299" s="108">
        <v>38035</v>
      </c>
      <c r="I299" s="108">
        <v>38035</v>
      </c>
      <c r="J299" s="150">
        <v>0.42734953703703704</v>
      </c>
      <c r="K299" s="150">
        <v>0.42736111111111108</v>
      </c>
      <c r="L299" t="s">
        <v>165</v>
      </c>
      <c r="N299">
        <v>809719</v>
      </c>
      <c r="O299">
        <v>809719</v>
      </c>
      <c r="P299">
        <v>809703</v>
      </c>
      <c r="Q299">
        <v>940</v>
      </c>
      <c r="R299" t="s">
        <v>166</v>
      </c>
      <c r="S299">
        <v>0</v>
      </c>
      <c r="T299" t="s">
        <v>167</v>
      </c>
      <c r="U299">
        <v>809703</v>
      </c>
      <c r="W299" t="s">
        <v>168</v>
      </c>
      <c r="X299" t="s">
        <v>166</v>
      </c>
    </row>
    <row r="300" spans="1:24" x14ac:dyDescent="0.3">
      <c r="A300" s="7" t="s">
        <v>67</v>
      </c>
      <c r="B300" t="s">
        <v>68</v>
      </c>
      <c r="C300" t="s">
        <v>163</v>
      </c>
      <c r="D300" t="s">
        <v>164</v>
      </c>
      <c r="E300" s="108">
        <v>1000</v>
      </c>
      <c r="F300">
        <v>0</v>
      </c>
      <c r="G300" s="108">
        <v>1000</v>
      </c>
      <c r="H300" s="108">
        <v>10520</v>
      </c>
      <c r="I300" s="108">
        <v>10520</v>
      </c>
      <c r="J300" s="150">
        <v>0.42745370370370367</v>
      </c>
      <c r="K300" s="150">
        <v>0.42747685185185186</v>
      </c>
      <c r="L300" t="s">
        <v>165</v>
      </c>
      <c r="N300">
        <v>810896</v>
      </c>
      <c r="O300">
        <v>810896</v>
      </c>
      <c r="P300">
        <v>810854</v>
      </c>
      <c r="Q300">
        <v>0</v>
      </c>
      <c r="R300" t="s">
        <v>166</v>
      </c>
      <c r="S300">
        <v>0</v>
      </c>
      <c r="T300" t="s">
        <v>167</v>
      </c>
      <c r="U300">
        <v>810854</v>
      </c>
      <c r="W300" t="s">
        <v>168</v>
      </c>
      <c r="X300" t="s">
        <v>166</v>
      </c>
    </row>
    <row r="301" spans="1:24" x14ac:dyDescent="0.3">
      <c r="A301" s="7" t="s">
        <v>138</v>
      </c>
      <c r="B301" t="s">
        <v>171</v>
      </c>
      <c r="C301" t="s">
        <v>163</v>
      </c>
      <c r="D301" t="s">
        <v>164</v>
      </c>
      <c r="E301" s="108">
        <v>1000</v>
      </c>
      <c r="F301">
        <v>0</v>
      </c>
      <c r="G301" s="108">
        <v>1000</v>
      </c>
      <c r="H301" s="108">
        <v>9020</v>
      </c>
      <c r="I301" s="108">
        <v>9020</v>
      </c>
      <c r="J301" s="150">
        <v>0.42746527777777782</v>
      </c>
      <c r="K301" s="150">
        <v>0.42753472222222227</v>
      </c>
      <c r="L301" t="s">
        <v>165</v>
      </c>
      <c r="N301">
        <v>810917</v>
      </c>
      <c r="O301">
        <v>810917</v>
      </c>
      <c r="P301">
        <v>810886</v>
      </c>
      <c r="Q301">
        <v>0</v>
      </c>
      <c r="R301" t="s">
        <v>166</v>
      </c>
      <c r="S301">
        <v>0</v>
      </c>
      <c r="T301" t="s">
        <v>167</v>
      </c>
      <c r="U301">
        <v>810886</v>
      </c>
      <c r="W301" t="s">
        <v>168</v>
      </c>
      <c r="X301" t="s">
        <v>166</v>
      </c>
    </row>
    <row r="302" spans="1:24" x14ac:dyDescent="0.3">
      <c r="A302" s="7" t="s">
        <v>69</v>
      </c>
      <c r="B302" t="s">
        <v>70</v>
      </c>
      <c r="C302" t="s">
        <v>163</v>
      </c>
      <c r="D302" t="s">
        <v>170</v>
      </c>
      <c r="E302" s="108">
        <v>1000</v>
      </c>
      <c r="F302">
        <v>0</v>
      </c>
      <c r="G302" s="108">
        <v>1000</v>
      </c>
      <c r="H302" s="108">
        <v>18990</v>
      </c>
      <c r="I302" s="108">
        <v>18990</v>
      </c>
      <c r="J302" s="150">
        <v>0.42762731481481481</v>
      </c>
      <c r="K302" s="150">
        <v>0.42762731481481481</v>
      </c>
      <c r="L302" t="s">
        <v>165</v>
      </c>
      <c r="N302">
        <v>813587</v>
      </c>
      <c r="O302">
        <v>813587</v>
      </c>
      <c r="P302">
        <v>0</v>
      </c>
      <c r="Q302">
        <v>0</v>
      </c>
      <c r="R302" t="s">
        <v>166</v>
      </c>
      <c r="S302">
        <v>0</v>
      </c>
      <c r="T302" t="s">
        <v>167</v>
      </c>
      <c r="U302">
        <v>0</v>
      </c>
      <c r="W302" t="s">
        <v>168</v>
      </c>
      <c r="X302" t="s">
        <v>166</v>
      </c>
    </row>
    <row r="303" spans="1:24" x14ac:dyDescent="0.3">
      <c r="A303" s="7" t="s">
        <v>100</v>
      </c>
      <c r="B303" t="s">
        <v>101</v>
      </c>
      <c r="C303" t="s">
        <v>169</v>
      </c>
      <c r="D303" t="s">
        <v>164</v>
      </c>
      <c r="E303" s="108">
        <v>1000</v>
      </c>
      <c r="F303">
        <v>0</v>
      </c>
      <c r="G303">
        <v>30</v>
      </c>
      <c r="H303" s="108">
        <v>26480</v>
      </c>
      <c r="I303" s="108">
        <v>26480</v>
      </c>
      <c r="J303" s="150">
        <v>0.42800925925925926</v>
      </c>
      <c r="K303" s="150">
        <v>0.42800925925925926</v>
      </c>
      <c r="L303" t="s">
        <v>165</v>
      </c>
      <c r="N303">
        <v>818315</v>
      </c>
      <c r="O303">
        <v>818315</v>
      </c>
      <c r="P303">
        <v>817678</v>
      </c>
      <c r="Q303">
        <v>970</v>
      </c>
      <c r="R303" t="s">
        <v>166</v>
      </c>
      <c r="S303">
        <v>0</v>
      </c>
      <c r="T303" t="s">
        <v>167</v>
      </c>
      <c r="U303">
        <v>817678</v>
      </c>
      <c r="W303" t="s">
        <v>168</v>
      </c>
      <c r="X303" t="s">
        <v>166</v>
      </c>
    </row>
    <row r="304" spans="1:24" x14ac:dyDescent="0.3">
      <c r="A304" s="7" t="s">
        <v>77</v>
      </c>
      <c r="B304" t="s">
        <v>78</v>
      </c>
      <c r="C304" t="s">
        <v>169</v>
      </c>
      <c r="D304" t="s">
        <v>164</v>
      </c>
      <c r="E304" s="108">
        <v>1000</v>
      </c>
      <c r="F304">
        <v>0</v>
      </c>
      <c r="G304" s="108">
        <v>1000</v>
      </c>
      <c r="H304" s="108">
        <v>17940</v>
      </c>
      <c r="I304" s="108">
        <v>17940</v>
      </c>
      <c r="J304" s="150">
        <v>0.42800925925925926</v>
      </c>
      <c r="K304" s="150">
        <v>0.42800925925925926</v>
      </c>
      <c r="L304" t="s">
        <v>165</v>
      </c>
      <c r="N304">
        <v>818330</v>
      </c>
      <c r="O304">
        <v>818330</v>
      </c>
      <c r="P304">
        <v>818325</v>
      </c>
      <c r="Q304">
        <v>0</v>
      </c>
      <c r="R304" t="s">
        <v>166</v>
      </c>
      <c r="S304">
        <v>0</v>
      </c>
      <c r="T304" t="s">
        <v>167</v>
      </c>
      <c r="U304">
        <v>818325</v>
      </c>
      <c r="W304" t="s">
        <v>168</v>
      </c>
      <c r="X304" t="s">
        <v>166</v>
      </c>
    </row>
    <row r="305" spans="1:24" x14ac:dyDescent="0.3">
      <c r="A305" s="7" t="s">
        <v>79</v>
      </c>
      <c r="B305" t="s">
        <v>80</v>
      </c>
      <c r="C305" t="s">
        <v>169</v>
      </c>
      <c r="D305" t="s">
        <v>164</v>
      </c>
      <c r="E305" s="108">
        <v>1000</v>
      </c>
      <c r="F305">
        <v>0</v>
      </c>
      <c r="G305" s="108">
        <v>1000</v>
      </c>
      <c r="H305" s="108">
        <v>38100</v>
      </c>
      <c r="I305" s="108">
        <v>38100</v>
      </c>
      <c r="J305" s="150">
        <v>0.42807870370370371</v>
      </c>
      <c r="K305" s="150">
        <v>0.42807870370370371</v>
      </c>
      <c r="L305" t="s">
        <v>165</v>
      </c>
      <c r="N305">
        <v>819107</v>
      </c>
      <c r="O305">
        <v>819107</v>
      </c>
      <c r="P305">
        <v>819093</v>
      </c>
      <c r="Q305">
        <v>0</v>
      </c>
      <c r="R305" t="s">
        <v>166</v>
      </c>
      <c r="S305">
        <v>0</v>
      </c>
      <c r="T305" t="s">
        <v>167</v>
      </c>
      <c r="U305">
        <v>819093</v>
      </c>
      <c r="W305" t="s">
        <v>168</v>
      </c>
      <c r="X305" t="s">
        <v>166</v>
      </c>
    </row>
    <row r="306" spans="1:24" x14ac:dyDescent="0.3">
      <c r="A306" s="7" t="s">
        <v>60</v>
      </c>
      <c r="B306" t="s">
        <v>61</v>
      </c>
      <c r="C306" t="s">
        <v>169</v>
      </c>
      <c r="D306" t="s">
        <v>164</v>
      </c>
      <c r="E306">
        <v>500</v>
      </c>
      <c r="F306">
        <v>0</v>
      </c>
      <c r="G306">
        <v>370</v>
      </c>
      <c r="H306" s="108">
        <v>35515</v>
      </c>
      <c r="I306" s="108">
        <v>35515</v>
      </c>
      <c r="J306" s="150">
        <v>0.42810185185185184</v>
      </c>
      <c r="K306" s="150">
        <v>0.42810185185185184</v>
      </c>
      <c r="L306" t="s">
        <v>165</v>
      </c>
      <c r="N306">
        <v>819297</v>
      </c>
      <c r="O306">
        <v>819297</v>
      </c>
      <c r="P306">
        <v>819275</v>
      </c>
      <c r="Q306">
        <v>130</v>
      </c>
      <c r="R306" t="s">
        <v>166</v>
      </c>
      <c r="S306">
        <v>0</v>
      </c>
      <c r="T306" t="s">
        <v>167</v>
      </c>
      <c r="U306">
        <v>819275</v>
      </c>
      <c r="W306" t="s">
        <v>168</v>
      </c>
      <c r="X306" t="s">
        <v>166</v>
      </c>
    </row>
    <row r="307" spans="1:24" x14ac:dyDescent="0.3">
      <c r="A307" s="7" t="s">
        <v>87</v>
      </c>
      <c r="B307" t="s">
        <v>88</v>
      </c>
      <c r="C307" t="s">
        <v>163</v>
      </c>
      <c r="D307" t="s">
        <v>164</v>
      </c>
      <c r="E307" s="108">
        <v>1000</v>
      </c>
      <c r="F307">
        <v>0</v>
      </c>
      <c r="G307">
        <v>4</v>
      </c>
      <c r="H307" s="108">
        <v>3120</v>
      </c>
      <c r="I307" s="108">
        <v>3120</v>
      </c>
      <c r="J307" s="150">
        <v>0.42812500000000003</v>
      </c>
      <c r="K307" s="150">
        <v>0.42813657407407407</v>
      </c>
      <c r="L307" t="s">
        <v>165</v>
      </c>
      <c r="N307">
        <v>819746</v>
      </c>
      <c r="O307">
        <v>819746</v>
      </c>
      <c r="P307">
        <v>819267</v>
      </c>
      <c r="Q307">
        <v>996</v>
      </c>
      <c r="R307" t="s">
        <v>166</v>
      </c>
      <c r="S307">
        <v>0</v>
      </c>
      <c r="T307" t="s">
        <v>167</v>
      </c>
      <c r="U307">
        <v>819267</v>
      </c>
      <c r="W307" t="s">
        <v>168</v>
      </c>
      <c r="X307" t="s">
        <v>166</v>
      </c>
    </row>
    <row r="308" spans="1:24" x14ac:dyDescent="0.3">
      <c r="A308" s="7" t="s">
        <v>71</v>
      </c>
      <c r="B308" t="s">
        <v>72</v>
      </c>
      <c r="C308" t="s">
        <v>163</v>
      </c>
      <c r="D308" t="s">
        <v>164</v>
      </c>
      <c r="E308" s="108">
        <v>1000</v>
      </c>
      <c r="F308">
        <v>0</v>
      </c>
      <c r="G308">
        <v>4</v>
      </c>
      <c r="H308" s="108">
        <v>18770</v>
      </c>
      <c r="I308" s="108">
        <v>18770</v>
      </c>
      <c r="J308" s="150">
        <v>0.42812500000000003</v>
      </c>
      <c r="K308" s="150">
        <v>0.42813657407407407</v>
      </c>
      <c r="L308" t="s">
        <v>165</v>
      </c>
      <c r="N308">
        <v>819840</v>
      </c>
      <c r="O308">
        <v>819840</v>
      </c>
      <c r="P308">
        <v>819800</v>
      </c>
      <c r="Q308">
        <v>996</v>
      </c>
      <c r="R308" t="s">
        <v>166</v>
      </c>
      <c r="S308">
        <v>0</v>
      </c>
      <c r="T308" t="s">
        <v>167</v>
      </c>
      <c r="U308">
        <v>819800</v>
      </c>
      <c r="W308" t="s">
        <v>168</v>
      </c>
      <c r="X308" t="s">
        <v>166</v>
      </c>
    </row>
    <row r="309" spans="1:24" x14ac:dyDescent="0.3">
      <c r="A309" s="7" t="s">
        <v>67</v>
      </c>
      <c r="B309" t="s">
        <v>68</v>
      </c>
      <c r="C309" t="s">
        <v>163</v>
      </c>
      <c r="D309" t="s">
        <v>164</v>
      </c>
      <c r="E309" s="108">
        <v>1000</v>
      </c>
      <c r="F309">
        <v>0</v>
      </c>
      <c r="G309">
        <v>3</v>
      </c>
      <c r="H309" s="108">
        <v>10515</v>
      </c>
      <c r="I309" s="108">
        <v>10515</v>
      </c>
      <c r="J309" s="150">
        <v>0.42833333333333329</v>
      </c>
      <c r="K309" s="150">
        <v>0.42834490740740744</v>
      </c>
      <c r="L309" t="s">
        <v>165</v>
      </c>
      <c r="N309">
        <v>822478</v>
      </c>
      <c r="O309">
        <v>822478</v>
      </c>
      <c r="P309">
        <v>822450</v>
      </c>
      <c r="Q309">
        <v>997</v>
      </c>
      <c r="R309" t="s">
        <v>166</v>
      </c>
      <c r="S309">
        <v>0</v>
      </c>
      <c r="T309" t="s">
        <v>167</v>
      </c>
      <c r="U309">
        <v>822450</v>
      </c>
      <c r="W309" t="s">
        <v>168</v>
      </c>
      <c r="X309" t="s">
        <v>166</v>
      </c>
    </row>
    <row r="310" spans="1:24" x14ac:dyDescent="0.3">
      <c r="A310" s="7" t="s">
        <v>69</v>
      </c>
      <c r="B310" t="s">
        <v>70</v>
      </c>
      <c r="C310" t="s">
        <v>163</v>
      </c>
      <c r="D310" t="s">
        <v>164</v>
      </c>
      <c r="E310" s="108">
        <v>1000</v>
      </c>
      <c r="F310">
        <v>0</v>
      </c>
      <c r="G310" s="108">
        <v>1000</v>
      </c>
      <c r="H310" s="108">
        <v>18975</v>
      </c>
      <c r="I310" s="108">
        <v>18975</v>
      </c>
      <c r="J310" s="150">
        <v>0.42841435185185189</v>
      </c>
      <c r="K310" s="150">
        <v>0.42842592592592593</v>
      </c>
      <c r="L310" t="s">
        <v>165</v>
      </c>
      <c r="N310">
        <v>823503</v>
      </c>
      <c r="O310">
        <v>823503</v>
      </c>
      <c r="P310">
        <v>823423</v>
      </c>
      <c r="Q310">
        <v>0</v>
      </c>
      <c r="R310" t="s">
        <v>166</v>
      </c>
      <c r="S310">
        <v>0</v>
      </c>
      <c r="T310" t="s">
        <v>167</v>
      </c>
      <c r="U310">
        <v>823423</v>
      </c>
      <c r="W310" t="s">
        <v>168</v>
      </c>
      <c r="X310" t="s">
        <v>166</v>
      </c>
    </row>
    <row r="311" spans="1:24" x14ac:dyDescent="0.3">
      <c r="A311" s="7" t="s">
        <v>79</v>
      </c>
      <c r="B311" t="s">
        <v>80</v>
      </c>
      <c r="C311" t="s">
        <v>169</v>
      </c>
      <c r="D311" t="s">
        <v>164</v>
      </c>
      <c r="E311" s="108">
        <v>1000</v>
      </c>
      <c r="F311">
        <v>0</v>
      </c>
      <c r="G311">
        <v>60</v>
      </c>
      <c r="H311" s="108">
        <v>38090</v>
      </c>
      <c r="I311" s="108">
        <v>38090</v>
      </c>
      <c r="J311" s="150">
        <v>0.42881944444444442</v>
      </c>
      <c r="K311" s="150">
        <v>0.42883101851851851</v>
      </c>
      <c r="L311" t="s">
        <v>165</v>
      </c>
      <c r="N311">
        <v>827624</v>
      </c>
      <c r="O311">
        <v>827624</v>
      </c>
      <c r="P311">
        <v>827605</v>
      </c>
      <c r="Q311">
        <v>940</v>
      </c>
      <c r="R311" t="s">
        <v>166</v>
      </c>
      <c r="S311">
        <v>0</v>
      </c>
      <c r="T311" t="s">
        <v>167</v>
      </c>
      <c r="U311">
        <v>827605</v>
      </c>
      <c r="W311" t="s">
        <v>168</v>
      </c>
      <c r="X311" t="s">
        <v>166</v>
      </c>
    </row>
    <row r="312" spans="1:24" x14ac:dyDescent="0.3">
      <c r="A312" s="7" t="s">
        <v>69</v>
      </c>
      <c r="B312" t="s">
        <v>70</v>
      </c>
      <c r="C312" t="s">
        <v>163</v>
      </c>
      <c r="D312" t="s">
        <v>164</v>
      </c>
      <c r="E312" s="108">
        <v>1000</v>
      </c>
      <c r="F312">
        <v>0</v>
      </c>
      <c r="G312" s="108">
        <v>1000</v>
      </c>
      <c r="H312" s="108">
        <v>19020</v>
      </c>
      <c r="I312" s="108">
        <v>19020</v>
      </c>
      <c r="J312" s="150">
        <v>0.42964120370370368</v>
      </c>
      <c r="K312" s="150">
        <v>0.42965277777777783</v>
      </c>
      <c r="L312" t="s">
        <v>165</v>
      </c>
      <c r="N312">
        <v>837472</v>
      </c>
      <c r="O312">
        <v>837472</v>
      </c>
      <c r="P312">
        <v>837449</v>
      </c>
      <c r="Q312">
        <v>0</v>
      </c>
      <c r="R312" t="s">
        <v>166</v>
      </c>
      <c r="S312">
        <v>0</v>
      </c>
      <c r="T312" t="s">
        <v>167</v>
      </c>
      <c r="U312">
        <v>837449</v>
      </c>
      <c r="W312" t="s">
        <v>168</v>
      </c>
      <c r="X312" t="s">
        <v>166</v>
      </c>
    </row>
    <row r="313" spans="1:24" x14ac:dyDescent="0.3">
      <c r="A313" s="7" t="s">
        <v>96</v>
      </c>
      <c r="B313" t="s">
        <v>97</v>
      </c>
      <c r="C313" t="s">
        <v>163</v>
      </c>
      <c r="D313" t="s">
        <v>164</v>
      </c>
      <c r="E313" s="108">
        <v>1000</v>
      </c>
      <c r="F313">
        <v>0</v>
      </c>
      <c r="G313" s="108">
        <v>1000</v>
      </c>
      <c r="H313" s="108">
        <v>14080</v>
      </c>
      <c r="I313" s="108">
        <v>14080</v>
      </c>
      <c r="J313" s="150">
        <v>0.42964120370370368</v>
      </c>
      <c r="K313" s="150">
        <v>0.42965277777777783</v>
      </c>
      <c r="L313" t="s">
        <v>165</v>
      </c>
      <c r="N313">
        <v>837493</v>
      </c>
      <c r="O313">
        <v>837493</v>
      </c>
      <c r="P313">
        <v>837351</v>
      </c>
      <c r="Q313">
        <v>0</v>
      </c>
      <c r="R313" t="s">
        <v>166</v>
      </c>
      <c r="S313">
        <v>0</v>
      </c>
      <c r="T313" t="s">
        <v>167</v>
      </c>
      <c r="U313">
        <v>837351</v>
      </c>
      <c r="W313" t="s">
        <v>168</v>
      </c>
      <c r="X313" t="s">
        <v>166</v>
      </c>
    </row>
    <row r="314" spans="1:24" x14ac:dyDescent="0.3">
      <c r="A314" s="7" t="s">
        <v>67</v>
      </c>
      <c r="B314" t="s">
        <v>68</v>
      </c>
      <c r="C314" t="s">
        <v>163</v>
      </c>
      <c r="D314" t="s">
        <v>164</v>
      </c>
      <c r="E314" s="108">
        <v>1000</v>
      </c>
      <c r="F314">
        <v>0</v>
      </c>
      <c r="G314" s="108">
        <v>1000</v>
      </c>
      <c r="H314" s="108">
        <v>10525</v>
      </c>
      <c r="I314" s="108">
        <v>10525</v>
      </c>
      <c r="J314" s="150">
        <v>0.42966435185185187</v>
      </c>
      <c r="K314" s="150">
        <v>0.42967592592592596</v>
      </c>
      <c r="L314" t="s">
        <v>165</v>
      </c>
      <c r="N314">
        <v>837987</v>
      </c>
      <c r="O314">
        <v>837987</v>
      </c>
      <c r="P314">
        <v>837898</v>
      </c>
      <c r="Q314">
        <v>0</v>
      </c>
      <c r="R314" t="s">
        <v>166</v>
      </c>
      <c r="S314">
        <v>0</v>
      </c>
      <c r="T314" t="s">
        <v>167</v>
      </c>
      <c r="U314">
        <v>837898</v>
      </c>
      <c r="W314" t="s">
        <v>168</v>
      </c>
      <c r="X314" t="s">
        <v>166</v>
      </c>
    </row>
    <row r="315" spans="1:24" x14ac:dyDescent="0.3">
      <c r="A315" s="7" t="s">
        <v>79</v>
      </c>
      <c r="B315" t="s">
        <v>80</v>
      </c>
      <c r="C315" t="s">
        <v>169</v>
      </c>
      <c r="D315" t="s">
        <v>164</v>
      </c>
      <c r="E315" s="108">
        <v>1000</v>
      </c>
      <c r="F315">
        <v>0</v>
      </c>
      <c r="G315">
        <v>25</v>
      </c>
      <c r="H315" s="108">
        <v>38145</v>
      </c>
      <c r="I315" s="108">
        <v>38145</v>
      </c>
      <c r="J315" s="150">
        <v>0.43003472222222222</v>
      </c>
      <c r="K315" s="150">
        <v>0.43004629629629632</v>
      </c>
      <c r="L315" t="s">
        <v>165</v>
      </c>
      <c r="N315">
        <v>842785</v>
      </c>
      <c r="O315">
        <v>842785</v>
      </c>
      <c r="P315">
        <v>842777</v>
      </c>
      <c r="Q315">
        <v>975</v>
      </c>
      <c r="R315" t="s">
        <v>166</v>
      </c>
      <c r="S315">
        <v>0</v>
      </c>
      <c r="T315" t="s">
        <v>167</v>
      </c>
      <c r="U315">
        <v>842777</v>
      </c>
      <c r="W315" t="s">
        <v>168</v>
      </c>
      <c r="X315" t="s">
        <v>166</v>
      </c>
    </row>
    <row r="316" spans="1:24" x14ac:dyDescent="0.3">
      <c r="A316" s="7" t="s">
        <v>69</v>
      </c>
      <c r="B316" t="s">
        <v>70</v>
      </c>
      <c r="C316" t="s">
        <v>163</v>
      </c>
      <c r="D316" t="s">
        <v>164</v>
      </c>
      <c r="E316" s="108">
        <v>1000</v>
      </c>
      <c r="F316">
        <v>0</v>
      </c>
      <c r="G316" s="108">
        <v>1000</v>
      </c>
      <c r="H316" s="108">
        <v>19040</v>
      </c>
      <c r="I316" s="108">
        <v>19040</v>
      </c>
      <c r="J316" s="150">
        <v>0.4305208333333333</v>
      </c>
      <c r="K316" s="150">
        <v>0.43053240740740745</v>
      </c>
      <c r="L316" t="s">
        <v>165</v>
      </c>
      <c r="N316">
        <v>849005</v>
      </c>
      <c r="O316">
        <v>849005</v>
      </c>
      <c r="P316">
        <v>848824</v>
      </c>
      <c r="Q316">
        <v>0</v>
      </c>
      <c r="R316" t="s">
        <v>166</v>
      </c>
      <c r="S316">
        <v>0</v>
      </c>
      <c r="T316" t="s">
        <v>167</v>
      </c>
      <c r="U316">
        <v>848824</v>
      </c>
      <c r="W316" t="s">
        <v>168</v>
      </c>
      <c r="X316" t="s">
        <v>166</v>
      </c>
    </row>
    <row r="317" spans="1:24" x14ac:dyDescent="0.3">
      <c r="A317" s="7" t="s">
        <v>112</v>
      </c>
      <c r="B317" t="s">
        <v>113</v>
      </c>
      <c r="C317" t="s">
        <v>163</v>
      </c>
      <c r="D317" t="s">
        <v>164</v>
      </c>
      <c r="E317" s="108">
        <v>1000</v>
      </c>
      <c r="F317">
        <v>0</v>
      </c>
      <c r="G317">
        <v>27</v>
      </c>
      <c r="H317" s="108">
        <v>55945</v>
      </c>
      <c r="I317" s="108">
        <v>55945</v>
      </c>
      <c r="J317" s="150">
        <v>0.43061342592592594</v>
      </c>
      <c r="K317" s="150">
        <v>0.43061342592592594</v>
      </c>
      <c r="L317" t="s">
        <v>165</v>
      </c>
      <c r="N317">
        <v>850444</v>
      </c>
      <c r="O317">
        <v>850444</v>
      </c>
      <c r="P317">
        <v>850428</v>
      </c>
      <c r="Q317">
        <v>973</v>
      </c>
      <c r="R317" t="s">
        <v>166</v>
      </c>
      <c r="S317">
        <v>0</v>
      </c>
      <c r="T317" t="s">
        <v>167</v>
      </c>
      <c r="U317">
        <v>850428</v>
      </c>
      <c r="W317" t="s">
        <v>168</v>
      </c>
      <c r="X317" t="s">
        <v>166</v>
      </c>
    </row>
    <row r="318" spans="1:24" x14ac:dyDescent="0.3">
      <c r="A318" s="7" t="s">
        <v>67</v>
      </c>
      <c r="B318" t="s">
        <v>68</v>
      </c>
      <c r="C318" t="s">
        <v>163</v>
      </c>
      <c r="D318" t="s">
        <v>164</v>
      </c>
      <c r="E318" s="108">
        <v>1000</v>
      </c>
      <c r="F318">
        <v>0</v>
      </c>
      <c r="G318" s="108">
        <v>1000</v>
      </c>
      <c r="H318" s="108">
        <v>10530</v>
      </c>
      <c r="I318" s="108">
        <v>10530</v>
      </c>
      <c r="J318" s="150">
        <v>0.43064814814814811</v>
      </c>
      <c r="K318" s="150">
        <v>0.43065972222222221</v>
      </c>
      <c r="L318" t="s">
        <v>165</v>
      </c>
      <c r="N318">
        <v>851021</v>
      </c>
      <c r="O318">
        <v>851021</v>
      </c>
      <c r="P318">
        <v>850722</v>
      </c>
      <c r="Q318">
        <v>0</v>
      </c>
      <c r="R318" t="s">
        <v>166</v>
      </c>
      <c r="S318">
        <v>0</v>
      </c>
      <c r="T318" t="s">
        <v>167</v>
      </c>
      <c r="U318">
        <v>850722</v>
      </c>
      <c r="W318" t="s">
        <v>168</v>
      </c>
      <c r="X318" t="s">
        <v>166</v>
      </c>
    </row>
    <row r="319" spans="1:24" x14ac:dyDescent="0.3">
      <c r="A319" s="7" t="s">
        <v>79</v>
      </c>
      <c r="B319" t="s">
        <v>80</v>
      </c>
      <c r="C319" t="s">
        <v>169</v>
      </c>
      <c r="D319" t="s">
        <v>164</v>
      </c>
      <c r="E319" s="108">
        <v>1000</v>
      </c>
      <c r="F319">
        <v>0</v>
      </c>
      <c r="G319">
        <v>172</v>
      </c>
      <c r="H319" s="108">
        <v>38200</v>
      </c>
      <c r="I319" s="108">
        <v>38200</v>
      </c>
      <c r="J319" s="150">
        <v>0.43083333333333335</v>
      </c>
      <c r="K319" s="150">
        <v>0.43083333333333335</v>
      </c>
      <c r="L319" t="s">
        <v>165</v>
      </c>
      <c r="N319">
        <v>853026</v>
      </c>
      <c r="O319">
        <v>853026</v>
      </c>
      <c r="P319">
        <v>853003</v>
      </c>
      <c r="Q319">
        <v>828</v>
      </c>
      <c r="R319" t="s">
        <v>166</v>
      </c>
      <c r="S319">
        <v>0</v>
      </c>
      <c r="T319" t="s">
        <v>167</v>
      </c>
      <c r="U319">
        <v>853003</v>
      </c>
      <c r="W319" t="s">
        <v>168</v>
      </c>
      <c r="X319" t="s">
        <v>166</v>
      </c>
    </row>
    <row r="320" spans="1:24" x14ac:dyDescent="0.3">
      <c r="A320" s="7" t="s">
        <v>63</v>
      </c>
      <c r="B320" t="s">
        <v>64</v>
      </c>
      <c r="C320" t="s">
        <v>163</v>
      </c>
      <c r="D320" t="s">
        <v>164</v>
      </c>
      <c r="E320" s="108">
        <v>1000</v>
      </c>
      <c r="F320">
        <v>0</v>
      </c>
      <c r="G320">
        <v>2</v>
      </c>
      <c r="H320" s="108">
        <v>4755</v>
      </c>
      <c r="I320" s="108">
        <v>4755</v>
      </c>
      <c r="J320" s="150">
        <v>0.43092592592592593</v>
      </c>
      <c r="K320" s="150">
        <v>0.43096064814814811</v>
      </c>
      <c r="L320" t="s">
        <v>165</v>
      </c>
      <c r="N320">
        <v>854008</v>
      </c>
      <c r="O320">
        <v>854008</v>
      </c>
      <c r="P320">
        <v>853914</v>
      </c>
      <c r="Q320">
        <v>998</v>
      </c>
      <c r="R320" t="s">
        <v>166</v>
      </c>
      <c r="S320">
        <v>0</v>
      </c>
      <c r="T320" t="s">
        <v>167</v>
      </c>
      <c r="U320">
        <v>853914</v>
      </c>
      <c r="W320" t="s">
        <v>168</v>
      </c>
      <c r="X320" t="s">
        <v>166</v>
      </c>
    </row>
    <row r="321" spans="1:24" x14ac:dyDescent="0.3">
      <c r="A321" s="7" t="s">
        <v>138</v>
      </c>
      <c r="B321" t="s">
        <v>171</v>
      </c>
      <c r="C321" t="s">
        <v>163</v>
      </c>
      <c r="D321" t="s">
        <v>164</v>
      </c>
      <c r="E321" s="108">
        <v>1000</v>
      </c>
      <c r="F321">
        <v>0</v>
      </c>
      <c r="G321" s="108">
        <v>1000</v>
      </c>
      <c r="H321" s="108">
        <v>9040</v>
      </c>
      <c r="I321" s="108">
        <v>9040</v>
      </c>
      <c r="J321" s="150">
        <v>0.43103009259259256</v>
      </c>
      <c r="K321" s="150">
        <v>0.43128472222222225</v>
      </c>
      <c r="L321" t="s">
        <v>165</v>
      </c>
      <c r="N321">
        <v>855169</v>
      </c>
      <c r="O321">
        <v>855169</v>
      </c>
      <c r="P321">
        <v>853766</v>
      </c>
      <c r="Q321">
        <v>0</v>
      </c>
      <c r="R321" t="s">
        <v>166</v>
      </c>
      <c r="S321">
        <v>0</v>
      </c>
      <c r="T321" t="s">
        <v>167</v>
      </c>
      <c r="U321">
        <v>853766</v>
      </c>
      <c r="W321" t="s">
        <v>168</v>
      </c>
      <c r="X321" t="s">
        <v>166</v>
      </c>
    </row>
    <row r="322" spans="1:24" x14ac:dyDescent="0.3">
      <c r="A322" s="7" t="s">
        <v>69</v>
      </c>
      <c r="B322" t="s">
        <v>70</v>
      </c>
      <c r="C322" t="s">
        <v>163</v>
      </c>
      <c r="D322" t="s">
        <v>164</v>
      </c>
      <c r="E322" s="108">
        <v>1000</v>
      </c>
      <c r="F322">
        <v>0</v>
      </c>
      <c r="G322" s="108">
        <v>1000</v>
      </c>
      <c r="H322" s="108">
        <v>19075</v>
      </c>
      <c r="I322" s="108">
        <v>19075</v>
      </c>
      <c r="J322" s="150">
        <v>0.43129629629629629</v>
      </c>
      <c r="K322" s="150">
        <v>0.43130787037037038</v>
      </c>
      <c r="L322" t="s">
        <v>165</v>
      </c>
      <c r="N322">
        <v>858140</v>
      </c>
      <c r="O322">
        <v>858140</v>
      </c>
      <c r="P322">
        <v>858024</v>
      </c>
      <c r="Q322">
        <v>0</v>
      </c>
      <c r="R322" t="s">
        <v>166</v>
      </c>
      <c r="S322">
        <v>0</v>
      </c>
      <c r="T322" t="s">
        <v>167</v>
      </c>
      <c r="U322">
        <v>858024</v>
      </c>
      <c r="W322" t="s">
        <v>168</v>
      </c>
      <c r="X322" t="s">
        <v>166</v>
      </c>
    </row>
    <row r="323" spans="1:24" x14ac:dyDescent="0.3">
      <c r="A323" s="7" t="s">
        <v>67</v>
      </c>
      <c r="B323" t="s">
        <v>68</v>
      </c>
      <c r="C323" t="s">
        <v>163</v>
      </c>
      <c r="D323" t="s">
        <v>164</v>
      </c>
      <c r="E323" s="108">
        <v>1000</v>
      </c>
      <c r="F323">
        <v>0</v>
      </c>
      <c r="G323">
        <v>4</v>
      </c>
      <c r="H323" s="108">
        <v>10530</v>
      </c>
      <c r="I323" s="108">
        <v>10530</v>
      </c>
      <c r="J323" s="150">
        <v>0.4314236111111111</v>
      </c>
      <c r="K323" s="150">
        <v>0.4314236111111111</v>
      </c>
      <c r="L323" t="s">
        <v>165</v>
      </c>
      <c r="N323">
        <v>859641</v>
      </c>
      <c r="O323">
        <v>859641</v>
      </c>
      <c r="P323">
        <v>859342</v>
      </c>
      <c r="Q323">
        <v>996</v>
      </c>
      <c r="R323" t="s">
        <v>166</v>
      </c>
      <c r="S323">
        <v>0</v>
      </c>
      <c r="T323" t="s">
        <v>167</v>
      </c>
      <c r="U323">
        <v>859342</v>
      </c>
      <c r="W323" t="s">
        <v>168</v>
      </c>
      <c r="X323" t="s">
        <v>166</v>
      </c>
    </row>
    <row r="324" spans="1:24" x14ac:dyDescent="0.3">
      <c r="A324" s="7" t="s">
        <v>108</v>
      </c>
      <c r="B324" t="s">
        <v>172</v>
      </c>
      <c r="C324" t="s">
        <v>163</v>
      </c>
      <c r="D324" t="s">
        <v>164</v>
      </c>
      <c r="E324">
        <v>500</v>
      </c>
      <c r="F324">
        <v>0</v>
      </c>
      <c r="G324">
        <v>1</v>
      </c>
      <c r="H324" s="108">
        <v>51530</v>
      </c>
      <c r="I324" s="108">
        <v>51530</v>
      </c>
      <c r="J324" s="150">
        <v>0.43167824074074074</v>
      </c>
      <c r="K324" s="150">
        <v>0.43167824074074074</v>
      </c>
      <c r="L324" t="s">
        <v>165</v>
      </c>
      <c r="N324">
        <v>863092</v>
      </c>
      <c r="O324">
        <v>863092</v>
      </c>
      <c r="P324">
        <v>863057</v>
      </c>
      <c r="Q324">
        <v>499</v>
      </c>
      <c r="R324" t="s">
        <v>166</v>
      </c>
      <c r="S324">
        <v>0</v>
      </c>
      <c r="T324" t="s">
        <v>167</v>
      </c>
      <c r="U324">
        <v>863057</v>
      </c>
      <c r="W324" t="s">
        <v>168</v>
      </c>
      <c r="X324" t="s">
        <v>166</v>
      </c>
    </row>
    <row r="325" spans="1:24" x14ac:dyDescent="0.3">
      <c r="A325" s="7" t="s">
        <v>104</v>
      </c>
      <c r="B325" t="s">
        <v>105</v>
      </c>
      <c r="C325" t="s">
        <v>163</v>
      </c>
      <c r="D325" t="s">
        <v>164</v>
      </c>
      <c r="E325" s="108">
        <v>1000</v>
      </c>
      <c r="F325">
        <v>0</v>
      </c>
      <c r="G325">
        <v>950</v>
      </c>
      <c r="H325" s="108">
        <v>3715</v>
      </c>
      <c r="I325" s="108">
        <v>3715</v>
      </c>
      <c r="J325" s="150">
        <v>0.4317361111111111</v>
      </c>
      <c r="K325" s="150">
        <v>0.4317361111111111</v>
      </c>
      <c r="L325" t="s">
        <v>165</v>
      </c>
      <c r="N325">
        <v>863935</v>
      </c>
      <c r="O325">
        <v>863935</v>
      </c>
      <c r="P325">
        <v>862922</v>
      </c>
      <c r="Q325">
        <v>50</v>
      </c>
      <c r="R325" t="s">
        <v>166</v>
      </c>
      <c r="S325">
        <v>0</v>
      </c>
      <c r="T325" t="s">
        <v>167</v>
      </c>
      <c r="U325">
        <v>862922</v>
      </c>
      <c r="W325" t="s">
        <v>168</v>
      </c>
      <c r="X325" t="s">
        <v>166</v>
      </c>
    </row>
    <row r="326" spans="1:24" x14ac:dyDescent="0.3">
      <c r="A326" s="7" t="s">
        <v>71</v>
      </c>
      <c r="B326" t="s">
        <v>72</v>
      </c>
      <c r="C326" t="s">
        <v>169</v>
      </c>
      <c r="D326" t="s">
        <v>164</v>
      </c>
      <c r="E326" s="108">
        <v>1000</v>
      </c>
      <c r="F326">
        <v>0</v>
      </c>
      <c r="G326">
        <v>46</v>
      </c>
      <c r="H326" s="108">
        <v>18750</v>
      </c>
      <c r="I326" s="108">
        <v>18750</v>
      </c>
      <c r="J326" s="150">
        <v>0.4319675925925926</v>
      </c>
      <c r="K326" s="150">
        <v>0.4319675925925926</v>
      </c>
      <c r="L326" t="s">
        <v>165</v>
      </c>
      <c r="N326">
        <v>866645</v>
      </c>
      <c r="O326">
        <v>866645</v>
      </c>
      <c r="P326">
        <v>866623</v>
      </c>
      <c r="Q326">
        <v>954</v>
      </c>
      <c r="R326" t="s">
        <v>166</v>
      </c>
      <c r="S326">
        <v>0</v>
      </c>
      <c r="T326" t="s">
        <v>167</v>
      </c>
      <c r="U326">
        <v>866623</v>
      </c>
      <c r="W326" t="s">
        <v>168</v>
      </c>
      <c r="X326" t="s">
        <v>166</v>
      </c>
    </row>
    <row r="327" spans="1:24" x14ac:dyDescent="0.3">
      <c r="A327" s="7" t="s">
        <v>138</v>
      </c>
      <c r="B327" t="s">
        <v>171</v>
      </c>
      <c r="C327" t="s">
        <v>163</v>
      </c>
      <c r="D327" t="s">
        <v>164</v>
      </c>
      <c r="E327" s="108">
        <v>1000</v>
      </c>
      <c r="F327">
        <v>0</v>
      </c>
      <c r="G327">
        <v>53</v>
      </c>
      <c r="H327" s="108">
        <v>9065</v>
      </c>
      <c r="I327" s="108">
        <v>9065</v>
      </c>
      <c r="J327" s="150">
        <v>0.43197916666666664</v>
      </c>
      <c r="K327" s="150">
        <v>0.43199074074074079</v>
      </c>
      <c r="L327" t="s">
        <v>165</v>
      </c>
      <c r="N327">
        <v>866723</v>
      </c>
      <c r="O327">
        <v>866723</v>
      </c>
      <c r="P327">
        <v>866713</v>
      </c>
      <c r="Q327">
        <v>947</v>
      </c>
      <c r="R327" t="s">
        <v>166</v>
      </c>
      <c r="S327">
        <v>0</v>
      </c>
      <c r="T327" t="s">
        <v>167</v>
      </c>
      <c r="U327">
        <v>866713</v>
      </c>
      <c r="W327" t="s">
        <v>168</v>
      </c>
      <c r="X327" t="s">
        <v>166</v>
      </c>
    </row>
    <row r="328" spans="1:24" x14ac:dyDescent="0.3">
      <c r="A328" s="7" t="s">
        <v>65</v>
      </c>
      <c r="B328" t="s">
        <v>66</v>
      </c>
      <c r="C328" t="s">
        <v>169</v>
      </c>
      <c r="D328" t="s">
        <v>164</v>
      </c>
      <c r="E328" s="108">
        <v>1000</v>
      </c>
      <c r="F328">
        <v>0</v>
      </c>
      <c r="G328" s="108">
        <v>1000</v>
      </c>
      <c r="H328" s="108">
        <v>4950</v>
      </c>
      <c r="I328" s="108">
        <v>4950</v>
      </c>
      <c r="J328" s="150">
        <v>0.43221064814814819</v>
      </c>
      <c r="K328" s="150">
        <v>0.4324305555555556</v>
      </c>
      <c r="L328" t="s">
        <v>165</v>
      </c>
      <c r="N328">
        <v>869609</v>
      </c>
      <c r="O328">
        <v>869609</v>
      </c>
      <c r="P328">
        <v>866571</v>
      </c>
      <c r="Q328">
        <v>0</v>
      </c>
      <c r="R328" t="s">
        <v>166</v>
      </c>
      <c r="S328">
        <v>0</v>
      </c>
      <c r="T328" t="s">
        <v>167</v>
      </c>
      <c r="U328">
        <v>866571</v>
      </c>
      <c r="W328" t="s">
        <v>168</v>
      </c>
      <c r="X328" t="s">
        <v>166</v>
      </c>
    </row>
    <row r="329" spans="1:24" x14ac:dyDescent="0.3">
      <c r="A329" s="7" t="s">
        <v>112</v>
      </c>
      <c r="B329" t="s">
        <v>113</v>
      </c>
      <c r="C329" t="s">
        <v>169</v>
      </c>
      <c r="D329" t="s">
        <v>164</v>
      </c>
      <c r="E329" s="108">
        <v>1000</v>
      </c>
      <c r="F329">
        <v>0</v>
      </c>
      <c r="G329">
        <v>128</v>
      </c>
      <c r="H329" s="108">
        <v>55815</v>
      </c>
      <c r="I329" s="108">
        <v>55815</v>
      </c>
      <c r="J329" s="150">
        <v>0.43240740740740741</v>
      </c>
      <c r="K329" s="150">
        <v>0.43241898148148145</v>
      </c>
      <c r="L329" t="s">
        <v>165</v>
      </c>
      <c r="N329">
        <v>872680</v>
      </c>
      <c r="O329">
        <v>872680</v>
      </c>
      <c r="P329">
        <v>872631</v>
      </c>
      <c r="Q329">
        <v>872</v>
      </c>
      <c r="R329" t="s">
        <v>166</v>
      </c>
      <c r="S329">
        <v>0</v>
      </c>
      <c r="T329" t="s">
        <v>167</v>
      </c>
      <c r="U329">
        <v>872631</v>
      </c>
      <c r="W329" t="s">
        <v>168</v>
      </c>
      <c r="X329" t="s">
        <v>166</v>
      </c>
    </row>
    <row r="330" spans="1:24" x14ac:dyDescent="0.3">
      <c r="A330" s="7" t="s">
        <v>77</v>
      </c>
      <c r="B330" t="s">
        <v>78</v>
      </c>
      <c r="C330" t="s">
        <v>169</v>
      </c>
      <c r="D330" t="s">
        <v>164</v>
      </c>
      <c r="E330" s="108">
        <v>1000</v>
      </c>
      <c r="F330">
        <v>0</v>
      </c>
      <c r="G330" s="108">
        <v>1000</v>
      </c>
      <c r="H330" s="108">
        <v>17985</v>
      </c>
      <c r="I330" s="108">
        <v>17985</v>
      </c>
      <c r="J330" s="150">
        <v>0.43240740740740741</v>
      </c>
      <c r="K330" s="150">
        <v>0.43241898148148145</v>
      </c>
      <c r="L330" t="s">
        <v>165</v>
      </c>
      <c r="N330">
        <v>872713</v>
      </c>
      <c r="O330">
        <v>872713</v>
      </c>
      <c r="P330">
        <v>872696</v>
      </c>
      <c r="Q330">
        <v>0</v>
      </c>
      <c r="R330" t="s">
        <v>166</v>
      </c>
      <c r="S330">
        <v>0</v>
      </c>
      <c r="T330" t="s">
        <v>167</v>
      </c>
      <c r="U330">
        <v>872696</v>
      </c>
      <c r="W330" t="s">
        <v>168</v>
      </c>
      <c r="X330" t="s">
        <v>166</v>
      </c>
    </row>
    <row r="331" spans="1:24" x14ac:dyDescent="0.3">
      <c r="A331" s="7" t="s">
        <v>63</v>
      </c>
      <c r="B331" t="s">
        <v>64</v>
      </c>
      <c r="C331" t="s">
        <v>163</v>
      </c>
      <c r="D331" t="s">
        <v>164</v>
      </c>
      <c r="E331" s="108">
        <v>1000</v>
      </c>
      <c r="F331">
        <v>0</v>
      </c>
      <c r="G331" s="108">
        <v>1000</v>
      </c>
      <c r="H331" s="108">
        <v>4760</v>
      </c>
      <c r="I331" s="108">
        <v>4760</v>
      </c>
      <c r="J331" s="150">
        <v>0.43245370370370373</v>
      </c>
      <c r="K331" s="150">
        <v>0.43246527777777777</v>
      </c>
      <c r="L331" t="s">
        <v>165</v>
      </c>
      <c r="N331">
        <v>873092</v>
      </c>
      <c r="O331">
        <v>873092</v>
      </c>
      <c r="P331">
        <v>871442</v>
      </c>
      <c r="Q331">
        <v>0</v>
      </c>
      <c r="R331" t="s">
        <v>166</v>
      </c>
      <c r="S331">
        <v>0</v>
      </c>
      <c r="T331" t="s">
        <v>167</v>
      </c>
      <c r="U331">
        <v>871442</v>
      </c>
      <c r="W331" t="s">
        <v>168</v>
      </c>
      <c r="X331" t="s">
        <v>166</v>
      </c>
    </row>
    <row r="332" spans="1:24" x14ac:dyDescent="0.3">
      <c r="A332" s="7" t="s">
        <v>69</v>
      </c>
      <c r="B332" t="s">
        <v>70</v>
      </c>
      <c r="C332" t="s">
        <v>163</v>
      </c>
      <c r="D332" t="s">
        <v>164</v>
      </c>
      <c r="E332" s="108">
        <v>1000</v>
      </c>
      <c r="F332">
        <v>0</v>
      </c>
      <c r="G332">
        <v>570</v>
      </c>
      <c r="H332" s="108">
        <v>19115</v>
      </c>
      <c r="I332" s="108">
        <v>19115</v>
      </c>
      <c r="J332" s="150">
        <v>0.43261574074074072</v>
      </c>
      <c r="K332" s="150">
        <v>0.43274305555555559</v>
      </c>
      <c r="L332" t="s">
        <v>165</v>
      </c>
      <c r="N332">
        <v>875086</v>
      </c>
      <c r="O332">
        <v>875086</v>
      </c>
      <c r="P332">
        <v>874676</v>
      </c>
      <c r="Q332">
        <v>430</v>
      </c>
      <c r="R332" t="s">
        <v>166</v>
      </c>
      <c r="S332">
        <v>0</v>
      </c>
      <c r="T332" t="s">
        <v>167</v>
      </c>
      <c r="U332">
        <v>874676</v>
      </c>
      <c r="W332" t="s">
        <v>168</v>
      </c>
      <c r="X332" t="s">
        <v>166</v>
      </c>
    </row>
    <row r="333" spans="1:24" x14ac:dyDescent="0.3">
      <c r="A333" s="7" t="s">
        <v>69</v>
      </c>
      <c r="B333" t="s">
        <v>70</v>
      </c>
      <c r="C333" t="s">
        <v>163</v>
      </c>
      <c r="D333" t="s">
        <v>164</v>
      </c>
      <c r="E333" s="108">
        <v>1000</v>
      </c>
      <c r="F333">
        <v>0</v>
      </c>
      <c r="G333">
        <v>430</v>
      </c>
      <c r="H333" s="108">
        <v>19120</v>
      </c>
      <c r="I333" s="108">
        <v>19120</v>
      </c>
      <c r="J333" s="150">
        <v>0.43273148148148149</v>
      </c>
      <c r="K333" s="150">
        <v>0.43274305555555559</v>
      </c>
      <c r="L333" t="s">
        <v>165</v>
      </c>
      <c r="N333">
        <v>876217</v>
      </c>
      <c r="O333">
        <v>876217</v>
      </c>
      <c r="P333">
        <v>875086</v>
      </c>
      <c r="Q333">
        <v>0</v>
      </c>
      <c r="R333" t="s">
        <v>166</v>
      </c>
      <c r="S333">
        <v>570</v>
      </c>
      <c r="T333" t="s">
        <v>167</v>
      </c>
      <c r="U333">
        <v>875086</v>
      </c>
      <c r="W333" t="s">
        <v>168</v>
      </c>
      <c r="X333" t="s">
        <v>166</v>
      </c>
    </row>
    <row r="334" spans="1:24" x14ac:dyDescent="0.3">
      <c r="A334" s="7" t="s">
        <v>63</v>
      </c>
      <c r="B334" t="s">
        <v>64</v>
      </c>
      <c r="C334" t="s">
        <v>163</v>
      </c>
      <c r="D334" t="s">
        <v>164</v>
      </c>
      <c r="E334" s="108">
        <v>1000</v>
      </c>
      <c r="F334">
        <v>0</v>
      </c>
      <c r="G334" s="108">
        <v>1000</v>
      </c>
      <c r="H334" s="108">
        <v>4760</v>
      </c>
      <c r="I334" s="108">
        <v>4760</v>
      </c>
      <c r="J334" s="150">
        <v>0.4334837962962963</v>
      </c>
      <c r="K334" s="150">
        <v>0.4334837962962963</v>
      </c>
      <c r="L334" t="s">
        <v>165</v>
      </c>
      <c r="N334">
        <v>886254</v>
      </c>
      <c r="O334">
        <v>886254</v>
      </c>
      <c r="P334">
        <v>884453</v>
      </c>
      <c r="Q334">
        <v>0</v>
      </c>
      <c r="R334" t="s">
        <v>166</v>
      </c>
      <c r="S334">
        <v>0</v>
      </c>
      <c r="T334" t="s">
        <v>167</v>
      </c>
      <c r="U334">
        <v>884453</v>
      </c>
      <c r="W334" t="s">
        <v>168</v>
      </c>
      <c r="X334" t="s">
        <v>166</v>
      </c>
    </row>
    <row r="335" spans="1:24" x14ac:dyDescent="0.3">
      <c r="A335" s="7" t="s">
        <v>69</v>
      </c>
      <c r="B335" t="s">
        <v>70</v>
      </c>
      <c r="C335" t="s">
        <v>163</v>
      </c>
      <c r="D335" t="s">
        <v>164</v>
      </c>
      <c r="E335" s="108">
        <v>1000</v>
      </c>
      <c r="F335">
        <v>0</v>
      </c>
      <c r="G335">
        <v>127</v>
      </c>
      <c r="H335" s="108">
        <v>19180</v>
      </c>
      <c r="I335" s="108">
        <v>19180</v>
      </c>
      <c r="J335" s="150">
        <v>0.43405092592592592</v>
      </c>
      <c r="K335" s="150">
        <v>0.43406250000000002</v>
      </c>
      <c r="L335" t="s">
        <v>165</v>
      </c>
      <c r="N335">
        <v>893962</v>
      </c>
      <c r="O335">
        <v>893962</v>
      </c>
      <c r="P335">
        <v>893862</v>
      </c>
      <c r="Q335">
        <v>873</v>
      </c>
      <c r="R335" t="s">
        <v>166</v>
      </c>
      <c r="S335">
        <v>0</v>
      </c>
      <c r="T335" t="s">
        <v>167</v>
      </c>
      <c r="U335">
        <v>893862</v>
      </c>
      <c r="W335" t="s">
        <v>168</v>
      </c>
      <c r="X335" t="s">
        <v>166</v>
      </c>
    </row>
    <row r="336" spans="1:24" x14ac:dyDescent="0.3">
      <c r="A336" s="7" t="s">
        <v>77</v>
      </c>
      <c r="B336" t="s">
        <v>78</v>
      </c>
      <c r="C336" t="s">
        <v>169</v>
      </c>
      <c r="D336" t="s">
        <v>164</v>
      </c>
      <c r="E336" s="108">
        <v>1000</v>
      </c>
      <c r="F336">
        <v>0</v>
      </c>
      <c r="G336" s="108">
        <v>1000</v>
      </c>
      <c r="H336" s="108">
        <v>18005</v>
      </c>
      <c r="I336" s="108">
        <v>18005</v>
      </c>
      <c r="J336" s="150">
        <v>0.43417824074074068</v>
      </c>
      <c r="K336" s="150">
        <v>0.43417824074074068</v>
      </c>
      <c r="L336" t="s">
        <v>165</v>
      </c>
      <c r="N336">
        <v>895414</v>
      </c>
      <c r="O336">
        <v>895414</v>
      </c>
      <c r="P336">
        <v>895259</v>
      </c>
      <c r="Q336">
        <v>0</v>
      </c>
      <c r="R336" t="s">
        <v>166</v>
      </c>
      <c r="S336">
        <v>0</v>
      </c>
      <c r="T336" t="s">
        <v>167</v>
      </c>
      <c r="U336">
        <v>895259</v>
      </c>
      <c r="W336" t="s">
        <v>168</v>
      </c>
      <c r="X336" t="s">
        <v>166</v>
      </c>
    </row>
    <row r="337" spans="1:24" x14ac:dyDescent="0.3">
      <c r="A337" s="7" t="s">
        <v>108</v>
      </c>
      <c r="B337" t="s">
        <v>172</v>
      </c>
      <c r="C337" t="s">
        <v>163</v>
      </c>
      <c r="D337" t="s">
        <v>164</v>
      </c>
      <c r="E337">
        <v>500</v>
      </c>
      <c r="F337">
        <v>0</v>
      </c>
      <c r="G337">
        <v>500</v>
      </c>
      <c r="H337" s="108">
        <v>51545</v>
      </c>
      <c r="I337" s="108">
        <v>51545</v>
      </c>
      <c r="J337" s="150">
        <v>0.43437500000000001</v>
      </c>
      <c r="K337" s="150">
        <v>0.43438657407407405</v>
      </c>
      <c r="L337" t="s">
        <v>165</v>
      </c>
      <c r="N337">
        <v>898847</v>
      </c>
      <c r="O337">
        <v>898847</v>
      </c>
      <c r="P337">
        <v>898829</v>
      </c>
      <c r="Q337">
        <v>0</v>
      </c>
      <c r="R337" t="s">
        <v>166</v>
      </c>
      <c r="S337">
        <v>0</v>
      </c>
      <c r="T337" t="s">
        <v>167</v>
      </c>
      <c r="U337">
        <v>898829</v>
      </c>
      <c r="W337" t="s">
        <v>168</v>
      </c>
      <c r="X337" t="s">
        <v>166</v>
      </c>
    </row>
    <row r="338" spans="1:24" x14ac:dyDescent="0.3">
      <c r="A338" s="7" t="s">
        <v>79</v>
      </c>
      <c r="B338" t="s">
        <v>80</v>
      </c>
      <c r="C338" t="s">
        <v>169</v>
      </c>
      <c r="D338" t="s">
        <v>164</v>
      </c>
      <c r="E338" s="108">
        <v>1000</v>
      </c>
      <c r="F338">
        <v>0</v>
      </c>
      <c r="G338">
        <v>125</v>
      </c>
      <c r="H338" s="108">
        <v>38320</v>
      </c>
      <c r="I338" s="108">
        <v>38320</v>
      </c>
      <c r="J338" s="150">
        <v>0.43445601851851851</v>
      </c>
      <c r="K338" s="150">
        <v>0.43446759259259254</v>
      </c>
      <c r="L338" t="s">
        <v>165</v>
      </c>
      <c r="N338">
        <v>899931</v>
      </c>
      <c r="O338">
        <v>899931</v>
      </c>
      <c r="P338">
        <v>899887</v>
      </c>
      <c r="Q338">
        <v>875</v>
      </c>
      <c r="R338" t="s">
        <v>166</v>
      </c>
      <c r="S338">
        <v>0</v>
      </c>
      <c r="T338" t="s">
        <v>167</v>
      </c>
      <c r="U338">
        <v>899887</v>
      </c>
      <c r="W338" t="s">
        <v>168</v>
      </c>
      <c r="X338" t="s">
        <v>166</v>
      </c>
    </row>
    <row r="339" spans="1:24" x14ac:dyDescent="0.3">
      <c r="A339" s="7" t="s">
        <v>63</v>
      </c>
      <c r="B339" t="s">
        <v>64</v>
      </c>
      <c r="C339" t="s">
        <v>163</v>
      </c>
      <c r="D339" t="s">
        <v>164</v>
      </c>
      <c r="E339" s="108">
        <v>1000</v>
      </c>
      <c r="F339">
        <v>0</v>
      </c>
      <c r="G339" s="108">
        <v>1000</v>
      </c>
      <c r="H339" s="108">
        <v>4760</v>
      </c>
      <c r="I339" s="108">
        <v>4760</v>
      </c>
      <c r="J339" s="150">
        <v>0.43472222222222223</v>
      </c>
      <c r="K339" s="150">
        <v>0.43473379629629627</v>
      </c>
      <c r="L339" t="s">
        <v>165</v>
      </c>
      <c r="N339">
        <v>903402</v>
      </c>
      <c r="O339">
        <v>903402</v>
      </c>
      <c r="P339">
        <v>903393</v>
      </c>
      <c r="Q339">
        <v>0</v>
      </c>
      <c r="R339" t="s">
        <v>166</v>
      </c>
      <c r="S339">
        <v>0</v>
      </c>
      <c r="T339" t="s">
        <v>167</v>
      </c>
      <c r="U339">
        <v>903393</v>
      </c>
      <c r="W339" t="s">
        <v>168</v>
      </c>
      <c r="X339" t="s">
        <v>166</v>
      </c>
    </row>
    <row r="340" spans="1:24" x14ac:dyDescent="0.3">
      <c r="A340" s="7" t="s">
        <v>106</v>
      </c>
      <c r="B340" t="s">
        <v>107</v>
      </c>
      <c r="C340" t="s">
        <v>169</v>
      </c>
      <c r="D340" t="s">
        <v>164</v>
      </c>
      <c r="E340" s="108">
        <v>1000</v>
      </c>
      <c r="F340">
        <v>0</v>
      </c>
      <c r="G340" s="108">
        <v>1000</v>
      </c>
      <c r="H340" s="108">
        <v>2680</v>
      </c>
      <c r="I340" s="108">
        <v>2680</v>
      </c>
      <c r="J340" s="150">
        <v>0.43502314814814813</v>
      </c>
      <c r="K340" s="150">
        <v>0.43721064814814814</v>
      </c>
      <c r="L340" t="s">
        <v>165</v>
      </c>
      <c r="N340">
        <v>907439</v>
      </c>
      <c r="O340">
        <v>907439</v>
      </c>
      <c r="P340">
        <v>907031</v>
      </c>
      <c r="Q340">
        <v>0</v>
      </c>
      <c r="R340" t="s">
        <v>166</v>
      </c>
      <c r="S340">
        <v>0</v>
      </c>
      <c r="T340" t="s">
        <v>167</v>
      </c>
      <c r="U340">
        <v>907031</v>
      </c>
      <c r="W340" t="s">
        <v>168</v>
      </c>
      <c r="X340" t="s">
        <v>166</v>
      </c>
    </row>
    <row r="341" spans="1:24" x14ac:dyDescent="0.3">
      <c r="A341" s="7" t="s">
        <v>69</v>
      </c>
      <c r="B341" t="s">
        <v>70</v>
      </c>
      <c r="C341" t="s">
        <v>163</v>
      </c>
      <c r="D341" t="s">
        <v>164</v>
      </c>
      <c r="E341" s="108">
        <v>1000</v>
      </c>
      <c r="F341">
        <v>0</v>
      </c>
      <c r="G341">
        <v>710</v>
      </c>
      <c r="H341" s="108">
        <v>19190</v>
      </c>
      <c r="I341" s="108">
        <v>19190</v>
      </c>
      <c r="J341" s="150">
        <v>0.43518518518518517</v>
      </c>
      <c r="K341" s="150">
        <v>0.43519675925925921</v>
      </c>
      <c r="L341" t="s">
        <v>165</v>
      </c>
      <c r="N341">
        <v>909684</v>
      </c>
      <c r="O341">
        <v>909684</v>
      </c>
      <c r="P341">
        <v>909508</v>
      </c>
      <c r="Q341">
        <v>290</v>
      </c>
      <c r="R341" t="s">
        <v>166</v>
      </c>
      <c r="S341">
        <v>0</v>
      </c>
      <c r="T341" t="s">
        <v>167</v>
      </c>
      <c r="U341">
        <v>909508</v>
      </c>
      <c r="W341" t="s">
        <v>168</v>
      </c>
      <c r="X341" t="s">
        <v>166</v>
      </c>
    </row>
    <row r="342" spans="1:24" x14ac:dyDescent="0.3">
      <c r="A342" s="7" t="s">
        <v>71</v>
      </c>
      <c r="B342" t="s">
        <v>72</v>
      </c>
      <c r="C342" t="s">
        <v>169</v>
      </c>
      <c r="D342" t="s">
        <v>164</v>
      </c>
      <c r="E342" s="108">
        <v>1000</v>
      </c>
      <c r="F342">
        <v>0</v>
      </c>
      <c r="G342" s="108">
        <v>1000</v>
      </c>
      <c r="H342" s="108">
        <v>18810</v>
      </c>
      <c r="I342" s="108">
        <v>18810</v>
      </c>
      <c r="J342" s="150">
        <v>0.43559027777777781</v>
      </c>
      <c r="K342" s="150">
        <v>0.43560185185185185</v>
      </c>
      <c r="L342" t="s">
        <v>165</v>
      </c>
      <c r="N342">
        <v>915131</v>
      </c>
      <c r="O342">
        <v>915131</v>
      </c>
      <c r="P342">
        <v>915008</v>
      </c>
      <c r="Q342">
        <v>0</v>
      </c>
      <c r="R342" t="s">
        <v>166</v>
      </c>
      <c r="S342">
        <v>0</v>
      </c>
      <c r="T342" t="s">
        <v>167</v>
      </c>
      <c r="U342">
        <v>915008</v>
      </c>
      <c r="W342" t="s">
        <v>168</v>
      </c>
      <c r="X342" t="s">
        <v>166</v>
      </c>
    </row>
    <row r="343" spans="1:24" x14ac:dyDescent="0.3">
      <c r="A343" s="7" t="s">
        <v>65</v>
      </c>
      <c r="B343" t="s">
        <v>66</v>
      </c>
      <c r="C343" t="s">
        <v>169</v>
      </c>
      <c r="D343" t="s">
        <v>164</v>
      </c>
      <c r="E343" s="108">
        <v>1000</v>
      </c>
      <c r="F343">
        <v>0</v>
      </c>
      <c r="G343" s="108">
        <v>1000</v>
      </c>
      <c r="H343" s="108">
        <v>4970</v>
      </c>
      <c r="I343" s="108">
        <v>4970</v>
      </c>
      <c r="J343" s="150">
        <v>0.43567129629629631</v>
      </c>
      <c r="K343" s="150">
        <v>0.43568287037037035</v>
      </c>
      <c r="L343" t="s">
        <v>165</v>
      </c>
      <c r="N343">
        <v>916143</v>
      </c>
      <c r="O343">
        <v>916143</v>
      </c>
      <c r="P343">
        <v>915552</v>
      </c>
      <c r="Q343">
        <v>0</v>
      </c>
      <c r="R343" t="s">
        <v>166</v>
      </c>
      <c r="S343">
        <v>0</v>
      </c>
      <c r="T343" t="s">
        <v>167</v>
      </c>
      <c r="U343">
        <v>915552</v>
      </c>
      <c r="W343" t="s">
        <v>168</v>
      </c>
      <c r="X343" t="s">
        <v>166</v>
      </c>
    </row>
    <row r="344" spans="1:24" x14ac:dyDescent="0.3">
      <c r="A344" s="7" t="s">
        <v>138</v>
      </c>
      <c r="B344" t="s">
        <v>171</v>
      </c>
      <c r="C344" t="s">
        <v>169</v>
      </c>
      <c r="D344" t="s">
        <v>164</v>
      </c>
      <c r="E344" s="108">
        <v>1000</v>
      </c>
      <c r="F344">
        <v>0</v>
      </c>
      <c r="G344" s="108">
        <v>1000</v>
      </c>
      <c r="H344" s="108">
        <v>9090</v>
      </c>
      <c r="I344" s="108">
        <v>9090</v>
      </c>
      <c r="J344" s="150">
        <v>0.43578703703703708</v>
      </c>
      <c r="K344" s="150">
        <v>0.43582175925925926</v>
      </c>
      <c r="L344" t="s">
        <v>165</v>
      </c>
      <c r="N344">
        <v>917607</v>
      </c>
      <c r="O344">
        <v>917607</v>
      </c>
      <c r="P344">
        <v>917358</v>
      </c>
      <c r="Q344">
        <v>0</v>
      </c>
      <c r="R344" t="s">
        <v>166</v>
      </c>
      <c r="S344">
        <v>0</v>
      </c>
      <c r="T344" t="s">
        <v>167</v>
      </c>
      <c r="U344">
        <v>917358</v>
      </c>
      <c r="W344" t="s">
        <v>168</v>
      </c>
      <c r="X344" t="s">
        <v>166</v>
      </c>
    </row>
    <row r="345" spans="1:24" x14ac:dyDescent="0.3">
      <c r="A345" s="7" t="s">
        <v>60</v>
      </c>
      <c r="B345" t="s">
        <v>61</v>
      </c>
      <c r="C345" t="s">
        <v>169</v>
      </c>
      <c r="D345" t="s">
        <v>164</v>
      </c>
      <c r="E345">
        <v>500</v>
      </c>
      <c r="F345">
        <v>0</v>
      </c>
      <c r="G345">
        <v>500</v>
      </c>
      <c r="H345" s="108">
        <v>35830</v>
      </c>
      <c r="I345" s="108">
        <v>35830</v>
      </c>
      <c r="J345" s="150">
        <v>0.43579861111111112</v>
      </c>
      <c r="K345" s="150">
        <v>0.43581018518518522</v>
      </c>
      <c r="L345" t="s">
        <v>165</v>
      </c>
      <c r="N345">
        <v>917797</v>
      </c>
      <c r="O345">
        <v>917797</v>
      </c>
      <c r="P345">
        <v>917759</v>
      </c>
      <c r="Q345">
        <v>0</v>
      </c>
      <c r="R345" t="s">
        <v>166</v>
      </c>
      <c r="S345">
        <v>0</v>
      </c>
      <c r="T345" t="s">
        <v>167</v>
      </c>
      <c r="U345">
        <v>917759</v>
      </c>
      <c r="W345" t="s">
        <v>168</v>
      </c>
      <c r="X345" t="s">
        <v>166</v>
      </c>
    </row>
    <row r="346" spans="1:24" x14ac:dyDescent="0.3">
      <c r="A346" s="7" t="s">
        <v>69</v>
      </c>
      <c r="B346" t="s">
        <v>70</v>
      </c>
      <c r="C346" t="s">
        <v>163</v>
      </c>
      <c r="D346" t="s">
        <v>164</v>
      </c>
      <c r="E346" s="108">
        <v>1000</v>
      </c>
      <c r="F346">
        <v>0</v>
      </c>
      <c r="G346">
        <v>653</v>
      </c>
      <c r="H346" s="108">
        <v>19160</v>
      </c>
      <c r="I346" s="108">
        <v>19160</v>
      </c>
      <c r="J346" s="150">
        <v>0.43645833333333334</v>
      </c>
      <c r="K346" s="150">
        <v>0.43648148148148147</v>
      </c>
      <c r="L346" t="s">
        <v>165</v>
      </c>
      <c r="N346">
        <v>928336</v>
      </c>
      <c r="O346">
        <v>928336</v>
      </c>
      <c r="P346">
        <v>928329</v>
      </c>
      <c r="Q346">
        <v>347</v>
      </c>
      <c r="R346" t="s">
        <v>166</v>
      </c>
      <c r="S346">
        <v>0</v>
      </c>
      <c r="T346" t="s">
        <v>167</v>
      </c>
      <c r="U346">
        <v>928329</v>
      </c>
      <c r="W346" t="s">
        <v>168</v>
      </c>
      <c r="X346" t="s">
        <v>166</v>
      </c>
    </row>
    <row r="347" spans="1:24" x14ac:dyDescent="0.3">
      <c r="A347" s="7" t="s">
        <v>79</v>
      </c>
      <c r="B347" t="s">
        <v>80</v>
      </c>
      <c r="C347" t="s">
        <v>169</v>
      </c>
      <c r="D347" t="s">
        <v>164</v>
      </c>
      <c r="E347" s="108">
        <v>1000</v>
      </c>
      <c r="F347">
        <v>0</v>
      </c>
      <c r="G347">
        <v>105</v>
      </c>
      <c r="H347" s="108">
        <v>38355</v>
      </c>
      <c r="I347" s="108">
        <v>38355</v>
      </c>
      <c r="J347" s="150">
        <v>0.43645833333333334</v>
      </c>
      <c r="K347" s="150">
        <v>0.43648148148148147</v>
      </c>
      <c r="L347" t="s">
        <v>165</v>
      </c>
      <c r="N347">
        <v>928389</v>
      </c>
      <c r="O347">
        <v>928389</v>
      </c>
      <c r="P347">
        <v>928351</v>
      </c>
      <c r="Q347">
        <v>895</v>
      </c>
      <c r="R347" t="s">
        <v>166</v>
      </c>
      <c r="S347">
        <v>0</v>
      </c>
      <c r="T347" t="s">
        <v>167</v>
      </c>
      <c r="U347">
        <v>928351</v>
      </c>
      <c r="W347" t="s">
        <v>168</v>
      </c>
      <c r="X347" t="s">
        <v>166</v>
      </c>
    </row>
    <row r="348" spans="1:24" x14ac:dyDescent="0.3">
      <c r="A348" s="7" t="s">
        <v>71</v>
      </c>
      <c r="B348" t="s">
        <v>72</v>
      </c>
      <c r="C348" t="s">
        <v>169</v>
      </c>
      <c r="D348" t="s">
        <v>164</v>
      </c>
      <c r="E348" s="108">
        <v>1000</v>
      </c>
      <c r="F348">
        <v>0</v>
      </c>
      <c r="G348">
        <v>29</v>
      </c>
      <c r="H348" s="108">
        <v>18780</v>
      </c>
      <c r="I348" s="108">
        <v>18780</v>
      </c>
      <c r="J348" s="150">
        <v>0.43667824074074074</v>
      </c>
      <c r="K348" s="150">
        <v>0.43668981481481484</v>
      </c>
      <c r="L348" t="s">
        <v>165</v>
      </c>
      <c r="N348">
        <v>930712</v>
      </c>
      <c r="O348">
        <v>930712</v>
      </c>
      <c r="P348">
        <v>930598</v>
      </c>
      <c r="Q348">
        <v>971</v>
      </c>
      <c r="R348" t="s">
        <v>166</v>
      </c>
      <c r="S348">
        <v>0</v>
      </c>
      <c r="T348" t="s">
        <v>167</v>
      </c>
      <c r="U348">
        <v>930598</v>
      </c>
      <c r="W348" t="s">
        <v>168</v>
      </c>
      <c r="X348" t="s">
        <v>166</v>
      </c>
    </row>
    <row r="349" spans="1:24" x14ac:dyDescent="0.3">
      <c r="A349" s="7" t="s">
        <v>67</v>
      </c>
      <c r="B349" t="s">
        <v>68</v>
      </c>
      <c r="C349" t="s">
        <v>169</v>
      </c>
      <c r="D349" t="s">
        <v>164</v>
      </c>
      <c r="E349" s="108">
        <v>1000</v>
      </c>
      <c r="F349">
        <v>0</v>
      </c>
      <c r="G349" s="108">
        <v>1000</v>
      </c>
      <c r="H349" s="108">
        <v>10520</v>
      </c>
      <c r="I349" s="108">
        <v>10520</v>
      </c>
      <c r="J349" s="150">
        <v>0.4368055555555555</v>
      </c>
      <c r="K349" s="150">
        <v>0.43681712962962965</v>
      </c>
      <c r="L349" t="s">
        <v>165</v>
      </c>
      <c r="N349">
        <v>932220</v>
      </c>
      <c r="O349">
        <v>932220</v>
      </c>
      <c r="P349">
        <v>932215</v>
      </c>
      <c r="Q349">
        <v>0</v>
      </c>
      <c r="R349" t="s">
        <v>166</v>
      </c>
      <c r="S349">
        <v>0</v>
      </c>
      <c r="T349" t="s">
        <v>167</v>
      </c>
      <c r="U349">
        <v>932215</v>
      </c>
      <c r="W349" t="s">
        <v>168</v>
      </c>
      <c r="X349" t="s">
        <v>166</v>
      </c>
    </row>
    <row r="350" spans="1:24" x14ac:dyDescent="0.3">
      <c r="A350" s="7" t="s">
        <v>79</v>
      </c>
      <c r="B350" t="s">
        <v>80</v>
      </c>
      <c r="C350" t="s">
        <v>169</v>
      </c>
      <c r="D350" t="s">
        <v>164</v>
      </c>
      <c r="E350" s="108">
        <v>1000</v>
      </c>
      <c r="F350">
        <v>0</v>
      </c>
      <c r="G350">
        <v>66</v>
      </c>
      <c r="H350" s="108">
        <v>38370</v>
      </c>
      <c r="I350" s="108">
        <v>38370</v>
      </c>
      <c r="J350" s="150">
        <v>0.43716435185185182</v>
      </c>
      <c r="K350" s="150">
        <v>0.43716435185185182</v>
      </c>
      <c r="L350" t="s">
        <v>165</v>
      </c>
      <c r="N350">
        <v>936642</v>
      </c>
      <c r="O350">
        <v>936642</v>
      </c>
      <c r="P350">
        <v>936623</v>
      </c>
      <c r="Q350">
        <v>934</v>
      </c>
      <c r="R350" t="s">
        <v>166</v>
      </c>
      <c r="S350">
        <v>0</v>
      </c>
      <c r="T350" t="s">
        <v>167</v>
      </c>
      <c r="U350">
        <v>936623</v>
      </c>
      <c r="W350" t="s">
        <v>168</v>
      </c>
      <c r="X350" t="s">
        <v>166</v>
      </c>
    </row>
    <row r="351" spans="1:24" x14ac:dyDescent="0.3">
      <c r="A351" s="7" t="s">
        <v>60</v>
      </c>
      <c r="B351" t="s">
        <v>61</v>
      </c>
      <c r="C351" t="s">
        <v>169</v>
      </c>
      <c r="D351" t="s">
        <v>164</v>
      </c>
      <c r="E351">
        <v>500</v>
      </c>
      <c r="F351">
        <v>0</v>
      </c>
      <c r="G351">
        <v>478</v>
      </c>
      <c r="H351" s="108">
        <v>35815</v>
      </c>
      <c r="I351" s="108">
        <v>35815</v>
      </c>
      <c r="J351" s="150">
        <v>0.43753472222222217</v>
      </c>
      <c r="K351" s="150">
        <v>0.43754629629629632</v>
      </c>
      <c r="L351" t="s">
        <v>165</v>
      </c>
      <c r="N351">
        <v>941442</v>
      </c>
      <c r="O351">
        <v>941442</v>
      </c>
      <c r="P351">
        <v>941423</v>
      </c>
      <c r="Q351">
        <v>22</v>
      </c>
      <c r="R351" t="s">
        <v>166</v>
      </c>
      <c r="S351">
        <v>0</v>
      </c>
      <c r="T351" t="s">
        <v>167</v>
      </c>
      <c r="U351">
        <v>941423</v>
      </c>
      <c r="W351" t="s">
        <v>168</v>
      </c>
      <c r="X351" t="s">
        <v>166</v>
      </c>
    </row>
    <row r="352" spans="1:24" x14ac:dyDescent="0.3">
      <c r="A352" s="7" t="s">
        <v>60</v>
      </c>
      <c r="B352" t="s">
        <v>61</v>
      </c>
      <c r="C352" t="s">
        <v>169</v>
      </c>
      <c r="D352" t="s">
        <v>164</v>
      </c>
      <c r="E352">
        <v>500</v>
      </c>
      <c r="F352">
        <v>0</v>
      </c>
      <c r="G352">
        <v>22</v>
      </c>
      <c r="H352" s="108">
        <v>35805</v>
      </c>
      <c r="I352" s="108">
        <v>35805</v>
      </c>
      <c r="J352" s="150">
        <v>0.43753472222222217</v>
      </c>
      <c r="K352" s="150">
        <v>0.43754629629629632</v>
      </c>
      <c r="L352" t="s">
        <v>165</v>
      </c>
      <c r="N352">
        <v>941496</v>
      </c>
      <c r="O352">
        <v>941496</v>
      </c>
      <c r="P352">
        <v>941442</v>
      </c>
      <c r="Q352">
        <v>0</v>
      </c>
      <c r="R352" t="s">
        <v>166</v>
      </c>
      <c r="S352">
        <v>478</v>
      </c>
      <c r="T352" t="s">
        <v>167</v>
      </c>
      <c r="U352">
        <v>941442</v>
      </c>
      <c r="W352" t="s">
        <v>168</v>
      </c>
      <c r="X352" t="s">
        <v>166</v>
      </c>
    </row>
    <row r="353" spans="1:24" x14ac:dyDescent="0.3">
      <c r="A353" s="7" t="s">
        <v>71</v>
      </c>
      <c r="B353" t="s">
        <v>72</v>
      </c>
      <c r="C353" t="s">
        <v>169</v>
      </c>
      <c r="D353" t="s">
        <v>164</v>
      </c>
      <c r="E353" s="108">
        <v>1000</v>
      </c>
      <c r="F353">
        <v>0</v>
      </c>
      <c r="G353" s="108">
        <v>1000</v>
      </c>
      <c r="H353" s="108">
        <v>18785</v>
      </c>
      <c r="I353" s="108">
        <v>18785</v>
      </c>
      <c r="J353" s="150">
        <v>0.43758101851851849</v>
      </c>
      <c r="K353" s="150">
        <v>0.43759259259259259</v>
      </c>
      <c r="L353" t="s">
        <v>165</v>
      </c>
      <c r="N353">
        <v>942303</v>
      </c>
      <c r="O353">
        <v>942303</v>
      </c>
      <c r="P353">
        <v>942087</v>
      </c>
      <c r="Q353">
        <v>0</v>
      </c>
      <c r="R353" t="s">
        <v>166</v>
      </c>
      <c r="S353">
        <v>0</v>
      </c>
      <c r="T353" t="s">
        <v>167</v>
      </c>
      <c r="U353">
        <v>942087</v>
      </c>
      <c r="W353" t="s">
        <v>168</v>
      </c>
      <c r="X353" t="s">
        <v>166</v>
      </c>
    </row>
    <row r="354" spans="1:24" x14ac:dyDescent="0.3">
      <c r="A354" s="7" t="s">
        <v>112</v>
      </c>
      <c r="B354" t="s">
        <v>113</v>
      </c>
      <c r="C354" t="s">
        <v>169</v>
      </c>
      <c r="D354" t="s">
        <v>164</v>
      </c>
      <c r="E354" s="108">
        <v>1000</v>
      </c>
      <c r="F354">
        <v>0</v>
      </c>
      <c r="G354">
        <v>820</v>
      </c>
      <c r="H354" s="108">
        <v>55995</v>
      </c>
      <c r="I354" s="108">
        <v>55995</v>
      </c>
      <c r="J354" s="150">
        <v>0.43762731481481482</v>
      </c>
      <c r="K354" s="150">
        <v>0.43762731481481482</v>
      </c>
      <c r="L354" t="s">
        <v>165</v>
      </c>
      <c r="N354">
        <v>943020</v>
      </c>
      <c r="O354">
        <v>943020</v>
      </c>
      <c r="P354">
        <v>943002</v>
      </c>
      <c r="Q354">
        <v>180</v>
      </c>
      <c r="R354" t="s">
        <v>166</v>
      </c>
      <c r="S354">
        <v>0</v>
      </c>
      <c r="T354" t="s">
        <v>167</v>
      </c>
      <c r="U354">
        <v>943002</v>
      </c>
      <c r="W354" t="s">
        <v>168</v>
      </c>
      <c r="X354" t="s">
        <v>166</v>
      </c>
    </row>
    <row r="355" spans="1:24" x14ac:dyDescent="0.3">
      <c r="A355" s="7" t="s">
        <v>77</v>
      </c>
      <c r="B355" t="s">
        <v>78</v>
      </c>
      <c r="C355" t="s">
        <v>169</v>
      </c>
      <c r="D355" t="s">
        <v>164</v>
      </c>
      <c r="E355" s="108">
        <v>1000</v>
      </c>
      <c r="F355">
        <v>0</v>
      </c>
      <c r="G355">
        <v>501</v>
      </c>
      <c r="H355" s="108">
        <v>17995</v>
      </c>
      <c r="I355" s="108">
        <v>17995</v>
      </c>
      <c r="J355" s="150">
        <v>0.43767361111111108</v>
      </c>
      <c r="K355" s="150">
        <v>0.43768518518518523</v>
      </c>
      <c r="L355" t="s">
        <v>165</v>
      </c>
      <c r="N355">
        <v>943659</v>
      </c>
      <c r="O355">
        <v>943659</v>
      </c>
      <c r="P355">
        <v>943573</v>
      </c>
      <c r="Q355">
        <v>499</v>
      </c>
      <c r="R355" t="s">
        <v>166</v>
      </c>
      <c r="S355">
        <v>0</v>
      </c>
      <c r="T355" t="s">
        <v>167</v>
      </c>
      <c r="U355">
        <v>943573</v>
      </c>
      <c r="W355" t="s">
        <v>168</v>
      </c>
      <c r="X355" t="s">
        <v>166</v>
      </c>
    </row>
    <row r="356" spans="1:24" x14ac:dyDescent="0.3">
      <c r="A356" s="7" t="s">
        <v>79</v>
      </c>
      <c r="B356" t="s">
        <v>80</v>
      </c>
      <c r="C356" t="s">
        <v>169</v>
      </c>
      <c r="D356" t="s">
        <v>164</v>
      </c>
      <c r="E356" s="108">
        <v>1000</v>
      </c>
      <c r="F356">
        <v>0</v>
      </c>
      <c r="G356">
        <v>8</v>
      </c>
      <c r="H356" s="108">
        <v>38295</v>
      </c>
      <c r="I356" s="108">
        <v>38295</v>
      </c>
      <c r="J356" s="150">
        <v>0.43820601851851854</v>
      </c>
      <c r="K356" s="150">
        <v>0.43821759259259263</v>
      </c>
      <c r="L356" t="s">
        <v>165</v>
      </c>
      <c r="N356">
        <v>949887</v>
      </c>
      <c r="O356">
        <v>949887</v>
      </c>
      <c r="P356">
        <v>949864</v>
      </c>
      <c r="Q356">
        <v>992</v>
      </c>
      <c r="R356" t="s">
        <v>166</v>
      </c>
      <c r="S356">
        <v>0</v>
      </c>
      <c r="T356" t="s">
        <v>167</v>
      </c>
      <c r="U356">
        <v>949864</v>
      </c>
      <c r="W356" t="s">
        <v>168</v>
      </c>
      <c r="X356" t="s">
        <v>166</v>
      </c>
    </row>
    <row r="357" spans="1:24" x14ac:dyDescent="0.3">
      <c r="A357" s="7" t="s">
        <v>138</v>
      </c>
      <c r="B357" t="s">
        <v>171</v>
      </c>
      <c r="C357" t="s">
        <v>169</v>
      </c>
      <c r="D357" t="s">
        <v>164</v>
      </c>
      <c r="E357" s="108">
        <v>1000</v>
      </c>
      <c r="F357">
        <v>0</v>
      </c>
      <c r="G357" s="108">
        <v>1000</v>
      </c>
      <c r="H357" s="108">
        <v>9080</v>
      </c>
      <c r="I357" s="108">
        <v>9080</v>
      </c>
      <c r="J357" s="150">
        <v>0.43832175925925926</v>
      </c>
      <c r="K357" s="150">
        <v>0.43832175925925926</v>
      </c>
      <c r="L357" t="s">
        <v>165</v>
      </c>
      <c r="N357">
        <v>951157</v>
      </c>
      <c r="O357">
        <v>951157</v>
      </c>
      <c r="P357">
        <v>947538</v>
      </c>
      <c r="Q357">
        <v>0</v>
      </c>
      <c r="R357" t="s">
        <v>166</v>
      </c>
      <c r="S357">
        <v>0</v>
      </c>
      <c r="T357" t="s">
        <v>167</v>
      </c>
      <c r="U357">
        <v>947538</v>
      </c>
      <c r="W357" t="s">
        <v>168</v>
      </c>
      <c r="X357" t="s">
        <v>166</v>
      </c>
    </row>
    <row r="358" spans="1:24" x14ac:dyDescent="0.3">
      <c r="A358" s="7" t="s">
        <v>69</v>
      </c>
      <c r="B358" t="s">
        <v>70</v>
      </c>
      <c r="C358" t="s">
        <v>163</v>
      </c>
      <c r="D358" t="s">
        <v>164</v>
      </c>
      <c r="E358" s="108">
        <v>1000</v>
      </c>
      <c r="F358">
        <v>0</v>
      </c>
      <c r="G358">
        <v>2</v>
      </c>
      <c r="H358" s="108">
        <v>19170</v>
      </c>
      <c r="I358" s="108">
        <v>19170</v>
      </c>
      <c r="J358" s="150">
        <v>0.43938657407407411</v>
      </c>
      <c r="K358" s="150">
        <v>0.43939814814814815</v>
      </c>
      <c r="L358" t="s">
        <v>165</v>
      </c>
      <c r="N358">
        <v>964349</v>
      </c>
      <c r="O358">
        <v>964349</v>
      </c>
      <c r="P358">
        <v>964275</v>
      </c>
      <c r="Q358">
        <v>998</v>
      </c>
      <c r="R358" t="s">
        <v>166</v>
      </c>
      <c r="S358">
        <v>0</v>
      </c>
      <c r="T358" t="s">
        <v>167</v>
      </c>
      <c r="U358">
        <v>964275</v>
      </c>
      <c r="W358" t="s">
        <v>168</v>
      </c>
      <c r="X358" t="s">
        <v>166</v>
      </c>
    </row>
    <row r="359" spans="1:24" x14ac:dyDescent="0.3">
      <c r="A359" s="7" t="s">
        <v>112</v>
      </c>
      <c r="B359" t="s">
        <v>113</v>
      </c>
      <c r="C359" t="s">
        <v>163</v>
      </c>
      <c r="D359" t="s">
        <v>164</v>
      </c>
      <c r="E359" s="108">
        <v>1000</v>
      </c>
      <c r="F359">
        <v>0</v>
      </c>
      <c r="G359">
        <v>614</v>
      </c>
      <c r="H359" s="108">
        <v>56210</v>
      </c>
      <c r="I359" s="108">
        <v>56210</v>
      </c>
      <c r="J359" s="150">
        <v>0.43943287037037032</v>
      </c>
      <c r="K359" s="150">
        <v>0.43944444444444447</v>
      </c>
      <c r="L359" t="s">
        <v>165</v>
      </c>
      <c r="N359">
        <v>965223</v>
      </c>
      <c r="O359">
        <v>965223</v>
      </c>
      <c r="P359">
        <v>965208</v>
      </c>
      <c r="Q359">
        <v>386</v>
      </c>
      <c r="R359" t="s">
        <v>166</v>
      </c>
      <c r="S359">
        <v>0</v>
      </c>
      <c r="T359" t="s">
        <v>167</v>
      </c>
      <c r="U359">
        <v>965208</v>
      </c>
      <c r="W359" t="s">
        <v>168</v>
      </c>
      <c r="X359" t="s">
        <v>166</v>
      </c>
    </row>
    <row r="360" spans="1:24" x14ac:dyDescent="0.3">
      <c r="A360" s="7" t="s">
        <v>73</v>
      </c>
      <c r="B360" t="s">
        <v>74</v>
      </c>
      <c r="C360" t="s">
        <v>169</v>
      </c>
      <c r="D360" t="s">
        <v>164</v>
      </c>
      <c r="E360" s="108">
        <v>1000</v>
      </c>
      <c r="F360">
        <v>0</v>
      </c>
      <c r="G360">
        <v>628</v>
      </c>
      <c r="H360" s="108">
        <v>22565</v>
      </c>
      <c r="I360" s="108">
        <v>22565</v>
      </c>
      <c r="J360" s="150">
        <v>0.43957175925925923</v>
      </c>
      <c r="K360" s="150">
        <v>0.43957175925925923</v>
      </c>
      <c r="L360" t="s">
        <v>165</v>
      </c>
      <c r="N360">
        <v>967274</v>
      </c>
      <c r="O360">
        <v>967274</v>
      </c>
      <c r="P360">
        <v>967176</v>
      </c>
      <c r="Q360">
        <v>372</v>
      </c>
      <c r="R360" t="s">
        <v>166</v>
      </c>
      <c r="S360">
        <v>0</v>
      </c>
      <c r="T360" t="s">
        <v>167</v>
      </c>
      <c r="U360">
        <v>967176</v>
      </c>
      <c r="W360" t="s">
        <v>168</v>
      </c>
      <c r="X360" t="s">
        <v>166</v>
      </c>
    </row>
    <row r="361" spans="1:24" x14ac:dyDescent="0.3">
      <c r="A361" s="7" t="s">
        <v>67</v>
      </c>
      <c r="B361" t="s">
        <v>68</v>
      </c>
      <c r="C361" t="s">
        <v>163</v>
      </c>
      <c r="D361" t="s">
        <v>164</v>
      </c>
      <c r="E361" s="108">
        <v>1000</v>
      </c>
      <c r="F361">
        <v>0</v>
      </c>
      <c r="G361">
        <v>28</v>
      </c>
      <c r="H361" s="108">
        <v>10580</v>
      </c>
      <c r="I361" s="108">
        <v>10580</v>
      </c>
      <c r="J361" s="150">
        <v>0.43959490740740742</v>
      </c>
      <c r="K361" s="150">
        <v>0.43959490740740742</v>
      </c>
      <c r="L361" t="s">
        <v>165</v>
      </c>
      <c r="N361">
        <v>967625</v>
      </c>
      <c r="O361">
        <v>967625</v>
      </c>
      <c r="P361">
        <v>967401</v>
      </c>
      <c r="Q361">
        <v>972</v>
      </c>
      <c r="R361" t="s">
        <v>166</v>
      </c>
      <c r="S361">
        <v>0</v>
      </c>
      <c r="T361" t="s">
        <v>167</v>
      </c>
      <c r="U361">
        <v>967401</v>
      </c>
      <c r="W361" t="s">
        <v>168</v>
      </c>
      <c r="X361" t="s">
        <v>166</v>
      </c>
    </row>
    <row r="362" spans="1:24" x14ac:dyDescent="0.3">
      <c r="A362" s="7" t="s">
        <v>69</v>
      </c>
      <c r="B362" t="s">
        <v>70</v>
      </c>
      <c r="C362" t="s">
        <v>163</v>
      </c>
      <c r="D362" t="s">
        <v>164</v>
      </c>
      <c r="E362" s="108">
        <v>1000</v>
      </c>
      <c r="F362">
        <v>0</v>
      </c>
      <c r="G362">
        <v>245</v>
      </c>
      <c r="H362" s="108">
        <v>19170</v>
      </c>
      <c r="I362" s="108">
        <v>19170</v>
      </c>
      <c r="J362" s="150">
        <v>0.4400810185185185</v>
      </c>
      <c r="K362" s="150">
        <v>0.44010416666666669</v>
      </c>
      <c r="L362" t="s">
        <v>165</v>
      </c>
      <c r="N362">
        <v>973004</v>
      </c>
      <c r="O362">
        <v>973004</v>
      </c>
      <c r="P362">
        <v>972998</v>
      </c>
      <c r="Q362">
        <v>755</v>
      </c>
      <c r="R362" t="s">
        <v>166</v>
      </c>
      <c r="S362">
        <v>0</v>
      </c>
      <c r="T362" t="s">
        <v>167</v>
      </c>
      <c r="U362">
        <v>972998</v>
      </c>
      <c r="W362" t="s">
        <v>168</v>
      </c>
      <c r="X362" t="s">
        <v>166</v>
      </c>
    </row>
    <row r="363" spans="1:24" x14ac:dyDescent="0.3">
      <c r="A363" s="7" t="s">
        <v>71</v>
      </c>
      <c r="B363" t="s">
        <v>72</v>
      </c>
      <c r="C363" t="s">
        <v>169</v>
      </c>
      <c r="D363" t="s">
        <v>164</v>
      </c>
      <c r="E363" s="108">
        <v>1000</v>
      </c>
      <c r="F363">
        <v>0</v>
      </c>
      <c r="G363" s="108">
        <v>1000</v>
      </c>
      <c r="H363" s="108">
        <v>18865</v>
      </c>
      <c r="I363" s="108">
        <v>18865</v>
      </c>
      <c r="J363" s="150">
        <v>0.44009259259259265</v>
      </c>
      <c r="K363" s="150">
        <v>0.44011574074074072</v>
      </c>
      <c r="L363" t="s">
        <v>165</v>
      </c>
      <c r="N363">
        <v>973170</v>
      </c>
      <c r="O363">
        <v>973170</v>
      </c>
      <c r="P363">
        <v>973100</v>
      </c>
      <c r="Q363">
        <v>0</v>
      </c>
      <c r="R363" t="s">
        <v>166</v>
      </c>
      <c r="S363">
        <v>0</v>
      </c>
      <c r="T363" t="s">
        <v>167</v>
      </c>
      <c r="U363">
        <v>973100</v>
      </c>
      <c r="W363" t="s">
        <v>168</v>
      </c>
      <c r="X363" t="s">
        <v>166</v>
      </c>
    </row>
    <row r="364" spans="1:24" x14ac:dyDescent="0.3">
      <c r="A364" s="7" t="s">
        <v>65</v>
      </c>
      <c r="B364" t="s">
        <v>66</v>
      </c>
      <c r="C364" t="s">
        <v>169</v>
      </c>
      <c r="D364" t="s">
        <v>164</v>
      </c>
      <c r="E364" s="108">
        <v>1000</v>
      </c>
      <c r="F364">
        <v>0</v>
      </c>
      <c r="G364">
        <v>33</v>
      </c>
      <c r="H364" s="108">
        <v>4995</v>
      </c>
      <c r="I364" s="108">
        <v>4995</v>
      </c>
      <c r="J364" s="150">
        <v>0.44025462962962963</v>
      </c>
      <c r="K364" s="150">
        <v>0.44028935185185186</v>
      </c>
      <c r="L364" t="s">
        <v>165</v>
      </c>
      <c r="N364">
        <v>975066</v>
      </c>
      <c r="O364">
        <v>975066</v>
      </c>
      <c r="P364">
        <v>974349</v>
      </c>
      <c r="Q364">
        <v>967</v>
      </c>
      <c r="R364" t="s">
        <v>166</v>
      </c>
      <c r="S364">
        <v>0</v>
      </c>
      <c r="T364" t="s">
        <v>167</v>
      </c>
      <c r="U364">
        <v>974349</v>
      </c>
      <c r="W364" t="s">
        <v>168</v>
      </c>
      <c r="X364" t="s">
        <v>166</v>
      </c>
    </row>
    <row r="365" spans="1:24" x14ac:dyDescent="0.3">
      <c r="A365" s="7" t="s">
        <v>102</v>
      </c>
      <c r="B365" t="s">
        <v>103</v>
      </c>
      <c r="C365" t="s">
        <v>163</v>
      </c>
      <c r="D365" t="s">
        <v>164</v>
      </c>
      <c r="E365" s="108">
        <v>1000</v>
      </c>
      <c r="F365">
        <v>0</v>
      </c>
      <c r="G365" s="108">
        <v>1000</v>
      </c>
      <c r="H365" s="108">
        <v>8180</v>
      </c>
      <c r="I365" s="108">
        <v>8180</v>
      </c>
      <c r="J365" s="150">
        <v>0.44085648148148149</v>
      </c>
      <c r="K365" s="150">
        <v>0.44085648148148149</v>
      </c>
      <c r="L365" t="s">
        <v>165</v>
      </c>
      <c r="N365">
        <v>982519</v>
      </c>
      <c r="O365">
        <v>982519</v>
      </c>
      <c r="P365">
        <v>982346</v>
      </c>
      <c r="Q365">
        <v>0</v>
      </c>
      <c r="R365" t="s">
        <v>166</v>
      </c>
      <c r="S365">
        <v>0</v>
      </c>
      <c r="T365" t="s">
        <v>167</v>
      </c>
      <c r="U365">
        <v>982346</v>
      </c>
      <c r="W365" t="s">
        <v>168</v>
      </c>
      <c r="X365" t="s">
        <v>166</v>
      </c>
    </row>
    <row r="366" spans="1:24" x14ac:dyDescent="0.3">
      <c r="A366" s="7" t="s">
        <v>69</v>
      </c>
      <c r="B366" t="s">
        <v>70</v>
      </c>
      <c r="C366" t="s">
        <v>163</v>
      </c>
      <c r="D366" t="s">
        <v>164</v>
      </c>
      <c r="E366" s="108">
        <v>1000</v>
      </c>
      <c r="F366">
        <v>0</v>
      </c>
      <c r="G366" s="108">
        <v>1000</v>
      </c>
      <c r="H366" s="108">
        <v>19150</v>
      </c>
      <c r="I366" s="108">
        <v>19150</v>
      </c>
      <c r="J366" s="150">
        <v>0.44111111111111106</v>
      </c>
      <c r="K366" s="150">
        <v>0.44111111111111106</v>
      </c>
      <c r="L366" t="s">
        <v>165</v>
      </c>
      <c r="N366">
        <v>985661</v>
      </c>
      <c r="O366">
        <v>985661</v>
      </c>
      <c r="P366">
        <v>985598</v>
      </c>
      <c r="Q366">
        <v>0</v>
      </c>
      <c r="R366" t="s">
        <v>166</v>
      </c>
      <c r="S366">
        <v>0</v>
      </c>
      <c r="T366" t="s">
        <v>167</v>
      </c>
      <c r="U366">
        <v>985598</v>
      </c>
      <c r="W366" t="s">
        <v>168</v>
      </c>
      <c r="X366" t="s">
        <v>166</v>
      </c>
    </row>
    <row r="367" spans="1:24" x14ac:dyDescent="0.3">
      <c r="A367" s="7" t="s">
        <v>75</v>
      </c>
      <c r="B367" t="s">
        <v>76</v>
      </c>
      <c r="C367" t="s">
        <v>163</v>
      </c>
      <c r="D367" t="s">
        <v>164</v>
      </c>
      <c r="E367" s="108">
        <v>1000</v>
      </c>
      <c r="F367">
        <v>0</v>
      </c>
      <c r="G367">
        <v>2</v>
      </c>
      <c r="H367" s="108">
        <v>7700</v>
      </c>
      <c r="I367" s="108">
        <v>7700</v>
      </c>
      <c r="J367" s="150">
        <v>0.44280092592592596</v>
      </c>
      <c r="K367" s="150">
        <v>0.4428125</v>
      </c>
      <c r="L367" t="s">
        <v>165</v>
      </c>
      <c r="N367">
        <v>1007950</v>
      </c>
      <c r="O367">
        <v>1007950</v>
      </c>
      <c r="P367">
        <v>1007852</v>
      </c>
      <c r="Q367">
        <v>998</v>
      </c>
      <c r="R367" t="s">
        <v>166</v>
      </c>
      <c r="S367">
        <v>0</v>
      </c>
      <c r="T367" t="s">
        <v>167</v>
      </c>
      <c r="U367">
        <v>1007852</v>
      </c>
      <c r="W367" t="s">
        <v>168</v>
      </c>
      <c r="X367" t="s">
        <v>166</v>
      </c>
    </row>
    <row r="368" spans="1:24" x14ac:dyDescent="0.3">
      <c r="A368" s="7" t="s">
        <v>98</v>
      </c>
      <c r="B368" t="s">
        <v>99</v>
      </c>
      <c r="C368" t="s">
        <v>163</v>
      </c>
      <c r="D368" t="s">
        <v>164</v>
      </c>
      <c r="E368" s="108">
        <v>1000</v>
      </c>
      <c r="F368">
        <v>0</v>
      </c>
      <c r="G368">
        <v>3</v>
      </c>
      <c r="H368" s="108">
        <v>15530</v>
      </c>
      <c r="I368" s="108">
        <v>15530</v>
      </c>
      <c r="J368" s="150">
        <v>0.44315972222222227</v>
      </c>
      <c r="K368" s="150">
        <v>0.44317129629629631</v>
      </c>
      <c r="L368" t="s">
        <v>165</v>
      </c>
      <c r="N368">
        <v>1012499</v>
      </c>
      <c r="O368">
        <v>1012499</v>
      </c>
      <c r="P368">
        <v>1012066</v>
      </c>
      <c r="Q368">
        <v>997</v>
      </c>
      <c r="R368" t="s">
        <v>166</v>
      </c>
      <c r="S368">
        <v>0</v>
      </c>
      <c r="T368" t="s">
        <v>167</v>
      </c>
      <c r="U368">
        <v>1012066</v>
      </c>
      <c r="W368" t="s">
        <v>168</v>
      </c>
      <c r="X368" t="s">
        <v>166</v>
      </c>
    </row>
    <row r="369" spans="1:24" x14ac:dyDescent="0.3">
      <c r="A369" s="7" t="s">
        <v>106</v>
      </c>
      <c r="B369" t="s">
        <v>107</v>
      </c>
      <c r="C369" t="s">
        <v>169</v>
      </c>
      <c r="D369" t="s">
        <v>164</v>
      </c>
      <c r="E369" s="108">
        <v>1000</v>
      </c>
      <c r="F369">
        <v>0</v>
      </c>
      <c r="G369" s="108">
        <v>1000</v>
      </c>
      <c r="H369" s="108">
        <v>2675</v>
      </c>
      <c r="I369" s="108">
        <v>2675</v>
      </c>
      <c r="J369" s="150">
        <v>0.44358796296296293</v>
      </c>
      <c r="K369" s="150">
        <v>0.44659722222222226</v>
      </c>
      <c r="L369" t="s">
        <v>165</v>
      </c>
      <c r="N369">
        <v>1017414</v>
      </c>
      <c r="O369">
        <v>1017414</v>
      </c>
      <c r="P369">
        <v>1017090</v>
      </c>
      <c r="Q369">
        <v>0</v>
      </c>
      <c r="R369" t="s">
        <v>166</v>
      </c>
      <c r="S369">
        <v>0</v>
      </c>
      <c r="T369" t="s">
        <v>167</v>
      </c>
      <c r="U369">
        <v>1017090</v>
      </c>
      <c r="W369" t="s">
        <v>168</v>
      </c>
      <c r="X369" t="s">
        <v>166</v>
      </c>
    </row>
    <row r="370" spans="1:24" x14ac:dyDescent="0.3">
      <c r="A370" s="7" t="s">
        <v>100</v>
      </c>
      <c r="B370" t="s">
        <v>101</v>
      </c>
      <c r="C370" t="s">
        <v>163</v>
      </c>
      <c r="D370" t="s">
        <v>164</v>
      </c>
      <c r="E370" s="108">
        <v>1000</v>
      </c>
      <c r="F370">
        <v>0</v>
      </c>
      <c r="G370">
        <v>1</v>
      </c>
      <c r="H370" s="108">
        <v>26490</v>
      </c>
      <c r="I370" s="108">
        <v>26490</v>
      </c>
      <c r="J370" s="150">
        <v>0.44515046296296296</v>
      </c>
      <c r="K370" s="150">
        <v>0.44515046296296296</v>
      </c>
      <c r="L370" t="s">
        <v>165</v>
      </c>
      <c r="N370">
        <v>1036524</v>
      </c>
      <c r="O370">
        <v>1036524</v>
      </c>
      <c r="P370">
        <v>1036497</v>
      </c>
      <c r="Q370">
        <v>999</v>
      </c>
      <c r="R370" t="s">
        <v>166</v>
      </c>
      <c r="S370">
        <v>0</v>
      </c>
      <c r="T370" t="s">
        <v>167</v>
      </c>
      <c r="U370">
        <v>1036497</v>
      </c>
      <c r="W370" t="s">
        <v>168</v>
      </c>
      <c r="X370" t="s">
        <v>166</v>
      </c>
    </row>
    <row r="371" spans="1:24" x14ac:dyDescent="0.3">
      <c r="A371" s="7" t="s">
        <v>79</v>
      </c>
      <c r="B371" t="s">
        <v>80</v>
      </c>
      <c r="C371" t="s">
        <v>169</v>
      </c>
      <c r="D371" t="s">
        <v>164</v>
      </c>
      <c r="E371" s="108">
        <v>1000</v>
      </c>
      <c r="F371">
        <v>0</v>
      </c>
      <c r="G371">
        <v>2</v>
      </c>
      <c r="H371" s="108">
        <v>38255</v>
      </c>
      <c r="I371" s="108">
        <v>38255</v>
      </c>
      <c r="J371" s="150">
        <v>0.44527777777777783</v>
      </c>
      <c r="K371" s="150">
        <v>0.44528935185185187</v>
      </c>
      <c r="L371" t="s">
        <v>165</v>
      </c>
      <c r="N371">
        <v>1038109</v>
      </c>
      <c r="O371">
        <v>1038109</v>
      </c>
      <c r="P371">
        <v>1038091</v>
      </c>
      <c r="Q371">
        <v>998</v>
      </c>
      <c r="R371" t="s">
        <v>166</v>
      </c>
      <c r="S371">
        <v>0</v>
      </c>
      <c r="T371" t="s">
        <v>167</v>
      </c>
      <c r="U371">
        <v>1038091</v>
      </c>
      <c r="W371" t="s">
        <v>168</v>
      </c>
      <c r="X371" t="s">
        <v>166</v>
      </c>
    </row>
    <row r="372" spans="1:24" x14ac:dyDescent="0.3">
      <c r="A372" s="7" t="s">
        <v>85</v>
      </c>
      <c r="B372" t="s">
        <v>86</v>
      </c>
      <c r="C372" t="s">
        <v>169</v>
      </c>
      <c r="D372" t="s">
        <v>164</v>
      </c>
      <c r="E372" s="108">
        <v>1000</v>
      </c>
      <c r="F372">
        <v>0</v>
      </c>
      <c r="G372" s="108">
        <v>1000</v>
      </c>
      <c r="H372" s="108">
        <v>12605</v>
      </c>
      <c r="I372" s="108">
        <v>12605</v>
      </c>
      <c r="J372" s="150">
        <v>0.44567129629629632</v>
      </c>
      <c r="K372" s="150">
        <v>0.44567129629629632</v>
      </c>
      <c r="L372" t="s">
        <v>165</v>
      </c>
      <c r="N372">
        <v>1042603</v>
      </c>
      <c r="O372">
        <v>1042603</v>
      </c>
      <c r="P372">
        <v>1042599</v>
      </c>
      <c r="Q372">
        <v>0</v>
      </c>
      <c r="R372" t="s">
        <v>166</v>
      </c>
      <c r="S372">
        <v>0</v>
      </c>
      <c r="T372" t="s">
        <v>167</v>
      </c>
      <c r="U372">
        <v>1042599</v>
      </c>
      <c r="W372" t="s">
        <v>168</v>
      </c>
      <c r="X372" t="s">
        <v>166</v>
      </c>
    </row>
    <row r="373" spans="1:24" x14ac:dyDescent="0.3">
      <c r="A373" s="7" t="s">
        <v>77</v>
      </c>
      <c r="B373" t="s">
        <v>78</v>
      </c>
      <c r="C373" t="s">
        <v>169</v>
      </c>
      <c r="D373" t="s">
        <v>164</v>
      </c>
      <c r="E373" s="108">
        <v>1000</v>
      </c>
      <c r="F373">
        <v>0</v>
      </c>
      <c r="G373" s="108">
        <v>1000</v>
      </c>
      <c r="H373" s="108">
        <v>17925</v>
      </c>
      <c r="I373" s="108">
        <v>17925</v>
      </c>
      <c r="J373" s="150">
        <v>0.44575231481481481</v>
      </c>
      <c r="K373" s="150">
        <v>0.4457638888888889</v>
      </c>
      <c r="L373" t="s">
        <v>165</v>
      </c>
      <c r="N373">
        <v>1043358</v>
      </c>
      <c r="O373">
        <v>1043358</v>
      </c>
      <c r="P373">
        <v>1043182</v>
      </c>
      <c r="Q373">
        <v>0</v>
      </c>
      <c r="R373" t="s">
        <v>166</v>
      </c>
      <c r="S373">
        <v>0</v>
      </c>
      <c r="T373" t="s">
        <v>167</v>
      </c>
      <c r="U373">
        <v>1043182</v>
      </c>
      <c r="W373" t="s">
        <v>168</v>
      </c>
      <c r="X373" t="s">
        <v>166</v>
      </c>
    </row>
    <row r="374" spans="1:24" x14ac:dyDescent="0.3">
      <c r="A374" s="7" t="s">
        <v>138</v>
      </c>
      <c r="B374" t="s">
        <v>171</v>
      </c>
      <c r="C374" t="s">
        <v>169</v>
      </c>
      <c r="D374" t="s">
        <v>164</v>
      </c>
      <c r="E374" s="108">
        <v>1000</v>
      </c>
      <c r="F374">
        <v>0</v>
      </c>
      <c r="G374">
        <v>48</v>
      </c>
      <c r="H374" s="108">
        <v>9085</v>
      </c>
      <c r="I374" s="108">
        <v>9085</v>
      </c>
      <c r="J374" s="150">
        <v>0.4458449074074074</v>
      </c>
      <c r="K374" s="150">
        <v>0.4458449074074074</v>
      </c>
      <c r="L374" t="s">
        <v>165</v>
      </c>
      <c r="N374">
        <v>1044628</v>
      </c>
      <c r="O374">
        <v>1044628</v>
      </c>
      <c r="P374">
        <v>1042998</v>
      </c>
      <c r="Q374">
        <v>952</v>
      </c>
      <c r="R374" t="s">
        <v>166</v>
      </c>
      <c r="S374">
        <v>0</v>
      </c>
      <c r="T374" t="s">
        <v>167</v>
      </c>
      <c r="U374">
        <v>1042998</v>
      </c>
      <c r="W374" t="s">
        <v>168</v>
      </c>
      <c r="X374" t="s">
        <v>166</v>
      </c>
    </row>
    <row r="375" spans="1:24" x14ac:dyDescent="0.3">
      <c r="A375" s="7" t="s">
        <v>79</v>
      </c>
      <c r="B375" t="s">
        <v>80</v>
      </c>
      <c r="C375" t="s">
        <v>169</v>
      </c>
      <c r="D375" t="s">
        <v>164</v>
      </c>
      <c r="E375" s="108">
        <v>1000</v>
      </c>
      <c r="F375">
        <v>0</v>
      </c>
      <c r="G375">
        <v>4</v>
      </c>
      <c r="H375" s="108">
        <v>38225</v>
      </c>
      <c r="I375" s="108">
        <v>38225</v>
      </c>
      <c r="J375" s="150">
        <v>0.44643518518518516</v>
      </c>
      <c r="K375" s="150">
        <v>0.44644675925925931</v>
      </c>
      <c r="L375" t="s">
        <v>165</v>
      </c>
      <c r="N375">
        <v>1051874</v>
      </c>
      <c r="O375">
        <v>1051874</v>
      </c>
      <c r="P375">
        <v>1051839</v>
      </c>
      <c r="Q375">
        <v>996</v>
      </c>
      <c r="R375" t="s">
        <v>166</v>
      </c>
      <c r="S375">
        <v>0</v>
      </c>
      <c r="T375" t="s">
        <v>167</v>
      </c>
      <c r="U375">
        <v>1051839</v>
      </c>
      <c r="W375" t="s">
        <v>168</v>
      </c>
      <c r="X375" t="s">
        <v>166</v>
      </c>
    </row>
    <row r="376" spans="1:24" x14ac:dyDescent="0.3">
      <c r="A376" s="7" t="s">
        <v>77</v>
      </c>
      <c r="B376" t="s">
        <v>78</v>
      </c>
      <c r="C376" t="s">
        <v>169</v>
      </c>
      <c r="D376" t="s">
        <v>164</v>
      </c>
      <c r="E376" s="108">
        <v>1000</v>
      </c>
      <c r="F376">
        <v>0</v>
      </c>
      <c r="G376">
        <v>2</v>
      </c>
      <c r="H376" s="108">
        <v>17930</v>
      </c>
      <c r="I376" s="108">
        <v>17930</v>
      </c>
      <c r="J376" s="150">
        <v>0.44649305555555557</v>
      </c>
      <c r="K376" s="150">
        <v>0.44650462962962961</v>
      </c>
      <c r="L376" t="s">
        <v>165</v>
      </c>
      <c r="N376">
        <v>1052490</v>
      </c>
      <c r="O376">
        <v>1052490</v>
      </c>
      <c r="P376">
        <v>1052313</v>
      </c>
      <c r="Q376">
        <v>998</v>
      </c>
      <c r="R376" t="s">
        <v>166</v>
      </c>
      <c r="S376">
        <v>0</v>
      </c>
      <c r="T376" t="s">
        <v>167</v>
      </c>
      <c r="U376">
        <v>1052313</v>
      </c>
      <c r="W376" t="s">
        <v>168</v>
      </c>
      <c r="X376" t="s">
        <v>166</v>
      </c>
    </row>
    <row r="377" spans="1:24" x14ac:dyDescent="0.3">
      <c r="A377" s="7" t="s">
        <v>138</v>
      </c>
      <c r="B377" t="s">
        <v>171</v>
      </c>
      <c r="C377" t="s">
        <v>169</v>
      </c>
      <c r="D377" t="s">
        <v>164</v>
      </c>
      <c r="E377" s="108">
        <v>1000</v>
      </c>
      <c r="F377">
        <v>0</v>
      </c>
      <c r="G377" s="108">
        <v>1000</v>
      </c>
      <c r="H377" s="108">
        <v>9080</v>
      </c>
      <c r="I377" s="108">
        <v>9080</v>
      </c>
      <c r="J377" s="150">
        <v>0.44730324074074074</v>
      </c>
      <c r="K377" s="150">
        <v>0.44731481481481478</v>
      </c>
      <c r="L377" t="s">
        <v>165</v>
      </c>
      <c r="N377">
        <v>1062302</v>
      </c>
      <c r="O377">
        <v>1062302</v>
      </c>
      <c r="P377">
        <v>1062169</v>
      </c>
      <c r="Q377">
        <v>0</v>
      </c>
      <c r="R377" t="s">
        <v>166</v>
      </c>
      <c r="S377">
        <v>0</v>
      </c>
      <c r="T377" t="s">
        <v>167</v>
      </c>
      <c r="U377">
        <v>1062169</v>
      </c>
      <c r="W377" t="s">
        <v>168</v>
      </c>
      <c r="X377" t="s">
        <v>166</v>
      </c>
    </row>
    <row r="378" spans="1:24" x14ac:dyDescent="0.3">
      <c r="A378" s="7" t="s">
        <v>67</v>
      </c>
      <c r="B378" t="s">
        <v>68</v>
      </c>
      <c r="C378" t="s">
        <v>169</v>
      </c>
      <c r="D378" t="s">
        <v>164</v>
      </c>
      <c r="E378" s="108">
        <v>1000</v>
      </c>
      <c r="F378">
        <v>0</v>
      </c>
      <c r="G378" s="108">
        <v>1000</v>
      </c>
      <c r="H378" s="108">
        <v>10590</v>
      </c>
      <c r="I378" s="108">
        <v>10590</v>
      </c>
      <c r="J378" s="150">
        <v>0.44780092592592591</v>
      </c>
      <c r="K378" s="150">
        <v>0.44780092592592591</v>
      </c>
      <c r="L378" t="s">
        <v>165</v>
      </c>
      <c r="N378">
        <v>1067840</v>
      </c>
      <c r="O378">
        <v>1067840</v>
      </c>
      <c r="P378">
        <v>1067694</v>
      </c>
      <c r="Q378">
        <v>0</v>
      </c>
      <c r="R378" t="s">
        <v>166</v>
      </c>
      <c r="S378">
        <v>0</v>
      </c>
      <c r="T378" t="s">
        <v>167</v>
      </c>
      <c r="U378">
        <v>1067694</v>
      </c>
      <c r="W378" t="s">
        <v>168</v>
      </c>
      <c r="X378" t="s">
        <v>166</v>
      </c>
    </row>
    <row r="379" spans="1:24" x14ac:dyDescent="0.3">
      <c r="A379" s="7" t="s">
        <v>69</v>
      </c>
      <c r="B379" t="s">
        <v>70</v>
      </c>
      <c r="C379" t="s">
        <v>163</v>
      </c>
      <c r="D379" t="s">
        <v>164</v>
      </c>
      <c r="E379" s="108">
        <v>1000</v>
      </c>
      <c r="F379">
        <v>0</v>
      </c>
      <c r="G379" s="108">
        <v>1000</v>
      </c>
      <c r="H379" s="108">
        <v>19070</v>
      </c>
      <c r="I379" s="108">
        <v>19070</v>
      </c>
      <c r="J379" s="150">
        <v>0.44843749999999999</v>
      </c>
      <c r="K379" s="150">
        <v>0.44846064814814812</v>
      </c>
      <c r="L379" t="s">
        <v>165</v>
      </c>
      <c r="N379">
        <v>1076816</v>
      </c>
      <c r="O379">
        <v>1076816</v>
      </c>
      <c r="P379">
        <v>1076253</v>
      </c>
      <c r="Q379">
        <v>0</v>
      </c>
      <c r="R379" t="s">
        <v>166</v>
      </c>
      <c r="S379">
        <v>0</v>
      </c>
      <c r="T379" t="s">
        <v>167</v>
      </c>
      <c r="U379">
        <v>1076253</v>
      </c>
      <c r="W379" t="s">
        <v>168</v>
      </c>
      <c r="X379" t="s">
        <v>166</v>
      </c>
    </row>
    <row r="380" spans="1:24" x14ac:dyDescent="0.3">
      <c r="A380" s="7" t="s">
        <v>98</v>
      </c>
      <c r="B380" t="s">
        <v>99</v>
      </c>
      <c r="C380" t="s">
        <v>169</v>
      </c>
      <c r="D380" t="s">
        <v>164</v>
      </c>
      <c r="E380" s="108">
        <v>1000</v>
      </c>
      <c r="F380">
        <v>0</v>
      </c>
      <c r="G380" s="108">
        <v>1000</v>
      </c>
      <c r="H380" s="108">
        <v>15530</v>
      </c>
      <c r="I380" s="108">
        <v>15530</v>
      </c>
      <c r="J380" s="150">
        <v>0.44893518518518521</v>
      </c>
      <c r="K380" s="150">
        <v>0.44967592592592592</v>
      </c>
      <c r="L380" t="s">
        <v>165</v>
      </c>
      <c r="N380">
        <v>1082944</v>
      </c>
      <c r="O380">
        <v>1082944</v>
      </c>
      <c r="P380">
        <v>1082819</v>
      </c>
      <c r="Q380">
        <v>0</v>
      </c>
      <c r="R380" t="s">
        <v>166</v>
      </c>
      <c r="S380">
        <v>0</v>
      </c>
      <c r="T380" t="s">
        <v>167</v>
      </c>
      <c r="U380">
        <v>1082819</v>
      </c>
      <c r="W380" t="s">
        <v>168</v>
      </c>
      <c r="X380" t="s">
        <v>166</v>
      </c>
    </row>
    <row r="381" spans="1:24" x14ac:dyDescent="0.3">
      <c r="A381" s="7" t="s">
        <v>98</v>
      </c>
      <c r="B381" t="s">
        <v>99</v>
      </c>
      <c r="C381" t="s">
        <v>163</v>
      </c>
      <c r="D381" t="s">
        <v>164</v>
      </c>
      <c r="E381" s="108">
        <v>1000</v>
      </c>
      <c r="F381">
        <v>0</v>
      </c>
      <c r="G381" s="108">
        <v>1000</v>
      </c>
      <c r="H381" s="108">
        <v>15575</v>
      </c>
      <c r="I381" s="108">
        <v>15575</v>
      </c>
      <c r="J381" s="150">
        <v>0.44899305555555552</v>
      </c>
      <c r="K381" s="150">
        <v>0.4490277777777778</v>
      </c>
      <c r="L381" t="s">
        <v>165</v>
      </c>
      <c r="N381">
        <v>1083721</v>
      </c>
      <c r="O381">
        <v>1083721</v>
      </c>
      <c r="P381">
        <v>1083633</v>
      </c>
      <c r="Q381">
        <v>0</v>
      </c>
      <c r="R381" t="s">
        <v>166</v>
      </c>
      <c r="S381">
        <v>0</v>
      </c>
      <c r="T381" t="s">
        <v>167</v>
      </c>
      <c r="U381">
        <v>1083633</v>
      </c>
      <c r="W381" t="s">
        <v>168</v>
      </c>
      <c r="X381" t="s">
        <v>166</v>
      </c>
    </row>
    <row r="382" spans="1:24" x14ac:dyDescent="0.3">
      <c r="A382" s="7" t="s">
        <v>79</v>
      </c>
      <c r="B382" t="s">
        <v>80</v>
      </c>
      <c r="C382" t="s">
        <v>169</v>
      </c>
      <c r="D382" t="s">
        <v>164</v>
      </c>
      <c r="E382" s="108">
        <v>1000</v>
      </c>
      <c r="F382">
        <v>0</v>
      </c>
      <c r="G382">
        <v>3</v>
      </c>
      <c r="H382" s="108">
        <v>38160</v>
      </c>
      <c r="I382" s="108">
        <v>38160</v>
      </c>
      <c r="J382" s="150">
        <v>0.4491087962962963</v>
      </c>
      <c r="K382" s="150">
        <v>0.44912037037037034</v>
      </c>
      <c r="L382" t="s">
        <v>165</v>
      </c>
      <c r="N382">
        <v>1085305</v>
      </c>
      <c r="O382">
        <v>1085305</v>
      </c>
      <c r="P382">
        <v>1085284</v>
      </c>
      <c r="Q382">
        <v>997</v>
      </c>
      <c r="R382" t="s">
        <v>166</v>
      </c>
      <c r="S382">
        <v>0</v>
      </c>
      <c r="T382" t="s">
        <v>167</v>
      </c>
      <c r="U382">
        <v>1085284</v>
      </c>
      <c r="W382" t="s">
        <v>168</v>
      </c>
      <c r="X382" t="s">
        <v>166</v>
      </c>
    </row>
    <row r="383" spans="1:24" x14ac:dyDescent="0.3">
      <c r="A383" s="7" t="s">
        <v>120</v>
      </c>
      <c r="B383" t="s">
        <v>121</v>
      </c>
      <c r="C383" t="s">
        <v>169</v>
      </c>
      <c r="D383" t="s">
        <v>164</v>
      </c>
      <c r="E383" s="108">
        <v>1000</v>
      </c>
      <c r="F383">
        <v>0</v>
      </c>
      <c r="G383">
        <v>10</v>
      </c>
      <c r="H383" s="108">
        <v>37300</v>
      </c>
      <c r="I383" s="108">
        <v>37300</v>
      </c>
      <c r="J383" s="150">
        <v>0.44922453703703707</v>
      </c>
      <c r="K383" s="150">
        <v>0.44923611111111111</v>
      </c>
      <c r="L383" t="s">
        <v>165</v>
      </c>
      <c r="N383">
        <v>1086293</v>
      </c>
      <c r="O383">
        <v>1086293</v>
      </c>
      <c r="P383">
        <v>1086251</v>
      </c>
      <c r="Q383">
        <v>990</v>
      </c>
      <c r="R383" t="s">
        <v>166</v>
      </c>
      <c r="S383">
        <v>0</v>
      </c>
      <c r="T383" t="s">
        <v>167</v>
      </c>
      <c r="U383">
        <v>1086251</v>
      </c>
      <c r="W383" t="s">
        <v>168</v>
      </c>
      <c r="X383" t="s">
        <v>166</v>
      </c>
    </row>
    <row r="384" spans="1:24" x14ac:dyDescent="0.3">
      <c r="A384" s="7" t="s">
        <v>79</v>
      </c>
      <c r="B384" t="s">
        <v>80</v>
      </c>
      <c r="C384" t="s">
        <v>169</v>
      </c>
      <c r="D384" t="s">
        <v>164</v>
      </c>
      <c r="E384" s="108">
        <v>1000</v>
      </c>
      <c r="F384">
        <v>0</v>
      </c>
      <c r="G384">
        <v>3</v>
      </c>
      <c r="H384" s="108">
        <v>38160</v>
      </c>
      <c r="I384" s="108">
        <v>38160</v>
      </c>
      <c r="J384" s="150">
        <v>0.44983796296296297</v>
      </c>
      <c r="K384" s="150">
        <v>0.44983796296296297</v>
      </c>
      <c r="L384" t="s">
        <v>165</v>
      </c>
      <c r="N384">
        <v>1092475</v>
      </c>
      <c r="O384">
        <v>1092475</v>
      </c>
      <c r="P384">
        <v>1092442</v>
      </c>
      <c r="Q384">
        <v>997</v>
      </c>
      <c r="R384" t="s">
        <v>166</v>
      </c>
      <c r="S384">
        <v>0</v>
      </c>
      <c r="T384" t="s">
        <v>167</v>
      </c>
      <c r="U384">
        <v>1092442</v>
      </c>
      <c r="W384" t="s">
        <v>168</v>
      </c>
      <c r="X384" t="s">
        <v>166</v>
      </c>
    </row>
    <row r="385" spans="1:24" x14ac:dyDescent="0.3">
      <c r="A385" s="7" t="s">
        <v>83</v>
      </c>
      <c r="B385" t="s">
        <v>84</v>
      </c>
      <c r="C385" t="s">
        <v>163</v>
      </c>
      <c r="D385" t="s">
        <v>164</v>
      </c>
      <c r="E385" s="108">
        <v>1000</v>
      </c>
      <c r="F385">
        <v>0</v>
      </c>
      <c r="G385" s="108">
        <v>1000</v>
      </c>
      <c r="H385" s="108">
        <v>4740</v>
      </c>
      <c r="I385" s="108">
        <v>4740</v>
      </c>
      <c r="J385" s="150">
        <v>0.45001157407407405</v>
      </c>
      <c r="K385" s="150">
        <v>0.45001157407407405</v>
      </c>
      <c r="L385" t="s">
        <v>165</v>
      </c>
      <c r="N385">
        <v>1094334</v>
      </c>
      <c r="O385">
        <v>1094334</v>
      </c>
      <c r="P385">
        <v>1092685</v>
      </c>
      <c r="Q385">
        <v>0</v>
      </c>
      <c r="R385" t="s">
        <v>166</v>
      </c>
      <c r="S385">
        <v>0</v>
      </c>
      <c r="T385" t="s">
        <v>167</v>
      </c>
      <c r="U385">
        <v>1092685</v>
      </c>
      <c r="W385" t="s">
        <v>168</v>
      </c>
      <c r="X385" t="s">
        <v>166</v>
      </c>
    </row>
    <row r="386" spans="1:24" x14ac:dyDescent="0.3">
      <c r="A386" s="7" t="s">
        <v>100</v>
      </c>
      <c r="B386" t="s">
        <v>101</v>
      </c>
      <c r="C386" t="s">
        <v>163</v>
      </c>
      <c r="D386" t="s">
        <v>164</v>
      </c>
      <c r="E386" s="108">
        <v>1000</v>
      </c>
      <c r="F386">
        <v>0</v>
      </c>
      <c r="G386">
        <v>1</v>
      </c>
      <c r="H386" s="108">
        <v>26370</v>
      </c>
      <c r="I386" s="108">
        <v>26370</v>
      </c>
      <c r="J386" s="150">
        <v>0.45012731481481483</v>
      </c>
      <c r="K386" s="150">
        <v>0.45013888888888887</v>
      </c>
      <c r="L386" t="s">
        <v>165</v>
      </c>
      <c r="N386">
        <v>1096218</v>
      </c>
      <c r="O386">
        <v>1096218</v>
      </c>
      <c r="P386">
        <v>1096216</v>
      </c>
      <c r="Q386">
        <v>999</v>
      </c>
      <c r="R386" t="s">
        <v>166</v>
      </c>
      <c r="S386">
        <v>0</v>
      </c>
      <c r="T386" t="s">
        <v>167</v>
      </c>
      <c r="U386">
        <v>1096216</v>
      </c>
      <c r="W386" t="s">
        <v>168</v>
      </c>
      <c r="X386" t="s">
        <v>166</v>
      </c>
    </row>
    <row r="387" spans="1:24" x14ac:dyDescent="0.3">
      <c r="A387" s="7" t="s">
        <v>98</v>
      </c>
      <c r="B387" t="s">
        <v>99</v>
      </c>
      <c r="C387" t="s">
        <v>163</v>
      </c>
      <c r="D387" t="s">
        <v>164</v>
      </c>
      <c r="E387" s="108">
        <v>1000</v>
      </c>
      <c r="F387">
        <v>0</v>
      </c>
      <c r="G387">
        <v>13</v>
      </c>
      <c r="H387" s="108">
        <v>15535</v>
      </c>
      <c r="I387" s="108">
        <v>15535</v>
      </c>
      <c r="J387" s="150">
        <v>0.45015046296296296</v>
      </c>
      <c r="K387" s="150">
        <v>0.450162037037037</v>
      </c>
      <c r="L387" t="s">
        <v>165</v>
      </c>
      <c r="N387">
        <v>1096483</v>
      </c>
      <c r="O387">
        <v>1096483</v>
      </c>
      <c r="P387">
        <v>1096467</v>
      </c>
      <c r="Q387">
        <v>987</v>
      </c>
      <c r="R387" t="s">
        <v>166</v>
      </c>
      <c r="S387">
        <v>0</v>
      </c>
      <c r="T387" t="s">
        <v>167</v>
      </c>
      <c r="U387">
        <v>1096467</v>
      </c>
      <c r="W387" t="s">
        <v>168</v>
      </c>
      <c r="X387" t="s">
        <v>166</v>
      </c>
    </row>
    <row r="388" spans="1:24" x14ac:dyDescent="0.3">
      <c r="A388" s="7" t="s">
        <v>65</v>
      </c>
      <c r="B388" t="s">
        <v>66</v>
      </c>
      <c r="C388" t="s">
        <v>169</v>
      </c>
      <c r="D388" t="s">
        <v>164</v>
      </c>
      <c r="E388" s="108">
        <v>1000</v>
      </c>
      <c r="F388">
        <v>0</v>
      </c>
      <c r="G388" s="108">
        <v>1000</v>
      </c>
      <c r="H388" s="108">
        <v>5030</v>
      </c>
      <c r="I388" s="108">
        <v>5030</v>
      </c>
      <c r="J388" s="150">
        <v>0.45061342592592596</v>
      </c>
      <c r="K388" s="150">
        <v>0.450625</v>
      </c>
      <c r="L388" t="s">
        <v>165</v>
      </c>
      <c r="N388">
        <v>1101178</v>
      </c>
      <c r="O388">
        <v>1101178</v>
      </c>
      <c r="P388">
        <v>1101145</v>
      </c>
      <c r="Q388">
        <v>0</v>
      </c>
      <c r="R388" t="s">
        <v>166</v>
      </c>
      <c r="S388">
        <v>0</v>
      </c>
      <c r="T388" t="s">
        <v>167</v>
      </c>
      <c r="U388">
        <v>1101145</v>
      </c>
      <c r="W388" t="s">
        <v>168</v>
      </c>
      <c r="X388" t="s">
        <v>166</v>
      </c>
    </row>
    <row r="389" spans="1:24" x14ac:dyDescent="0.3">
      <c r="A389" s="7" t="s">
        <v>63</v>
      </c>
      <c r="B389" t="s">
        <v>64</v>
      </c>
      <c r="C389" t="s">
        <v>163</v>
      </c>
      <c r="D389" t="s">
        <v>164</v>
      </c>
      <c r="E389" s="108">
        <v>1000</v>
      </c>
      <c r="F389">
        <v>0</v>
      </c>
      <c r="G389" s="108">
        <v>1000</v>
      </c>
      <c r="H389" s="108">
        <v>4745</v>
      </c>
      <c r="I389" s="108">
        <v>4745</v>
      </c>
      <c r="J389" s="150">
        <v>0.45090277777777782</v>
      </c>
      <c r="K389" s="150">
        <v>0.45105324074074077</v>
      </c>
      <c r="L389" t="s">
        <v>165</v>
      </c>
      <c r="N389">
        <v>1104605</v>
      </c>
      <c r="O389">
        <v>1104605</v>
      </c>
      <c r="P389">
        <v>1104513</v>
      </c>
      <c r="Q389">
        <v>0</v>
      </c>
      <c r="R389" t="s">
        <v>166</v>
      </c>
      <c r="S389">
        <v>0</v>
      </c>
      <c r="T389" t="s">
        <v>167</v>
      </c>
      <c r="U389">
        <v>1104513</v>
      </c>
      <c r="W389" t="s">
        <v>168</v>
      </c>
      <c r="X389" t="s">
        <v>166</v>
      </c>
    </row>
    <row r="390" spans="1:24" x14ac:dyDescent="0.3">
      <c r="A390" s="7" t="s">
        <v>106</v>
      </c>
      <c r="B390" t="s">
        <v>107</v>
      </c>
      <c r="C390" t="s">
        <v>169</v>
      </c>
      <c r="D390" t="s">
        <v>164</v>
      </c>
      <c r="E390" s="108">
        <v>1000</v>
      </c>
      <c r="F390">
        <v>0</v>
      </c>
      <c r="G390">
        <v>682</v>
      </c>
      <c r="H390" s="108">
        <v>2680</v>
      </c>
      <c r="I390" s="108">
        <v>2680</v>
      </c>
      <c r="J390" s="150">
        <v>0.45142361111111112</v>
      </c>
      <c r="K390" s="150">
        <v>0.45143518518518522</v>
      </c>
      <c r="L390" t="s">
        <v>165</v>
      </c>
      <c r="N390">
        <v>1110869</v>
      </c>
      <c r="O390">
        <v>1110869</v>
      </c>
      <c r="P390">
        <v>1110868</v>
      </c>
      <c r="Q390">
        <v>318</v>
      </c>
      <c r="R390" t="s">
        <v>166</v>
      </c>
      <c r="S390">
        <v>0</v>
      </c>
      <c r="T390" t="s">
        <v>167</v>
      </c>
      <c r="U390">
        <v>1110868</v>
      </c>
      <c r="W390" t="s">
        <v>168</v>
      </c>
      <c r="X390" t="s">
        <v>166</v>
      </c>
    </row>
    <row r="391" spans="1:24" x14ac:dyDescent="0.3">
      <c r="A391" s="7" t="s">
        <v>79</v>
      </c>
      <c r="B391" t="s">
        <v>80</v>
      </c>
      <c r="C391" t="s">
        <v>169</v>
      </c>
      <c r="D391" t="s">
        <v>164</v>
      </c>
      <c r="E391" s="108">
        <v>1000</v>
      </c>
      <c r="F391">
        <v>0</v>
      </c>
      <c r="G391">
        <v>20</v>
      </c>
      <c r="H391" s="108">
        <v>38265</v>
      </c>
      <c r="I391" s="108">
        <v>38265</v>
      </c>
      <c r="J391" s="150">
        <v>0.45162037037037034</v>
      </c>
      <c r="K391" s="150">
        <v>0.45162037037037034</v>
      </c>
      <c r="L391" t="s">
        <v>165</v>
      </c>
      <c r="N391">
        <v>1113152</v>
      </c>
      <c r="O391">
        <v>1113152</v>
      </c>
      <c r="P391">
        <v>1113121</v>
      </c>
      <c r="Q391">
        <v>980</v>
      </c>
      <c r="R391" t="s">
        <v>166</v>
      </c>
      <c r="S391">
        <v>0</v>
      </c>
      <c r="T391" t="s">
        <v>167</v>
      </c>
      <c r="U391">
        <v>1113121</v>
      </c>
      <c r="W391" t="s">
        <v>168</v>
      </c>
      <c r="X391" t="s">
        <v>166</v>
      </c>
    </row>
    <row r="392" spans="1:24" x14ac:dyDescent="0.3">
      <c r="A392" s="7" t="s">
        <v>98</v>
      </c>
      <c r="B392" t="s">
        <v>99</v>
      </c>
      <c r="C392" t="s">
        <v>163</v>
      </c>
      <c r="D392" t="s">
        <v>164</v>
      </c>
      <c r="E392" s="108">
        <v>1000</v>
      </c>
      <c r="F392">
        <v>0</v>
      </c>
      <c r="G392">
        <v>1</v>
      </c>
      <c r="H392" s="108">
        <v>15545</v>
      </c>
      <c r="I392" s="108">
        <v>15545</v>
      </c>
      <c r="J392" s="150">
        <v>0.45187500000000003</v>
      </c>
      <c r="K392" s="150">
        <v>0.45187500000000003</v>
      </c>
      <c r="L392" t="s">
        <v>165</v>
      </c>
      <c r="N392">
        <v>1115440</v>
      </c>
      <c r="O392">
        <v>1115440</v>
      </c>
      <c r="P392">
        <v>1114892</v>
      </c>
      <c r="Q392">
        <v>999</v>
      </c>
      <c r="R392" t="s">
        <v>166</v>
      </c>
      <c r="S392">
        <v>0</v>
      </c>
      <c r="T392" t="s">
        <v>167</v>
      </c>
      <c r="U392">
        <v>1114892</v>
      </c>
      <c r="W392" t="s">
        <v>168</v>
      </c>
      <c r="X392" t="s">
        <v>166</v>
      </c>
    </row>
    <row r="393" spans="1:24" x14ac:dyDescent="0.3">
      <c r="A393" s="7" t="s">
        <v>63</v>
      </c>
      <c r="B393" t="s">
        <v>64</v>
      </c>
      <c r="C393" t="s">
        <v>163</v>
      </c>
      <c r="D393" t="s">
        <v>164</v>
      </c>
      <c r="E393" s="108">
        <v>1000</v>
      </c>
      <c r="F393">
        <v>0</v>
      </c>
      <c r="G393">
        <v>10</v>
      </c>
      <c r="H393" s="108">
        <v>4745</v>
      </c>
      <c r="I393" s="108">
        <v>4745</v>
      </c>
      <c r="J393" s="150">
        <v>0.45204861111111111</v>
      </c>
      <c r="K393" s="150">
        <v>0.45206018518518515</v>
      </c>
      <c r="L393" t="s">
        <v>165</v>
      </c>
      <c r="N393">
        <v>1117228</v>
      </c>
      <c r="O393">
        <v>1117228</v>
      </c>
      <c r="P393">
        <v>1117137</v>
      </c>
      <c r="Q393">
        <v>990</v>
      </c>
      <c r="R393" t="s">
        <v>166</v>
      </c>
      <c r="S393">
        <v>0</v>
      </c>
      <c r="T393" t="s">
        <v>167</v>
      </c>
      <c r="U393">
        <v>1117137</v>
      </c>
      <c r="W393" t="s">
        <v>168</v>
      </c>
      <c r="X393" t="s">
        <v>166</v>
      </c>
    </row>
    <row r="394" spans="1:24" x14ac:dyDescent="0.3">
      <c r="A394" s="7" t="s">
        <v>106</v>
      </c>
      <c r="B394" t="s">
        <v>107</v>
      </c>
      <c r="C394" t="s">
        <v>163</v>
      </c>
      <c r="D394" t="s">
        <v>170</v>
      </c>
      <c r="E394" s="108">
        <v>1000</v>
      </c>
      <c r="F394">
        <v>0</v>
      </c>
      <c r="G394" s="108">
        <v>1000</v>
      </c>
      <c r="H394" s="108">
        <v>2690</v>
      </c>
      <c r="I394" s="108">
        <v>2690</v>
      </c>
      <c r="J394" s="150">
        <v>0.4521296296296296</v>
      </c>
      <c r="K394" s="150">
        <v>0.45958333333333329</v>
      </c>
      <c r="L394" t="s">
        <v>165</v>
      </c>
      <c r="N394">
        <v>1118199</v>
      </c>
      <c r="O394">
        <v>1118199</v>
      </c>
      <c r="P394">
        <v>0</v>
      </c>
      <c r="Q394">
        <v>0</v>
      </c>
      <c r="R394" t="s">
        <v>166</v>
      </c>
      <c r="S394">
        <v>0</v>
      </c>
      <c r="T394" t="s">
        <v>167</v>
      </c>
      <c r="U394">
        <v>0</v>
      </c>
      <c r="W394" t="s">
        <v>168</v>
      </c>
      <c r="X394" t="s">
        <v>166</v>
      </c>
    </row>
    <row r="395" spans="1:24" x14ac:dyDescent="0.3">
      <c r="A395" s="7" t="s">
        <v>67</v>
      </c>
      <c r="B395" t="s">
        <v>68</v>
      </c>
      <c r="C395" t="s">
        <v>163</v>
      </c>
      <c r="D395" t="s">
        <v>164</v>
      </c>
      <c r="E395" s="108">
        <v>1000</v>
      </c>
      <c r="F395">
        <v>0</v>
      </c>
      <c r="G395">
        <v>2</v>
      </c>
      <c r="H395" s="108">
        <v>10670</v>
      </c>
      <c r="I395" s="108">
        <v>10670</v>
      </c>
      <c r="J395" s="150">
        <v>0.45248842592592592</v>
      </c>
      <c r="K395" s="150">
        <v>0.45248842592592592</v>
      </c>
      <c r="L395" t="s">
        <v>165</v>
      </c>
      <c r="N395">
        <v>1122280</v>
      </c>
      <c r="O395">
        <v>1122280</v>
      </c>
      <c r="P395">
        <v>1122272</v>
      </c>
      <c r="Q395">
        <v>998</v>
      </c>
      <c r="R395" t="s">
        <v>166</v>
      </c>
      <c r="S395">
        <v>0</v>
      </c>
      <c r="T395" t="s">
        <v>167</v>
      </c>
      <c r="U395">
        <v>1122272</v>
      </c>
      <c r="W395" t="s">
        <v>168</v>
      </c>
      <c r="X395" t="s">
        <v>166</v>
      </c>
    </row>
    <row r="396" spans="1:24" x14ac:dyDescent="0.3">
      <c r="A396" s="7" t="s">
        <v>63</v>
      </c>
      <c r="B396" t="s">
        <v>64</v>
      </c>
      <c r="C396" t="s">
        <v>163</v>
      </c>
      <c r="D396" t="s">
        <v>164</v>
      </c>
      <c r="E396" s="108">
        <v>1000</v>
      </c>
      <c r="F396">
        <v>0</v>
      </c>
      <c r="G396">
        <v>805</v>
      </c>
      <c r="H396" s="108">
        <v>4745</v>
      </c>
      <c r="I396" s="108">
        <v>4745</v>
      </c>
      <c r="J396" s="150">
        <v>0.45276620370370368</v>
      </c>
      <c r="K396" s="150">
        <v>0.45276620370370368</v>
      </c>
      <c r="L396" t="s">
        <v>165</v>
      </c>
      <c r="N396">
        <v>1125242</v>
      </c>
      <c r="O396">
        <v>1125242</v>
      </c>
      <c r="P396">
        <v>1125157</v>
      </c>
      <c r="Q396">
        <v>195</v>
      </c>
      <c r="R396" t="s">
        <v>166</v>
      </c>
      <c r="S396">
        <v>0</v>
      </c>
      <c r="T396" t="s">
        <v>167</v>
      </c>
      <c r="U396">
        <v>1125157</v>
      </c>
      <c r="W396" t="s">
        <v>168</v>
      </c>
      <c r="X396" t="s">
        <v>166</v>
      </c>
    </row>
    <row r="397" spans="1:24" x14ac:dyDescent="0.3">
      <c r="A397" s="7" t="s">
        <v>75</v>
      </c>
      <c r="B397" t="s">
        <v>76</v>
      </c>
      <c r="C397" t="s">
        <v>163</v>
      </c>
      <c r="D397" t="s">
        <v>164</v>
      </c>
      <c r="E397" s="108">
        <v>1000</v>
      </c>
      <c r="F397">
        <v>0</v>
      </c>
      <c r="G397">
        <v>1</v>
      </c>
      <c r="H397" s="108">
        <v>7685</v>
      </c>
      <c r="I397" s="108">
        <v>7685</v>
      </c>
      <c r="J397" s="150">
        <v>0.45324074074074078</v>
      </c>
      <c r="K397" s="150">
        <v>0.45331018518518523</v>
      </c>
      <c r="L397" t="s">
        <v>165</v>
      </c>
      <c r="N397">
        <v>1130565</v>
      </c>
      <c r="O397">
        <v>1130565</v>
      </c>
      <c r="P397">
        <v>1130545</v>
      </c>
      <c r="Q397">
        <v>999</v>
      </c>
      <c r="R397" t="s">
        <v>166</v>
      </c>
      <c r="S397">
        <v>0</v>
      </c>
      <c r="T397" t="s">
        <v>167</v>
      </c>
      <c r="U397">
        <v>1130545</v>
      </c>
      <c r="W397" t="s">
        <v>168</v>
      </c>
      <c r="X397" t="s">
        <v>166</v>
      </c>
    </row>
    <row r="398" spans="1:24" x14ac:dyDescent="0.3">
      <c r="A398" s="7" t="s">
        <v>60</v>
      </c>
      <c r="B398" t="s">
        <v>61</v>
      </c>
      <c r="C398" t="s">
        <v>163</v>
      </c>
      <c r="D398" t="s">
        <v>164</v>
      </c>
      <c r="E398">
        <v>500</v>
      </c>
      <c r="F398">
        <v>0</v>
      </c>
      <c r="G398">
        <v>500</v>
      </c>
      <c r="H398" s="108">
        <v>35875</v>
      </c>
      <c r="I398" s="108">
        <v>35875</v>
      </c>
      <c r="J398" s="150">
        <v>0.45351851851851849</v>
      </c>
      <c r="K398" s="150">
        <v>0.45351851851851849</v>
      </c>
      <c r="L398" t="s">
        <v>165</v>
      </c>
      <c r="N398">
        <v>1133977</v>
      </c>
      <c r="O398">
        <v>1133977</v>
      </c>
      <c r="P398">
        <v>1133972</v>
      </c>
      <c r="Q398">
        <v>0</v>
      </c>
      <c r="R398" t="s">
        <v>166</v>
      </c>
      <c r="S398">
        <v>0</v>
      </c>
      <c r="T398" t="s">
        <v>167</v>
      </c>
      <c r="U398">
        <v>1133972</v>
      </c>
      <c r="W398" t="s">
        <v>168</v>
      </c>
      <c r="X398" t="s">
        <v>166</v>
      </c>
    </row>
    <row r="399" spans="1:24" x14ac:dyDescent="0.3">
      <c r="A399" s="7" t="s">
        <v>67</v>
      </c>
      <c r="B399" t="s">
        <v>68</v>
      </c>
      <c r="C399" t="s">
        <v>163</v>
      </c>
      <c r="D399" t="s">
        <v>164</v>
      </c>
      <c r="E399" s="108">
        <v>1000</v>
      </c>
      <c r="F399">
        <v>0</v>
      </c>
      <c r="G399">
        <v>1</v>
      </c>
      <c r="H399" s="108">
        <v>10695</v>
      </c>
      <c r="I399" s="108">
        <v>10695</v>
      </c>
      <c r="J399" s="150">
        <v>0.45359953703703698</v>
      </c>
      <c r="K399" s="150">
        <v>0.45359953703703698</v>
      </c>
      <c r="L399" t="s">
        <v>165</v>
      </c>
      <c r="N399">
        <v>1135207</v>
      </c>
      <c r="O399">
        <v>1135207</v>
      </c>
      <c r="P399">
        <v>1135171</v>
      </c>
      <c r="Q399">
        <v>999</v>
      </c>
      <c r="R399" t="s">
        <v>166</v>
      </c>
      <c r="S399">
        <v>0</v>
      </c>
      <c r="T399" t="s">
        <v>167</v>
      </c>
      <c r="U399">
        <v>1135171</v>
      </c>
      <c r="W399" t="s">
        <v>168</v>
      </c>
      <c r="X399" t="s">
        <v>166</v>
      </c>
    </row>
    <row r="400" spans="1:24" x14ac:dyDescent="0.3">
      <c r="A400" s="7" t="s">
        <v>65</v>
      </c>
      <c r="B400" t="s">
        <v>66</v>
      </c>
      <c r="C400" t="s">
        <v>163</v>
      </c>
      <c r="D400" t="s">
        <v>164</v>
      </c>
      <c r="E400" s="108">
        <v>1000</v>
      </c>
      <c r="F400">
        <v>0</v>
      </c>
      <c r="G400" s="108">
        <v>1000</v>
      </c>
      <c r="H400" s="108">
        <v>5085</v>
      </c>
      <c r="I400" s="108">
        <v>5085</v>
      </c>
      <c r="J400" s="150">
        <v>0.45431712962962961</v>
      </c>
      <c r="K400" s="150">
        <v>0.4548611111111111</v>
      </c>
      <c r="L400" t="s">
        <v>165</v>
      </c>
      <c r="N400">
        <v>1144119</v>
      </c>
      <c r="O400">
        <v>1144119</v>
      </c>
      <c r="P400">
        <v>1143395</v>
      </c>
      <c r="Q400">
        <v>0</v>
      </c>
      <c r="R400" t="s">
        <v>166</v>
      </c>
      <c r="S400">
        <v>0</v>
      </c>
      <c r="T400" t="s">
        <v>167</v>
      </c>
      <c r="U400">
        <v>1143395</v>
      </c>
      <c r="W400" t="s">
        <v>168</v>
      </c>
      <c r="X400" t="s">
        <v>166</v>
      </c>
    </row>
    <row r="401" spans="1:24" x14ac:dyDescent="0.3">
      <c r="A401" s="7" t="s">
        <v>65</v>
      </c>
      <c r="B401" t="s">
        <v>66</v>
      </c>
      <c r="C401" t="s">
        <v>169</v>
      </c>
      <c r="D401" t="s">
        <v>164</v>
      </c>
      <c r="E401" s="108">
        <v>1000</v>
      </c>
      <c r="F401">
        <v>0</v>
      </c>
      <c r="G401" s="108">
        <v>1000</v>
      </c>
      <c r="H401" s="108">
        <v>5070</v>
      </c>
      <c r="I401" s="108">
        <v>5070</v>
      </c>
      <c r="J401" s="150">
        <v>0.45431712962962961</v>
      </c>
      <c r="K401" s="150">
        <v>0.45431712962962961</v>
      </c>
      <c r="L401" t="s">
        <v>165</v>
      </c>
      <c r="N401">
        <v>1144189</v>
      </c>
      <c r="O401">
        <v>1144189</v>
      </c>
      <c r="P401">
        <v>1144163</v>
      </c>
      <c r="Q401">
        <v>0</v>
      </c>
      <c r="R401" t="s">
        <v>166</v>
      </c>
      <c r="S401">
        <v>0</v>
      </c>
      <c r="T401" t="s">
        <v>167</v>
      </c>
      <c r="U401">
        <v>1144163</v>
      </c>
      <c r="W401" t="s">
        <v>168</v>
      </c>
      <c r="X401" t="s">
        <v>166</v>
      </c>
    </row>
    <row r="402" spans="1:24" x14ac:dyDescent="0.3">
      <c r="A402" s="7" t="s">
        <v>67</v>
      </c>
      <c r="B402" t="s">
        <v>68</v>
      </c>
      <c r="C402" t="s">
        <v>169</v>
      </c>
      <c r="D402" t="s">
        <v>164</v>
      </c>
      <c r="E402" s="108">
        <v>1000</v>
      </c>
      <c r="F402">
        <v>0</v>
      </c>
      <c r="G402" s="108">
        <v>1000</v>
      </c>
      <c r="H402" s="108">
        <v>10665</v>
      </c>
      <c r="I402" s="108">
        <v>10665</v>
      </c>
      <c r="J402" s="150">
        <v>0.45443287037037039</v>
      </c>
      <c r="K402" s="150">
        <v>0.45444444444444443</v>
      </c>
      <c r="L402" t="s">
        <v>165</v>
      </c>
      <c r="N402">
        <v>1146845</v>
      </c>
      <c r="O402">
        <v>1146845</v>
      </c>
      <c r="P402">
        <v>1146844</v>
      </c>
      <c r="Q402">
        <v>0</v>
      </c>
      <c r="R402" t="s">
        <v>166</v>
      </c>
      <c r="S402">
        <v>0</v>
      </c>
      <c r="T402" t="s">
        <v>167</v>
      </c>
      <c r="U402">
        <v>1146844</v>
      </c>
      <c r="W402" t="s">
        <v>168</v>
      </c>
      <c r="X402" t="s">
        <v>166</v>
      </c>
    </row>
    <row r="403" spans="1:24" x14ac:dyDescent="0.3">
      <c r="A403" s="7" t="s">
        <v>60</v>
      </c>
      <c r="B403" t="s">
        <v>61</v>
      </c>
      <c r="C403" t="s">
        <v>163</v>
      </c>
      <c r="D403" t="s">
        <v>164</v>
      </c>
      <c r="E403">
        <v>500</v>
      </c>
      <c r="F403">
        <v>0</v>
      </c>
      <c r="G403">
        <v>482</v>
      </c>
      <c r="H403" s="108">
        <v>35955</v>
      </c>
      <c r="I403" s="108">
        <v>35955</v>
      </c>
      <c r="J403" s="150">
        <v>0.45471064814814816</v>
      </c>
      <c r="K403" s="150">
        <v>0.45472222222222225</v>
      </c>
      <c r="L403" t="s">
        <v>165</v>
      </c>
      <c r="N403">
        <v>1150761</v>
      </c>
      <c r="O403">
        <v>1150761</v>
      </c>
      <c r="P403">
        <v>1150695</v>
      </c>
      <c r="Q403">
        <v>18</v>
      </c>
      <c r="R403" t="s">
        <v>166</v>
      </c>
      <c r="S403">
        <v>0</v>
      </c>
      <c r="T403" t="s">
        <v>167</v>
      </c>
      <c r="U403">
        <v>1150695</v>
      </c>
      <c r="W403" t="s">
        <v>168</v>
      </c>
      <c r="X403" t="s">
        <v>166</v>
      </c>
    </row>
    <row r="404" spans="1:24" x14ac:dyDescent="0.3">
      <c r="A404" s="7" t="s">
        <v>67</v>
      </c>
      <c r="B404" t="s">
        <v>68</v>
      </c>
      <c r="C404" t="s">
        <v>163</v>
      </c>
      <c r="D404" t="s">
        <v>164</v>
      </c>
      <c r="E404" s="108">
        <v>1000</v>
      </c>
      <c r="F404">
        <v>0</v>
      </c>
      <c r="G404" s="108">
        <v>1000</v>
      </c>
      <c r="H404" s="108">
        <v>10695</v>
      </c>
      <c r="I404" s="108">
        <v>10695</v>
      </c>
      <c r="J404" s="150">
        <v>0.45559027777777777</v>
      </c>
      <c r="K404" s="150">
        <v>0.45560185185185187</v>
      </c>
      <c r="L404" t="s">
        <v>165</v>
      </c>
      <c r="N404">
        <v>1161800</v>
      </c>
      <c r="O404">
        <v>1161800</v>
      </c>
      <c r="P404">
        <v>1161722</v>
      </c>
      <c r="Q404">
        <v>0</v>
      </c>
      <c r="R404" t="s">
        <v>166</v>
      </c>
      <c r="S404">
        <v>0</v>
      </c>
      <c r="T404" t="s">
        <v>167</v>
      </c>
      <c r="U404">
        <v>1161722</v>
      </c>
      <c r="W404" t="s">
        <v>168</v>
      </c>
      <c r="X404" t="s">
        <v>166</v>
      </c>
    </row>
    <row r="405" spans="1:24" x14ac:dyDescent="0.3">
      <c r="A405" s="7" t="s">
        <v>73</v>
      </c>
      <c r="B405" t="s">
        <v>74</v>
      </c>
      <c r="C405" t="s">
        <v>169</v>
      </c>
      <c r="D405" t="s">
        <v>164</v>
      </c>
      <c r="E405" s="108">
        <v>1000</v>
      </c>
      <c r="F405">
        <v>0</v>
      </c>
      <c r="G405">
        <v>533</v>
      </c>
      <c r="H405" s="108">
        <v>22560</v>
      </c>
      <c r="I405" s="108">
        <v>22560</v>
      </c>
      <c r="J405" s="150">
        <v>0.45613425925925927</v>
      </c>
      <c r="K405" s="150">
        <v>0.45620370370370367</v>
      </c>
      <c r="L405" t="s">
        <v>165</v>
      </c>
      <c r="N405">
        <v>1167970</v>
      </c>
      <c r="O405">
        <v>1167970</v>
      </c>
      <c r="P405">
        <v>1167961</v>
      </c>
      <c r="Q405">
        <v>467</v>
      </c>
      <c r="R405" t="s">
        <v>166</v>
      </c>
      <c r="S405">
        <v>0</v>
      </c>
      <c r="T405" t="s">
        <v>167</v>
      </c>
      <c r="U405">
        <v>1167961</v>
      </c>
      <c r="W405" t="s">
        <v>168</v>
      </c>
      <c r="X405" t="s">
        <v>166</v>
      </c>
    </row>
    <row r="406" spans="1:24" x14ac:dyDescent="0.3">
      <c r="A406" s="7" t="s">
        <v>65</v>
      </c>
      <c r="B406" t="s">
        <v>66</v>
      </c>
      <c r="C406" t="s">
        <v>169</v>
      </c>
      <c r="D406" t="s">
        <v>164</v>
      </c>
      <c r="E406" s="108">
        <v>1000</v>
      </c>
      <c r="F406">
        <v>0</v>
      </c>
      <c r="G406" s="108">
        <v>1000</v>
      </c>
      <c r="H406" s="108">
        <v>5100</v>
      </c>
      <c r="I406" s="108">
        <v>5100</v>
      </c>
      <c r="J406" s="150">
        <v>0.45637731481481486</v>
      </c>
      <c r="K406" s="150">
        <v>0.4563888888888889</v>
      </c>
      <c r="L406" t="s">
        <v>165</v>
      </c>
      <c r="N406">
        <v>1171380</v>
      </c>
      <c r="O406">
        <v>1171380</v>
      </c>
      <c r="P406">
        <v>1170395</v>
      </c>
      <c r="Q406">
        <v>0</v>
      </c>
      <c r="R406" t="s">
        <v>166</v>
      </c>
      <c r="S406">
        <v>0</v>
      </c>
      <c r="T406" t="s">
        <v>167</v>
      </c>
      <c r="U406">
        <v>1170395</v>
      </c>
      <c r="W406" t="s">
        <v>168</v>
      </c>
      <c r="X406" t="s">
        <v>166</v>
      </c>
    </row>
    <row r="407" spans="1:24" x14ac:dyDescent="0.3">
      <c r="A407" s="7" t="s">
        <v>85</v>
      </c>
      <c r="B407" t="s">
        <v>86</v>
      </c>
      <c r="C407" t="s">
        <v>163</v>
      </c>
      <c r="D407" t="s">
        <v>164</v>
      </c>
      <c r="E407" s="108">
        <v>1000</v>
      </c>
      <c r="F407">
        <v>0</v>
      </c>
      <c r="G407">
        <v>3</v>
      </c>
      <c r="H407" s="108">
        <v>12655</v>
      </c>
      <c r="I407" s="108">
        <v>12655</v>
      </c>
      <c r="J407" s="150">
        <v>0.45653935185185185</v>
      </c>
      <c r="K407" s="150">
        <v>0.45657407407407408</v>
      </c>
      <c r="L407" t="s">
        <v>165</v>
      </c>
      <c r="N407">
        <v>1173675</v>
      </c>
      <c r="O407">
        <v>1173675</v>
      </c>
      <c r="P407">
        <v>1169735</v>
      </c>
      <c r="Q407">
        <v>997</v>
      </c>
      <c r="R407" t="s">
        <v>166</v>
      </c>
      <c r="S407">
        <v>0</v>
      </c>
      <c r="T407" t="s">
        <v>167</v>
      </c>
      <c r="U407">
        <v>1169735</v>
      </c>
      <c r="W407" t="s">
        <v>168</v>
      </c>
      <c r="X407" t="s">
        <v>166</v>
      </c>
    </row>
    <row r="408" spans="1:24" x14ac:dyDescent="0.3">
      <c r="A408" s="7" t="s">
        <v>71</v>
      </c>
      <c r="B408" t="s">
        <v>72</v>
      </c>
      <c r="C408" t="s">
        <v>169</v>
      </c>
      <c r="D408" t="s">
        <v>164</v>
      </c>
      <c r="E408" s="108">
        <v>1000</v>
      </c>
      <c r="F408">
        <v>0</v>
      </c>
      <c r="G408" s="108">
        <v>1000</v>
      </c>
      <c r="H408" s="108">
        <v>19070</v>
      </c>
      <c r="I408" s="108">
        <v>19070</v>
      </c>
      <c r="J408" s="150">
        <v>0.45674768518518521</v>
      </c>
      <c r="K408" s="150">
        <v>0.45675925925925925</v>
      </c>
      <c r="L408" t="s">
        <v>165</v>
      </c>
      <c r="N408">
        <v>1176516</v>
      </c>
      <c r="O408">
        <v>1176516</v>
      </c>
      <c r="P408">
        <v>1176513</v>
      </c>
      <c r="Q408">
        <v>0</v>
      </c>
      <c r="R408" t="s">
        <v>166</v>
      </c>
      <c r="S408">
        <v>0</v>
      </c>
      <c r="T408" t="s">
        <v>167</v>
      </c>
      <c r="U408">
        <v>1176513</v>
      </c>
      <c r="W408" t="s">
        <v>168</v>
      </c>
      <c r="X408" t="s">
        <v>166</v>
      </c>
    </row>
    <row r="409" spans="1:24" x14ac:dyDescent="0.3">
      <c r="A409" s="7" t="s">
        <v>79</v>
      </c>
      <c r="B409" t="s">
        <v>80</v>
      </c>
      <c r="C409" t="s">
        <v>169</v>
      </c>
      <c r="D409" t="s">
        <v>164</v>
      </c>
      <c r="E409" s="108">
        <v>1000</v>
      </c>
      <c r="F409">
        <v>0</v>
      </c>
      <c r="G409">
        <v>1</v>
      </c>
      <c r="H409" s="108">
        <v>38440</v>
      </c>
      <c r="I409" s="108">
        <v>38440</v>
      </c>
      <c r="J409" s="150">
        <v>0.45681712962962967</v>
      </c>
      <c r="K409" s="150">
        <v>0.45681712962962967</v>
      </c>
      <c r="L409" t="s">
        <v>165</v>
      </c>
      <c r="N409">
        <v>1177338</v>
      </c>
      <c r="O409">
        <v>1177338</v>
      </c>
      <c r="P409">
        <v>1177298</v>
      </c>
      <c r="Q409">
        <v>999</v>
      </c>
      <c r="R409" t="s">
        <v>166</v>
      </c>
      <c r="S409">
        <v>0</v>
      </c>
      <c r="T409" t="s">
        <v>167</v>
      </c>
      <c r="U409">
        <v>1177298</v>
      </c>
      <c r="W409" t="s">
        <v>168</v>
      </c>
      <c r="X409" t="s">
        <v>166</v>
      </c>
    </row>
    <row r="410" spans="1:24" x14ac:dyDescent="0.3">
      <c r="A410" s="7" t="s">
        <v>63</v>
      </c>
      <c r="B410" t="s">
        <v>64</v>
      </c>
      <c r="C410" t="s">
        <v>163</v>
      </c>
      <c r="D410" t="s">
        <v>164</v>
      </c>
      <c r="E410" s="108">
        <v>1000</v>
      </c>
      <c r="F410">
        <v>0</v>
      </c>
      <c r="G410">
        <v>10</v>
      </c>
      <c r="H410" s="108">
        <v>4745</v>
      </c>
      <c r="I410" s="108">
        <v>4745</v>
      </c>
      <c r="J410" s="150">
        <v>0.4569212962962963</v>
      </c>
      <c r="K410" s="150">
        <v>0.45693287037037034</v>
      </c>
      <c r="L410" t="s">
        <v>165</v>
      </c>
      <c r="N410">
        <v>1178773</v>
      </c>
      <c r="O410">
        <v>1178773</v>
      </c>
      <c r="P410">
        <v>1178721</v>
      </c>
      <c r="Q410">
        <v>990</v>
      </c>
      <c r="R410" t="s">
        <v>166</v>
      </c>
      <c r="S410">
        <v>0</v>
      </c>
      <c r="T410" t="s">
        <v>167</v>
      </c>
      <c r="U410">
        <v>1178721</v>
      </c>
      <c r="W410" t="s">
        <v>168</v>
      </c>
      <c r="X410" t="s">
        <v>166</v>
      </c>
    </row>
    <row r="411" spans="1:24" x14ac:dyDescent="0.3">
      <c r="A411" s="7" t="s">
        <v>67</v>
      </c>
      <c r="B411" t="s">
        <v>68</v>
      </c>
      <c r="C411" t="s">
        <v>169</v>
      </c>
      <c r="D411" t="s">
        <v>164</v>
      </c>
      <c r="E411" s="108">
        <v>1000</v>
      </c>
      <c r="F411">
        <v>0</v>
      </c>
      <c r="G411" s="108">
        <v>1000</v>
      </c>
      <c r="H411" s="108">
        <v>10645</v>
      </c>
      <c r="I411" s="108">
        <v>10645</v>
      </c>
      <c r="J411" s="150">
        <v>0.45709490740740738</v>
      </c>
      <c r="K411" s="150">
        <v>0.45709490740740738</v>
      </c>
      <c r="L411" t="s">
        <v>165</v>
      </c>
      <c r="N411">
        <v>1181162</v>
      </c>
      <c r="O411">
        <v>1181162</v>
      </c>
      <c r="P411">
        <v>1181154</v>
      </c>
      <c r="Q411">
        <v>0</v>
      </c>
      <c r="R411" t="s">
        <v>166</v>
      </c>
      <c r="S411">
        <v>0</v>
      </c>
      <c r="T411" t="s">
        <v>167</v>
      </c>
      <c r="U411">
        <v>1181154</v>
      </c>
      <c r="W411" t="s">
        <v>168</v>
      </c>
      <c r="X411" t="s">
        <v>166</v>
      </c>
    </row>
    <row r="412" spans="1:24" x14ac:dyDescent="0.3">
      <c r="A412" s="7" t="s">
        <v>138</v>
      </c>
      <c r="B412" t="s">
        <v>171</v>
      </c>
      <c r="C412" t="s">
        <v>169</v>
      </c>
      <c r="D412" t="s">
        <v>164</v>
      </c>
      <c r="E412" s="108">
        <v>1000</v>
      </c>
      <c r="F412">
        <v>0</v>
      </c>
      <c r="G412" s="108">
        <v>1000</v>
      </c>
      <c r="H412" s="108">
        <v>9140</v>
      </c>
      <c r="I412" s="108">
        <v>9140</v>
      </c>
      <c r="J412" s="150">
        <v>0.45728009259259261</v>
      </c>
      <c r="K412" s="150">
        <v>0.45734953703703707</v>
      </c>
      <c r="L412" t="s">
        <v>165</v>
      </c>
      <c r="N412">
        <v>1183176</v>
      </c>
      <c r="O412">
        <v>1183176</v>
      </c>
      <c r="P412">
        <v>1182122</v>
      </c>
      <c r="Q412">
        <v>0</v>
      </c>
      <c r="R412" t="s">
        <v>166</v>
      </c>
      <c r="S412">
        <v>0</v>
      </c>
      <c r="T412" t="s">
        <v>167</v>
      </c>
      <c r="U412">
        <v>1182122</v>
      </c>
      <c r="W412" t="s">
        <v>168</v>
      </c>
      <c r="X412" t="s">
        <v>166</v>
      </c>
    </row>
    <row r="413" spans="1:24" x14ac:dyDescent="0.3">
      <c r="A413" s="7" t="s">
        <v>77</v>
      </c>
      <c r="B413" t="s">
        <v>78</v>
      </c>
      <c r="C413" t="s">
        <v>169</v>
      </c>
      <c r="D413" t="s">
        <v>164</v>
      </c>
      <c r="E413" s="108">
        <v>1000</v>
      </c>
      <c r="F413">
        <v>0</v>
      </c>
      <c r="G413" s="108">
        <v>1000</v>
      </c>
      <c r="H413" s="108">
        <v>17990</v>
      </c>
      <c r="I413" s="108">
        <v>17990</v>
      </c>
      <c r="J413" s="150">
        <v>0.45751157407407406</v>
      </c>
      <c r="K413" s="150">
        <v>0.45752314814814815</v>
      </c>
      <c r="L413" t="s">
        <v>165</v>
      </c>
      <c r="N413">
        <v>1186274</v>
      </c>
      <c r="O413">
        <v>1186274</v>
      </c>
      <c r="P413">
        <v>1186254</v>
      </c>
      <c r="Q413">
        <v>0</v>
      </c>
      <c r="R413" t="s">
        <v>166</v>
      </c>
      <c r="S413">
        <v>0</v>
      </c>
      <c r="T413" t="s">
        <v>167</v>
      </c>
      <c r="U413">
        <v>1186254</v>
      </c>
      <c r="W413" t="s">
        <v>168</v>
      </c>
      <c r="X413" t="s">
        <v>166</v>
      </c>
    </row>
    <row r="414" spans="1:24" x14ac:dyDescent="0.3">
      <c r="A414" s="7" t="s">
        <v>69</v>
      </c>
      <c r="B414" t="s">
        <v>70</v>
      </c>
      <c r="C414" t="s">
        <v>169</v>
      </c>
      <c r="D414" t="s">
        <v>164</v>
      </c>
      <c r="E414" s="108">
        <v>1000</v>
      </c>
      <c r="F414">
        <v>0</v>
      </c>
      <c r="G414" s="108">
        <v>1000</v>
      </c>
      <c r="H414" s="108">
        <v>19135</v>
      </c>
      <c r="I414" s="108">
        <v>19135</v>
      </c>
      <c r="J414" s="150">
        <v>0.45770833333333333</v>
      </c>
      <c r="K414" s="150">
        <v>0.45771990740740742</v>
      </c>
      <c r="L414" t="s">
        <v>165</v>
      </c>
      <c r="N414">
        <v>1189040</v>
      </c>
      <c r="O414">
        <v>1189040</v>
      </c>
      <c r="P414">
        <v>1189021</v>
      </c>
      <c r="Q414">
        <v>0</v>
      </c>
      <c r="R414" t="s">
        <v>166</v>
      </c>
      <c r="S414">
        <v>0</v>
      </c>
      <c r="T414" t="s">
        <v>167</v>
      </c>
      <c r="U414">
        <v>1189021</v>
      </c>
      <c r="W414" t="s">
        <v>168</v>
      </c>
      <c r="X414" t="s">
        <v>166</v>
      </c>
    </row>
    <row r="415" spans="1:24" x14ac:dyDescent="0.3">
      <c r="A415" s="7" t="s">
        <v>98</v>
      </c>
      <c r="B415" t="s">
        <v>99</v>
      </c>
      <c r="C415" t="s">
        <v>163</v>
      </c>
      <c r="D415" t="s">
        <v>164</v>
      </c>
      <c r="E415" s="108">
        <v>1000</v>
      </c>
      <c r="F415">
        <v>0</v>
      </c>
      <c r="G415">
        <v>3</v>
      </c>
      <c r="H415" s="108">
        <v>15550</v>
      </c>
      <c r="I415" s="108">
        <v>15550</v>
      </c>
      <c r="J415" s="150">
        <v>0.45773148148148146</v>
      </c>
      <c r="K415" s="150">
        <v>0.45795138888888887</v>
      </c>
      <c r="L415" t="s">
        <v>165</v>
      </c>
      <c r="N415">
        <v>1189391</v>
      </c>
      <c r="O415">
        <v>1189391</v>
      </c>
      <c r="P415">
        <v>1189301</v>
      </c>
      <c r="Q415">
        <v>997</v>
      </c>
      <c r="R415" t="s">
        <v>166</v>
      </c>
      <c r="S415">
        <v>0</v>
      </c>
      <c r="T415" t="s">
        <v>167</v>
      </c>
      <c r="U415">
        <v>1189301</v>
      </c>
      <c r="W415" t="s">
        <v>168</v>
      </c>
      <c r="X415" t="s">
        <v>166</v>
      </c>
    </row>
    <row r="416" spans="1:24" x14ac:dyDescent="0.3">
      <c r="A416" s="7" t="s">
        <v>63</v>
      </c>
      <c r="B416" t="s">
        <v>64</v>
      </c>
      <c r="C416" t="s">
        <v>163</v>
      </c>
      <c r="D416" t="s">
        <v>164</v>
      </c>
      <c r="E416" s="108">
        <v>1000</v>
      </c>
      <c r="F416">
        <v>0</v>
      </c>
      <c r="G416">
        <v>489</v>
      </c>
      <c r="H416" s="108">
        <v>4750</v>
      </c>
      <c r="I416" s="108">
        <v>4750</v>
      </c>
      <c r="J416" s="150">
        <v>0.45785879629629633</v>
      </c>
      <c r="K416" s="150">
        <v>0.45785879629629633</v>
      </c>
      <c r="L416" t="s">
        <v>165</v>
      </c>
      <c r="N416">
        <v>1191219</v>
      </c>
      <c r="O416">
        <v>1191219</v>
      </c>
      <c r="P416">
        <v>1187727</v>
      </c>
      <c r="Q416">
        <v>511</v>
      </c>
      <c r="R416" t="s">
        <v>166</v>
      </c>
      <c r="S416">
        <v>0</v>
      </c>
      <c r="T416" t="s">
        <v>167</v>
      </c>
      <c r="U416">
        <v>1187727</v>
      </c>
      <c r="W416" t="s">
        <v>168</v>
      </c>
      <c r="X416" t="s">
        <v>166</v>
      </c>
    </row>
    <row r="417" spans="1:24" x14ac:dyDescent="0.3">
      <c r="A417" s="7" t="s">
        <v>79</v>
      </c>
      <c r="B417" t="s">
        <v>80</v>
      </c>
      <c r="C417" t="s">
        <v>169</v>
      </c>
      <c r="D417" t="s">
        <v>164</v>
      </c>
      <c r="E417" s="108">
        <v>1000</v>
      </c>
      <c r="F417">
        <v>0</v>
      </c>
      <c r="G417">
        <v>15</v>
      </c>
      <c r="H417" s="108">
        <v>38345</v>
      </c>
      <c r="I417" s="108">
        <v>38345</v>
      </c>
      <c r="J417" s="150">
        <v>0.45793981481481483</v>
      </c>
      <c r="K417" s="150">
        <v>0.45793981481481483</v>
      </c>
      <c r="L417" t="s">
        <v>165</v>
      </c>
      <c r="N417">
        <v>1192230</v>
      </c>
      <c r="O417">
        <v>1192230</v>
      </c>
      <c r="P417">
        <v>1192216</v>
      </c>
      <c r="Q417">
        <v>985</v>
      </c>
      <c r="R417" t="s">
        <v>166</v>
      </c>
      <c r="S417">
        <v>0</v>
      </c>
      <c r="T417" t="s">
        <v>167</v>
      </c>
      <c r="U417">
        <v>1192216</v>
      </c>
      <c r="W417" t="s">
        <v>168</v>
      </c>
      <c r="X417" t="s">
        <v>166</v>
      </c>
    </row>
    <row r="418" spans="1:24" x14ac:dyDescent="0.3">
      <c r="A418" s="7" t="s">
        <v>67</v>
      </c>
      <c r="B418" t="s">
        <v>68</v>
      </c>
      <c r="C418" t="s">
        <v>169</v>
      </c>
      <c r="D418" t="s">
        <v>164</v>
      </c>
      <c r="E418" s="108">
        <v>1000</v>
      </c>
      <c r="F418">
        <v>0</v>
      </c>
      <c r="G418" s="108">
        <v>1000</v>
      </c>
      <c r="H418" s="108">
        <v>10620</v>
      </c>
      <c r="I418" s="108">
        <v>10620</v>
      </c>
      <c r="J418" s="150">
        <v>0.45834490740740735</v>
      </c>
      <c r="K418" s="150">
        <v>0.45837962962962964</v>
      </c>
      <c r="L418" t="s">
        <v>165</v>
      </c>
      <c r="N418">
        <v>1196735</v>
      </c>
      <c r="O418">
        <v>1196735</v>
      </c>
      <c r="P418">
        <v>1196530</v>
      </c>
      <c r="Q418">
        <v>0</v>
      </c>
      <c r="R418" t="s">
        <v>166</v>
      </c>
      <c r="S418">
        <v>0</v>
      </c>
      <c r="T418" t="s">
        <v>167</v>
      </c>
      <c r="U418">
        <v>1196530</v>
      </c>
      <c r="W418" t="s">
        <v>168</v>
      </c>
      <c r="X418" t="s">
        <v>166</v>
      </c>
    </row>
    <row r="419" spans="1:24" x14ac:dyDescent="0.3">
      <c r="A419" s="7" t="s">
        <v>71</v>
      </c>
      <c r="B419" t="s">
        <v>72</v>
      </c>
      <c r="C419" t="s">
        <v>169</v>
      </c>
      <c r="D419" t="s">
        <v>164</v>
      </c>
      <c r="E419" s="108">
        <v>1000</v>
      </c>
      <c r="F419">
        <v>0</v>
      </c>
      <c r="G419">
        <v>6</v>
      </c>
      <c r="H419" s="108">
        <v>18995</v>
      </c>
      <c r="I419" s="108">
        <v>18995</v>
      </c>
      <c r="J419" s="150">
        <v>0.45834490740740735</v>
      </c>
      <c r="K419" s="150">
        <v>0.45837962962962964</v>
      </c>
      <c r="L419" t="s">
        <v>165</v>
      </c>
      <c r="N419">
        <v>1196830</v>
      </c>
      <c r="O419">
        <v>1196830</v>
      </c>
      <c r="P419">
        <v>1196727</v>
      </c>
      <c r="Q419">
        <v>994</v>
      </c>
      <c r="R419" t="s">
        <v>166</v>
      </c>
      <c r="S419">
        <v>0</v>
      </c>
      <c r="T419" t="s">
        <v>167</v>
      </c>
      <c r="U419">
        <v>1196727</v>
      </c>
      <c r="W419" t="s">
        <v>168</v>
      </c>
      <c r="X419" t="s">
        <v>166</v>
      </c>
    </row>
    <row r="420" spans="1:24" x14ac:dyDescent="0.3">
      <c r="A420" s="7" t="s">
        <v>112</v>
      </c>
      <c r="B420" t="s">
        <v>113</v>
      </c>
      <c r="C420" t="s">
        <v>169</v>
      </c>
      <c r="D420" t="s">
        <v>164</v>
      </c>
      <c r="E420" s="108">
        <v>1000</v>
      </c>
      <c r="F420">
        <v>0</v>
      </c>
      <c r="G420">
        <v>365</v>
      </c>
      <c r="H420" s="108">
        <v>56325</v>
      </c>
      <c r="I420" s="108">
        <v>56325</v>
      </c>
      <c r="J420" s="150">
        <v>0.4592013888888889</v>
      </c>
      <c r="K420" s="150">
        <v>0.45921296296296293</v>
      </c>
      <c r="L420" t="s">
        <v>165</v>
      </c>
      <c r="N420">
        <v>1208926</v>
      </c>
      <c r="O420">
        <v>1208926</v>
      </c>
      <c r="P420">
        <v>1208860</v>
      </c>
      <c r="Q420">
        <v>635</v>
      </c>
      <c r="R420" t="s">
        <v>166</v>
      </c>
      <c r="S420">
        <v>0</v>
      </c>
      <c r="T420" t="s">
        <v>167</v>
      </c>
      <c r="U420">
        <v>1208860</v>
      </c>
      <c r="W420" t="s">
        <v>168</v>
      </c>
      <c r="X420" t="s">
        <v>166</v>
      </c>
    </row>
    <row r="421" spans="1:24" x14ac:dyDescent="0.3">
      <c r="A421" s="7" t="s">
        <v>71</v>
      </c>
      <c r="B421" t="s">
        <v>72</v>
      </c>
      <c r="C421" t="s">
        <v>169</v>
      </c>
      <c r="D421" t="s">
        <v>164</v>
      </c>
      <c r="E421" s="108">
        <v>1000</v>
      </c>
      <c r="F421">
        <v>0</v>
      </c>
      <c r="G421">
        <v>40</v>
      </c>
      <c r="H421" s="108">
        <v>19000</v>
      </c>
      <c r="I421" s="108">
        <v>19000</v>
      </c>
      <c r="J421" s="150">
        <v>0.45956018518518515</v>
      </c>
      <c r="K421" s="150">
        <v>0.45957175925925925</v>
      </c>
      <c r="L421" t="s">
        <v>165</v>
      </c>
      <c r="N421">
        <v>1212807</v>
      </c>
      <c r="O421">
        <v>1212807</v>
      </c>
      <c r="P421">
        <v>1212757</v>
      </c>
      <c r="Q421">
        <v>960</v>
      </c>
      <c r="R421" t="s">
        <v>166</v>
      </c>
      <c r="S421">
        <v>0</v>
      </c>
      <c r="T421" t="s">
        <v>167</v>
      </c>
      <c r="U421">
        <v>1212757</v>
      </c>
      <c r="W421" t="s">
        <v>168</v>
      </c>
      <c r="X421" t="s">
        <v>166</v>
      </c>
    </row>
    <row r="422" spans="1:24" x14ac:dyDescent="0.3">
      <c r="A422" s="7" t="s">
        <v>77</v>
      </c>
      <c r="B422" t="s">
        <v>78</v>
      </c>
      <c r="C422" t="s">
        <v>169</v>
      </c>
      <c r="D422" t="s">
        <v>164</v>
      </c>
      <c r="E422" s="108">
        <v>1000</v>
      </c>
      <c r="F422">
        <v>0</v>
      </c>
      <c r="G422" s="108">
        <v>1000</v>
      </c>
      <c r="H422" s="108">
        <v>17990</v>
      </c>
      <c r="I422" s="108">
        <v>17990</v>
      </c>
      <c r="J422" s="150">
        <v>0.45960648148148148</v>
      </c>
      <c r="K422" s="150">
        <v>0.45960648148148148</v>
      </c>
      <c r="L422" t="s">
        <v>165</v>
      </c>
      <c r="N422">
        <v>1213336</v>
      </c>
      <c r="O422">
        <v>1213336</v>
      </c>
      <c r="P422">
        <v>1213192</v>
      </c>
      <c r="Q422">
        <v>0</v>
      </c>
      <c r="R422" t="s">
        <v>166</v>
      </c>
      <c r="S422">
        <v>0</v>
      </c>
      <c r="T422" t="s">
        <v>167</v>
      </c>
      <c r="U422">
        <v>1213192</v>
      </c>
      <c r="W422" t="s">
        <v>168</v>
      </c>
      <c r="X422" t="s">
        <v>166</v>
      </c>
    </row>
    <row r="423" spans="1:24" x14ac:dyDescent="0.3">
      <c r="A423" s="7" t="s">
        <v>79</v>
      </c>
      <c r="B423" t="s">
        <v>80</v>
      </c>
      <c r="C423" t="s">
        <v>169</v>
      </c>
      <c r="D423" t="s">
        <v>164</v>
      </c>
      <c r="E423" s="108">
        <v>1000</v>
      </c>
      <c r="F423">
        <v>0</v>
      </c>
      <c r="G423">
        <v>53</v>
      </c>
      <c r="H423" s="108">
        <v>38380</v>
      </c>
      <c r="I423" s="108">
        <v>38380</v>
      </c>
      <c r="J423" s="150">
        <v>0.4604166666666667</v>
      </c>
      <c r="K423" s="150">
        <v>0.46042824074074074</v>
      </c>
      <c r="L423" t="s">
        <v>165</v>
      </c>
      <c r="N423">
        <v>1222882</v>
      </c>
      <c r="O423">
        <v>1222882</v>
      </c>
      <c r="P423">
        <v>1222877</v>
      </c>
      <c r="Q423">
        <v>947</v>
      </c>
      <c r="R423" t="s">
        <v>166</v>
      </c>
      <c r="S423">
        <v>0</v>
      </c>
      <c r="T423" t="s">
        <v>167</v>
      </c>
      <c r="U423">
        <v>1222877</v>
      </c>
      <c r="W423" t="s">
        <v>168</v>
      </c>
      <c r="X423" t="s">
        <v>166</v>
      </c>
    </row>
    <row r="424" spans="1:24" x14ac:dyDescent="0.3">
      <c r="A424" s="7" t="s">
        <v>138</v>
      </c>
      <c r="B424" t="s">
        <v>171</v>
      </c>
      <c r="C424" t="s">
        <v>163</v>
      </c>
      <c r="D424" t="s">
        <v>164</v>
      </c>
      <c r="E424" s="108">
        <v>1000</v>
      </c>
      <c r="F424">
        <v>0</v>
      </c>
      <c r="G424" s="108">
        <v>1000</v>
      </c>
      <c r="H424" s="108">
        <v>9190</v>
      </c>
      <c r="I424" s="108">
        <v>9190</v>
      </c>
      <c r="J424" s="150">
        <v>0.46107638888888891</v>
      </c>
      <c r="K424" s="150">
        <v>0.46108796296296295</v>
      </c>
      <c r="L424" t="s">
        <v>165</v>
      </c>
      <c r="N424">
        <v>1229792</v>
      </c>
      <c r="O424">
        <v>1229792</v>
      </c>
      <c r="P424">
        <v>1228901</v>
      </c>
      <c r="Q424">
        <v>0</v>
      </c>
      <c r="R424" t="s">
        <v>166</v>
      </c>
      <c r="S424">
        <v>0</v>
      </c>
      <c r="T424" t="s">
        <v>167</v>
      </c>
      <c r="U424">
        <v>1228901</v>
      </c>
      <c r="W424" t="s">
        <v>168</v>
      </c>
      <c r="X424" t="s">
        <v>166</v>
      </c>
    </row>
    <row r="425" spans="1:24" x14ac:dyDescent="0.3">
      <c r="A425" s="7" t="s">
        <v>65</v>
      </c>
      <c r="B425" t="s">
        <v>66</v>
      </c>
      <c r="C425" t="s">
        <v>169</v>
      </c>
      <c r="D425" t="s">
        <v>164</v>
      </c>
      <c r="E425" s="108">
        <v>1000</v>
      </c>
      <c r="F425">
        <v>0</v>
      </c>
      <c r="G425" s="108">
        <v>1000</v>
      </c>
      <c r="H425" s="108">
        <v>5060</v>
      </c>
      <c r="I425" s="108">
        <v>5060</v>
      </c>
      <c r="J425" s="150">
        <v>0.46165509259259258</v>
      </c>
      <c r="K425" s="150">
        <v>0.46201388888888889</v>
      </c>
      <c r="L425" t="s">
        <v>165</v>
      </c>
      <c r="N425">
        <v>1237205</v>
      </c>
      <c r="O425">
        <v>1237205</v>
      </c>
      <c r="P425">
        <v>1236040</v>
      </c>
      <c r="Q425">
        <v>0</v>
      </c>
      <c r="R425" t="s">
        <v>166</v>
      </c>
      <c r="S425">
        <v>0</v>
      </c>
      <c r="T425" t="s">
        <v>167</v>
      </c>
      <c r="U425">
        <v>1236040</v>
      </c>
      <c r="W425" t="s">
        <v>168</v>
      </c>
      <c r="X425" t="s">
        <v>166</v>
      </c>
    </row>
    <row r="426" spans="1:24" x14ac:dyDescent="0.3">
      <c r="A426" s="7" t="s">
        <v>108</v>
      </c>
      <c r="B426" t="s">
        <v>172</v>
      </c>
      <c r="C426" t="s">
        <v>163</v>
      </c>
      <c r="D426" t="s">
        <v>164</v>
      </c>
      <c r="E426">
        <v>500</v>
      </c>
      <c r="F426">
        <v>0</v>
      </c>
      <c r="G426">
        <v>78</v>
      </c>
      <c r="H426" s="108">
        <v>51540</v>
      </c>
      <c r="I426" s="108">
        <v>51540</v>
      </c>
      <c r="J426" s="150">
        <v>0.46171296296296299</v>
      </c>
      <c r="K426" s="150">
        <v>0.46171296296296299</v>
      </c>
      <c r="L426" t="s">
        <v>165</v>
      </c>
      <c r="N426">
        <v>1237910</v>
      </c>
      <c r="O426">
        <v>1237910</v>
      </c>
      <c r="P426">
        <v>1237866</v>
      </c>
      <c r="Q426">
        <v>422</v>
      </c>
      <c r="R426" t="s">
        <v>166</v>
      </c>
      <c r="S426">
        <v>0</v>
      </c>
      <c r="T426" t="s">
        <v>167</v>
      </c>
      <c r="U426">
        <v>1237866</v>
      </c>
      <c r="W426" t="s">
        <v>168</v>
      </c>
      <c r="X426" t="s">
        <v>166</v>
      </c>
    </row>
    <row r="427" spans="1:24" x14ac:dyDescent="0.3">
      <c r="A427" s="7" t="s">
        <v>67</v>
      </c>
      <c r="B427" t="s">
        <v>68</v>
      </c>
      <c r="C427" t="s">
        <v>169</v>
      </c>
      <c r="D427" t="s">
        <v>164</v>
      </c>
      <c r="E427" s="108">
        <v>1000</v>
      </c>
      <c r="F427">
        <v>0</v>
      </c>
      <c r="G427" s="108">
        <v>1000</v>
      </c>
      <c r="H427" s="108">
        <v>10645</v>
      </c>
      <c r="I427" s="108">
        <v>10645</v>
      </c>
      <c r="J427" s="150">
        <v>0.46190972222222221</v>
      </c>
      <c r="K427" s="150">
        <v>0.4619328703703704</v>
      </c>
      <c r="L427" t="s">
        <v>165</v>
      </c>
      <c r="N427">
        <v>1240366</v>
      </c>
      <c r="O427">
        <v>1240366</v>
      </c>
      <c r="P427">
        <v>1240249</v>
      </c>
      <c r="Q427">
        <v>0</v>
      </c>
      <c r="R427" t="s">
        <v>166</v>
      </c>
      <c r="S427">
        <v>0</v>
      </c>
      <c r="T427" t="s">
        <v>167</v>
      </c>
      <c r="U427">
        <v>1240249</v>
      </c>
      <c r="W427" t="s">
        <v>168</v>
      </c>
      <c r="X427" t="s">
        <v>166</v>
      </c>
    </row>
    <row r="428" spans="1:24" x14ac:dyDescent="0.3">
      <c r="A428" s="7" t="s">
        <v>112</v>
      </c>
      <c r="B428" t="s">
        <v>113</v>
      </c>
      <c r="C428" t="s">
        <v>169</v>
      </c>
      <c r="D428" t="s">
        <v>164</v>
      </c>
      <c r="E428" s="108">
        <v>1000</v>
      </c>
      <c r="F428">
        <v>0</v>
      </c>
      <c r="G428">
        <v>7</v>
      </c>
      <c r="H428" s="108">
        <v>56455</v>
      </c>
      <c r="I428" s="108">
        <v>56455</v>
      </c>
      <c r="J428" s="150">
        <v>0.4619907407407407</v>
      </c>
      <c r="K428" s="150">
        <v>0.4619907407407407</v>
      </c>
      <c r="L428" t="s">
        <v>165</v>
      </c>
      <c r="N428">
        <v>1241254</v>
      </c>
      <c r="O428">
        <v>1241254</v>
      </c>
      <c r="P428">
        <v>1241248</v>
      </c>
      <c r="Q428">
        <v>993</v>
      </c>
      <c r="R428" t="s">
        <v>166</v>
      </c>
      <c r="S428">
        <v>0</v>
      </c>
      <c r="T428" t="s">
        <v>167</v>
      </c>
      <c r="U428">
        <v>1241248</v>
      </c>
      <c r="W428" t="s">
        <v>168</v>
      </c>
      <c r="X428" t="s">
        <v>166</v>
      </c>
    </row>
    <row r="429" spans="1:24" x14ac:dyDescent="0.3">
      <c r="A429" s="7" t="s">
        <v>138</v>
      </c>
      <c r="B429" t="s">
        <v>171</v>
      </c>
      <c r="C429" t="s">
        <v>163</v>
      </c>
      <c r="D429" t="s">
        <v>164</v>
      </c>
      <c r="E429" s="108">
        <v>1000</v>
      </c>
      <c r="F429">
        <v>0</v>
      </c>
      <c r="G429" s="108">
        <v>1000</v>
      </c>
      <c r="H429" s="108">
        <v>9215</v>
      </c>
      <c r="I429" s="108">
        <v>9215</v>
      </c>
      <c r="J429" s="150">
        <v>0.46200231481481485</v>
      </c>
      <c r="K429" s="150">
        <v>0.46203703703703702</v>
      </c>
      <c r="L429" t="s">
        <v>165</v>
      </c>
      <c r="N429">
        <v>1241359</v>
      </c>
      <c r="O429">
        <v>1241359</v>
      </c>
      <c r="P429">
        <v>1238697</v>
      </c>
      <c r="Q429">
        <v>0</v>
      </c>
      <c r="R429" t="s">
        <v>166</v>
      </c>
      <c r="S429">
        <v>0</v>
      </c>
      <c r="T429" t="s">
        <v>167</v>
      </c>
      <c r="U429">
        <v>1238697</v>
      </c>
      <c r="W429" t="s">
        <v>168</v>
      </c>
      <c r="X429" t="s">
        <v>166</v>
      </c>
    </row>
    <row r="430" spans="1:24" x14ac:dyDescent="0.3">
      <c r="A430" s="7" t="s">
        <v>71</v>
      </c>
      <c r="B430" t="s">
        <v>72</v>
      </c>
      <c r="C430" t="s">
        <v>169</v>
      </c>
      <c r="D430" t="s">
        <v>164</v>
      </c>
      <c r="E430" s="108">
        <v>1000</v>
      </c>
      <c r="F430">
        <v>0</v>
      </c>
      <c r="G430" s="108">
        <v>1000</v>
      </c>
      <c r="H430" s="108">
        <v>19020</v>
      </c>
      <c r="I430" s="108">
        <v>19020</v>
      </c>
      <c r="J430" s="150">
        <v>0.46200231481481485</v>
      </c>
      <c r="K430" s="150">
        <v>0.46201388888888889</v>
      </c>
      <c r="L430" t="s">
        <v>165</v>
      </c>
      <c r="N430">
        <v>1241383</v>
      </c>
      <c r="O430">
        <v>1241383</v>
      </c>
      <c r="P430">
        <v>1241150</v>
      </c>
      <c r="Q430">
        <v>0</v>
      </c>
      <c r="R430" t="s">
        <v>166</v>
      </c>
      <c r="S430">
        <v>0</v>
      </c>
      <c r="T430" t="s">
        <v>167</v>
      </c>
      <c r="U430">
        <v>1241150</v>
      </c>
      <c r="W430" t="s">
        <v>168</v>
      </c>
      <c r="X430" t="s">
        <v>166</v>
      </c>
    </row>
    <row r="431" spans="1:24" x14ac:dyDescent="0.3">
      <c r="A431" s="7" t="s">
        <v>69</v>
      </c>
      <c r="B431" t="s">
        <v>70</v>
      </c>
      <c r="C431" t="s">
        <v>169</v>
      </c>
      <c r="D431" t="s">
        <v>164</v>
      </c>
      <c r="E431" s="108">
        <v>1000</v>
      </c>
      <c r="F431">
        <v>0</v>
      </c>
      <c r="G431">
        <v>1</v>
      </c>
      <c r="H431" s="108">
        <v>19180</v>
      </c>
      <c r="I431" s="108">
        <v>19180</v>
      </c>
      <c r="J431" s="150">
        <v>0.46260416666666665</v>
      </c>
      <c r="K431" s="150">
        <v>0.46261574074074074</v>
      </c>
      <c r="L431" t="s">
        <v>165</v>
      </c>
      <c r="N431">
        <v>1248030</v>
      </c>
      <c r="O431">
        <v>1248030</v>
      </c>
      <c r="P431">
        <v>1247990</v>
      </c>
      <c r="Q431">
        <v>999</v>
      </c>
      <c r="R431" t="s">
        <v>166</v>
      </c>
      <c r="S431">
        <v>0</v>
      </c>
      <c r="T431" t="s">
        <v>167</v>
      </c>
      <c r="U431">
        <v>1247990</v>
      </c>
      <c r="W431" t="s">
        <v>168</v>
      </c>
      <c r="X431" t="s">
        <v>166</v>
      </c>
    </row>
    <row r="432" spans="1:24" x14ac:dyDescent="0.3">
      <c r="A432" s="7" t="s">
        <v>67</v>
      </c>
      <c r="B432" t="s">
        <v>68</v>
      </c>
      <c r="C432" t="s">
        <v>169</v>
      </c>
      <c r="D432" t="s">
        <v>164</v>
      </c>
      <c r="E432" s="108">
        <v>1000</v>
      </c>
      <c r="F432">
        <v>0</v>
      </c>
      <c r="G432" s="108">
        <v>1000</v>
      </c>
      <c r="H432" s="108">
        <v>10610</v>
      </c>
      <c r="I432" s="108">
        <v>10610</v>
      </c>
      <c r="J432" s="150">
        <v>0.46262731481481478</v>
      </c>
      <c r="K432" s="150">
        <v>0.46263888888888888</v>
      </c>
      <c r="L432" t="s">
        <v>165</v>
      </c>
      <c r="N432">
        <v>1248176</v>
      </c>
      <c r="O432">
        <v>1248176</v>
      </c>
      <c r="P432">
        <v>1248060</v>
      </c>
      <c r="Q432">
        <v>0</v>
      </c>
      <c r="R432" t="s">
        <v>166</v>
      </c>
      <c r="S432">
        <v>0</v>
      </c>
      <c r="T432" t="s">
        <v>167</v>
      </c>
      <c r="U432">
        <v>1248060</v>
      </c>
      <c r="W432" t="s">
        <v>168</v>
      </c>
      <c r="X432" t="s">
        <v>166</v>
      </c>
    </row>
    <row r="433" spans="1:24" x14ac:dyDescent="0.3">
      <c r="A433" s="7" t="s">
        <v>77</v>
      </c>
      <c r="B433" t="s">
        <v>78</v>
      </c>
      <c r="C433" t="s">
        <v>169</v>
      </c>
      <c r="D433" t="s">
        <v>164</v>
      </c>
      <c r="E433" s="108">
        <v>1000</v>
      </c>
      <c r="F433">
        <v>0</v>
      </c>
      <c r="G433" s="108">
        <v>1000</v>
      </c>
      <c r="H433" s="108">
        <v>17955</v>
      </c>
      <c r="I433" s="108">
        <v>17955</v>
      </c>
      <c r="J433" s="150">
        <v>0.46270833333333333</v>
      </c>
      <c r="K433" s="150">
        <v>0.46271990740740737</v>
      </c>
      <c r="L433" t="s">
        <v>165</v>
      </c>
      <c r="N433">
        <v>1249049</v>
      </c>
      <c r="O433">
        <v>1249049</v>
      </c>
      <c r="P433">
        <v>1249041</v>
      </c>
      <c r="Q433">
        <v>0</v>
      </c>
      <c r="R433" t="s">
        <v>166</v>
      </c>
      <c r="S433">
        <v>0</v>
      </c>
      <c r="T433" t="s">
        <v>167</v>
      </c>
      <c r="U433">
        <v>1249041</v>
      </c>
      <c r="W433" t="s">
        <v>168</v>
      </c>
      <c r="X433" t="s">
        <v>166</v>
      </c>
    </row>
    <row r="434" spans="1:24" x14ac:dyDescent="0.3">
      <c r="A434" s="7" t="s">
        <v>71</v>
      </c>
      <c r="B434" t="s">
        <v>72</v>
      </c>
      <c r="C434" t="s">
        <v>169</v>
      </c>
      <c r="D434" t="s">
        <v>164</v>
      </c>
      <c r="E434" s="108">
        <v>1000</v>
      </c>
      <c r="F434">
        <v>0</v>
      </c>
      <c r="G434">
        <v>137</v>
      </c>
      <c r="H434" s="108">
        <v>18960</v>
      </c>
      <c r="I434" s="108">
        <v>18960</v>
      </c>
      <c r="J434" s="150">
        <v>0.46283564814814815</v>
      </c>
      <c r="K434" s="150">
        <v>0.46285879629629628</v>
      </c>
      <c r="L434" t="s">
        <v>165</v>
      </c>
      <c r="N434">
        <v>1250531</v>
      </c>
      <c r="O434">
        <v>1250531</v>
      </c>
      <c r="P434">
        <v>1250524</v>
      </c>
      <c r="Q434">
        <v>863</v>
      </c>
      <c r="R434" t="s">
        <v>166</v>
      </c>
      <c r="S434">
        <v>0</v>
      </c>
      <c r="T434" t="s">
        <v>167</v>
      </c>
      <c r="U434">
        <v>1250524</v>
      </c>
      <c r="W434" t="s">
        <v>168</v>
      </c>
      <c r="X434" t="s">
        <v>166</v>
      </c>
    </row>
    <row r="435" spans="1:24" x14ac:dyDescent="0.3">
      <c r="A435" s="7" t="s">
        <v>79</v>
      </c>
      <c r="B435" t="s">
        <v>80</v>
      </c>
      <c r="C435" t="s">
        <v>169</v>
      </c>
      <c r="D435" t="s">
        <v>164</v>
      </c>
      <c r="E435" s="108">
        <v>1000</v>
      </c>
      <c r="F435">
        <v>0</v>
      </c>
      <c r="G435">
        <v>1</v>
      </c>
      <c r="H435" s="108">
        <v>38425</v>
      </c>
      <c r="I435" s="108">
        <v>38425</v>
      </c>
      <c r="J435" s="150">
        <v>0.46285879629629628</v>
      </c>
      <c r="K435" s="150">
        <v>0.46285879629629628</v>
      </c>
      <c r="L435" t="s">
        <v>165</v>
      </c>
      <c r="N435">
        <v>1250863</v>
      </c>
      <c r="O435">
        <v>1250863</v>
      </c>
      <c r="P435">
        <v>1250855</v>
      </c>
      <c r="Q435">
        <v>999</v>
      </c>
      <c r="R435" t="s">
        <v>166</v>
      </c>
      <c r="S435">
        <v>0</v>
      </c>
      <c r="T435" t="s">
        <v>167</v>
      </c>
      <c r="U435">
        <v>1250855</v>
      </c>
      <c r="W435" t="s">
        <v>168</v>
      </c>
      <c r="X435" t="s">
        <v>166</v>
      </c>
    </row>
    <row r="436" spans="1:24" x14ac:dyDescent="0.3">
      <c r="A436" s="7" t="s">
        <v>102</v>
      </c>
      <c r="B436" t="s">
        <v>103</v>
      </c>
      <c r="C436" t="s">
        <v>163</v>
      </c>
      <c r="D436" t="s">
        <v>164</v>
      </c>
      <c r="E436" s="108">
        <v>1000</v>
      </c>
      <c r="F436">
        <v>0</v>
      </c>
      <c r="G436">
        <v>324</v>
      </c>
      <c r="H436" s="108">
        <v>8135</v>
      </c>
      <c r="I436" s="108">
        <v>8135</v>
      </c>
      <c r="J436" s="150">
        <v>0.46319444444444446</v>
      </c>
      <c r="K436" s="150">
        <v>0.4632060185185185</v>
      </c>
      <c r="L436" t="s">
        <v>165</v>
      </c>
      <c r="N436">
        <v>1254172</v>
      </c>
      <c r="O436">
        <v>1254172</v>
      </c>
      <c r="P436">
        <v>1253921</v>
      </c>
      <c r="Q436">
        <v>676</v>
      </c>
      <c r="R436" t="s">
        <v>166</v>
      </c>
      <c r="S436">
        <v>0</v>
      </c>
      <c r="T436" t="s">
        <v>167</v>
      </c>
      <c r="U436">
        <v>1253921</v>
      </c>
      <c r="W436" t="s">
        <v>168</v>
      </c>
      <c r="X436" t="s">
        <v>166</v>
      </c>
    </row>
    <row r="437" spans="1:24" x14ac:dyDescent="0.3">
      <c r="A437" s="7" t="s">
        <v>67</v>
      </c>
      <c r="B437" t="s">
        <v>68</v>
      </c>
      <c r="C437" t="s">
        <v>169</v>
      </c>
      <c r="D437" t="s">
        <v>164</v>
      </c>
      <c r="E437" s="108">
        <v>1000</v>
      </c>
      <c r="F437">
        <v>0</v>
      </c>
      <c r="G437" s="108">
        <v>1000</v>
      </c>
      <c r="H437" s="108">
        <v>10615</v>
      </c>
      <c r="I437" s="108">
        <v>10615</v>
      </c>
      <c r="J437" s="150">
        <v>0.46392361111111113</v>
      </c>
      <c r="K437" s="150">
        <v>0.46392361111111113</v>
      </c>
      <c r="L437" t="s">
        <v>165</v>
      </c>
      <c r="N437">
        <v>1261873</v>
      </c>
      <c r="O437">
        <v>1261873</v>
      </c>
      <c r="P437">
        <v>1261473</v>
      </c>
      <c r="Q437">
        <v>0</v>
      </c>
      <c r="R437" t="s">
        <v>166</v>
      </c>
      <c r="S437">
        <v>0</v>
      </c>
      <c r="T437" t="s">
        <v>167</v>
      </c>
      <c r="U437">
        <v>1261473</v>
      </c>
      <c r="W437" t="s">
        <v>168</v>
      </c>
      <c r="X437" t="s">
        <v>166</v>
      </c>
    </row>
    <row r="438" spans="1:24" x14ac:dyDescent="0.3">
      <c r="A438" s="7" t="s">
        <v>71</v>
      </c>
      <c r="B438" t="s">
        <v>72</v>
      </c>
      <c r="C438" t="s">
        <v>169</v>
      </c>
      <c r="D438" t="s">
        <v>164</v>
      </c>
      <c r="E438" s="108">
        <v>1000</v>
      </c>
      <c r="F438">
        <v>0</v>
      </c>
      <c r="G438">
        <v>2</v>
      </c>
      <c r="H438" s="108">
        <v>18965</v>
      </c>
      <c r="I438" s="108">
        <v>18965</v>
      </c>
      <c r="J438" s="150">
        <v>0.46428240740740739</v>
      </c>
      <c r="K438" s="150">
        <v>0.46429398148148149</v>
      </c>
      <c r="L438" t="s">
        <v>165</v>
      </c>
      <c r="N438">
        <v>1265736</v>
      </c>
      <c r="O438">
        <v>1265736</v>
      </c>
      <c r="P438">
        <v>1265724</v>
      </c>
      <c r="Q438">
        <v>998</v>
      </c>
      <c r="R438" t="s">
        <v>166</v>
      </c>
      <c r="S438">
        <v>0</v>
      </c>
      <c r="T438" t="s">
        <v>167</v>
      </c>
      <c r="U438">
        <v>1265724</v>
      </c>
      <c r="W438" t="s">
        <v>168</v>
      </c>
      <c r="X438" t="s">
        <v>166</v>
      </c>
    </row>
    <row r="439" spans="1:24" x14ac:dyDescent="0.3">
      <c r="A439" s="7" t="s">
        <v>67</v>
      </c>
      <c r="B439" t="s">
        <v>68</v>
      </c>
      <c r="C439" t="s">
        <v>169</v>
      </c>
      <c r="D439" t="s">
        <v>164</v>
      </c>
      <c r="E439" s="108">
        <v>1000</v>
      </c>
      <c r="F439">
        <v>0</v>
      </c>
      <c r="G439" s="108">
        <v>1000</v>
      </c>
      <c r="H439" s="108">
        <v>10595</v>
      </c>
      <c r="I439" s="108">
        <v>10595</v>
      </c>
      <c r="J439" s="150">
        <v>0.46466435185185184</v>
      </c>
      <c r="K439" s="150">
        <v>0.46467592592592594</v>
      </c>
      <c r="L439" t="s">
        <v>165</v>
      </c>
      <c r="N439">
        <v>1269448</v>
      </c>
      <c r="O439">
        <v>1269448</v>
      </c>
      <c r="P439">
        <v>1269423</v>
      </c>
      <c r="Q439">
        <v>0</v>
      </c>
      <c r="R439" t="s">
        <v>166</v>
      </c>
      <c r="S439">
        <v>0</v>
      </c>
      <c r="T439" t="s">
        <v>167</v>
      </c>
      <c r="U439">
        <v>1269423</v>
      </c>
      <c r="W439" t="s">
        <v>168</v>
      </c>
      <c r="X439" t="s">
        <v>166</v>
      </c>
    </row>
    <row r="440" spans="1:24" x14ac:dyDescent="0.3">
      <c r="A440" s="7" t="s">
        <v>108</v>
      </c>
      <c r="B440" t="s">
        <v>172</v>
      </c>
      <c r="C440" t="s">
        <v>163</v>
      </c>
      <c r="D440" t="s">
        <v>164</v>
      </c>
      <c r="E440">
        <v>500</v>
      </c>
      <c r="F440">
        <v>0</v>
      </c>
      <c r="G440">
        <v>1</v>
      </c>
      <c r="H440" s="108">
        <v>51500</v>
      </c>
      <c r="I440" s="108">
        <v>51500</v>
      </c>
      <c r="J440" s="150">
        <v>0.46508101851851852</v>
      </c>
      <c r="K440" s="150">
        <v>0.46509259259259261</v>
      </c>
      <c r="L440" t="s">
        <v>165</v>
      </c>
      <c r="N440">
        <v>1273605</v>
      </c>
      <c r="O440">
        <v>1273605</v>
      </c>
      <c r="P440">
        <v>1273581</v>
      </c>
      <c r="Q440">
        <v>499</v>
      </c>
      <c r="R440" t="s">
        <v>166</v>
      </c>
      <c r="S440">
        <v>0</v>
      </c>
      <c r="T440" t="s">
        <v>167</v>
      </c>
      <c r="U440">
        <v>1273581</v>
      </c>
      <c r="W440" t="s">
        <v>168</v>
      </c>
      <c r="X440" t="s">
        <v>166</v>
      </c>
    </row>
    <row r="441" spans="1:24" x14ac:dyDescent="0.3">
      <c r="A441" s="7" t="s">
        <v>69</v>
      </c>
      <c r="B441" t="s">
        <v>70</v>
      </c>
      <c r="C441" t="s">
        <v>169</v>
      </c>
      <c r="D441" t="s">
        <v>164</v>
      </c>
      <c r="E441" s="108">
        <v>1000</v>
      </c>
      <c r="F441">
        <v>0</v>
      </c>
      <c r="G441">
        <v>3</v>
      </c>
      <c r="H441" s="108">
        <v>19230</v>
      </c>
      <c r="I441" s="108">
        <v>19230</v>
      </c>
      <c r="J441" s="150">
        <v>0.4654282407407408</v>
      </c>
      <c r="K441" s="150">
        <v>0.46546296296296297</v>
      </c>
      <c r="L441" t="s">
        <v>165</v>
      </c>
      <c r="N441">
        <v>1277410</v>
      </c>
      <c r="O441">
        <v>1277410</v>
      </c>
      <c r="P441">
        <v>1277200</v>
      </c>
      <c r="Q441">
        <v>997</v>
      </c>
      <c r="R441" t="s">
        <v>166</v>
      </c>
      <c r="S441">
        <v>0</v>
      </c>
      <c r="T441" t="s">
        <v>167</v>
      </c>
      <c r="U441">
        <v>1277200</v>
      </c>
      <c r="W441" t="s">
        <v>168</v>
      </c>
      <c r="X441" t="s">
        <v>166</v>
      </c>
    </row>
    <row r="442" spans="1:24" x14ac:dyDescent="0.3">
      <c r="A442" s="7" t="s">
        <v>67</v>
      </c>
      <c r="B442" t="s">
        <v>68</v>
      </c>
      <c r="C442" t="s">
        <v>169</v>
      </c>
      <c r="D442" t="s">
        <v>164</v>
      </c>
      <c r="E442" s="108">
        <v>1000</v>
      </c>
      <c r="F442">
        <v>0</v>
      </c>
      <c r="G442">
        <v>103</v>
      </c>
      <c r="H442" s="108">
        <v>10590</v>
      </c>
      <c r="I442" s="108">
        <v>10590</v>
      </c>
      <c r="J442" s="150">
        <v>0.46574074074074073</v>
      </c>
      <c r="K442" s="150">
        <v>0.46575231481481483</v>
      </c>
      <c r="L442" t="s">
        <v>165</v>
      </c>
      <c r="N442">
        <v>1281234</v>
      </c>
      <c r="O442">
        <v>1281234</v>
      </c>
      <c r="P442">
        <v>1281105</v>
      </c>
      <c r="Q442">
        <v>897</v>
      </c>
      <c r="R442" t="s">
        <v>166</v>
      </c>
      <c r="S442">
        <v>0</v>
      </c>
      <c r="T442" t="s">
        <v>167</v>
      </c>
      <c r="U442">
        <v>1281105</v>
      </c>
      <c r="W442" t="s">
        <v>168</v>
      </c>
      <c r="X442" t="s">
        <v>166</v>
      </c>
    </row>
    <row r="443" spans="1:24" x14ac:dyDescent="0.3">
      <c r="A443" s="7" t="s">
        <v>67</v>
      </c>
      <c r="B443" t="s">
        <v>68</v>
      </c>
      <c r="C443" t="s">
        <v>169</v>
      </c>
      <c r="D443" t="s">
        <v>164</v>
      </c>
      <c r="E443" s="108">
        <v>1000</v>
      </c>
      <c r="F443">
        <v>0</v>
      </c>
      <c r="G443">
        <v>209</v>
      </c>
      <c r="H443" s="108">
        <v>10590</v>
      </c>
      <c r="I443" s="108">
        <v>10590</v>
      </c>
      <c r="J443" s="150">
        <v>0.46649305555555554</v>
      </c>
      <c r="K443" s="150">
        <v>0.46651620370370367</v>
      </c>
      <c r="L443" t="s">
        <v>165</v>
      </c>
      <c r="N443">
        <v>1288766</v>
      </c>
      <c r="O443">
        <v>1288766</v>
      </c>
      <c r="P443">
        <v>1288637</v>
      </c>
      <c r="Q443">
        <v>791</v>
      </c>
      <c r="R443" t="s">
        <v>166</v>
      </c>
      <c r="S443">
        <v>0</v>
      </c>
      <c r="T443" t="s">
        <v>167</v>
      </c>
      <c r="U443">
        <v>1288637</v>
      </c>
      <c r="W443" t="s">
        <v>168</v>
      </c>
      <c r="X443" t="s">
        <v>166</v>
      </c>
    </row>
    <row r="444" spans="1:24" x14ac:dyDescent="0.3">
      <c r="A444" s="7" t="s">
        <v>69</v>
      </c>
      <c r="B444" t="s">
        <v>70</v>
      </c>
      <c r="C444" t="s">
        <v>169</v>
      </c>
      <c r="D444" t="s">
        <v>164</v>
      </c>
      <c r="E444" s="108">
        <v>1000</v>
      </c>
      <c r="F444">
        <v>0</v>
      </c>
      <c r="G444">
        <v>799</v>
      </c>
      <c r="H444" s="108">
        <v>19315</v>
      </c>
      <c r="I444" s="108">
        <v>19315</v>
      </c>
      <c r="J444" s="150">
        <v>0.46756944444444448</v>
      </c>
      <c r="K444" s="150">
        <v>0.46758101851851852</v>
      </c>
      <c r="L444" t="s">
        <v>165</v>
      </c>
      <c r="N444">
        <v>1300424</v>
      </c>
      <c r="O444">
        <v>1300424</v>
      </c>
      <c r="P444">
        <v>1300414</v>
      </c>
      <c r="Q444">
        <v>201</v>
      </c>
      <c r="R444" t="s">
        <v>166</v>
      </c>
      <c r="S444">
        <v>0</v>
      </c>
      <c r="T444" t="s">
        <v>167</v>
      </c>
      <c r="U444">
        <v>1300414</v>
      </c>
      <c r="W444" t="s">
        <v>168</v>
      </c>
      <c r="X444" t="s">
        <v>166</v>
      </c>
    </row>
    <row r="445" spans="1:24" x14ac:dyDescent="0.3">
      <c r="A445" s="7" t="s">
        <v>67</v>
      </c>
      <c r="B445" t="s">
        <v>68</v>
      </c>
      <c r="C445" t="s">
        <v>169</v>
      </c>
      <c r="D445" t="s">
        <v>164</v>
      </c>
      <c r="E445" s="108">
        <v>1000</v>
      </c>
      <c r="F445">
        <v>0</v>
      </c>
      <c r="G445" s="108">
        <v>1000</v>
      </c>
      <c r="H445" s="108">
        <v>10595</v>
      </c>
      <c r="I445" s="108">
        <v>10595</v>
      </c>
      <c r="J445" s="150">
        <v>0.46787037037037038</v>
      </c>
      <c r="K445" s="150">
        <v>0.46788194444444442</v>
      </c>
      <c r="L445" t="s">
        <v>165</v>
      </c>
      <c r="N445">
        <v>1303839</v>
      </c>
      <c r="O445">
        <v>1303839</v>
      </c>
      <c r="P445">
        <v>1303694</v>
      </c>
      <c r="Q445">
        <v>0</v>
      </c>
      <c r="R445" t="s">
        <v>166</v>
      </c>
      <c r="S445">
        <v>0</v>
      </c>
      <c r="T445" t="s">
        <v>167</v>
      </c>
      <c r="U445">
        <v>1303694</v>
      </c>
      <c r="W445" t="s">
        <v>168</v>
      </c>
      <c r="X445" t="s">
        <v>166</v>
      </c>
    </row>
    <row r="446" spans="1:24" x14ac:dyDescent="0.3">
      <c r="A446" s="7" t="s">
        <v>69</v>
      </c>
      <c r="B446" t="s">
        <v>70</v>
      </c>
      <c r="C446" t="s">
        <v>169</v>
      </c>
      <c r="D446" t="s">
        <v>164</v>
      </c>
      <c r="E446" s="108">
        <v>1000</v>
      </c>
      <c r="F446">
        <v>0</v>
      </c>
      <c r="G446">
        <v>81</v>
      </c>
      <c r="H446" s="108">
        <v>19310</v>
      </c>
      <c r="I446" s="108">
        <v>19310</v>
      </c>
      <c r="J446" s="150">
        <v>0.46861111111111109</v>
      </c>
      <c r="K446" s="150">
        <v>0.46862268518518518</v>
      </c>
      <c r="L446" t="s">
        <v>165</v>
      </c>
      <c r="N446">
        <v>1312227</v>
      </c>
      <c r="O446">
        <v>1312227</v>
      </c>
      <c r="P446">
        <v>1311841</v>
      </c>
      <c r="Q446">
        <v>919</v>
      </c>
      <c r="R446" t="s">
        <v>166</v>
      </c>
      <c r="S446">
        <v>0</v>
      </c>
      <c r="T446" t="s">
        <v>167</v>
      </c>
      <c r="U446">
        <v>1311841</v>
      </c>
      <c r="W446" t="s">
        <v>168</v>
      </c>
      <c r="X446" t="s">
        <v>166</v>
      </c>
    </row>
    <row r="447" spans="1:24" x14ac:dyDescent="0.3">
      <c r="A447" s="7" t="s">
        <v>79</v>
      </c>
      <c r="B447" t="s">
        <v>80</v>
      </c>
      <c r="C447" t="s">
        <v>169</v>
      </c>
      <c r="D447" t="s">
        <v>164</v>
      </c>
      <c r="E447" s="108">
        <v>1000</v>
      </c>
      <c r="F447">
        <v>0</v>
      </c>
      <c r="G447" s="108">
        <v>1000</v>
      </c>
      <c r="H447" s="108">
        <v>38510</v>
      </c>
      <c r="I447" s="108">
        <v>38510</v>
      </c>
      <c r="J447" s="150">
        <v>0.46873842592592596</v>
      </c>
      <c r="K447" s="150">
        <v>0.46873842592592596</v>
      </c>
      <c r="L447" t="s">
        <v>165</v>
      </c>
      <c r="N447">
        <v>1313880</v>
      </c>
      <c r="O447">
        <v>1313880</v>
      </c>
      <c r="P447">
        <v>1313864</v>
      </c>
      <c r="Q447">
        <v>0</v>
      </c>
      <c r="R447" t="s">
        <v>166</v>
      </c>
      <c r="S447">
        <v>0</v>
      </c>
      <c r="T447" t="s">
        <v>167</v>
      </c>
      <c r="U447">
        <v>1313864</v>
      </c>
      <c r="W447" t="s">
        <v>168</v>
      </c>
      <c r="X447" t="s">
        <v>166</v>
      </c>
    </row>
    <row r="448" spans="1:24" x14ac:dyDescent="0.3">
      <c r="A448" s="7" t="s">
        <v>67</v>
      </c>
      <c r="B448" t="s">
        <v>68</v>
      </c>
      <c r="C448" t="s">
        <v>169</v>
      </c>
      <c r="D448" t="s">
        <v>164</v>
      </c>
      <c r="E448" s="108">
        <v>1000</v>
      </c>
      <c r="F448">
        <v>0</v>
      </c>
      <c r="G448" s="108">
        <v>1000</v>
      </c>
      <c r="H448" s="108">
        <v>10605</v>
      </c>
      <c r="I448" s="108">
        <v>10605</v>
      </c>
      <c r="J448" s="150">
        <v>0.46890046296296295</v>
      </c>
      <c r="K448" s="150">
        <v>0.46890046296296295</v>
      </c>
      <c r="L448" t="s">
        <v>165</v>
      </c>
      <c r="N448">
        <v>1315948</v>
      </c>
      <c r="O448">
        <v>1315948</v>
      </c>
      <c r="P448">
        <v>1315934</v>
      </c>
      <c r="Q448">
        <v>0</v>
      </c>
      <c r="R448" t="s">
        <v>166</v>
      </c>
      <c r="S448">
        <v>0</v>
      </c>
      <c r="T448" t="s">
        <v>167</v>
      </c>
      <c r="U448">
        <v>1315934</v>
      </c>
      <c r="W448" t="s">
        <v>168</v>
      </c>
      <c r="X448" t="s">
        <v>166</v>
      </c>
    </row>
    <row r="449" spans="1:24" x14ac:dyDescent="0.3">
      <c r="A449" s="7" t="s">
        <v>63</v>
      </c>
      <c r="B449" t="s">
        <v>64</v>
      </c>
      <c r="C449" t="s">
        <v>163</v>
      </c>
      <c r="D449" t="s">
        <v>164</v>
      </c>
      <c r="E449" s="108">
        <v>1000</v>
      </c>
      <c r="F449">
        <v>0</v>
      </c>
      <c r="G449">
        <v>200</v>
      </c>
      <c r="H449" s="108">
        <v>4755</v>
      </c>
      <c r="I449" s="108">
        <v>4755</v>
      </c>
      <c r="J449" s="150">
        <v>0.46902777777777777</v>
      </c>
      <c r="K449" s="150">
        <v>0.46903935185185186</v>
      </c>
      <c r="L449" t="s">
        <v>165</v>
      </c>
      <c r="N449">
        <v>1317218</v>
      </c>
      <c r="O449">
        <v>1317218</v>
      </c>
      <c r="P449">
        <v>1317154</v>
      </c>
      <c r="Q449">
        <v>800</v>
      </c>
      <c r="R449" t="s">
        <v>166</v>
      </c>
      <c r="S449">
        <v>0</v>
      </c>
      <c r="T449" t="s">
        <v>167</v>
      </c>
      <c r="U449">
        <v>1317154</v>
      </c>
      <c r="W449" t="s">
        <v>168</v>
      </c>
      <c r="X449" t="s">
        <v>166</v>
      </c>
    </row>
    <row r="450" spans="1:24" x14ac:dyDescent="0.3">
      <c r="A450" s="7" t="s">
        <v>71</v>
      </c>
      <c r="B450" t="s">
        <v>72</v>
      </c>
      <c r="C450" t="s">
        <v>169</v>
      </c>
      <c r="D450" t="s">
        <v>164</v>
      </c>
      <c r="E450" s="108">
        <v>1000</v>
      </c>
      <c r="F450">
        <v>0</v>
      </c>
      <c r="G450" s="108">
        <v>1000</v>
      </c>
      <c r="H450" s="108">
        <v>18960</v>
      </c>
      <c r="I450" s="108">
        <v>18960</v>
      </c>
      <c r="J450" s="150">
        <v>0.46912037037037035</v>
      </c>
      <c r="K450" s="150">
        <v>0.46914351851851849</v>
      </c>
      <c r="L450" t="s">
        <v>165</v>
      </c>
      <c r="N450">
        <v>1318025</v>
      </c>
      <c r="O450">
        <v>1318025</v>
      </c>
      <c r="P450">
        <v>1317990</v>
      </c>
      <c r="Q450">
        <v>0</v>
      </c>
      <c r="R450" t="s">
        <v>166</v>
      </c>
      <c r="S450">
        <v>0</v>
      </c>
      <c r="T450" t="s">
        <v>167</v>
      </c>
      <c r="U450">
        <v>1317990</v>
      </c>
      <c r="W450" t="s">
        <v>168</v>
      </c>
      <c r="X450" t="s">
        <v>166</v>
      </c>
    </row>
    <row r="451" spans="1:24" x14ac:dyDescent="0.3">
      <c r="A451" s="7" t="s">
        <v>69</v>
      </c>
      <c r="B451" t="s">
        <v>70</v>
      </c>
      <c r="C451" t="s">
        <v>169</v>
      </c>
      <c r="D451" t="s">
        <v>164</v>
      </c>
      <c r="E451" s="108">
        <v>1000</v>
      </c>
      <c r="F451">
        <v>0</v>
      </c>
      <c r="G451">
        <v>149</v>
      </c>
      <c r="H451" s="108">
        <v>19315</v>
      </c>
      <c r="I451" s="108">
        <v>19315</v>
      </c>
      <c r="J451" s="150">
        <v>0.46937500000000004</v>
      </c>
      <c r="K451" s="150">
        <v>0.46937500000000004</v>
      </c>
      <c r="L451" t="s">
        <v>165</v>
      </c>
      <c r="N451">
        <v>1320473</v>
      </c>
      <c r="O451">
        <v>1320473</v>
      </c>
      <c r="P451">
        <v>1320458</v>
      </c>
      <c r="Q451">
        <v>851</v>
      </c>
      <c r="R451" t="s">
        <v>166</v>
      </c>
      <c r="S451">
        <v>0</v>
      </c>
      <c r="T451" t="s">
        <v>167</v>
      </c>
      <c r="U451">
        <v>1320458</v>
      </c>
      <c r="W451" t="s">
        <v>168</v>
      </c>
      <c r="X451" t="s">
        <v>166</v>
      </c>
    </row>
    <row r="452" spans="1:24" x14ac:dyDescent="0.3">
      <c r="A452" s="7" t="s">
        <v>138</v>
      </c>
      <c r="B452" t="s">
        <v>171</v>
      </c>
      <c r="C452" t="s">
        <v>163</v>
      </c>
      <c r="D452" t="s">
        <v>164</v>
      </c>
      <c r="E452" s="108">
        <v>1000</v>
      </c>
      <c r="F452">
        <v>0</v>
      </c>
      <c r="G452" s="108">
        <v>1000</v>
      </c>
      <c r="H452" s="108">
        <v>9230</v>
      </c>
      <c r="I452" s="108">
        <v>9230</v>
      </c>
      <c r="J452" s="150">
        <v>0.46989583333333335</v>
      </c>
      <c r="K452" s="150">
        <v>0.46990740740740744</v>
      </c>
      <c r="L452" t="s">
        <v>165</v>
      </c>
      <c r="N452">
        <v>1325962</v>
      </c>
      <c r="O452">
        <v>1325962</v>
      </c>
      <c r="P452">
        <v>1325943</v>
      </c>
      <c r="Q452">
        <v>0</v>
      </c>
      <c r="R452" t="s">
        <v>166</v>
      </c>
      <c r="S452">
        <v>0</v>
      </c>
      <c r="T452" t="s">
        <v>167</v>
      </c>
      <c r="U452">
        <v>1325943</v>
      </c>
      <c r="W452" t="s">
        <v>168</v>
      </c>
      <c r="X452" t="s">
        <v>166</v>
      </c>
    </row>
    <row r="453" spans="1:24" x14ac:dyDescent="0.3">
      <c r="A453" s="7" t="s">
        <v>79</v>
      </c>
      <c r="B453" t="s">
        <v>80</v>
      </c>
      <c r="C453" t="s">
        <v>169</v>
      </c>
      <c r="D453" t="s">
        <v>164</v>
      </c>
      <c r="E453" s="108">
        <v>1000</v>
      </c>
      <c r="F453">
        <v>0</v>
      </c>
      <c r="G453">
        <v>5</v>
      </c>
      <c r="H453" s="108">
        <v>38500</v>
      </c>
      <c r="I453" s="108">
        <v>38500</v>
      </c>
      <c r="J453" s="150">
        <v>0.46998842592592593</v>
      </c>
      <c r="K453" s="150">
        <v>0.46998842592592593</v>
      </c>
      <c r="L453" t="s">
        <v>165</v>
      </c>
      <c r="N453">
        <v>1327056</v>
      </c>
      <c r="O453">
        <v>1327056</v>
      </c>
      <c r="P453">
        <v>1327031</v>
      </c>
      <c r="Q453">
        <v>995</v>
      </c>
      <c r="R453" t="s">
        <v>166</v>
      </c>
      <c r="S453">
        <v>0</v>
      </c>
      <c r="T453" t="s">
        <v>167</v>
      </c>
      <c r="U453">
        <v>1327031</v>
      </c>
      <c r="W453" t="s">
        <v>168</v>
      </c>
      <c r="X453" t="s">
        <v>166</v>
      </c>
    </row>
    <row r="454" spans="1:24" x14ac:dyDescent="0.3">
      <c r="A454" s="7" t="s">
        <v>67</v>
      </c>
      <c r="B454" t="s">
        <v>68</v>
      </c>
      <c r="C454" t="s">
        <v>169</v>
      </c>
      <c r="D454" t="s">
        <v>164</v>
      </c>
      <c r="E454" s="108">
        <v>1000</v>
      </c>
      <c r="F454">
        <v>0</v>
      </c>
      <c r="G454">
        <v>622</v>
      </c>
      <c r="H454" s="108">
        <v>10610</v>
      </c>
      <c r="I454" s="108">
        <v>10610</v>
      </c>
      <c r="J454" s="150">
        <v>0.47023148148148147</v>
      </c>
      <c r="K454" s="150">
        <v>0.47025462962962966</v>
      </c>
      <c r="L454" t="s">
        <v>165</v>
      </c>
      <c r="N454">
        <v>1329688</v>
      </c>
      <c r="O454">
        <v>1329688</v>
      </c>
      <c r="P454">
        <v>1329662</v>
      </c>
      <c r="Q454">
        <v>378</v>
      </c>
      <c r="R454" t="s">
        <v>166</v>
      </c>
      <c r="S454">
        <v>0</v>
      </c>
      <c r="T454" t="s">
        <v>167</v>
      </c>
      <c r="U454">
        <v>1329662</v>
      </c>
      <c r="W454" t="s">
        <v>168</v>
      </c>
      <c r="X454" t="s">
        <v>166</v>
      </c>
    </row>
    <row r="455" spans="1:24" x14ac:dyDescent="0.3">
      <c r="A455" s="7" t="s">
        <v>65</v>
      </c>
      <c r="B455" t="s">
        <v>66</v>
      </c>
      <c r="C455" t="s">
        <v>169</v>
      </c>
      <c r="D455" t="s">
        <v>164</v>
      </c>
      <c r="E455" s="108">
        <v>1000</v>
      </c>
      <c r="F455">
        <v>0</v>
      </c>
      <c r="G455" s="108">
        <v>1000</v>
      </c>
      <c r="H455" s="108">
        <v>5055</v>
      </c>
      <c r="I455" s="108">
        <v>5055</v>
      </c>
      <c r="J455" s="150">
        <v>0.4707175925925926</v>
      </c>
      <c r="K455" s="150">
        <v>0.47098379629629633</v>
      </c>
      <c r="L455" t="s">
        <v>165</v>
      </c>
      <c r="N455">
        <v>1335170</v>
      </c>
      <c r="O455">
        <v>1335170</v>
      </c>
      <c r="P455">
        <v>1335168</v>
      </c>
      <c r="Q455">
        <v>0</v>
      </c>
      <c r="R455" t="s">
        <v>166</v>
      </c>
      <c r="S455">
        <v>0</v>
      </c>
      <c r="T455" t="s">
        <v>167</v>
      </c>
      <c r="U455">
        <v>1335168</v>
      </c>
      <c r="W455" t="s">
        <v>168</v>
      </c>
      <c r="X455" t="s">
        <v>166</v>
      </c>
    </row>
    <row r="456" spans="1:24" x14ac:dyDescent="0.3">
      <c r="A456" s="7" t="s">
        <v>63</v>
      </c>
      <c r="B456" t="s">
        <v>64</v>
      </c>
      <c r="C456" t="s">
        <v>163</v>
      </c>
      <c r="D456" t="s">
        <v>164</v>
      </c>
      <c r="E456" s="108">
        <v>1000</v>
      </c>
      <c r="F456">
        <v>0</v>
      </c>
      <c r="G456">
        <v>53</v>
      </c>
      <c r="H456" s="108">
        <v>4755</v>
      </c>
      <c r="I456" s="108">
        <v>4755</v>
      </c>
      <c r="J456" s="150">
        <v>0.4707986111111111</v>
      </c>
      <c r="K456" s="150">
        <v>0.47084490740740742</v>
      </c>
      <c r="L456" t="s">
        <v>165</v>
      </c>
      <c r="N456">
        <v>1336014</v>
      </c>
      <c r="O456">
        <v>1336014</v>
      </c>
      <c r="P456">
        <v>1335922</v>
      </c>
      <c r="Q456">
        <v>947</v>
      </c>
      <c r="R456" t="s">
        <v>166</v>
      </c>
      <c r="S456">
        <v>0</v>
      </c>
      <c r="T456" t="s">
        <v>167</v>
      </c>
      <c r="U456">
        <v>1335922</v>
      </c>
      <c r="W456" t="s">
        <v>168</v>
      </c>
      <c r="X456" t="s">
        <v>166</v>
      </c>
    </row>
    <row r="457" spans="1:24" x14ac:dyDescent="0.3">
      <c r="A457" s="7" t="s">
        <v>69</v>
      </c>
      <c r="B457" t="s">
        <v>70</v>
      </c>
      <c r="C457" t="s">
        <v>169</v>
      </c>
      <c r="D457" t="s">
        <v>164</v>
      </c>
      <c r="E457" s="108">
        <v>1000</v>
      </c>
      <c r="F457">
        <v>0</v>
      </c>
      <c r="G457">
        <v>507</v>
      </c>
      <c r="H457" s="108">
        <v>19325</v>
      </c>
      <c r="I457" s="108">
        <v>19325</v>
      </c>
      <c r="J457" s="150">
        <v>0.47097222222222218</v>
      </c>
      <c r="K457" s="150">
        <v>0.47098379629629633</v>
      </c>
      <c r="L457" t="s">
        <v>165</v>
      </c>
      <c r="N457">
        <v>1338252</v>
      </c>
      <c r="O457">
        <v>1338252</v>
      </c>
      <c r="P457">
        <v>1337913</v>
      </c>
      <c r="Q457">
        <v>493</v>
      </c>
      <c r="R457" t="s">
        <v>166</v>
      </c>
      <c r="S457">
        <v>0</v>
      </c>
      <c r="T457" t="s">
        <v>167</v>
      </c>
      <c r="U457">
        <v>1337913</v>
      </c>
      <c r="W457" t="s">
        <v>168</v>
      </c>
      <c r="X457" t="s">
        <v>166</v>
      </c>
    </row>
    <row r="458" spans="1:24" x14ac:dyDescent="0.3">
      <c r="A458" s="7" t="s">
        <v>77</v>
      </c>
      <c r="B458" t="s">
        <v>78</v>
      </c>
      <c r="C458" t="s">
        <v>169</v>
      </c>
      <c r="D458" t="s">
        <v>164</v>
      </c>
      <c r="E458" s="108">
        <v>1000</v>
      </c>
      <c r="F458">
        <v>0</v>
      </c>
      <c r="G458" s="108">
        <v>1000</v>
      </c>
      <c r="H458" s="108">
        <v>18045</v>
      </c>
      <c r="I458" s="108">
        <v>18045</v>
      </c>
      <c r="J458" s="150">
        <v>0.47107638888888892</v>
      </c>
      <c r="K458" s="150">
        <v>0.47108796296296296</v>
      </c>
      <c r="L458" t="s">
        <v>165</v>
      </c>
      <c r="N458">
        <v>1339360</v>
      </c>
      <c r="O458">
        <v>1339360</v>
      </c>
      <c r="P458">
        <v>1339339</v>
      </c>
      <c r="Q458">
        <v>0</v>
      </c>
      <c r="R458" t="s">
        <v>166</v>
      </c>
      <c r="S458">
        <v>0</v>
      </c>
      <c r="T458" t="s">
        <v>167</v>
      </c>
      <c r="U458">
        <v>1339339</v>
      </c>
      <c r="W458" t="s">
        <v>168</v>
      </c>
      <c r="X458" t="s">
        <v>166</v>
      </c>
    </row>
    <row r="459" spans="1:24" x14ac:dyDescent="0.3">
      <c r="A459" s="7" t="s">
        <v>69</v>
      </c>
      <c r="B459" t="s">
        <v>70</v>
      </c>
      <c r="C459" t="s">
        <v>169</v>
      </c>
      <c r="D459" t="s">
        <v>164</v>
      </c>
      <c r="E459" s="108">
        <v>1000</v>
      </c>
      <c r="F459">
        <v>0</v>
      </c>
      <c r="G459">
        <v>128</v>
      </c>
      <c r="H459" s="108">
        <v>19325</v>
      </c>
      <c r="I459" s="108">
        <v>19325</v>
      </c>
      <c r="J459" s="150">
        <v>0.47168981481481481</v>
      </c>
      <c r="K459" s="150">
        <v>0.47170138888888885</v>
      </c>
      <c r="L459" t="s">
        <v>165</v>
      </c>
      <c r="N459">
        <v>1345629</v>
      </c>
      <c r="O459">
        <v>1345629</v>
      </c>
      <c r="P459">
        <v>1345286</v>
      </c>
      <c r="Q459">
        <v>872</v>
      </c>
      <c r="R459" t="s">
        <v>166</v>
      </c>
      <c r="S459">
        <v>0</v>
      </c>
      <c r="T459" t="s">
        <v>167</v>
      </c>
      <c r="U459">
        <v>1345286</v>
      </c>
      <c r="W459" t="s">
        <v>168</v>
      </c>
      <c r="X459" t="s">
        <v>166</v>
      </c>
    </row>
    <row r="460" spans="1:24" x14ac:dyDescent="0.3">
      <c r="A460" s="7" t="s">
        <v>67</v>
      </c>
      <c r="B460" t="s">
        <v>68</v>
      </c>
      <c r="C460" t="s">
        <v>169</v>
      </c>
      <c r="D460" t="s">
        <v>164</v>
      </c>
      <c r="E460" s="108">
        <v>1000</v>
      </c>
      <c r="F460">
        <v>0</v>
      </c>
      <c r="G460">
        <v>670</v>
      </c>
      <c r="H460" s="108">
        <v>10610</v>
      </c>
      <c r="I460" s="108">
        <v>10610</v>
      </c>
      <c r="J460" s="150">
        <v>0.47228009259259257</v>
      </c>
      <c r="K460" s="150">
        <v>0.47230324074074076</v>
      </c>
      <c r="L460" t="s">
        <v>165</v>
      </c>
      <c r="N460">
        <v>1352212</v>
      </c>
      <c r="O460">
        <v>1352212</v>
      </c>
      <c r="P460">
        <v>1352096</v>
      </c>
      <c r="Q460">
        <v>330</v>
      </c>
      <c r="R460" t="s">
        <v>166</v>
      </c>
      <c r="S460">
        <v>0</v>
      </c>
      <c r="T460" t="s">
        <v>167</v>
      </c>
      <c r="U460">
        <v>1352096</v>
      </c>
      <c r="W460" t="s">
        <v>168</v>
      </c>
      <c r="X460" t="s">
        <v>166</v>
      </c>
    </row>
    <row r="461" spans="1:24" x14ac:dyDescent="0.3">
      <c r="A461" s="7" t="s">
        <v>69</v>
      </c>
      <c r="B461" t="s">
        <v>70</v>
      </c>
      <c r="C461" t="s">
        <v>169</v>
      </c>
      <c r="D461" t="s">
        <v>164</v>
      </c>
      <c r="E461" s="108">
        <v>1000</v>
      </c>
      <c r="F461">
        <v>0</v>
      </c>
      <c r="G461">
        <v>973</v>
      </c>
      <c r="H461" s="108">
        <v>19310</v>
      </c>
      <c r="I461" s="108">
        <v>19310</v>
      </c>
      <c r="J461" s="150">
        <v>0.47240740740740739</v>
      </c>
      <c r="K461" s="150">
        <v>0.47241898148148148</v>
      </c>
      <c r="L461" t="s">
        <v>165</v>
      </c>
      <c r="N461">
        <v>1353526</v>
      </c>
      <c r="O461">
        <v>1353526</v>
      </c>
      <c r="P461">
        <v>1353520</v>
      </c>
      <c r="Q461">
        <v>27</v>
      </c>
      <c r="R461" t="s">
        <v>166</v>
      </c>
      <c r="S461">
        <v>0</v>
      </c>
      <c r="T461" t="s">
        <v>167</v>
      </c>
      <c r="U461">
        <v>1353520</v>
      </c>
      <c r="W461" t="s">
        <v>168</v>
      </c>
      <c r="X461" t="s">
        <v>166</v>
      </c>
    </row>
    <row r="462" spans="1:24" x14ac:dyDescent="0.3">
      <c r="A462" s="7" t="s">
        <v>63</v>
      </c>
      <c r="B462" t="s">
        <v>64</v>
      </c>
      <c r="C462" t="s">
        <v>163</v>
      </c>
      <c r="D462" t="s">
        <v>164</v>
      </c>
      <c r="E462" s="108">
        <v>1000</v>
      </c>
      <c r="F462">
        <v>0</v>
      </c>
      <c r="G462" s="108">
        <v>1000</v>
      </c>
      <c r="H462" s="108">
        <v>4760</v>
      </c>
      <c r="I462" s="108">
        <v>4760</v>
      </c>
      <c r="J462" s="150">
        <v>0.47288194444444448</v>
      </c>
      <c r="K462" s="150">
        <v>0.47289351851851852</v>
      </c>
      <c r="L462" t="s">
        <v>165</v>
      </c>
      <c r="N462">
        <v>1358557</v>
      </c>
      <c r="O462">
        <v>1358557</v>
      </c>
      <c r="P462">
        <v>1352073</v>
      </c>
      <c r="Q462">
        <v>0</v>
      </c>
      <c r="R462" t="s">
        <v>166</v>
      </c>
      <c r="S462">
        <v>0</v>
      </c>
      <c r="T462" t="s">
        <v>167</v>
      </c>
      <c r="U462">
        <v>1352073</v>
      </c>
      <c r="W462" t="s">
        <v>168</v>
      </c>
      <c r="X462" t="s">
        <v>166</v>
      </c>
    </row>
    <row r="463" spans="1:24" x14ac:dyDescent="0.3">
      <c r="A463" s="7" t="s">
        <v>67</v>
      </c>
      <c r="B463" t="s">
        <v>68</v>
      </c>
      <c r="C463" t="s">
        <v>169</v>
      </c>
      <c r="D463" t="s">
        <v>170</v>
      </c>
      <c r="E463" s="108">
        <v>1000</v>
      </c>
      <c r="F463">
        <v>0</v>
      </c>
      <c r="G463">
        <v>110</v>
      </c>
      <c r="H463" s="108">
        <v>10615</v>
      </c>
      <c r="I463" s="108">
        <v>10615</v>
      </c>
      <c r="J463" s="150">
        <v>0.4729976851851852</v>
      </c>
      <c r="K463" s="150">
        <v>0.4729976851851852</v>
      </c>
      <c r="L463" t="s">
        <v>165</v>
      </c>
      <c r="N463">
        <v>1359767</v>
      </c>
      <c r="O463">
        <v>1359767</v>
      </c>
      <c r="P463">
        <v>0</v>
      </c>
      <c r="Q463">
        <v>890</v>
      </c>
      <c r="R463" t="s">
        <v>166</v>
      </c>
      <c r="S463">
        <v>0</v>
      </c>
      <c r="T463" t="s">
        <v>167</v>
      </c>
      <c r="U463">
        <v>0</v>
      </c>
      <c r="W463" t="s">
        <v>168</v>
      </c>
      <c r="X463" t="s">
        <v>166</v>
      </c>
    </row>
    <row r="464" spans="1:24" x14ac:dyDescent="0.3">
      <c r="A464" s="7" t="s">
        <v>69</v>
      </c>
      <c r="B464" t="s">
        <v>70</v>
      </c>
      <c r="C464" t="s">
        <v>169</v>
      </c>
      <c r="D464" t="s">
        <v>164</v>
      </c>
      <c r="E464" s="108">
        <v>1000</v>
      </c>
      <c r="F464">
        <v>0</v>
      </c>
      <c r="G464" s="108">
        <v>1000</v>
      </c>
      <c r="H464" s="108">
        <v>19260</v>
      </c>
      <c r="I464" s="108">
        <v>19260</v>
      </c>
      <c r="J464" s="150">
        <v>0.4734606481481482</v>
      </c>
      <c r="K464" s="150">
        <v>0.4734606481481482</v>
      </c>
      <c r="L464" t="s">
        <v>165</v>
      </c>
      <c r="N464">
        <v>1365155</v>
      </c>
      <c r="O464">
        <v>1365155</v>
      </c>
      <c r="P464">
        <v>1365047</v>
      </c>
      <c r="Q464">
        <v>0</v>
      </c>
      <c r="R464" t="s">
        <v>166</v>
      </c>
      <c r="S464">
        <v>0</v>
      </c>
      <c r="T464" t="s">
        <v>167</v>
      </c>
      <c r="U464">
        <v>1365047</v>
      </c>
      <c r="W464" t="s">
        <v>168</v>
      </c>
      <c r="X464" t="s">
        <v>166</v>
      </c>
    </row>
    <row r="465" spans="1:24" x14ac:dyDescent="0.3">
      <c r="A465" s="7" t="s">
        <v>63</v>
      </c>
      <c r="B465" t="s">
        <v>64</v>
      </c>
      <c r="C465" t="s">
        <v>163</v>
      </c>
      <c r="D465" t="s">
        <v>170</v>
      </c>
      <c r="E465" s="108">
        <v>1000</v>
      </c>
      <c r="F465">
        <v>0</v>
      </c>
      <c r="G465">
        <v>32</v>
      </c>
      <c r="H465" s="108">
        <v>4760</v>
      </c>
      <c r="I465" s="108">
        <v>4760</v>
      </c>
      <c r="J465" s="150">
        <v>0.47357638888888887</v>
      </c>
      <c r="K465" s="150">
        <v>0.47357638888888887</v>
      </c>
      <c r="L465" t="s">
        <v>165</v>
      </c>
      <c r="N465">
        <v>1366494</v>
      </c>
      <c r="O465">
        <v>1366494</v>
      </c>
      <c r="P465">
        <v>0</v>
      </c>
      <c r="Q465">
        <v>968</v>
      </c>
      <c r="R465" t="s">
        <v>166</v>
      </c>
      <c r="S465">
        <v>0</v>
      </c>
      <c r="T465" t="s">
        <v>167</v>
      </c>
      <c r="U465">
        <v>0</v>
      </c>
      <c r="W465" t="s">
        <v>168</v>
      </c>
      <c r="X465" t="s">
        <v>166</v>
      </c>
    </row>
    <row r="466" spans="1:24" x14ac:dyDescent="0.3">
      <c r="A466" s="7" t="s">
        <v>67</v>
      </c>
      <c r="B466" t="s">
        <v>68</v>
      </c>
      <c r="C466" t="s">
        <v>169</v>
      </c>
      <c r="D466" t="s">
        <v>164</v>
      </c>
      <c r="E466" s="108">
        <v>1000</v>
      </c>
      <c r="F466">
        <v>0</v>
      </c>
      <c r="G466" s="108">
        <v>1000</v>
      </c>
      <c r="H466" s="108">
        <v>10610</v>
      </c>
      <c r="I466" s="108">
        <v>10610</v>
      </c>
      <c r="J466" s="150">
        <v>0.47369212962962964</v>
      </c>
      <c r="K466" s="150">
        <v>0.47369212962962964</v>
      </c>
      <c r="L466" t="s">
        <v>165</v>
      </c>
      <c r="N466">
        <v>1367878</v>
      </c>
      <c r="O466">
        <v>1367878</v>
      </c>
      <c r="P466">
        <v>1367783</v>
      </c>
      <c r="Q466">
        <v>0</v>
      </c>
      <c r="R466" t="s">
        <v>166</v>
      </c>
      <c r="S466">
        <v>0</v>
      </c>
      <c r="T466" t="s">
        <v>167</v>
      </c>
      <c r="U466">
        <v>1367783</v>
      </c>
      <c r="W466" t="s">
        <v>168</v>
      </c>
      <c r="X466" t="s">
        <v>166</v>
      </c>
    </row>
    <row r="467" spans="1:24" x14ac:dyDescent="0.3">
      <c r="A467" s="7" t="s">
        <v>79</v>
      </c>
      <c r="B467" t="s">
        <v>80</v>
      </c>
      <c r="C467" t="s">
        <v>169</v>
      </c>
      <c r="D467" t="s">
        <v>164</v>
      </c>
      <c r="E467" s="108">
        <v>1000</v>
      </c>
      <c r="F467">
        <v>0</v>
      </c>
      <c r="G467">
        <v>5</v>
      </c>
      <c r="H467" s="108">
        <v>38460</v>
      </c>
      <c r="I467" s="108">
        <v>38460</v>
      </c>
      <c r="J467" s="150">
        <v>0.47438657407407409</v>
      </c>
      <c r="K467" s="150">
        <v>0.47438657407407409</v>
      </c>
      <c r="L467" t="s">
        <v>165</v>
      </c>
      <c r="N467">
        <v>1374850</v>
      </c>
      <c r="O467">
        <v>1374850</v>
      </c>
      <c r="P467">
        <v>1374830</v>
      </c>
      <c r="Q467">
        <v>995</v>
      </c>
      <c r="R467" t="s">
        <v>166</v>
      </c>
      <c r="S467">
        <v>0</v>
      </c>
      <c r="T467" t="s">
        <v>167</v>
      </c>
      <c r="U467">
        <v>1374830</v>
      </c>
      <c r="W467" t="s">
        <v>168</v>
      </c>
      <c r="X467" t="s">
        <v>166</v>
      </c>
    </row>
    <row r="468" spans="1:24" x14ac:dyDescent="0.3">
      <c r="A468" s="7" t="s">
        <v>98</v>
      </c>
      <c r="B468" t="s">
        <v>99</v>
      </c>
      <c r="C468" t="s">
        <v>163</v>
      </c>
      <c r="D468" t="s">
        <v>164</v>
      </c>
      <c r="E468" s="108">
        <v>1000</v>
      </c>
      <c r="F468">
        <v>0</v>
      </c>
      <c r="G468">
        <v>1</v>
      </c>
      <c r="H468" s="108">
        <v>15520</v>
      </c>
      <c r="I468" s="108">
        <v>15520</v>
      </c>
      <c r="J468" s="150">
        <v>0.47458333333333336</v>
      </c>
      <c r="K468" s="150">
        <v>0.47458333333333336</v>
      </c>
      <c r="L468" t="s">
        <v>165</v>
      </c>
      <c r="N468">
        <v>1376361</v>
      </c>
      <c r="O468">
        <v>1376361</v>
      </c>
      <c r="P468">
        <v>1375544</v>
      </c>
      <c r="Q468">
        <v>999</v>
      </c>
      <c r="R468" t="s">
        <v>166</v>
      </c>
      <c r="S468">
        <v>0</v>
      </c>
      <c r="T468" t="s">
        <v>167</v>
      </c>
      <c r="U468">
        <v>1375544</v>
      </c>
      <c r="W468" t="s">
        <v>168</v>
      </c>
      <c r="X468" t="s">
        <v>166</v>
      </c>
    </row>
    <row r="469" spans="1:24" x14ac:dyDescent="0.3">
      <c r="A469" s="7" t="s">
        <v>69</v>
      </c>
      <c r="B469" t="s">
        <v>70</v>
      </c>
      <c r="C469" t="s">
        <v>169</v>
      </c>
      <c r="D469" t="s">
        <v>164</v>
      </c>
      <c r="E469" s="108">
        <v>1000</v>
      </c>
      <c r="F469">
        <v>0</v>
      </c>
      <c r="G469" s="108">
        <v>1000</v>
      </c>
      <c r="H469" s="108">
        <v>19260</v>
      </c>
      <c r="I469" s="108">
        <v>19260</v>
      </c>
      <c r="J469" s="150">
        <v>0.47469907407407402</v>
      </c>
      <c r="K469" s="150">
        <v>0.47471064814814817</v>
      </c>
      <c r="L469" t="s">
        <v>165</v>
      </c>
      <c r="N469">
        <v>1377410</v>
      </c>
      <c r="O469">
        <v>1377410</v>
      </c>
      <c r="P469">
        <v>1376870</v>
      </c>
      <c r="Q469">
        <v>0</v>
      </c>
      <c r="R469" t="s">
        <v>166</v>
      </c>
      <c r="S469">
        <v>0</v>
      </c>
      <c r="T469" t="s">
        <v>167</v>
      </c>
      <c r="U469">
        <v>1376870</v>
      </c>
      <c r="W469" t="s">
        <v>168</v>
      </c>
      <c r="X469" t="s">
        <v>166</v>
      </c>
    </row>
    <row r="470" spans="1:24" x14ac:dyDescent="0.3">
      <c r="A470" s="7" t="s">
        <v>138</v>
      </c>
      <c r="B470" t="s">
        <v>171</v>
      </c>
      <c r="C470" t="s">
        <v>169</v>
      </c>
      <c r="D470" t="s">
        <v>164</v>
      </c>
      <c r="E470" s="108">
        <v>1000</v>
      </c>
      <c r="F470">
        <v>0</v>
      </c>
      <c r="G470">
        <v>300</v>
      </c>
      <c r="H470" s="108">
        <v>9200</v>
      </c>
      <c r="I470" s="108">
        <v>9200</v>
      </c>
      <c r="J470" s="150">
        <v>0.47478009259259263</v>
      </c>
      <c r="K470" s="150">
        <v>0.47478009259259263</v>
      </c>
      <c r="L470" t="s">
        <v>165</v>
      </c>
      <c r="N470">
        <v>1378152</v>
      </c>
      <c r="O470">
        <v>1378152</v>
      </c>
      <c r="P470">
        <v>1376135</v>
      </c>
      <c r="Q470">
        <v>700</v>
      </c>
      <c r="R470" t="s">
        <v>166</v>
      </c>
      <c r="S470">
        <v>0</v>
      </c>
      <c r="T470" t="s">
        <v>167</v>
      </c>
      <c r="U470">
        <v>1376135</v>
      </c>
      <c r="W470" t="s">
        <v>168</v>
      </c>
      <c r="X470" t="s">
        <v>166</v>
      </c>
    </row>
    <row r="471" spans="1:24" x14ac:dyDescent="0.3">
      <c r="A471" s="7" t="s">
        <v>63</v>
      </c>
      <c r="B471" t="s">
        <v>64</v>
      </c>
      <c r="C471" t="s">
        <v>163</v>
      </c>
      <c r="D471" t="s">
        <v>164</v>
      </c>
      <c r="E471" s="108">
        <v>1000</v>
      </c>
      <c r="F471">
        <v>0</v>
      </c>
      <c r="G471">
        <v>219</v>
      </c>
      <c r="H471" s="108">
        <v>4755</v>
      </c>
      <c r="I471" s="108">
        <v>4755</v>
      </c>
      <c r="J471" s="150">
        <v>0.47478009259259263</v>
      </c>
      <c r="K471" s="150">
        <v>0.47479166666666667</v>
      </c>
      <c r="L471" t="s">
        <v>165</v>
      </c>
      <c r="N471">
        <v>1378171</v>
      </c>
      <c r="O471">
        <v>1378171</v>
      </c>
      <c r="P471">
        <v>1377705</v>
      </c>
      <c r="Q471">
        <v>781</v>
      </c>
      <c r="R471" t="s">
        <v>166</v>
      </c>
      <c r="S471">
        <v>0</v>
      </c>
      <c r="T471" t="s">
        <v>167</v>
      </c>
      <c r="U471">
        <v>1377705</v>
      </c>
      <c r="W471" t="s">
        <v>168</v>
      </c>
      <c r="X471" t="s">
        <v>166</v>
      </c>
    </row>
    <row r="472" spans="1:24" x14ac:dyDescent="0.3">
      <c r="A472" s="7" t="s">
        <v>69</v>
      </c>
      <c r="B472" t="s">
        <v>70</v>
      </c>
      <c r="C472" t="s">
        <v>169</v>
      </c>
      <c r="D472" t="s">
        <v>164</v>
      </c>
      <c r="E472" s="108">
        <v>1000</v>
      </c>
      <c r="F472">
        <v>0</v>
      </c>
      <c r="G472">
        <v>6</v>
      </c>
      <c r="H472" s="108">
        <v>19260</v>
      </c>
      <c r="I472" s="108">
        <v>19260</v>
      </c>
      <c r="J472" s="150">
        <v>0.47540509259259256</v>
      </c>
      <c r="K472" s="150">
        <v>0.47541666666666665</v>
      </c>
      <c r="L472" t="s">
        <v>165</v>
      </c>
      <c r="N472">
        <v>1383582</v>
      </c>
      <c r="O472">
        <v>1383582</v>
      </c>
      <c r="P472">
        <v>1383560</v>
      </c>
      <c r="Q472">
        <v>994</v>
      </c>
      <c r="R472" t="s">
        <v>166</v>
      </c>
      <c r="S472">
        <v>0</v>
      </c>
      <c r="T472" t="s">
        <v>167</v>
      </c>
      <c r="U472">
        <v>1383560</v>
      </c>
      <c r="W472" t="s">
        <v>168</v>
      </c>
      <c r="X472" t="s">
        <v>166</v>
      </c>
    </row>
    <row r="473" spans="1:24" x14ac:dyDescent="0.3">
      <c r="A473" s="7" t="s">
        <v>63</v>
      </c>
      <c r="B473" t="s">
        <v>64</v>
      </c>
      <c r="C473" t="s">
        <v>163</v>
      </c>
      <c r="D473" t="s">
        <v>164</v>
      </c>
      <c r="E473" s="108">
        <v>1000</v>
      </c>
      <c r="F473">
        <v>0</v>
      </c>
      <c r="G473">
        <v>353</v>
      </c>
      <c r="H473" s="108">
        <v>4755</v>
      </c>
      <c r="I473" s="108">
        <v>4755</v>
      </c>
      <c r="J473" s="150">
        <v>0.47560185185185189</v>
      </c>
      <c r="K473" s="150">
        <v>0.47561342592592593</v>
      </c>
      <c r="L473" t="s">
        <v>165</v>
      </c>
      <c r="N473">
        <v>1385192</v>
      </c>
      <c r="O473">
        <v>1385192</v>
      </c>
      <c r="P473">
        <v>1385173</v>
      </c>
      <c r="Q473">
        <v>647</v>
      </c>
      <c r="R473" t="s">
        <v>166</v>
      </c>
      <c r="S473">
        <v>0</v>
      </c>
      <c r="T473" t="s">
        <v>167</v>
      </c>
      <c r="U473">
        <v>1385173</v>
      </c>
      <c r="W473" t="s">
        <v>168</v>
      </c>
      <c r="X473" t="s">
        <v>166</v>
      </c>
    </row>
    <row r="474" spans="1:24" x14ac:dyDescent="0.3">
      <c r="A474" s="7" t="s">
        <v>100</v>
      </c>
      <c r="B474" t="s">
        <v>101</v>
      </c>
      <c r="C474" t="s">
        <v>169</v>
      </c>
      <c r="D474" t="s">
        <v>164</v>
      </c>
      <c r="E474" s="108">
        <v>1000</v>
      </c>
      <c r="F474">
        <v>0</v>
      </c>
      <c r="G474">
        <v>18</v>
      </c>
      <c r="H474" s="108">
        <v>26420</v>
      </c>
      <c r="I474" s="108">
        <v>26420</v>
      </c>
      <c r="J474" s="150">
        <v>0.47619212962962965</v>
      </c>
      <c r="K474" s="150">
        <v>0.47619212962962965</v>
      </c>
      <c r="L474" t="s">
        <v>165</v>
      </c>
      <c r="N474">
        <v>1390547</v>
      </c>
      <c r="O474">
        <v>1390547</v>
      </c>
      <c r="P474">
        <v>1390543</v>
      </c>
      <c r="Q474">
        <v>982</v>
      </c>
      <c r="R474" t="s">
        <v>166</v>
      </c>
      <c r="S474">
        <v>0</v>
      </c>
      <c r="T474" t="s">
        <v>167</v>
      </c>
      <c r="U474">
        <v>1390543</v>
      </c>
      <c r="W474" t="s">
        <v>168</v>
      </c>
      <c r="X474" t="s">
        <v>166</v>
      </c>
    </row>
    <row r="475" spans="1:24" x14ac:dyDescent="0.3">
      <c r="A475" s="7" t="s">
        <v>69</v>
      </c>
      <c r="B475" t="s">
        <v>70</v>
      </c>
      <c r="C475" t="s">
        <v>169</v>
      </c>
      <c r="D475" t="s">
        <v>164</v>
      </c>
      <c r="E475" s="108">
        <v>1000</v>
      </c>
      <c r="F475">
        <v>0</v>
      </c>
      <c r="G475">
        <v>1</v>
      </c>
      <c r="H475" s="108">
        <v>19260</v>
      </c>
      <c r="I475" s="108">
        <v>19260</v>
      </c>
      <c r="J475" s="150">
        <v>0.47619212962962965</v>
      </c>
      <c r="K475" s="150">
        <v>0.47620370370370368</v>
      </c>
      <c r="L475" t="s">
        <v>165</v>
      </c>
      <c r="N475">
        <v>1390608</v>
      </c>
      <c r="O475">
        <v>1390608</v>
      </c>
      <c r="P475">
        <v>1390484</v>
      </c>
      <c r="Q475">
        <v>999</v>
      </c>
      <c r="R475" t="s">
        <v>166</v>
      </c>
      <c r="S475">
        <v>0</v>
      </c>
      <c r="T475" t="s">
        <v>167</v>
      </c>
      <c r="U475">
        <v>1390484</v>
      </c>
      <c r="W475" t="s">
        <v>168</v>
      </c>
      <c r="X475" t="s">
        <v>166</v>
      </c>
    </row>
    <row r="476" spans="1:24" x14ac:dyDescent="0.3">
      <c r="A476" s="7" t="s">
        <v>106</v>
      </c>
      <c r="B476" t="s">
        <v>107</v>
      </c>
      <c r="C476" t="s">
        <v>163</v>
      </c>
      <c r="D476" t="s">
        <v>164</v>
      </c>
      <c r="E476" s="108">
        <v>1000</v>
      </c>
      <c r="F476">
        <v>0</v>
      </c>
      <c r="G476">
        <v>99</v>
      </c>
      <c r="H476" s="108">
        <v>2685</v>
      </c>
      <c r="I476" s="108">
        <v>2685</v>
      </c>
      <c r="J476" s="150">
        <v>0.47619212962962965</v>
      </c>
      <c r="K476" s="150">
        <v>0.48090277777777773</v>
      </c>
      <c r="L476" t="s">
        <v>165</v>
      </c>
      <c r="N476">
        <v>1390618</v>
      </c>
      <c r="O476">
        <v>1390618</v>
      </c>
      <c r="P476">
        <v>1390573</v>
      </c>
      <c r="Q476">
        <v>901</v>
      </c>
      <c r="R476" t="s">
        <v>166</v>
      </c>
      <c r="S476">
        <v>0</v>
      </c>
      <c r="T476" t="s">
        <v>167</v>
      </c>
      <c r="U476">
        <v>1390573</v>
      </c>
      <c r="W476" t="s">
        <v>168</v>
      </c>
      <c r="X476" t="s">
        <v>166</v>
      </c>
    </row>
    <row r="477" spans="1:24" x14ac:dyDescent="0.3">
      <c r="A477" s="7" t="s">
        <v>67</v>
      </c>
      <c r="B477" t="s">
        <v>68</v>
      </c>
      <c r="C477" t="s">
        <v>169</v>
      </c>
      <c r="D477" t="s">
        <v>164</v>
      </c>
      <c r="E477" s="108">
        <v>1000</v>
      </c>
      <c r="F477">
        <v>0</v>
      </c>
      <c r="G477" s="108">
        <v>1000</v>
      </c>
      <c r="H477" s="108">
        <v>10630</v>
      </c>
      <c r="I477" s="108">
        <v>10630</v>
      </c>
      <c r="J477" s="150">
        <v>0.4767939814814815</v>
      </c>
      <c r="K477" s="150">
        <v>0.47682870370370373</v>
      </c>
      <c r="L477" t="s">
        <v>165</v>
      </c>
      <c r="N477">
        <v>1396848</v>
      </c>
      <c r="O477">
        <v>1396848</v>
      </c>
      <c r="P477">
        <v>1396761</v>
      </c>
      <c r="Q477">
        <v>0</v>
      </c>
      <c r="R477" t="s">
        <v>166</v>
      </c>
      <c r="S477">
        <v>0</v>
      </c>
      <c r="T477" t="s">
        <v>167</v>
      </c>
      <c r="U477">
        <v>1396761</v>
      </c>
      <c r="W477" t="s">
        <v>168</v>
      </c>
      <c r="X477" t="s">
        <v>166</v>
      </c>
    </row>
    <row r="478" spans="1:24" x14ac:dyDescent="0.3">
      <c r="A478" s="7" t="s">
        <v>69</v>
      </c>
      <c r="B478" t="s">
        <v>70</v>
      </c>
      <c r="C478" t="s">
        <v>169</v>
      </c>
      <c r="D478" t="s">
        <v>164</v>
      </c>
      <c r="E478" s="108">
        <v>1000</v>
      </c>
      <c r="F478">
        <v>0</v>
      </c>
      <c r="G478">
        <v>1</v>
      </c>
      <c r="H478" s="108">
        <v>19250</v>
      </c>
      <c r="I478" s="108">
        <v>19250</v>
      </c>
      <c r="J478" s="150">
        <v>0.47716435185185185</v>
      </c>
      <c r="K478" s="150">
        <v>0.47716435185185185</v>
      </c>
      <c r="L478" t="s">
        <v>165</v>
      </c>
      <c r="N478">
        <v>1400736</v>
      </c>
      <c r="O478">
        <v>1400736</v>
      </c>
      <c r="P478">
        <v>1400177</v>
      </c>
      <c r="Q478">
        <v>999</v>
      </c>
      <c r="R478" t="s">
        <v>166</v>
      </c>
      <c r="S478">
        <v>0</v>
      </c>
      <c r="T478" t="s">
        <v>167</v>
      </c>
      <c r="U478">
        <v>1400177</v>
      </c>
      <c r="W478" t="s">
        <v>168</v>
      </c>
      <c r="X478" t="s">
        <v>166</v>
      </c>
    </row>
    <row r="479" spans="1:24" x14ac:dyDescent="0.3">
      <c r="A479" s="7" t="s">
        <v>71</v>
      </c>
      <c r="B479" t="s">
        <v>72</v>
      </c>
      <c r="C479" t="s">
        <v>169</v>
      </c>
      <c r="D479" t="s">
        <v>164</v>
      </c>
      <c r="E479" s="108">
        <v>1000</v>
      </c>
      <c r="F479">
        <v>0</v>
      </c>
      <c r="G479">
        <v>5</v>
      </c>
      <c r="H479" s="108">
        <v>18990</v>
      </c>
      <c r="I479" s="108">
        <v>18990</v>
      </c>
      <c r="J479" s="150">
        <v>0.47729166666666667</v>
      </c>
      <c r="K479" s="150">
        <v>0.47730324074074071</v>
      </c>
      <c r="L479" t="s">
        <v>165</v>
      </c>
      <c r="N479">
        <v>1402017</v>
      </c>
      <c r="O479">
        <v>1402017</v>
      </c>
      <c r="P479">
        <v>1401937</v>
      </c>
      <c r="Q479">
        <v>995</v>
      </c>
      <c r="R479" t="s">
        <v>166</v>
      </c>
      <c r="S479">
        <v>0</v>
      </c>
      <c r="T479" t="s">
        <v>167</v>
      </c>
      <c r="U479">
        <v>1401937</v>
      </c>
      <c r="W479" t="s">
        <v>168</v>
      </c>
      <c r="X479" t="s">
        <v>166</v>
      </c>
    </row>
    <row r="480" spans="1:24" x14ac:dyDescent="0.3">
      <c r="A480" s="7" t="s">
        <v>79</v>
      </c>
      <c r="B480" t="s">
        <v>80</v>
      </c>
      <c r="C480" t="s">
        <v>169</v>
      </c>
      <c r="D480" t="s">
        <v>164</v>
      </c>
      <c r="E480" s="108">
        <v>1000</v>
      </c>
      <c r="F480">
        <v>0</v>
      </c>
      <c r="G480">
        <v>5</v>
      </c>
      <c r="H480" s="108">
        <v>38430</v>
      </c>
      <c r="I480" s="108">
        <v>38430</v>
      </c>
      <c r="J480" s="150">
        <v>0.47744212962962962</v>
      </c>
      <c r="K480" s="150">
        <v>0.47744212962962962</v>
      </c>
      <c r="L480" t="s">
        <v>165</v>
      </c>
      <c r="N480">
        <v>1403193</v>
      </c>
      <c r="O480">
        <v>1403193</v>
      </c>
      <c r="P480">
        <v>1403178</v>
      </c>
      <c r="Q480">
        <v>995</v>
      </c>
      <c r="R480" t="s">
        <v>166</v>
      </c>
      <c r="S480">
        <v>0</v>
      </c>
      <c r="T480" t="s">
        <v>167</v>
      </c>
      <c r="U480">
        <v>1403178</v>
      </c>
      <c r="W480" t="s">
        <v>168</v>
      </c>
      <c r="X480" t="s">
        <v>166</v>
      </c>
    </row>
    <row r="481" spans="1:24" x14ac:dyDescent="0.3">
      <c r="A481" s="7" t="s">
        <v>67</v>
      </c>
      <c r="B481" t="s">
        <v>68</v>
      </c>
      <c r="C481" t="s">
        <v>169</v>
      </c>
      <c r="D481" t="s">
        <v>164</v>
      </c>
      <c r="E481" s="108">
        <v>1000</v>
      </c>
      <c r="F481">
        <v>0</v>
      </c>
      <c r="G481">
        <v>5</v>
      </c>
      <c r="H481" s="108">
        <v>10620</v>
      </c>
      <c r="I481" s="108">
        <v>10620</v>
      </c>
      <c r="J481" s="150">
        <v>0.47752314814814811</v>
      </c>
      <c r="K481" s="150">
        <v>0.47763888888888889</v>
      </c>
      <c r="L481" t="s">
        <v>165</v>
      </c>
      <c r="N481">
        <v>1404007</v>
      </c>
      <c r="O481">
        <v>1404007</v>
      </c>
      <c r="P481">
        <v>1403963</v>
      </c>
      <c r="Q481">
        <v>995</v>
      </c>
      <c r="R481" t="s">
        <v>166</v>
      </c>
      <c r="S481">
        <v>0</v>
      </c>
      <c r="T481" t="s">
        <v>167</v>
      </c>
      <c r="U481">
        <v>1403963</v>
      </c>
      <c r="W481" t="s">
        <v>168</v>
      </c>
      <c r="X481" t="s">
        <v>166</v>
      </c>
    </row>
    <row r="482" spans="1:24" x14ac:dyDescent="0.3">
      <c r="A482" s="7" t="s">
        <v>69</v>
      </c>
      <c r="B482" t="s">
        <v>70</v>
      </c>
      <c r="C482" t="s">
        <v>169</v>
      </c>
      <c r="D482" t="s">
        <v>164</v>
      </c>
      <c r="E482" s="108">
        <v>1000</v>
      </c>
      <c r="F482">
        <v>0</v>
      </c>
      <c r="G482">
        <v>18</v>
      </c>
      <c r="H482" s="108">
        <v>19275</v>
      </c>
      <c r="I482" s="108">
        <v>19275</v>
      </c>
      <c r="J482" s="150">
        <v>0.47825231481481478</v>
      </c>
      <c r="K482" s="150">
        <v>0.47825231481481478</v>
      </c>
      <c r="L482" t="s">
        <v>165</v>
      </c>
      <c r="N482">
        <v>1409955</v>
      </c>
      <c r="O482">
        <v>1409955</v>
      </c>
      <c r="P482">
        <v>1409769</v>
      </c>
      <c r="Q482">
        <v>982</v>
      </c>
      <c r="R482" t="s">
        <v>166</v>
      </c>
      <c r="S482">
        <v>0</v>
      </c>
      <c r="T482" t="s">
        <v>167</v>
      </c>
      <c r="U482">
        <v>1409769</v>
      </c>
      <c r="W482" t="s">
        <v>168</v>
      </c>
      <c r="X482" t="s">
        <v>166</v>
      </c>
    </row>
    <row r="483" spans="1:24" x14ac:dyDescent="0.3">
      <c r="A483" s="7" t="s">
        <v>67</v>
      </c>
      <c r="B483" t="s">
        <v>68</v>
      </c>
      <c r="C483" t="s">
        <v>169</v>
      </c>
      <c r="D483" t="s">
        <v>164</v>
      </c>
      <c r="E483" s="108">
        <v>1000</v>
      </c>
      <c r="F483">
        <v>0</v>
      </c>
      <c r="G483">
        <v>5</v>
      </c>
      <c r="H483" s="108">
        <v>10625</v>
      </c>
      <c r="I483" s="108">
        <v>10625</v>
      </c>
      <c r="J483" s="150">
        <v>0.47833333333333333</v>
      </c>
      <c r="K483" s="150">
        <v>0.47835648148148152</v>
      </c>
      <c r="L483" t="s">
        <v>165</v>
      </c>
      <c r="N483">
        <v>1410883</v>
      </c>
      <c r="O483">
        <v>1410883</v>
      </c>
      <c r="P483">
        <v>1410864</v>
      </c>
      <c r="Q483">
        <v>995</v>
      </c>
      <c r="R483" t="s">
        <v>166</v>
      </c>
      <c r="S483">
        <v>0</v>
      </c>
      <c r="T483" t="s">
        <v>167</v>
      </c>
      <c r="U483">
        <v>1410864</v>
      </c>
      <c r="W483" t="s">
        <v>168</v>
      </c>
      <c r="X483" t="s">
        <v>166</v>
      </c>
    </row>
    <row r="484" spans="1:24" x14ac:dyDescent="0.3">
      <c r="A484" s="7" t="s">
        <v>67</v>
      </c>
      <c r="B484" t="s">
        <v>68</v>
      </c>
      <c r="C484" t="s">
        <v>169</v>
      </c>
      <c r="D484" t="s">
        <v>164</v>
      </c>
      <c r="E484" s="108">
        <v>1000</v>
      </c>
      <c r="F484">
        <v>0</v>
      </c>
      <c r="G484">
        <v>4</v>
      </c>
      <c r="H484" s="108">
        <v>10625</v>
      </c>
      <c r="I484" s="108">
        <v>10625</v>
      </c>
      <c r="J484" s="150">
        <v>0.47915509259259265</v>
      </c>
      <c r="K484" s="150">
        <v>0.47915509259259265</v>
      </c>
      <c r="L484" t="s">
        <v>165</v>
      </c>
      <c r="N484">
        <v>1417791</v>
      </c>
      <c r="O484">
        <v>1417791</v>
      </c>
      <c r="P484">
        <v>1417641</v>
      </c>
      <c r="Q484">
        <v>996</v>
      </c>
      <c r="R484" t="s">
        <v>166</v>
      </c>
      <c r="S484">
        <v>0</v>
      </c>
      <c r="T484" t="s">
        <v>167</v>
      </c>
      <c r="U484">
        <v>1417641</v>
      </c>
      <c r="W484" t="s">
        <v>168</v>
      </c>
      <c r="X484" t="s">
        <v>166</v>
      </c>
    </row>
    <row r="485" spans="1:24" x14ac:dyDescent="0.3">
      <c r="A485" s="7" t="s">
        <v>63</v>
      </c>
      <c r="B485" t="s">
        <v>64</v>
      </c>
      <c r="C485" t="s">
        <v>163</v>
      </c>
      <c r="D485" t="s">
        <v>164</v>
      </c>
      <c r="E485" s="108">
        <v>1000</v>
      </c>
      <c r="F485">
        <v>0</v>
      </c>
      <c r="G485" s="108">
        <v>1000</v>
      </c>
      <c r="H485" s="108">
        <v>4760</v>
      </c>
      <c r="I485" s="108">
        <v>4760</v>
      </c>
      <c r="J485" s="150">
        <v>0.47986111111111113</v>
      </c>
      <c r="K485" s="150">
        <v>0.47993055555555553</v>
      </c>
      <c r="L485" t="s">
        <v>165</v>
      </c>
      <c r="N485">
        <v>1424358</v>
      </c>
      <c r="O485">
        <v>1424358</v>
      </c>
      <c r="P485">
        <v>1423854</v>
      </c>
      <c r="Q485">
        <v>0</v>
      </c>
      <c r="R485" t="s">
        <v>166</v>
      </c>
      <c r="S485">
        <v>0</v>
      </c>
      <c r="T485" t="s">
        <v>167</v>
      </c>
      <c r="U485">
        <v>1423854</v>
      </c>
      <c r="W485" t="s">
        <v>168</v>
      </c>
      <c r="X485" t="s">
        <v>166</v>
      </c>
    </row>
    <row r="486" spans="1:24" x14ac:dyDescent="0.3">
      <c r="A486" s="7" t="s">
        <v>67</v>
      </c>
      <c r="B486" t="s">
        <v>68</v>
      </c>
      <c r="C486" t="s">
        <v>169</v>
      </c>
      <c r="D486" t="s">
        <v>164</v>
      </c>
      <c r="E486" s="108">
        <v>1000</v>
      </c>
      <c r="F486">
        <v>0</v>
      </c>
      <c r="G486" s="108">
        <v>1000</v>
      </c>
      <c r="H486" s="108">
        <v>10625</v>
      </c>
      <c r="I486" s="108">
        <v>10625</v>
      </c>
      <c r="J486" s="150">
        <v>0.47991898148148149</v>
      </c>
      <c r="K486" s="150">
        <v>0.47994212962962962</v>
      </c>
      <c r="L486" t="s">
        <v>165</v>
      </c>
      <c r="N486">
        <v>1424856</v>
      </c>
      <c r="O486">
        <v>1424856</v>
      </c>
      <c r="P486">
        <v>1424822</v>
      </c>
      <c r="Q486">
        <v>0</v>
      </c>
      <c r="R486" t="s">
        <v>166</v>
      </c>
      <c r="S486">
        <v>0</v>
      </c>
      <c r="T486" t="s">
        <v>167</v>
      </c>
      <c r="U486">
        <v>1424822</v>
      </c>
      <c r="W486" t="s">
        <v>168</v>
      </c>
      <c r="X486" t="s">
        <v>166</v>
      </c>
    </row>
    <row r="487" spans="1:24" x14ac:dyDescent="0.3">
      <c r="A487" s="7" t="s">
        <v>112</v>
      </c>
      <c r="B487" t="s">
        <v>113</v>
      </c>
      <c r="C487" t="s">
        <v>169</v>
      </c>
      <c r="D487" t="s">
        <v>164</v>
      </c>
      <c r="E487" s="108">
        <v>1000</v>
      </c>
      <c r="F487">
        <v>0</v>
      </c>
      <c r="G487">
        <v>19</v>
      </c>
      <c r="H487" s="108">
        <v>56220</v>
      </c>
      <c r="I487" s="108">
        <v>56220</v>
      </c>
      <c r="J487" s="150">
        <v>0.48008101851851853</v>
      </c>
      <c r="K487" s="150">
        <v>0.48008101851851853</v>
      </c>
      <c r="L487" t="s">
        <v>165</v>
      </c>
      <c r="N487">
        <v>1426115</v>
      </c>
      <c r="O487">
        <v>1426115</v>
      </c>
      <c r="P487">
        <v>1426088</v>
      </c>
      <c r="Q487">
        <v>981</v>
      </c>
      <c r="R487" t="s">
        <v>166</v>
      </c>
      <c r="S487">
        <v>0</v>
      </c>
      <c r="T487" t="s">
        <v>167</v>
      </c>
      <c r="U487">
        <v>1426088</v>
      </c>
      <c r="W487" t="s">
        <v>168</v>
      </c>
      <c r="X487" t="s">
        <v>166</v>
      </c>
    </row>
    <row r="488" spans="1:24" x14ac:dyDescent="0.3">
      <c r="A488" s="7" t="s">
        <v>67</v>
      </c>
      <c r="B488" t="s">
        <v>68</v>
      </c>
      <c r="C488" t="s">
        <v>169</v>
      </c>
      <c r="D488" t="s">
        <v>164</v>
      </c>
      <c r="E488" s="108">
        <v>1000</v>
      </c>
      <c r="F488">
        <v>0</v>
      </c>
      <c r="G488" s="108">
        <v>1000</v>
      </c>
      <c r="H488" s="108">
        <v>10640</v>
      </c>
      <c r="I488" s="108">
        <v>10640</v>
      </c>
      <c r="J488" s="150">
        <v>0.48084490740740743</v>
      </c>
      <c r="K488" s="150">
        <v>0.48085648148148147</v>
      </c>
      <c r="L488" t="s">
        <v>165</v>
      </c>
      <c r="N488">
        <v>1433812</v>
      </c>
      <c r="O488">
        <v>1433812</v>
      </c>
      <c r="P488">
        <v>1433667</v>
      </c>
      <c r="Q488">
        <v>0</v>
      </c>
      <c r="R488" t="s">
        <v>166</v>
      </c>
      <c r="S488">
        <v>0</v>
      </c>
      <c r="T488" t="s">
        <v>167</v>
      </c>
      <c r="U488">
        <v>1433667</v>
      </c>
      <c r="W488" t="s">
        <v>168</v>
      </c>
      <c r="X488" t="s">
        <v>166</v>
      </c>
    </row>
    <row r="489" spans="1:24" x14ac:dyDescent="0.3">
      <c r="A489" s="7" t="s">
        <v>112</v>
      </c>
      <c r="B489" t="s">
        <v>113</v>
      </c>
      <c r="C489" t="s">
        <v>169</v>
      </c>
      <c r="D489" t="s">
        <v>164</v>
      </c>
      <c r="E489" s="108">
        <v>1000</v>
      </c>
      <c r="F489">
        <v>0</v>
      </c>
      <c r="G489">
        <v>57</v>
      </c>
      <c r="H489" s="108">
        <v>56365</v>
      </c>
      <c r="I489" s="108">
        <v>56365</v>
      </c>
      <c r="J489" s="150">
        <v>0.4811111111111111</v>
      </c>
      <c r="K489" s="150">
        <v>0.4811111111111111</v>
      </c>
      <c r="L489" t="s">
        <v>165</v>
      </c>
      <c r="N489">
        <v>1436514</v>
      </c>
      <c r="O489">
        <v>1436514</v>
      </c>
      <c r="P489">
        <v>1436502</v>
      </c>
      <c r="Q489">
        <v>943</v>
      </c>
      <c r="R489" t="s">
        <v>166</v>
      </c>
      <c r="S489">
        <v>0</v>
      </c>
      <c r="T489" t="s">
        <v>167</v>
      </c>
      <c r="U489">
        <v>1436502</v>
      </c>
      <c r="W489" t="s">
        <v>168</v>
      </c>
      <c r="X489" t="s">
        <v>166</v>
      </c>
    </row>
    <row r="490" spans="1:24" x14ac:dyDescent="0.3">
      <c r="A490" s="7" t="s">
        <v>67</v>
      </c>
      <c r="B490" t="s">
        <v>68</v>
      </c>
      <c r="C490" t="s">
        <v>169</v>
      </c>
      <c r="D490" t="s">
        <v>164</v>
      </c>
      <c r="E490" s="108">
        <v>1000</v>
      </c>
      <c r="F490">
        <v>0</v>
      </c>
      <c r="G490">
        <v>314</v>
      </c>
      <c r="H490" s="108">
        <v>10635</v>
      </c>
      <c r="I490" s="108">
        <v>10635</v>
      </c>
      <c r="J490" s="150">
        <v>0.48184027777777777</v>
      </c>
      <c r="K490" s="150">
        <v>0.481875</v>
      </c>
      <c r="L490" t="s">
        <v>165</v>
      </c>
      <c r="N490">
        <v>1443622</v>
      </c>
      <c r="O490">
        <v>1443622</v>
      </c>
      <c r="P490">
        <v>1443611</v>
      </c>
      <c r="Q490">
        <v>686</v>
      </c>
      <c r="R490" t="s">
        <v>166</v>
      </c>
      <c r="S490">
        <v>0</v>
      </c>
      <c r="T490" t="s">
        <v>167</v>
      </c>
      <c r="U490">
        <v>1443611</v>
      </c>
      <c r="W490" t="s">
        <v>168</v>
      </c>
      <c r="X490" t="s">
        <v>166</v>
      </c>
    </row>
    <row r="491" spans="1:24" x14ac:dyDescent="0.3">
      <c r="A491" s="7" t="s">
        <v>65</v>
      </c>
      <c r="B491" t="s">
        <v>66</v>
      </c>
      <c r="C491" t="s">
        <v>169</v>
      </c>
      <c r="D491" t="s">
        <v>164</v>
      </c>
      <c r="E491" s="108">
        <v>1000</v>
      </c>
      <c r="F491">
        <v>0</v>
      </c>
      <c r="G491">
        <v>8</v>
      </c>
      <c r="H491" s="108">
        <v>5065</v>
      </c>
      <c r="I491" s="108">
        <v>5065</v>
      </c>
      <c r="J491" s="150">
        <v>0.48201388888888891</v>
      </c>
      <c r="K491" s="150">
        <v>0.48203703703703704</v>
      </c>
      <c r="L491" t="s">
        <v>165</v>
      </c>
      <c r="N491">
        <v>1445288</v>
      </c>
      <c r="O491">
        <v>1445288</v>
      </c>
      <c r="P491">
        <v>1445159</v>
      </c>
      <c r="Q491">
        <v>992</v>
      </c>
      <c r="R491" t="s">
        <v>166</v>
      </c>
      <c r="S491">
        <v>0</v>
      </c>
      <c r="T491" t="s">
        <v>167</v>
      </c>
      <c r="U491">
        <v>1445159</v>
      </c>
      <c r="W491" t="s">
        <v>168</v>
      </c>
      <c r="X491" t="s">
        <v>166</v>
      </c>
    </row>
    <row r="492" spans="1:24" x14ac:dyDescent="0.3">
      <c r="A492" s="7" t="s">
        <v>67</v>
      </c>
      <c r="B492" t="s">
        <v>68</v>
      </c>
      <c r="C492" t="s">
        <v>169</v>
      </c>
      <c r="D492" t="s">
        <v>164</v>
      </c>
      <c r="E492" s="108">
        <v>1000</v>
      </c>
      <c r="F492">
        <v>0</v>
      </c>
      <c r="G492">
        <v>151</v>
      </c>
      <c r="H492" s="108">
        <v>10635</v>
      </c>
      <c r="I492" s="108">
        <v>10635</v>
      </c>
      <c r="J492" s="150">
        <v>0.48275462962962962</v>
      </c>
      <c r="K492" s="150">
        <v>0.48278935185185184</v>
      </c>
      <c r="L492" t="s">
        <v>165</v>
      </c>
      <c r="N492">
        <v>1452487</v>
      </c>
      <c r="O492">
        <v>1452487</v>
      </c>
      <c r="P492">
        <v>1452139</v>
      </c>
      <c r="Q492">
        <v>849</v>
      </c>
      <c r="R492" t="s">
        <v>166</v>
      </c>
      <c r="S492">
        <v>0</v>
      </c>
      <c r="T492" t="s">
        <v>167</v>
      </c>
      <c r="U492">
        <v>1452139</v>
      </c>
      <c r="W492" t="s">
        <v>168</v>
      </c>
      <c r="X492" t="s">
        <v>166</v>
      </c>
    </row>
    <row r="493" spans="1:24" x14ac:dyDescent="0.3">
      <c r="A493" s="7" t="s">
        <v>63</v>
      </c>
      <c r="B493" t="s">
        <v>64</v>
      </c>
      <c r="C493" t="s">
        <v>163</v>
      </c>
      <c r="D493" t="s">
        <v>164</v>
      </c>
      <c r="E493" s="108">
        <v>1000</v>
      </c>
      <c r="F493">
        <v>0</v>
      </c>
      <c r="G493" s="108">
        <v>1000</v>
      </c>
      <c r="H493" s="108">
        <v>4755</v>
      </c>
      <c r="I493" s="108">
        <v>4755</v>
      </c>
      <c r="J493" s="150">
        <v>0.48284722222222221</v>
      </c>
      <c r="K493" s="150">
        <v>0.48284722222222221</v>
      </c>
      <c r="L493" t="s">
        <v>165</v>
      </c>
      <c r="N493">
        <v>1453466</v>
      </c>
      <c r="O493">
        <v>1453466</v>
      </c>
      <c r="P493">
        <v>1448573</v>
      </c>
      <c r="Q493">
        <v>0</v>
      </c>
      <c r="R493" t="s">
        <v>166</v>
      </c>
      <c r="S493">
        <v>0</v>
      </c>
      <c r="T493" t="s">
        <v>167</v>
      </c>
      <c r="U493">
        <v>1448573</v>
      </c>
      <c r="W493" t="s">
        <v>168</v>
      </c>
      <c r="X493" t="s">
        <v>166</v>
      </c>
    </row>
    <row r="494" spans="1:24" x14ac:dyDescent="0.3">
      <c r="A494" s="7" t="s">
        <v>69</v>
      </c>
      <c r="B494" t="s">
        <v>70</v>
      </c>
      <c r="C494" t="s">
        <v>169</v>
      </c>
      <c r="D494" t="s">
        <v>164</v>
      </c>
      <c r="E494" s="108">
        <v>1000</v>
      </c>
      <c r="F494">
        <v>0</v>
      </c>
      <c r="G494" s="108">
        <v>1000</v>
      </c>
      <c r="H494" s="108">
        <v>19395</v>
      </c>
      <c r="I494" s="108">
        <v>19395</v>
      </c>
      <c r="J494" s="150">
        <v>0.48359953703703701</v>
      </c>
      <c r="K494" s="150">
        <v>0.48364583333333333</v>
      </c>
      <c r="L494" t="s">
        <v>165</v>
      </c>
      <c r="N494">
        <v>1461285</v>
      </c>
      <c r="O494">
        <v>1461285</v>
      </c>
      <c r="P494">
        <v>1461282</v>
      </c>
      <c r="Q494">
        <v>0</v>
      </c>
      <c r="R494" t="s">
        <v>166</v>
      </c>
      <c r="S494">
        <v>0</v>
      </c>
      <c r="T494" t="s">
        <v>167</v>
      </c>
      <c r="U494">
        <v>1461282</v>
      </c>
      <c r="W494" t="s">
        <v>168</v>
      </c>
      <c r="X494" t="s">
        <v>166</v>
      </c>
    </row>
    <row r="495" spans="1:24" x14ac:dyDescent="0.3">
      <c r="A495" s="7" t="s">
        <v>63</v>
      </c>
      <c r="B495" t="s">
        <v>64</v>
      </c>
      <c r="C495" t="s">
        <v>163</v>
      </c>
      <c r="D495" t="s">
        <v>164</v>
      </c>
      <c r="E495" s="108">
        <v>1000</v>
      </c>
      <c r="F495">
        <v>0</v>
      </c>
      <c r="G495" s="108">
        <v>1000</v>
      </c>
      <c r="H495" s="108">
        <v>4755</v>
      </c>
      <c r="I495" s="108">
        <v>4755</v>
      </c>
      <c r="J495" s="150">
        <v>0.48401620370370368</v>
      </c>
      <c r="K495" s="150">
        <v>0.48401620370370368</v>
      </c>
      <c r="L495" t="s">
        <v>165</v>
      </c>
      <c r="N495">
        <v>1464849</v>
      </c>
      <c r="O495">
        <v>1464849</v>
      </c>
      <c r="P495">
        <v>1460503</v>
      </c>
      <c r="Q495">
        <v>0</v>
      </c>
      <c r="R495" t="s">
        <v>166</v>
      </c>
      <c r="S495">
        <v>0</v>
      </c>
      <c r="T495" t="s">
        <v>167</v>
      </c>
      <c r="U495">
        <v>1460503</v>
      </c>
      <c r="W495" t="s">
        <v>168</v>
      </c>
      <c r="X495" t="s">
        <v>166</v>
      </c>
    </row>
    <row r="496" spans="1:24" x14ac:dyDescent="0.3">
      <c r="A496" s="7" t="s">
        <v>67</v>
      </c>
      <c r="B496" t="s">
        <v>68</v>
      </c>
      <c r="C496" t="s">
        <v>169</v>
      </c>
      <c r="D496" t="s">
        <v>164</v>
      </c>
      <c r="E496" s="108">
        <v>1000</v>
      </c>
      <c r="F496">
        <v>0</v>
      </c>
      <c r="G496">
        <v>965</v>
      </c>
      <c r="H496" s="108">
        <v>10640</v>
      </c>
      <c r="I496" s="108">
        <v>10640</v>
      </c>
      <c r="J496" s="150">
        <v>0.48403935185185182</v>
      </c>
      <c r="K496" s="150">
        <v>0.48405092592592597</v>
      </c>
      <c r="L496" t="s">
        <v>165</v>
      </c>
      <c r="N496">
        <v>1465076</v>
      </c>
      <c r="O496">
        <v>1465076</v>
      </c>
      <c r="P496">
        <v>1463115</v>
      </c>
      <c r="Q496">
        <v>35</v>
      </c>
      <c r="R496" t="s">
        <v>166</v>
      </c>
      <c r="S496">
        <v>0</v>
      </c>
      <c r="T496" t="s">
        <v>167</v>
      </c>
      <c r="U496">
        <v>1463115</v>
      </c>
      <c r="W496" t="s">
        <v>168</v>
      </c>
      <c r="X496" t="s">
        <v>166</v>
      </c>
    </row>
    <row r="497" spans="1:24" x14ac:dyDescent="0.3">
      <c r="A497" s="7" t="s">
        <v>69</v>
      </c>
      <c r="B497" t="s">
        <v>70</v>
      </c>
      <c r="C497" t="s">
        <v>169</v>
      </c>
      <c r="D497" t="s">
        <v>164</v>
      </c>
      <c r="E497" s="108">
        <v>1000</v>
      </c>
      <c r="F497">
        <v>0</v>
      </c>
      <c r="G497">
        <v>1</v>
      </c>
      <c r="H497" s="108">
        <v>19370</v>
      </c>
      <c r="I497" s="108">
        <v>19370</v>
      </c>
      <c r="J497" s="150">
        <v>0.48454861111111108</v>
      </c>
      <c r="K497" s="150">
        <v>0.48457175925925927</v>
      </c>
      <c r="L497" t="s">
        <v>165</v>
      </c>
      <c r="N497">
        <v>1469606</v>
      </c>
      <c r="O497">
        <v>1469606</v>
      </c>
      <c r="P497">
        <v>1469587</v>
      </c>
      <c r="Q497">
        <v>999</v>
      </c>
      <c r="R497" t="s">
        <v>166</v>
      </c>
      <c r="S497">
        <v>0</v>
      </c>
      <c r="T497" t="s">
        <v>167</v>
      </c>
      <c r="U497">
        <v>1469587</v>
      </c>
      <c r="W497" t="s">
        <v>168</v>
      </c>
      <c r="X497" t="s">
        <v>166</v>
      </c>
    </row>
    <row r="498" spans="1:24" x14ac:dyDescent="0.3">
      <c r="A498" s="7" t="s">
        <v>67</v>
      </c>
      <c r="B498" t="s">
        <v>68</v>
      </c>
      <c r="C498" t="s">
        <v>169</v>
      </c>
      <c r="D498" t="s">
        <v>164</v>
      </c>
      <c r="E498" s="108">
        <v>1000</v>
      </c>
      <c r="F498">
        <v>0</v>
      </c>
      <c r="G498">
        <v>92</v>
      </c>
      <c r="H498" s="108">
        <v>10630</v>
      </c>
      <c r="I498" s="108">
        <v>10630</v>
      </c>
      <c r="J498" s="150">
        <v>0.48475694444444445</v>
      </c>
      <c r="K498" s="150">
        <v>0.48476851851851849</v>
      </c>
      <c r="L498" t="s">
        <v>165</v>
      </c>
      <c r="N498">
        <v>1471565</v>
      </c>
      <c r="O498">
        <v>1471565</v>
      </c>
      <c r="P498">
        <v>1471420</v>
      </c>
      <c r="Q498">
        <v>908</v>
      </c>
      <c r="R498" t="s">
        <v>166</v>
      </c>
      <c r="S498">
        <v>0</v>
      </c>
      <c r="T498" t="s">
        <v>167</v>
      </c>
      <c r="U498">
        <v>1471420</v>
      </c>
      <c r="W498" t="s">
        <v>168</v>
      </c>
      <c r="X498" t="s">
        <v>166</v>
      </c>
    </row>
    <row r="499" spans="1:24" x14ac:dyDescent="0.3">
      <c r="A499" s="7" t="s">
        <v>100</v>
      </c>
      <c r="B499" t="s">
        <v>101</v>
      </c>
      <c r="C499" t="s">
        <v>169</v>
      </c>
      <c r="D499" t="s">
        <v>164</v>
      </c>
      <c r="E499" s="108">
        <v>1000</v>
      </c>
      <c r="F499">
        <v>0</v>
      </c>
      <c r="G499">
        <v>10</v>
      </c>
      <c r="H499" s="108">
        <v>26470</v>
      </c>
      <c r="I499" s="108">
        <v>26470</v>
      </c>
      <c r="J499" s="150">
        <v>0.48556712962962961</v>
      </c>
      <c r="K499" s="150">
        <v>0.48556712962962961</v>
      </c>
      <c r="L499" t="s">
        <v>165</v>
      </c>
      <c r="N499">
        <v>1479256</v>
      </c>
      <c r="O499">
        <v>1479256</v>
      </c>
      <c r="P499">
        <v>1479220</v>
      </c>
      <c r="Q499">
        <v>990</v>
      </c>
      <c r="R499" t="s">
        <v>166</v>
      </c>
      <c r="S499">
        <v>0</v>
      </c>
      <c r="T499" t="s">
        <v>167</v>
      </c>
      <c r="U499">
        <v>1479220</v>
      </c>
      <c r="W499" t="s">
        <v>168</v>
      </c>
      <c r="X499" t="s">
        <v>166</v>
      </c>
    </row>
    <row r="500" spans="1:24" x14ac:dyDescent="0.3">
      <c r="A500" s="7" t="s">
        <v>98</v>
      </c>
      <c r="B500" t="s">
        <v>99</v>
      </c>
      <c r="C500" t="s">
        <v>163</v>
      </c>
      <c r="D500" t="s">
        <v>164</v>
      </c>
      <c r="E500" s="108">
        <v>1000</v>
      </c>
      <c r="F500">
        <v>0</v>
      </c>
      <c r="G500">
        <v>127</v>
      </c>
      <c r="H500" s="108">
        <v>15530</v>
      </c>
      <c r="I500" s="108">
        <v>15530</v>
      </c>
      <c r="J500" s="150">
        <v>0.48620370370370369</v>
      </c>
      <c r="K500" s="150">
        <v>0.48620370370370369</v>
      </c>
      <c r="L500" t="s">
        <v>165</v>
      </c>
      <c r="N500">
        <v>1485277</v>
      </c>
      <c r="O500">
        <v>1485277</v>
      </c>
      <c r="P500">
        <v>1484976</v>
      </c>
      <c r="Q500">
        <v>873</v>
      </c>
      <c r="R500" t="s">
        <v>166</v>
      </c>
      <c r="S500">
        <v>0</v>
      </c>
      <c r="T500" t="s">
        <v>167</v>
      </c>
      <c r="U500">
        <v>1484976</v>
      </c>
      <c r="W500" t="s">
        <v>168</v>
      </c>
      <c r="X500" t="s">
        <v>166</v>
      </c>
    </row>
    <row r="501" spans="1:24" x14ac:dyDescent="0.3">
      <c r="A501" s="7" t="s">
        <v>67</v>
      </c>
      <c r="B501" t="s">
        <v>68</v>
      </c>
      <c r="C501" t="s">
        <v>169</v>
      </c>
      <c r="D501" t="s">
        <v>164</v>
      </c>
      <c r="E501" s="108">
        <v>1000</v>
      </c>
      <c r="F501">
        <v>0</v>
      </c>
      <c r="G501" s="108">
        <v>1000</v>
      </c>
      <c r="H501" s="108">
        <v>10615</v>
      </c>
      <c r="I501" s="108">
        <v>10615</v>
      </c>
      <c r="J501" s="150">
        <v>0.48702546296296295</v>
      </c>
      <c r="K501" s="150">
        <v>0.48704861111111114</v>
      </c>
      <c r="L501" t="s">
        <v>165</v>
      </c>
      <c r="N501">
        <v>1492975</v>
      </c>
      <c r="O501">
        <v>1492975</v>
      </c>
      <c r="P501">
        <v>1492789</v>
      </c>
      <c r="Q501">
        <v>0</v>
      </c>
      <c r="R501" t="s">
        <v>166</v>
      </c>
      <c r="S501">
        <v>0</v>
      </c>
      <c r="T501" t="s">
        <v>167</v>
      </c>
      <c r="U501">
        <v>1492789</v>
      </c>
      <c r="W501" t="s">
        <v>168</v>
      </c>
      <c r="X501" t="s">
        <v>166</v>
      </c>
    </row>
    <row r="502" spans="1:24" x14ac:dyDescent="0.3">
      <c r="A502" s="7" t="s">
        <v>112</v>
      </c>
      <c r="B502" t="s">
        <v>113</v>
      </c>
      <c r="C502" t="s">
        <v>169</v>
      </c>
      <c r="D502" t="s">
        <v>164</v>
      </c>
      <c r="E502" s="108">
        <v>1000</v>
      </c>
      <c r="F502">
        <v>0</v>
      </c>
      <c r="G502">
        <v>711</v>
      </c>
      <c r="H502" s="108">
        <v>56460</v>
      </c>
      <c r="I502" s="108">
        <v>56460</v>
      </c>
      <c r="J502" s="150">
        <v>0.48704861111111114</v>
      </c>
      <c r="K502" s="150">
        <v>0.48706018518518518</v>
      </c>
      <c r="L502" t="s">
        <v>165</v>
      </c>
      <c r="N502">
        <v>1493317</v>
      </c>
      <c r="O502">
        <v>1493317</v>
      </c>
      <c r="P502">
        <v>1493246</v>
      </c>
      <c r="Q502">
        <v>289</v>
      </c>
      <c r="R502" t="s">
        <v>166</v>
      </c>
      <c r="S502">
        <v>0</v>
      </c>
      <c r="T502" t="s">
        <v>167</v>
      </c>
      <c r="U502">
        <v>1493246</v>
      </c>
      <c r="W502" t="s">
        <v>168</v>
      </c>
      <c r="X502" t="s">
        <v>166</v>
      </c>
    </row>
    <row r="503" spans="1:24" x14ac:dyDescent="0.3">
      <c r="A503" s="7" t="s">
        <v>138</v>
      </c>
      <c r="B503" t="s">
        <v>171</v>
      </c>
      <c r="C503" t="s">
        <v>169</v>
      </c>
      <c r="D503" t="s">
        <v>164</v>
      </c>
      <c r="E503" s="108">
        <v>1000</v>
      </c>
      <c r="F503">
        <v>0</v>
      </c>
      <c r="G503" s="108">
        <v>1000</v>
      </c>
      <c r="H503" s="108">
        <v>9190</v>
      </c>
      <c r="I503" s="108">
        <v>9190</v>
      </c>
      <c r="J503" s="150">
        <v>0.48707175925925927</v>
      </c>
      <c r="K503" s="150">
        <v>0.4872569444444444</v>
      </c>
      <c r="L503" t="s">
        <v>165</v>
      </c>
      <c r="N503">
        <v>1493639</v>
      </c>
      <c r="O503">
        <v>1493639</v>
      </c>
      <c r="P503">
        <v>1493392</v>
      </c>
      <c r="Q503">
        <v>0</v>
      </c>
      <c r="R503" t="s">
        <v>166</v>
      </c>
      <c r="S503">
        <v>0</v>
      </c>
      <c r="T503" t="s">
        <v>167</v>
      </c>
      <c r="U503">
        <v>1493392</v>
      </c>
      <c r="W503" t="s">
        <v>168</v>
      </c>
      <c r="X503" t="s">
        <v>166</v>
      </c>
    </row>
    <row r="504" spans="1:24" x14ac:dyDescent="0.3">
      <c r="A504" s="7" t="s">
        <v>69</v>
      </c>
      <c r="B504" t="s">
        <v>70</v>
      </c>
      <c r="C504" t="s">
        <v>169</v>
      </c>
      <c r="D504" t="s">
        <v>164</v>
      </c>
      <c r="E504" s="108">
        <v>1000</v>
      </c>
      <c r="F504">
        <v>0</v>
      </c>
      <c r="G504" s="108">
        <v>1000</v>
      </c>
      <c r="H504" s="108">
        <v>19435</v>
      </c>
      <c r="I504" s="108">
        <v>19435</v>
      </c>
      <c r="J504" s="150">
        <v>0.48709490740740741</v>
      </c>
      <c r="K504" s="150">
        <v>0.48710648148148145</v>
      </c>
      <c r="L504" t="s">
        <v>165</v>
      </c>
      <c r="N504">
        <v>1493810</v>
      </c>
      <c r="O504">
        <v>1493810</v>
      </c>
      <c r="P504">
        <v>1493652</v>
      </c>
      <c r="Q504">
        <v>0</v>
      </c>
      <c r="R504" t="s">
        <v>166</v>
      </c>
      <c r="S504">
        <v>0</v>
      </c>
      <c r="T504" t="s">
        <v>167</v>
      </c>
      <c r="U504">
        <v>1493652</v>
      </c>
      <c r="W504" t="s">
        <v>168</v>
      </c>
      <c r="X504" t="s">
        <v>166</v>
      </c>
    </row>
    <row r="505" spans="1:24" x14ac:dyDescent="0.3">
      <c r="A505" s="7" t="s">
        <v>60</v>
      </c>
      <c r="B505" t="s">
        <v>61</v>
      </c>
      <c r="C505" t="s">
        <v>169</v>
      </c>
      <c r="D505" t="s">
        <v>164</v>
      </c>
      <c r="E505">
        <v>500</v>
      </c>
      <c r="F505">
        <v>0</v>
      </c>
      <c r="G505">
        <v>500</v>
      </c>
      <c r="H505" s="108">
        <v>36020</v>
      </c>
      <c r="I505" s="108">
        <v>36020</v>
      </c>
      <c r="J505" s="150">
        <v>0.4872569444444444</v>
      </c>
      <c r="K505" s="150">
        <v>0.4872569444444444</v>
      </c>
      <c r="L505" t="s">
        <v>165</v>
      </c>
      <c r="N505">
        <v>1495212</v>
      </c>
      <c r="O505">
        <v>1495212</v>
      </c>
      <c r="P505">
        <v>1495193</v>
      </c>
      <c r="Q505">
        <v>0</v>
      </c>
      <c r="R505" t="s">
        <v>166</v>
      </c>
      <c r="S505">
        <v>0</v>
      </c>
      <c r="T505" t="s">
        <v>167</v>
      </c>
      <c r="U505">
        <v>1495193</v>
      </c>
      <c r="W505" t="s">
        <v>168</v>
      </c>
      <c r="X505" t="s">
        <v>166</v>
      </c>
    </row>
    <row r="506" spans="1:24" x14ac:dyDescent="0.3">
      <c r="A506" s="7" t="s">
        <v>79</v>
      </c>
      <c r="B506" t="s">
        <v>80</v>
      </c>
      <c r="C506" t="s">
        <v>169</v>
      </c>
      <c r="D506" t="s">
        <v>164</v>
      </c>
      <c r="E506" s="108">
        <v>1000</v>
      </c>
      <c r="F506">
        <v>0</v>
      </c>
      <c r="G506" s="108">
        <v>1000</v>
      </c>
      <c r="H506" s="108">
        <v>38500</v>
      </c>
      <c r="I506" s="108">
        <v>38500</v>
      </c>
      <c r="J506" s="150">
        <v>0.48726851851851855</v>
      </c>
      <c r="K506" s="150">
        <v>0.48726851851851855</v>
      </c>
      <c r="L506" t="s">
        <v>165</v>
      </c>
      <c r="N506">
        <v>1495409</v>
      </c>
      <c r="O506">
        <v>1495409</v>
      </c>
      <c r="P506">
        <v>1495403</v>
      </c>
      <c r="Q506">
        <v>0</v>
      </c>
      <c r="R506" t="s">
        <v>166</v>
      </c>
      <c r="S506">
        <v>0</v>
      </c>
      <c r="T506" t="s">
        <v>167</v>
      </c>
      <c r="U506">
        <v>1495403</v>
      </c>
      <c r="W506" t="s">
        <v>168</v>
      </c>
      <c r="X506" t="s">
        <v>166</v>
      </c>
    </row>
    <row r="507" spans="1:24" x14ac:dyDescent="0.3">
      <c r="A507" s="7" t="s">
        <v>77</v>
      </c>
      <c r="B507" t="s">
        <v>78</v>
      </c>
      <c r="C507" t="s">
        <v>169</v>
      </c>
      <c r="D507" t="s">
        <v>164</v>
      </c>
      <c r="E507" s="108">
        <v>1000</v>
      </c>
      <c r="F507">
        <v>0</v>
      </c>
      <c r="G507" s="108">
        <v>1000</v>
      </c>
      <c r="H507" s="108">
        <v>18085</v>
      </c>
      <c r="I507" s="108">
        <v>18085</v>
      </c>
      <c r="J507" s="150">
        <v>0.48726851851851855</v>
      </c>
      <c r="K507" s="150">
        <v>0.48726851851851855</v>
      </c>
      <c r="L507" t="s">
        <v>165</v>
      </c>
      <c r="N507">
        <v>1495427</v>
      </c>
      <c r="O507">
        <v>1495427</v>
      </c>
      <c r="P507">
        <v>1495401</v>
      </c>
      <c r="Q507">
        <v>0</v>
      </c>
      <c r="R507" t="s">
        <v>166</v>
      </c>
      <c r="S507">
        <v>0</v>
      </c>
      <c r="T507" t="s">
        <v>167</v>
      </c>
      <c r="U507">
        <v>1495401</v>
      </c>
      <c r="W507" t="s">
        <v>168</v>
      </c>
      <c r="X507" t="s">
        <v>166</v>
      </c>
    </row>
    <row r="508" spans="1:24" x14ac:dyDescent="0.3">
      <c r="A508" s="7" t="s">
        <v>75</v>
      </c>
      <c r="B508" t="s">
        <v>76</v>
      </c>
      <c r="C508" t="s">
        <v>163</v>
      </c>
      <c r="D508" t="s">
        <v>164</v>
      </c>
      <c r="E508" s="108">
        <v>1000</v>
      </c>
      <c r="F508">
        <v>0</v>
      </c>
      <c r="G508" s="108">
        <v>1000</v>
      </c>
      <c r="H508" s="108">
        <v>7670</v>
      </c>
      <c r="I508" s="108">
        <v>7670</v>
      </c>
      <c r="J508" s="150">
        <v>0.48729166666666668</v>
      </c>
      <c r="K508" s="150">
        <v>0.48730324074074072</v>
      </c>
      <c r="L508" t="s">
        <v>165</v>
      </c>
      <c r="N508">
        <v>1495777</v>
      </c>
      <c r="O508">
        <v>1495777</v>
      </c>
      <c r="P508">
        <v>1494888</v>
      </c>
      <c r="Q508">
        <v>0</v>
      </c>
      <c r="R508" t="s">
        <v>166</v>
      </c>
      <c r="S508">
        <v>0</v>
      </c>
      <c r="T508" t="s">
        <v>167</v>
      </c>
      <c r="U508">
        <v>1494888</v>
      </c>
      <c r="W508" t="s">
        <v>168</v>
      </c>
      <c r="X508" t="s">
        <v>166</v>
      </c>
    </row>
    <row r="509" spans="1:24" x14ac:dyDescent="0.3">
      <c r="A509" s="7" t="s">
        <v>124</v>
      </c>
      <c r="B509" t="s">
        <v>125</v>
      </c>
      <c r="C509" t="s">
        <v>169</v>
      </c>
      <c r="D509" t="s">
        <v>164</v>
      </c>
      <c r="E509" s="108">
        <v>1000</v>
      </c>
      <c r="F509">
        <v>0</v>
      </c>
      <c r="G509">
        <v>1</v>
      </c>
      <c r="H509" s="108">
        <v>12585</v>
      </c>
      <c r="I509" s="108">
        <v>12585</v>
      </c>
      <c r="J509" s="150">
        <v>0.48751157407407408</v>
      </c>
      <c r="K509" s="150">
        <v>0.48753472222222222</v>
      </c>
      <c r="L509" t="s">
        <v>165</v>
      </c>
      <c r="N509">
        <v>1497581</v>
      </c>
      <c r="O509">
        <v>1497581</v>
      </c>
      <c r="P509">
        <v>1497508</v>
      </c>
      <c r="Q509">
        <v>999</v>
      </c>
      <c r="R509" t="s">
        <v>166</v>
      </c>
      <c r="S509">
        <v>0</v>
      </c>
      <c r="T509" t="s">
        <v>167</v>
      </c>
      <c r="U509">
        <v>1497508</v>
      </c>
      <c r="W509" t="s">
        <v>168</v>
      </c>
      <c r="X509" t="s">
        <v>166</v>
      </c>
    </row>
    <row r="510" spans="1:24" x14ac:dyDescent="0.3">
      <c r="A510" s="7" t="s">
        <v>63</v>
      </c>
      <c r="B510" t="s">
        <v>64</v>
      </c>
      <c r="C510" t="s">
        <v>163</v>
      </c>
      <c r="D510" t="s">
        <v>164</v>
      </c>
      <c r="E510" s="108">
        <v>1000</v>
      </c>
      <c r="F510">
        <v>0</v>
      </c>
      <c r="G510" s="108">
        <v>1000</v>
      </c>
      <c r="H510" s="108">
        <v>4750</v>
      </c>
      <c r="I510" s="108">
        <v>4750</v>
      </c>
      <c r="J510" s="150">
        <v>0.48767361111111113</v>
      </c>
      <c r="K510" s="150">
        <v>0.48768518518518517</v>
      </c>
      <c r="L510" t="s">
        <v>165</v>
      </c>
      <c r="N510">
        <v>1498738</v>
      </c>
      <c r="O510">
        <v>1498738</v>
      </c>
      <c r="P510">
        <v>1494510</v>
      </c>
      <c r="Q510">
        <v>0</v>
      </c>
      <c r="R510" t="s">
        <v>166</v>
      </c>
      <c r="S510">
        <v>0</v>
      </c>
      <c r="T510" t="s">
        <v>167</v>
      </c>
      <c r="U510">
        <v>1494510</v>
      </c>
      <c r="W510" t="s">
        <v>168</v>
      </c>
      <c r="X510" t="s">
        <v>166</v>
      </c>
    </row>
    <row r="511" spans="1:24" x14ac:dyDescent="0.3">
      <c r="A511" s="7" t="s">
        <v>69</v>
      </c>
      <c r="B511" t="s">
        <v>70</v>
      </c>
      <c r="C511" t="s">
        <v>169</v>
      </c>
      <c r="D511" t="s">
        <v>164</v>
      </c>
      <c r="E511" s="108">
        <v>1000</v>
      </c>
      <c r="F511">
        <v>0</v>
      </c>
      <c r="G511" s="108">
        <v>1000</v>
      </c>
      <c r="H511" s="108">
        <v>19405</v>
      </c>
      <c r="I511" s="108">
        <v>19405</v>
      </c>
      <c r="J511" s="150">
        <v>0.48778935185185185</v>
      </c>
      <c r="K511" s="150">
        <v>0.48780092592592594</v>
      </c>
      <c r="L511" t="s">
        <v>165</v>
      </c>
      <c r="N511">
        <v>1499553</v>
      </c>
      <c r="O511">
        <v>1499553</v>
      </c>
      <c r="P511">
        <v>1499535</v>
      </c>
      <c r="Q511">
        <v>0</v>
      </c>
      <c r="R511" t="s">
        <v>166</v>
      </c>
      <c r="S511">
        <v>0</v>
      </c>
      <c r="T511" t="s">
        <v>167</v>
      </c>
      <c r="U511">
        <v>1499535</v>
      </c>
      <c r="W511" t="s">
        <v>168</v>
      </c>
      <c r="X511" t="s">
        <v>166</v>
      </c>
    </row>
    <row r="512" spans="1:24" x14ac:dyDescent="0.3">
      <c r="A512" s="7" t="s">
        <v>67</v>
      </c>
      <c r="B512" t="s">
        <v>68</v>
      </c>
      <c r="C512" t="s">
        <v>169</v>
      </c>
      <c r="D512" t="s">
        <v>164</v>
      </c>
      <c r="E512" s="108">
        <v>1000</v>
      </c>
      <c r="F512">
        <v>0</v>
      </c>
      <c r="G512" s="108">
        <v>1000</v>
      </c>
      <c r="H512" s="108">
        <v>10605</v>
      </c>
      <c r="I512" s="108">
        <v>10605</v>
      </c>
      <c r="J512" s="150">
        <v>0.48783564814814812</v>
      </c>
      <c r="K512" s="150">
        <v>0.48784722222222227</v>
      </c>
      <c r="L512" t="s">
        <v>165</v>
      </c>
      <c r="N512">
        <v>1500049</v>
      </c>
      <c r="O512">
        <v>1500049</v>
      </c>
      <c r="P512">
        <v>1500015</v>
      </c>
      <c r="Q512">
        <v>0</v>
      </c>
      <c r="R512" t="s">
        <v>166</v>
      </c>
      <c r="S512">
        <v>0</v>
      </c>
      <c r="T512" t="s">
        <v>167</v>
      </c>
      <c r="U512">
        <v>1500015</v>
      </c>
      <c r="W512" t="s">
        <v>168</v>
      </c>
      <c r="X512" t="s">
        <v>166</v>
      </c>
    </row>
    <row r="513" spans="1:24" x14ac:dyDescent="0.3">
      <c r="A513" s="7" t="s">
        <v>98</v>
      </c>
      <c r="B513" t="s">
        <v>99</v>
      </c>
      <c r="C513" t="s">
        <v>163</v>
      </c>
      <c r="D513" t="s">
        <v>164</v>
      </c>
      <c r="E513" s="108">
        <v>1000</v>
      </c>
      <c r="F513">
        <v>0</v>
      </c>
      <c r="G513">
        <v>23</v>
      </c>
      <c r="H513" s="108">
        <v>15510</v>
      </c>
      <c r="I513" s="108">
        <v>15510</v>
      </c>
      <c r="J513" s="150">
        <v>0.48798611111111106</v>
      </c>
      <c r="K513" s="150">
        <v>0.48799768518518521</v>
      </c>
      <c r="L513" t="s">
        <v>165</v>
      </c>
      <c r="N513">
        <v>1501155</v>
      </c>
      <c r="O513">
        <v>1501155</v>
      </c>
      <c r="P513">
        <v>1501044</v>
      </c>
      <c r="Q513">
        <v>977</v>
      </c>
      <c r="R513" t="s">
        <v>166</v>
      </c>
      <c r="S513">
        <v>0</v>
      </c>
      <c r="T513" t="s">
        <v>167</v>
      </c>
      <c r="U513">
        <v>1501044</v>
      </c>
      <c r="W513" t="s">
        <v>168</v>
      </c>
      <c r="X513" t="s">
        <v>166</v>
      </c>
    </row>
    <row r="514" spans="1:24" x14ac:dyDescent="0.3">
      <c r="A514" s="7" t="s">
        <v>100</v>
      </c>
      <c r="B514" t="s">
        <v>101</v>
      </c>
      <c r="C514" t="s">
        <v>169</v>
      </c>
      <c r="D514" t="s">
        <v>164</v>
      </c>
      <c r="E514" s="108">
        <v>1000</v>
      </c>
      <c r="F514">
        <v>0</v>
      </c>
      <c r="G514">
        <v>3</v>
      </c>
      <c r="H514" s="108">
        <v>26455</v>
      </c>
      <c r="I514" s="108">
        <v>26455</v>
      </c>
      <c r="J514" s="150">
        <v>0.48827546296296293</v>
      </c>
      <c r="K514" s="150">
        <v>0.48834490740740738</v>
      </c>
      <c r="L514" t="s">
        <v>165</v>
      </c>
      <c r="N514">
        <v>1504175</v>
      </c>
      <c r="O514">
        <v>1504175</v>
      </c>
      <c r="P514">
        <v>1503925</v>
      </c>
      <c r="Q514">
        <v>997</v>
      </c>
      <c r="R514" t="s">
        <v>166</v>
      </c>
      <c r="S514">
        <v>0</v>
      </c>
      <c r="T514" t="s">
        <v>167</v>
      </c>
      <c r="U514">
        <v>1503925</v>
      </c>
      <c r="W514" t="s">
        <v>168</v>
      </c>
      <c r="X514" t="s">
        <v>166</v>
      </c>
    </row>
    <row r="515" spans="1:24" x14ac:dyDescent="0.3">
      <c r="A515" s="7" t="s">
        <v>63</v>
      </c>
      <c r="B515" t="s">
        <v>64</v>
      </c>
      <c r="C515" t="s">
        <v>163</v>
      </c>
      <c r="D515" t="s">
        <v>164</v>
      </c>
      <c r="E515" s="108">
        <v>1000</v>
      </c>
      <c r="F515">
        <v>0</v>
      </c>
      <c r="G515" s="108">
        <v>1000</v>
      </c>
      <c r="H515" s="108">
        <v>4745</v>
      </c>
      <c r="I515" s="108">
        <v>4745</v>
      </c>
      <c r="J515" s="150">
        <v>0.48855324074074075</v>
      </c>
      <c r="K515" s="150">
        <v>0.48856481481481479</v>
      </c>
      <c r="L515" t="s">
        <v>165</v>
      </c>
      <c r="N515">
        <v>1507555</v>
      </c>
      <c r="O515">
        <v>1507555</v>
      </c>
      <c r="P515">
        <v>1505013</v>
      </c>
      <c r="Q515">
        <v>0</v>
      </c>
      <c r="R515" t="s">
        <v>166</v>
      </c>
      <c r="S515">
        <v>0</v>
      </c>
      <c r="T515" t="s">
        <v>167</v>
      </c>
      <c r="U515">
        <v>1505013</v>
      </c>
      <c r="W515" t="s">
        <v>168</v>
      </c>
      <c r="X515" t="s">
        <v>166</v>
      </c>
    </row>
    <row r="516" spans="1:24" x14ac:dyDescent="0.3">
      <c r="A516" s="7" t="s">
        <v>67</v>
      </c>
      <c r="B516" t="s">
        <v>68</v>
      </c>
      <c r="C516" t="s">
        <v>169</v>
      </c>
      <c r="D516" t="s">
        <v>164</v>
      </c>
      <c r="E516" s="108">
        <v>1000</v>
      </c>
      <c r="F516">
        <v>0</v>
      </c>
      <c r="G516" s="108">
        <v>1000</v>
      </c>
      <c r="H516" s="108">
        <v>10585</v>
      </c>
      <c r="I516" s="108">
        <v>10585</v>
      </c>
      <c r="J516" s="150">
        <v>0.48887731481481483</v>
      </c>
      <c r="K516" s="150">
        <v>0.48887731481481483</v>
      </c>
      <c r="L516" t="s">
        <v>165</v>
      </c>
      <c r="N516">
        <v>1511000</v>
      </c>
      <c r="O516">
        <v>1511000</v>
      </c>
      <c r="P516">
        <v>1510937</v>
      </c>
      <c r="Q516">
        <v>0</v>
      </c>
      <c r="R516" t="s">
        <v>166</v>
      </c>
      <c r="S516">
        <v>0</v>
      </c>
      <c r="T516" t="s">
        <v>167</v>
      </c>
      <c r="U516">
        <v>1510937</v>
      </c>
      <c r="W516" t="s">
        <v>168</v>
      </c>
      <c r="X516" t="s">
        <v>166</v>
      </c>
    </row>
    <row r="517" spans="1:24" x14ac:dyDescent="0.3">
      <c r="A517" s="7" t="s">
        <v>67</v>
      </c>
      <c r="B517" t="s">
        <v>68</v>
      </c>
      <c r="C517" t="s">
        <v>169</v>
      </c>
      <c r="D517" t="s">
        <v>164</v>
      </c>
      <c r="E517" s="108">
        <v>1000</v>
      </c>
      <c r="F517">
        <v>0</v>
      </c>
      <c r="G517">
        <v>999</v>
      </c>
      <c r="H517" s="108">
        <v>10600</v>
      </c>
      <c r="I517" s="108">
        <v>10600</v>
      </c>
      <c r="J517" s="150">
        <v>0.48974537037037041</v>
      </c>
      <c r="K517" s="150">
        <v>0.48976851851851855</v>
      </c>
      <c r="L517" t="s">
        <v>165</v>
      </c>
      <c r="N517">
        <v>1519200</v>
      </c>
      <c r="O517">
        <v>1519200</v>
      </c>
      <c r="P517">
        <v>1519100</v>
      </c>
      <c r="Q517">
        <v>1</v>
      </c>
      <c r="R517" t="s">
        <v>166</v>
      </c>
      <c r="S517">
        <v>0</v>
      </c>
      <c r="T517" t="s">
        <v>167</v>
      </c>
      <c r="U517">
        <v>1519100</v>
      </c>
      <c r="W517" t="s">
        <v>168</v>
      </c>
      <c r="X517" t="s">
        <v>166</v>
      </c>
    </row>
    <row r="518" spans="1:24" x14ac:dyDescent="0.3">
      <c r="A518" s="7" t="s">
        <v>98</v>
      </c>
      <c r="B518" t="s">
        <v>99</v>
      </c>
      <c r="C518" t="s">
        <v>163</v>
      </c>
      <c r="D518" t="s">
        <v>164</v>
      </c>
      <c r="E518" s="108">
        <v>1000</v>
      </c>
      <c r="F518">
        <v>0</v>
      </c>
      <c r="G518">
        <v>109</v>
      </c>
      <c r="H518" s="108">
        <v>15505</v>
      </c>
      <c r="I518" s="108">
        <v>15505</v>
      </c>
      <c r="J518" s="150">
        <v>0.49004629629629631</v>
      </c>
      <c r="K518" s="150">
        <v>0.49004629629629631</v>
      </c>
      <c r="L518" t="s">
        <v>165</v>
      </c>
      <c r="N518">
        <v>1522558</v>
      </c>
      <c r="O518">
        <v>1522558</v>
      </c>
      <c r="P518">
        <v>1522510</v>
      </c>
      <c r="Q518">
        <v>891</v>
      </c>
      <c r="R518" t="s">
        <v>166</v>
      </c>
      <c r="S518">
        <v>0</v>
      </c>
      <c r="T518" t="s">
        <v>167</v>
      </c>
      <c r="U518">
        <v>1522510</v>
      </c>
      <c r="W518" t="s">
        <v>168</v>
      </c>
      <c r="X518" t="s">
        <v>166</v>
      </c>
    </row>
    <row r="519" spans="1:24" x14ac:dyDescent="0.3">
      <c r="A519" s="7" t="s">
        <v>63</v>
      </c>
      <c r="B519" t="s">
        <v>64</v>
      </c>
      <c r="C519" t="s">
        <v>163</v>
      </c>
      <c r="D519" t="s">
        <v>164</v>
      </c>
      <c r="E519" s="108">
        <v>1000</v>
      </c>
      <c r="F519">
        <v>0</v>
      </c>
      <c r="G519" s="108">
        <v>1000</v>
      </c>
      <c r="H519" s="108">
        <v>4740</v>
      </c>
      <c r="I519" s="108">
        <v>4740</v>
      </c>
      <c r="J519" s="150">
        <v>0.49020833333333336</v>
      </c>
      <c r="K519" s="150">
        <v>0.49020833333333336</v>
      </c>
      <c r="L519" t="s">
        <v>165</v>
      </c>
      <c r="N519">
        <v>1524334</v>
      </c>
      <c r="O519">
        <v>1524334</v>
      </c>
      <c r="P519">
        <v>1520657</v>
      </c>
      <c r="Q519">
        <v>0</v>
      </c>
      <c r="R519" t="s">
        <v>166</v>
      </c>
      <c r="S519">
        <v>0</v>
      </c>
      <c r="T519" t="s">
        <v>167</v>
      </c>
      <c r="U519">
        <v>1520657</v>
      </c>
      <c r="W519" t="s">
        <v>168</v>
      </c>
      <c r="X519" t="s">
        <v>166</v>
      </c>
    </row>
    <row r="520" spans="1:24" x14ac:dyDescent="0.3">
      <c r="A520" s="7" t="s">
        <v>67</v>
      </c>
      <c r="B520" t="s">
        <v>68</v>
      </c>
      <c r="C520" t="s">
        <v>169</v>
      </c>
      <c r="D520" t="s">
        <v>164</v>
      </c>
      <c r="E520" s="108">
        <v>1000</v>
      </c>
      <c r="F520">
        <v>0</v>
      </c>
      <c r="G520" s="108">
        <v>1000</v>
      </c>
      <c r="H520" s="108">
        <v>10600</v>
      </c>
      <c r="I520" s="108">
        <v>10600</v>
      </c>
      <c r="J520" s="150">
        <v>0.49079861111111112</v>
      </c>
      <c r="K520" s="150">
        <v>0.49081018518518515</v>
      </c>
      <c r="L520" t="s">
        <v>165</v>
      </c>
      <c r="N520">
        <v>1531546</v>
      </c>
      <c r="O520">
        <v>1531546</v>
      </c>
      <c r="P520">
        <v>1531537</v>
      </c>
      <c r="Q520">
        <v>0</v>
      </c>
      <c r="R520" t="s">
        <v>166</v>
      </c>
      <c r="S520">
        <v>0</v>
      </c>
      <c r="T520" t="s">
        <v>167</v>
      </c>
      <c r="U520">
        <v>1531537</v>
      </c>
      <c r="W520" t="s">
        <v>168</v>
      </c>
      <c r="X520" t="s">
        <v>166</v>
      </c>
    </row>
    <row r="521" spans="1:24" x14ac:dyDescent="0.3">
      <c r="A521" s="7" t="s">
        <v>79</v>
      </c>
      <c r="B521" t="s">
        <v>80</v>
      </c>
      <c r="C521" t="s">
        <v>169</v>
      </c>
      <c r="D521" t="s">
        <v>164</v>
      </c>
      <c r="E521" s="108">
        <v>1000</v>
      </c>
      <c r="F521">
        <v>0</v>
      </c>
      <c r="G521">
        <v>78</v>
      </c>
      <c r="H521" s="108">
        <v>38455</v>
      </c>
      <c r="I521" s="108">
        <v>38455</v>
      </c>
      <c r="J521" s="150">
        <v>0.49137731481481484</v>
      </c>
      <c r="K521" s="150">
        <v>0.49138888888888888</v>
      </c>
      <c r="L521" t="s">
        <v>165</v>
      </c>
      <c r="N521">
        <v>1538253</v>
      </c>
      <c r="O521">
        <v>1538253</v>
      </c>
      <c r="P521">
        <v>1538220</v>
      </c>
      <c r="Q521">
        <v>922</v>
      </c>
      <c r="R521" t="s">
        <v>166</v>
      </c>
      <c r="S521">
        <v>0</v>
      </c>
      <c r="T521" t="s">
        <v>167</v>
      </c>
      <c r="U521">
        <v>1538220</v>
      </c>
      <c r="W521" t="s">
        <v>168</v>
      </c>
      <c r="X521" t="s">
        <v>166</v>
      </c>
    </row>
    <row r="522" spans="1:24" x14ac:dyDescent="0.3">
      <c r="A522" s="7" t="s">
        <v>67</v>
      </c>
      <c r="B522" t="s">
        <v>68</v>
      </c>
      <c r="C522" t="s">
        <v>169</v>
      </c>
      <c r="D522" t="s">
        <v>164</v>
      </c>
      <c r="E522" s="108">
        <v>1000</v>
      </c>
      <c r="F522">
        <v>0</v>
      </c>
      <c r="G522" s="108">
        <v>1000</v>
      </c>
      <c r="H522" s="108">
        <v>10600</v>
      </c>
      <c r="I522" s="108">
        <v>10600</v>
      </c>
      <c r="J522" s="150">
        <v>0.49199074074074073</v>
      </c>
      <c r="K522" s="150">
        <v>0.49199074074074073</v>
      </c>
      <c r="L522" t="s">
        <v>165</v>
      </c>
      <c r="N522">
        <v>1545823</v>
      </c>
      <c r="O522">
        <v>1545823</v>
      </c>
      <c r="P522">
        <v>1545603</v>
      </c>
      <c r="Q522">
        <v>0</v>
      </c>
      <c r="R522" t="s">
        <v>166</v>
      </c>
      <c r="S522">
        <v>0</v>
      </c>
      <c r="T522" t="s">
        <v>167</v>
      </c>
      <c r="U522">
        <v>1545603</v>
      </c>
      <c r="W522" t="s">
        <v>168</v>
      </c>
      <c r="X522" t="s">
        <v>166</v>
      </c>
    </row>
    <row r="523" spans="1:24" x14ac:dyDescent="0.3">
      <c r="A523" s="7" t="s">
        <v>69</v>
      </c>
      <c r="B523" t="s">
        <v>70</v>
      </c>
      <c r="C523" t="s">
        <v>169</v>
      </c>
      <c r="D523" t="s">
        <v>164</v>
      </c>
      <c r="E523" s="108">
        <v>1000</v>
      </c>
      <c r="F523">
        <v>0</v>
      </c>
      <c r="G523" s="108">
        <v>1000</v>
      </c>
      <c r="H523" s="108">
        <v>19485</v>
      </c>
      <c r="I523" s="108">
        <v>19485</v>
      </c>
      <c r="J523" s="150">
        <v>0.49207175925925922</v>
      </c>
      <c r="K523" s="150">
        <v>0.49208333333333337</v>
      </c>
      <c r="L523" t="s">
        <v>165</v>
      </c>
      <c r="N523">
        <v>1546686</v>
      </c>
      <c r="O523">
        <v>1546686</v>
      </c>
      <c r="P523">
        <v>1546642</v>
      </c>
      <c r="Q523">
        <v>0</v>
      </c>
      <c r="R523" t="s">
        <v>166</v>
      </c>
      <c r="S523">
        <v>0</v>
      </c>
      <c r="T523" t="s">
        <v>167</v>
      </c>
      <c r="U523">
        <v>1546642</v>
      </c>
      <c r="W523" t="s">
        <v>168</v>
      </c>
      <c r="X523" t="s">
        <v>166</v>
      </c>
    </row>
    <row r="524" spans="1:24" x14ac:dyDescent="0.3">
      <c r="A524" s="7" t="s">
        <v>71</v>
      </c>
      <c r="B524" t="s">
        <v>72</v>
      </c>
      <c r="C524" t="s">
        <v>169</v>
      </c>
      <c r="D524" t="s">
        <v>164</v>
      </c>
      <c r="E524" s="108">
        <v>1000</v>
      </c>
      <c r="F524">
        <v>0</v>
      </c>
      <c r="G524">
        <v>765</v>
      </c>
      <c r="H524" s="108">
        <v>18955</v>
      </c>
      <c r="I524" s="108">
        <v>18955</v>
      </c>
      <c r="J524" s="150">
        <v>0.49260416666666668</v>
      </c>
      <c r="K524" s="150">
        <v>0.49262731481481481</v>
      </c>
      <c r="L524" t="s">
        <v>165</v>
      </c>
      <c r="N524">
        <v>1552339</v>
      </c>
      <c r="O524">
        <v>1552339</v>
      </c>
      <c r="P524">
        <v>1552312</v>
      </c>
      <c r="Q524">
        <v>235</v>
      </c>
      <c r="R524" t="s">
        <v>166</v>
      </c>
      <c r="S524">
        <v>0</v>
      </c>
      <c r="T524" t="s">
        <v>167</v>
      </c>
      <c r="U524">
        <v>1552312</v>
      </c>
      <c r="W524" t="s">
        <v>168</v>
      </c>
      <c r="X524" t="s">
        <v>166</v>
      </c>
    </row>
    <row r="525" spans="1:24" x14ac:dyDescent="0.3">
      <c r="A525" s="7" t="s">
        <v>67</v>
      </c>
      <c r="B525" t="s">
        <v>68</v>
      </c>
      <c r="C525" t="s">
        <v>169</v>
      </c>
      <c r="D525" t="s">
        <v>164</v>
      </c>
      <c r="E525" s="108">
        <v>1000</v>
      </c>
      <c r="F525">
        <v>0</v>
      </c>
      <c r="G525" s="108">
        <v>1000</v>
      </c>
      <c r="H525" s="108">
        <v>10610</v>
      </c>
      <c r="I525" s="108">
        <v>10610</v>
      </c>
      <c r="J525" s="150">
        <v>0.49347222222222226</v>
      </c>
      <c r="K525" s="150">
        <v>0.49347222222222226</v>
      </c>
      <c r="L525" t="s">
        <v>165</v>
      </c>
      <c r="N525">
        <v>1560798</v>
      </c>
      <c r="O525">
        <v>1560798</v>
      </c>
      <c r="P525">
        <v>1560704</v>
      </c>
      <c r="Q525">
        <v>0</v>
      </c>
      <c r="R525" t="s">
        <v>166</v>
      </c>
      <c r="S525">
        <v>0</v>
      </c>
      <c r="T525" t="s">
        <v>167</v>
      </c>
      <c r="U525">
        <v>1560704</v>
      </c>
      <c r="W525" t="s">
        <v>168</v>
      </c>
      <c r="X525" t="s">
        <v>166</v>
      </c>
    </row>
    <row r="526" spans="1:24" x14ac:dyDescent="0.3">
      <c r="A526" s="7" t="s">
        <v>108</v>
      </c>
      <c r="B526" t="s">
        <v>172</v>
      </c>
      <c r="C526" t="s">
        <v>163</v>
      </c>
      <c r="D526" t="s">
        <v>164</v>
      </c>
      <c r="E526">
        <v>500</v>
      </c>
      <c r="F526">
        <v>0</v>
      </c>
      <c r="G526">
        <v>38</v>
      </c>
      <c r="H526" s="108">
        <v>51435</v>
      </c>
      <c r="I526" s="108">
        <v>51435</v>
      </c>
      <c r="J526" s="150">
        <v>0.49378472222222225</v>
      </c>
      <c r="K526" s="150">
        <v>0.49379629629629629</v>
      </c>
      <c r="L526" t="s">
        <v>165</v>
      </c>
      <c r="N526">
        <v>1564222</v>
      </c>
      <c r="O526">
        <v>1564222</v>
      </c>
      <c r="P526">
        <v>1564157</v>
      </c>
      <c r="Q526">
        <v>462</v>
      </c>
      <c r="R526" t="s">
        <v>166</v>
      </c>
      <c r="S526">
        <v>0</v>
      </c>
      <c r="T526" t="s">
        <v>167</v>
      </c>
      <c r="U526">
        <v>1564157</v>
      </c>
      <c r="W526" t="s">
        <v>168</v>
      </c>
      <c r="X526" t="s">
        <v>166</v>
      </c>
    </row>
    <row r="527" spans="1:24" x14ac:dyDescent="0.3">
      <c r="A527" s="7" t="s">
        <v>63</v>
      </c>
      <c r="B527" t="s">
        <v>64</v>
      </c>
      <c r="C527" t="s">
        <v>163</v>
      </c>
      <c r="D527" t="s">
        <v>164</v>
      </c>
      <c r="E527" s="108">
        <v>1000</v>
      </c>
      <c r="F527">
        <v>0</v>
      </c>
      <c r="G527">
        <v>241</v>
      </c>
      <c r="H527" s="108">
        <v>4745</v>
      </c>
      <c r="I527" s="108">
        <v>4745</v>
      </c>
      <c r="J527" s="150">
        <v>0.49399305555555556</v>
      </c>
      <c r="K527" s="150">
        <v>0.49400462962962965</v>
      </c>
      <c r="L527" t="s">
        <v>165</v>
      </c>
      <c r="N527">
        <v>1566204</v>
      </c>
      <c r="O527">
        <v>1566204</v>
      </c>
      <c r="P527">
        <v>1563031</v>
      </c>
      <c r="Q527">
        <v>759</v>
      </c>
      <c r="R527" t="s">
        <v>166</v>
      </c>
      <c r="S527">
        <v>0</v>
      </c>
      <c r="T527" t="s">
        <v>167</v>
      </c>
      <c r="U527">
        <v>1563031</v>
      </c>
      <c r="W527" t="s">
        <v>168</v>
      </c>
      <c r="X527" t="s">
        <v>166</v>
      </c>
    </row>
    <row r="528" spans="1:24" x14ac:dyDescent="0.3">
      <c r="A528" s="7" t="s">
        <v>67</v>
      </c>
      <c r="B528" t="s">
        <v>68</v>
      </c>
      <c r="C528" t="s">
        <v>169</v>
      </c>
      <c r="D528" t="s">
        <v>164</v>
      </c>
      <c r="E528" s="108">
        <v>1000</v>
      </c>
      <c r="F528">
        <v>0</v>
      </c>
      <c r="G528">
        <v>333</v>
      </c>
      <c r="H528" s="108">
        <v>10610</v>
      </c>
      <c r="I528" s="108">
        <v>10610</v>
      </c>
      <c r="J528" s="150">
        <v>0.49431712962962965</v>
      </c>
      <c r="K528" s="150">
        <v>0.49431712962962965</v>
      </c>
      <c r="L528" t="s">
        <v>165</v>
      </c>
      <c r="N528">
        <v>1569030</v>
      </c>
      <c r="O528">
        <v>1569030</v>
      </c>
      <c r="P528">
        <v>1568894</v>
      </c>
      <c r="Q528">
        <v>667</v>
      </c>
      <c r="R528" t="s">
        <v>166</v>
      </c>
      <c r="S528">
        <v>0</v>
      </c>
      <c r="T528" t="s">
        <v>167</v>
      </c>
      <c r="U528">
        <v>1568894</v>
      </c>
      <c r="W528" t="s">
        <v>168</v>
      </c>
      <c r="X528" t="s">
        <v>166</v>
      </c>
    </row>
    <row r="529" spans="1:24" x14ac:dyDescent="0.3">
      <c r="A529" s="7" t="s">
        <v>124</v>
      </c>
      <c r="B529" t="s">
        <v>125</v>
      </c>
      <c r="C529" t="s">
        <v>169</v>
      </c>
      <c r="D529" t="s">
        <v>164</v>
      </c>
      <c r="E529" s="108">
        <v>1000</v>
      </c>
      <c r="F529">
        <v>0</v>
      </c>
      <c r="G529">
        <v>75</v>
      </c>
      <c r="H529" s="108">
        <v>12595</v>
      </c>
      <c r="I529" s="108">
        <v>12595</v>
      </c>
      <c r="J529" s="150">
        <v>0.49449074074074079</v>
      </c>
      <c r="K529" s="150">
        <v>0.49450231481481483</v>
      </c>
      <c r="L529" t="s">
        <v>165</v>
      </c>
      <c r="N529">
        <v>1570968</v>
      </c>
      <c r="O529">
        <v>1570968</v>
      </c>
      <c r="P529">
        <v>1570356</v>
      </c>
      <c r="Q529">
        <v>925</v>
      </c>
      <c r="R529" t="s">
        <v>166</v>
      </c>
      <c r="S529">
        <v>0</v>
      </c>
      <c r="T529" t="s">
        <v>167</v>
      </c>
      <c r="U529">
        <v>1570356</v>
      </c>
      <c r="W529" t="s">
        <v>168</v>
      </c>
      <c r="X529" t="s">
        <v>166</v>
      </c>
    </row>
    <row r="530" spans="1:24" x14ac:dyDescent="0.3">
      <c r="A530" s="7" t="s">
        <v>73</v>
      </c>
      <c r="B530" t="s">
        <v>74</v>
      </c>
      <c r="C530" t="s">
        <v>169</v>
      </c>
      <c r="D530" t="s">
        <v>164</v>
      </c>
      <c r="E530" s="108">
        <v>1000</v>
      </c>
      <c r="F530">
        <v>0</v>
      </c>
      <c r="G530">
        <v>704</v>
      </c>
      <c r="H530" s="108">
        <v>22535</v>
      </c>
      <c r="I530" s="108">
        <v>22535</v>
      </c>
      <c r="J530" s="150">
        <v>0.49461805555555555</v>
      </c>
      <c r="K530" s="150">
        <v>0.49462962962962959</v>
      </c>
      <c r="L530" t="s">
        <v>165</v>
      </c>
      <c r="N530">
        <v>1572641</v>
      </c>
      <c r="O530">
        <v>1572641</v>
      </c>
      <c r="P530">
        <v>1572551</v>
      </c>
      <c r="Q530">
        <v>296</v>
      </c>
      <c r="R530" t="s">
        <v>166</v>
      </c>
      <c r="S530">
        <v>0</v>
      </c>
      <c r="T530" t="s">
        <v>167</v>
      </c>
      <c r="U530">
        <v>1572551</v>
      </c>
      <c r="W530" t="s">
        <v>168</v>
      </c>
      <c r="X530" t="s">
        <v>166</v>
      </c>
    </row>
    <row r="531" spans="1:24" x14ac:dyDescent="0.3">
      <c r="A531" s="7" t="s">
        <v>65</v>
      </c>
      <c r="B531" t="s">
        <v>66</v>
      </c>
      <c r="C531" t="s">
        <v>169</v>
      </c>
      <c r="D531" t="s">
        <v>164</v>
      </c>
      <c r="E531" s="108">
        <v>1000</v>
      </c>
      <c r="F531">
        <v>0</v>
      </c>
      <c r="G531" s="108">
        <v>1000</v>
      </c>
      <c r="H531" s="108">
        <v>5050</v>
      </c>
      <c r="I531" s="108">
        <v>5050</v>
      </c>
      <c r="J531" s="150">
        <v>0.49548611111111113</v>
      </c>
      <c r="K531" s="150">
        <v>0.49607638888888889</v>
      </c>
      <c r="L531" t="s">
        <v>165</v>
      </c>
      <c r="N531">
        <v>1582659</v>
      </c>
      <c r="O531">
        <v>1582659</v>
      </c>
      <c r="P531">
        <v>1582626</v>
      </c>
      <c r="Q531">
        <v>0</v>
      </c>
      <c r="R531" t="s">
        <v>166</v>
      </c>
      <c r="S531">
        <v>0</v>
      </c>
      <c r="T531" t="s">
        <v>167</v>
      </c>
      <c r="U531">
        <v>1582626</v>
      </c>
      <c r="W531" t="s">
        <v>168</v>
      </c>
      <c r="X531" t="s">
        <v>166</v>
      </c>
    </row>
    <row r="532" spans="1:24" x14ac:dyDescent="0.3">
      <c r="A532" s="7" t="s">
        <v>67</v>
      </c>
      <c r="B532" t="s">
        <v>68</v>
      </c>
      <c r="C532" t="s">
        <v>169</v>
      </c>
      <c r="D532" t="s">
        <v>164</v>
      </c>
      <c r="E532" s="108">
        <v>1000</v>
      </c>
      <c r="F532">
        <v>0</v>
      </c>
      <c r="G532">
        <v>20</v>
      </c>
      <c r="H532" s="108">
        <v>10620</v>
      </c>
      <c r="I532" s="108">
        <v>10620</v>
      </c>
      <c r="J532" s="150">
        <v>0.49577546296296293</v>
      </c>
      <c r="K532" s="150">
        <v>0.49579861111111106</v>
      </c>
      <c r="L532" t="s">
        <v>165</v>
      </c>
      <c r="N532">
        <v>1587059</v>
      </c>
      <c r="O532">
        <v>1587059</v>
      </c>
      <c r="P532">
        <v>1587013</v>
      </c>
      <c r="Q532">
        <v>980</v>
      </c>
      <c r="R532" t="s">
        <v>166</v>
      </c>
      <c r="S532">
        <v>0</v>
      </c>
      <c r="T532" t="s">
        <v>167</v>
      </c>
      <c r="U532">
        <v>1587013</v>
      </c>
      <c r="W532" t="s">
        <v>168</v>
      </c>
      <c r="X532" t="s">
        <v>166</v>
      </c>
    </row>
    <row r="533" spans="1:24" x14ac:dyDescent="0.3">
      <c r="A533" s="7" t="s">
        <v>73</v>
      </c>
      <c r="B533" t="s">
        <v>74</v>
      </c>
      <c r="C533" t="s">
        <v>169</v>
      </c>
      <c r="D533" t="s">
        <v>164</v>
      </c>
      <c r="E533" s="108">
        <v>1000</v>
      </c>
      <c r="F533">
        <v>0</v>
      </c>
      <c r="G533">
        <v>190</v>
      </c>
      <c r="H533" s="108">
        <v>22550</v>
      </c>
      <c r="I533" s="108">
        <v>22550</v>
      </c>
      <c r="J533" s="150">
        <v>0.49585648148148148</v>
      </c>
      <c r="K533" s="150">
        <v>0.49585648148148148</v>
      </c>
      <c r="L533" t="s">
        <v>165</v>
      </c>
      <c r="N533">
        <v>1588006</v>
      </c>
      <c r="O533">
        <v>1588006</v>
      </c>
      <c r="P533">
        <v>1587711</v>
      </c>
      <c r="Q533">
        <v>810</v>
      </c>
      <c r="R533" t="s">
        <v>166</v>
      </c>
      <c r="S533">
        <v>0</v>
      </c>
      <c r="T533" t="s">
        <v>167</v>
      </c>
      <c r="U533">
        <v>1587711</v>
      </c>
      <c r="W533" t="s">
        <v>168</v>
      </c>
      <c r="X533" t="s">
        <v>166</v>
      </c>
    </row>
    <row r="534" spans="1:24" x14ac:dyDescent="0.3">
      <c r="A534" s="7" t="s">
        <v>69</v>
      </c>
      <c r="B534" t="s">
        <v>70</v>
      </c>
      <c r="C534" t="s">
        <v>169</v>
      </c>
      <c r="D534" t="s">
        <v>164</v>
      </c>
      <c r="E534" s="108">
        <v>1000</v>
      </c>
      <c r="F534">
        <v>0</v>
      </c>
      <c r="G534">
        <v>5</v>
      </c>
      <c r="H534" s="108">
        <v>19535</v>
      </c>
      <c r="I534" s="108">
        <v>19535</v>
      </c>
      <c r="J534" s="150">
        <v>0.4962037037037037</v>
      </c>
      <c r="K534" s="150">
        <v>0.49623842592592587</v>
      </c>
      <c r="L534" t="s">
        <v>165</v>
      </c>
      <c r="N534">
        <v>1591044</v>
      </c>
      <c r="O534">
        <v>1591044</v>
      </c>
      <c r="P534">
        <v>1590777</v>
      </c>
      <c r="Q534">
        <v>995</v>
      </c>
      <c r="R534" t="s">
        <v>166</v>
      </c>
      <c r="S534">
        <v>0</v>
      </c>
      <c r="T534" t="s">
        <v>167</v>
      </c>
      <c r="U534">
        <v>1590777</v>
      </c>
      <c r="W534" t="s">
        <v>168</v>
      </c>
      <c r="X534" t="s">
        <v>166</v>
      </c>
    </row>
    <row r="535" spans="1:24" x14ac:dyDescent="0.3">
      <c r="A535" s="7" t="s">
        <v>75</v>
      </c>
      <c r="B535" t="s">
        <v>76</v>
      </c>
      <c r="C535" t="s">
        <v>163</v>
      </c>
      <c r="D535" t="s">
        <v>164</v>
      </c>
      <c r="E535" s="108">
        <v>1000</v>
      </c>
      <c r="F535">
        <v>0</v>
      </c>
      <c r="G535">
        <v>1</v>
      </c>
      <c r="H535" s="108">
        <v>7680</v>
      </c>
      <c r="I535" s="108">
        <v>7680</v>
      </c>
      <c r="J535" s="150">
        <v>0.49627314814814816</v>
      </c>
      <c r="K535" s="150">
        <v>0.4962847222222222</v>
      </c>
      <c r="L535" t="s">
        <v>165</v>
      </c>
      <c r="N535">
        <v>1591803</v>
      </c>
      <c r="O535">
        <v>1591803</v>
      </c>
      <c r="P535">
        <v>1590975</v>
      </c>
      <c r="Q535">
        <v>999</v>
      </c>
      <c r="R535" t="s">
        <v>166</v>
      </c>
      <c r="S535">
        <v>0</v>
      </c>
      <c r="T535" t="s">
        <v>167</v>
      </c>
      <c r="U535">
        <v>1590975</v>
      </c>
      <c r="W535" t="s">
        <v>168</v>
      </c>
      <c r="X535" t="s">
        <v>166</v>
      </c>
    </row>
    <row r="536" spans="1:24" x14ac:dyDescent="0.3">
      <c r="A536" s="7" t="s">
        <v>67</v>
      </c>
      <c r="B536" t="s">
        <v>68</v>
      </c>
      <c r="C536" t="s">
        <v>169</v>
      </c>
      <c r="D536" t="s">
        <v>164</v>
      </c>
      <c r="E536" s="108">
        <v>1000</v>
      </c>
      <c r="F536">
        <v>0</v>
      </c>
      <c r="G536">
        <v>847</v>
      </c>
      <c r="H536" s="108">
        <v>10600</v>
      </c>
      <c r="I536" s="108">
        <v>10600</v>
      </c>
      <c r="J536" s="150">
        <v>0.4965162037037037</v>
      </c>
      <c r="K536" s="150">
        <v>0.49652777777777773</v>
      </c>
      <c r="L536" t="s">
        <v>165</v>
      </c>
      <c r="N536">
        <v>1594257</v>
      </c>
      <c r="O536">
        <v>1594257</v>
      </c>
      <c r="P536">
        <v>1593980</v>
      </c>
      <c r="Q536">
        <v>153</v>
      </c>
      <c r="R536" t="s">
        <v>166</v>
      </c>
      <c r="S536">
        <v>0</v>
      </c>
      <c r="T536" t="s">
        <v>167</v>
      </c>
      <c r="U536">
        <v>1593980</v>
      </c>
      <c r="W536" t="s">
        <v>168</v>
      </c>
      <c r="X536" t="s">
        <v>166</v>
      </c>
    </row>
    <row r="537" spans="1:24" x14ac:dyDescent="0.3">
      <c r="A537" s="7" t="s">
        <v>67</v>
      </c>
      <c r="B537" t="s">
        <v>68</v>
      </c>
      <c r="C537" t="s">
        <v>169</v>
      </c>
      <c r="D537" t="s">
        <v>164</v>
      </c>
      <c r="E537" s="108">
        <v>1000</v>
      </c>
      <c r="F537">
        <v>0</v>
      </c>
      <c r="G537">
        <v>5</v>
      </c>
      <c r="H537" s="108">
        <v>10600</v>
      </c>
      <c r="I537" s="108">
        <v>10600</v>
      </c>
      <c r="J537" s="150">
        <v>0.49722222222222223</v>
      </c>
      <c r="K537" s="150">
        <v>0.49726851851851855</v>
      </c>
      <c r="L537" t="s">
        <v>165</v>
      </c>
      <c r="N537">
        <v>1601033</v>
      </c>
      <c r="O537">
        <v>1601033</v>
      </c>
      <c r="P537">
        <v>1600860</v>
      </c>
      <c r="Q537">
        <v>995</v>
      </c>
      <c r="R537" t="s">
        <v>166</v>
      </c>
      <c r="S537">
        <v>0</v>
      </c>
      <c r="T537" t="s">
        <v>167</v>
      </c>
      <c r="U537">
        <v>1600860</v>
      </c>
      <c r="W537" t="s">
        <v>168</v>
      </c>
      <c r="X537" t="s">
        <v>166</v>
      </c>
    </row>
    <row r="538" spans="1:24" x14ac:dyDescent="0.3">
      <c r="A538" s="7" t="s">
        <v>79</v>
      </c>
      <c r="B538" t="s">
        <v>80</v>
      </c>
      <c r="C538" t="s">
        <v>169</v>
      </c>
      <c r="D538" t="s">
        <v>164</v>
      </c>
      <c r="E538" s="108">
        <v>1000</v>
      </c>
      <c r="F538">
        <v>0</v>
      </c>
      <c r="G538">
        <v>60</v>
      </c>
      <c r="H538" s="108">
        <v>38625</v>
      </c>
      <c r="I538" s="108">
        <v>38625</v>
      </c>
      <c r="J538" s="150">
        <v>0.49734953703703705</v>
      </c>
      <c r="K538" s="150">
        <v>0.49736111111111114</v>
      </c>
      <c r="L538" t="s">
        <v>165</v>
      </c>
      <c r="N538">
        <v>1601982</v>
      </c>
      <c r="O538">
        <v>1601982</v>
      </c>
      <c r="P538">
        <v>1601956</v>
      </c>
      <c r="Q538">
        <v>940</v>
      </c>
      <c r="R538" t="s">
        <v>166</v>
      </c>
      <c r="S538">
        <v>0</v>
      </c>
      <c r="T538" t="s">
        <v>167</v>
      </c>
      <c r="U538">
        <v>1601956</v>
      </c>
      <c r="W538" t="s">
        <v>168</v>
      </c>
      <c r="X538" t="s">
        <v>166</v>
      </c>
    </row>
    <row r="539" spans="1:24" x14ac:dyDescent="0.3">
      <c r="A539" s="7" t="s">
        <v>69</v>
      </c>
      <c r="B539" t="s">
        <v>70</v>
      </c>
      <c r="C539" t="s">
        <v>169</v>
      </c>
      <c r="D539" t="s">
        <v>164</v>
      </c>
      <c r="E539" s="108">
        <v>1000</v>
      </c>
      <c r="F539">
        <v>0</v>
      </c>
      <c r="G539" s="108">
        <v>1000</v>
      </c>
      <c r="H539" s="108">
        <v>19530</v>
      </c>
      <c r="I539" s="108">
        <v>19530</v>
      </c>
      <c r="J539" s="150">
        <v>0.49774305555555554</v>
      </c>
      <c r="K539" s="150">
        <v>0.49776620370370367</v>
      </c>
      <c r="L539" t="s">
        <v>165</v>
      </c>
      <c r="N539">
        <v>1604619</v>
      </c>
      <c r="O539">
        <v>1604619</v>
      </c>
      <c r="P539">
        <v>1604615</v>
      </c>
      <c r="Q539">
        <v>0</v>
      </c>
      <c r="R539" t="s">
        <v>166</v>
      </c>
      <c r="S539">
        <v>0</v>
      </c>
      <c r="T539" t="s">
        <v>167</v>
      </c>
      <c r="U539">
        <v>1604615</v>
      </c>
      <c r="W539" t="s">
        <v>168</v>
      </c>
      <c r="X539" t="s">
        <v>166</v>
      </c>
    </row>
    <row r="540" spans="1:24" x14ac:dyDescent="0.3">
      <c r="A540" s="7" t="s">
        <v>63</v>
      </c>
      <c r="B540" t="s">
        <v>64</v>
      </c>
      <c r="C540" t="s">
        <v>163</v>
      </c>
      <c r="D540" t="s">
        <v>164</v>
      </c>
      <c r="E540" s="108">
        <v>1000</v>
      </c>
      <c r="F540">
        <v>0</v>
      </c>
      <c r="G540">
        <v>102</v>
      </c>
      <c r="H540" s="108">
        <v>4750</v>
      </c>
      <c r="I540" s="108">
        <v>4750</v>
      </c>
      <c r="J540" s="150">
        <v>0.49811342592592589</v>
      </c>
      <c r="K540" s="150">
        <v>0.49812499999999998</v>
      </c>
      <c r="L540" t="s">
        <v>165</v>
      </c>
      <c r="N540">
        <v>1607597</v>
      </c>
      <c r="O540">
        <v>1607597</v>
      </c>
      <c r="P540">
        <v>1599701</v>
      </c>
      <c r="Q540">
        <v>898</v>
      </c>
      <c r="R540" t="s">
        <v>166</v>
      </c>
      <c r="S540">
        <v>0</v>
      </c>
      <c r="T540" t="s">
        <v>167</v>
      </c>
      <c r="U540">
        <v>1599701</v>
      </c>
      <c r="W540" t="s">
        <v>168</v>
      </c>
      <c r="X540" t="s">
        <v>166</v>
      </c>
    </row>
    <row r="541" spans="1:24" x14ac:dyDescent="0.3">
      <c r="A541" s="7" t="s">
        <v>138</v>
      </c>
      <c r="B541" t="s">
        <v>171</v>
      </c>
      <c r="C541" t="s">
        <v>169</v>
      </c>
      <c r="D541" t="s">
        <v>164</v>
      </c>
      <c r="E541" s="108">
        <v>1000</v>
      </c>
      <c r="F541">
        <v>0</v>
      </c>
      <c r="G541" s="108">
        <v>1000</v>
      </c>
      <c r="H541" s="108">
        <v>9190</v>
      </c>
      <c r="I541" s="108">
        <v>9190</v>
      </c>
      <c r="J541" s="150">
        <v>0.49814814814814817</v>
      </c>
      <c r="K541" s="150">
        <v>0.49818287037037035</v>
      </c>
      <c r="L541" t="s">
        <v>165</v>
      </c>
      <c r="N541">
        <v>1607898</v>
      </c>
      <c r="O541">
        <v>1607898</v>
      </c>
      <c r="P541">
        <v>1607897</v>
      </c>
      <c r="Q541">
        <v>0</v>
      </c>
      <c r="R541" t="s">
        <v>166</v>
      </c>
      <c r="S541">
        <v>0</v>
      </c>
      <c r="T541" t="s">
        <v>167</v>
      </c>
      <c r="U541">
        <v>1607897</v>
      </c>
      <c r="W541" t="s">
        <v>168</v>
      </c>
      <c r="X541" t="s">
        <v>166</v>
      </c>
    </row>
    <row r="542" spans="1:24" x14ac:dyDescent="0.3">
      <c r="A542" s="7" t="s">
        <v>69</v>
      </c>
      <c r="B542" t="s">
        <v>70</v>
      </c>
      <c r="C542" t="s">
        <v>169</v>
      </c>
      <c r="D542" t="s">
        <v>164</v>
      </c>
      <c r="E542" s="108">
        <v>1000</v>
      </c>
      <c r="F542">
        <v>0</v>
      </c>
      <c r="G542">
        <v>30</v>
      </c>
      <c r="H542" s="108">
        <v>19525</v>
      </c>
      <c r="I542" s="108">
        <v>19525</v>
      </c>
      <c r="J542" s="150">
        <v>0.49872685185185189</v>
      </c>
      <c r="K542" s="150">
        <v>0.49872685185185189</v>
      </c>
      <c r="L542" t="s">
        <v>165</v>
      </c>
      <c r="N542">
        <v>1612740</v>
      </c>
      <c r="O542">
        <v>1612740</v>
      </c>
      <c r="P542">
        <v>1612700</v>
      </c>
      <c r="Q542">
        <v>970</v>
      </c>
      <c r="R542" t="s">
        <v>166</v>
      </c>
      <c r="S542">
        <v>0</v>
      </c>
      <c r="T542" t="s">
        <v>167</v>
      </c>
      <c r="U542">
        <v>1612700</v>
      </c>
      <c r="W542" t="s">
        <v>168</v>
      </c>
      <c r="X542" t="s">
        <v>166</v>
      </c>
    </row>
    <row r="543" spans="1:24" x14ac:dyDescent="0.3">
      <c r="A543" s="7" t="s">
        <v>63</v>
      </c>
      <c r="B543" t="s">
        <v>64</v>
      </c>
      <c r="C543" t="s">
        <v>163</v>
      </c>
      <c r="D543" t="s">
        <v>164</v>
      </c>
      <c r="E543" s="108">
        <v>1000</v>
      </c>
      <c r="F543">
        <v>0</v>
      </c>
      <c r="G543">
        <v>850</v>
      </c>
      <c r="H543" s="108">
        <v>4755</v>
      </c>
      <c r="I543" s="108">
        <v>4755</v>
      </c>
      <c r="J543" s="150">
        <v>0.49918981481481484</v>
      </c>
      <c r="K543" s="150">
        <v>0.49920138888888888</v>
      </c>
      <c r="L543" t="s">
        <v>165</v>
      </c>
      <c r="N543">
        <v>1617514</v>
      </c>
      <c r="O543">
        <v>1617514</v>
      </c>
      <c r="P543">
        <v>1616168</v>
      </c>
      <c r="Q543">
        <v>150</v>
      </c>
      <c r="R543" t="s">
        <v>166</v>
      </c>
      <c r="S543">
        <v>0</v>
      </c>
      <c r="T543" t="s">
        <v>167</v>
      </c>
      <c r="U543">
        <v>1616168</v>
      </c>
      <c r="W543" t="s">
        <v>168</v>
      </c>
      <c r="X543" t="s">
        <v>166</v>
      </c>
    </row>
    <row r="544" spans="1:24" x14ac:dyDescent="0.3">
      <c r="A544" s="7" t="s">
        <v>65</v>
      </c>
      <c r="B544" t="s">
        <v>66</v>
      </c>
      <c r="C544" t="s">
        <v>169</v>
      </c>
      <c r="D544" t="s">
        <v>164</v>
      </c>
      <c r="E544" s="108">
        <v>1000</v>
      </c>
      <c r="F544">
        <v>0</v>
      </c>
      <c r="G544" s="108">
        <v>1000</v>
      </c>
      <c r="H544" s="108">
        <v>5055</v>
      </c>
      <c r="I544" s="108">
        <v>5055</v>
      </c>
      <c r="J544" s="150">
        <v>0.49935185185185182</v>
      </c>
      <c r="K544" s="150">
        <v>0.49995370370370368</v>
      </c>
      <c r="L544" t="s">
        <v>165</v>
      </c>
      <c r="N544">
        <v>1620470</v>
      </c>
      <c r="O544">
        <v>1620470</v>
      </c>
      <c r="P544">
        <v>1620424</v>
      </c>
      <c r="Q544">
        <v>0</v>
      </c>
      <c r="R544" t="s">
        <v>166</v>
      </c>
      <c r="S544">
        <v>0</v>
      </c>
      <c r="T544" t="s">
        <v>167</v>
      </c>
      <c r="U544">
        <v>1620424</v>
      </c>
      <c r="W544" t="s">
        <v>168</v>
      </c>
      <c r="X544" t="s">
        <v>166</v>
      </c>
    </row>
    <row r="545" spans="1:24" x14ac:dyDescent="0.3">
      <c r="A545" s="7" t="s">
        <v>67</v>
      </c>
      <c r="B545" t="s">
        <v>68</v>
      </c>
      <c r="C545" t="s">
        <v>169</v>
      </c>
      <c r="D545" t="s">
        <v>164</v>
      </c>
      <c r="E545" s="108">
        <v>1000</v>
      </c>
      <c r="F545">
        <v>0</v>
      </c>
      <c r="G545" s="108">
        <v>1000</v>
      </c>
      <c r="H545" s="108">
        <v>10605</v>
      </c>
      <c r="I545" s="108">
        <v>10605</v>
      </c>
      <c r="J545" s="150">
        <v>0.49981481481481477</v>
      </c>
      <c r="K545" s="150">
        <v>0.49983796296296296</v>
      </c>
      <c r="L545" t="s">
        <v>165</v>
      </c>
      <c r="N545">
        <v>1624657</v>
      </c>
      <c r="O545">
        <v>1624657</v>
      </c>
      <c r="P545">
        <v>1624646</v>
      </c>
      <c r="Q545">
        <v>0</v>
      </c>
      <c r="R545" t="s">
        <v>166</v>
      </c>
      <c r="S545">
        <v>0</v>
      </c>
      <c r="T545" t="s">
        <v>167</v>
      </c>
      <c r="U545">
        <v>1624646</v>
      </c>
      <c r="W545" t="s">
        <v>168</v>
      </c>
      <c r="X545" t="s">
        <v>166</v>
      </c>
    </row>
    <row r="546" spans="1:24" x14ac:dyDescent="0.3">
      <c r="A546" s="7" t="s">
        <v>63</v>
      </c>
      <c r="B546" t="s">
        <v>64</v>
      </c>
      <c r="C546" t="s">
        <v>163</v>
      </c>
      <c r="D546" t="s">
        <v>170</v>
      </c>
      <c r="E546" s="108">
        <v>1000</v>
      </c>
      <c r="F546">
        <v>0</v>
      </c>
      <c r="G546">
        <v>10</v>
      </c>
      <c r="H546" s="108">
        <v>4755</v>
      </c>
      <c r="I546" s="108">
        <v>4755</v>
      </c>
      <c r="J546" s="150">
        <v>0.49988425925925922</v>
      </c>
      <c r="K546" s="150">
        <v>0.49993055555555554</v>
      </c>
      <c r="L546" t="s">
        <v>165</v>
      </c>
      <c r="N546">
        <v>1625269</v>
      </c>
      <c r="O546">
        <v>1625269</v>
      </c>
      <c r="P546">
        <v>0</v>
      </c>
      <c r="Q546">
        <v>990</v>
      </c>
      <c r="R546" t="s">
        <v>166</v>
      </c>
      <c r="S546">
        <v>0</v>
      </c>
      <c r="T546" t="s">
        <v>167</v>
      </c>
      <c r="U546">
        <v>0</v>
      </c>
      <c r="W546" t="s">
        <v>168</v>
      </c>
      <c r="X546" t="s">
        <v>166</v>
      </c>
    </row>
    <row r="547" spans="1:24" x14ac:dyDescent="0.3">
      <c r="A547" s="7" t="s">
        <v>69</v>
      </c>
      <c r="B547" t="s">
        <v>70</v>
      </c>
      <c r="C547" t="s">
        <v>169</v>
      </c>
      <c r="D547" t="s">
        <v>164</v>
      </c>
      <c r="E547" s="108">
        <v>1000</v>
      </c>
      <c r="F547">
        <v>0</v>
      </c>
      <c r="G547" s="108">
        <v>1000</v>
      </c>
      <c r="H547" s="108">
        <v>19515</v>
      </c>
      <c r="I547" s="108">
        <v>19515</v>
      </c>
      <c r="J547" s="150">
        <v>0.49994212962962964</v>
      </c>
      <c r="K547" s="150">
        <v>0.49995370370370368</v>
      </c>
      <c r="L547" t="s">
        <v>165</v>
      </c>
      <c r="N547">
        <v>1625771</v>
      </c>
      <c r="O547">
        <v>1625771</v>
      </c>
      <c r="P547">
        <v>1625748</v>
      </c>
      <c r="Q547">
        <v>0</v>
      </c>
      <c r="R547" t="s">
        <v>166</v>
      </c>
      <c r="S547">
        <v>0</v>
      </c>
      <c r="T547" t="s">
        <v>167</v>
      </c>
      <c r="U547">
        <v>1625748</v>
      </c>
      <c r="W547" t="s">
        <v>168</v>
      </c>
      <c r="X547" t="s">
        <v>166</v>
      </c>
    </row>
    <row r="548" spans="1:24" x14ac:dyDescent="0.3">
      <c r="A548" s="7" t="s">
        <v>138</v>
      </c>
      <c r="B548" t="s">
        <v>171</v>
      </c>
      <c r="C548" t="s">
        <v>169</v>
      </c>
      <c r="D548" t="s">
        <v>164</v>
      </c>
      <c r="E548" s="108">
        <v>1000</v>
      </c>
      <c r="F548">
        <v>0</v>
      </c>
      <c r="G548" s="108">
        <v>1000</v>
      </c>
      <c r="H548" s="108">
        <v>9190</v>
      </c>
      <c r="I548" s="108">
        <v>9190</v>
      </c>
      <c r="J548" s="150">
        <v>0.50006944444444446</v>
      </c>
      <c r="K548" s="150">
        <v>0.50009259259259264</v>
      </c>
      <c r="L548" t="s">
        <v>165</v>
      </c>
      <c r="N548">
        <v>1627213</v>
      </c>
      <c r="O548">
        <v>1627213</v>
      </c>
      <c r="P548">
        <v>1624501</v>
      </c>
      <c r="Q548">
        <v>0</v>
      </c>
      <c r="R548" t="s">
        <v>166</v>
      </c>
      <c r="S548">
        <v>0</v>
      </c>
      <c r="T548" t="s">
        <v>167</v>
      </c>
      <c r="U548">
        <v>1624501</v>
      </c>
      <c r="W548" t="s">
        <v>168</v>
      </c>
      <c r="X548" t="s">
        <v>166</v>
      </c>
    </row>
    <row r="549" spans="1:24" x14ac:dyDescent="0.3">
      <c r="A549" s="7" t="s">
        <v>69</v>
      </c>
      <c r="B549" t="s">
        <v>70</v>
      </c>
      <c r="C549" t="s">
        <v>169</v>
      </c>
      <c r="D549" t="s">
        <v>170</v>
      </c>
      <c r="E549" s="108">
        <v>1000</v>
      </c>
      <c r="F549">
        <v>0</v>
      </c>
      <c r="G549">
        <v>10</v>
      </c>
      <c r="H549" s="108">
        <v>19500</v>
      </c>
      <c r="I549" s="108">
        <v>19500</v>
      </c>
      <c r="J549" s="150">
        <v>0.50063657407407403</v>
      </c>
      <c r="K549" s="150">
        <v>0.50063657407407403</v>
      </c>
      <c r="L549" t="s">
        <v>165</v>
      </c>
      <c r="N549">
        <v>1632191</v>
      </c>
      <c r="O549">
        <v>1632191</v>
      </c>
      <c r="P549">
        <v>0</v>
      </c>
      <c r="Q549">
        <v>990</v>
      </c>
      <c r="R549" t="s">
        <v>166</v>
      </c>
      <c r="S549">
        <v>0</v>
      </c>
      <c r="T549" t="s">
        <v>167</v>
      </c>
      <c r="U549">
        <v>0</v>
      </c>
      <c r="W549" t="s">
        <v>168</v>
      </c>
      <c r="X549" t="s">
        <v>166</v>
      </c>
    </row>
    <row r="550" spans="1:24" x14ac:dyDescent="0.3">
      <c r="A550" s="7" t="s">
        <v>63</v>
      </c>
      <c r="B550" t="s">
        <v>64</v>
      </c>
      <c r="C550" t="s">
        <v>163</v>
      </c>
      <c r="D550" t="s">
        <v>164</v>
      </c>
      <c r="E550" s="108">
        <v>1000</v>
      </c>
      <c r="F550">
        <v>0</v>
      </c>
      <c r="G550" s="108">
        <v>1000</v>
      </c>
      <c r="H550" s="108">
        <v>4755</v>
      </c>
      <c r="I550" s="108">
        <v>4755</v>
      </c>
      <c r="J550" s="150">
        <v>0.50149305555555557</v>
      </c>
      <c r="K550" s="150">
        <v>0.50150462962962961</v>
      </c>
      <c r="L550" t="s">
        <v>165</v>
      </c>
      <c r="N550">
        <v>1640334</v>
      </c>
      <c r="O550">
        <v>1640334</v>
      </c>
      <c r="P550">
        <v>1638656</v>
      </c>
      <c r="Q550">
        <v>0</v>
      </c>
      <c r="R550" t="s">
        <v>166</v>
      </c>
      <c r="S550">
        <v>0</v>
      </c>
      <c r="T550" t="s">
        <v>167</v>
      </c>
      <c r="U550">
        <v>1638656</v>
      </c>
      <c r="W550" t="s">
        <v>168</v>
      </c>
      <c r="X550" t="s">
        <v>166</v>
      </c>
    </row>
    <row r="551" spans="1:24" x14ac:dyDescent="0.3">
      <c r="A551" s="7" t="s">
        <v>69</v>
      </c>
      <c r="B551" t="s">
        <v>70</v>
      </c>
      <c r="C551" t="s">
        <v>169</v>
      </c>
      <c r="D551" t="s">
        <v>164</v>
      </c>
      <c r="E551" s="108">
        <v>1000</v>
      </c>
      <c r="F551">
        <v>0</v>
      </c>
      <c r="G551">
        <v>10</v>
      </c>
      <c r="H551" s="108">
        <v>19520</v>
      </c>
      <c r="I551" s="108">
        <v>19520</v>
      </c>
      <c r="J551" s="150">
        <v>0.50171296296296297</v>
      </c>
      <c r="K551" s="150">
        <v>0.50171296296296297</v>
      </c>
      <c r="L551" t="s">
        <v>165</v>
      </c>
      <c r="N551">
        <v>1642302</v>
      </c>
      <c r="O551">
        <v>1642302</v>
      </c>
      <c r="P551">
        <v>1642236</v>
      </c>
      <c r="Q551">
        <v>990</v>
      </c>
      <c r="R551" t="s">
        <v>166</v>
      </c>
      <c r="S551">
        <v>0</v>
      </c>
      <c r="T551" t="s">
        <v>167</v>
      </c>
      <c r="U551">
        <v>1642236</v>
      </c>
      <c r="W551" t="s">
        <v>168</v>
      </c>
      <c r="X551" t="s">
        <v>166</v>
      </c>
    </row>
    <row r="552" spans="1:24" x14ac:dyDescent="0.3">
      <c r="A552" s="7" t="s">
        <v>63</v>
      </c>
      <c r="B552" t="s">
        <v>64</v>
      </c>
      <c r="C552" t="s">
        <v>163</v>
      </c>
      <c r="D552" t="s">
        <v>164</v>
      </c>
      <c r="E552" s="108">
        <v>1000</v>
      </c>
      <c r="F552">
        <v>0</v>
      </c>
      <c r="G552">
        <v>17</v>
      </c>
      <c r="H552" s="108">
        <v>4755</v>
      </c>
      <c r="I552" s="108">
        <v>4755</v>
      </c>
      <c r="J552" s="150">
        <v>0.50244212962962964</v>
      </c>
      <c r="K552" s="150">
        <v>0.50247685185185187</v>
      </c>
      <c r="L552" t="s">
        <v>165</v>
      </c>
      <c r="N552">
        <v>1649222</v>
      </c>
      <c r="O552">
        <v>1649222</v>
      </c>
      <c r="P552">
        <v>1649218</v>
      </c>
      <c r="Q552">
        <v>983</v>
      </c>
      <c r="R552" t="s">
        <v>166</v>
      </c>
      <c r="S552">
        <v>0</v>
      </c>
      <c r="T552" t="s">
        <v>167</v>
      </c>
      <c r="U552">
        <v>1649218</v>
      </c>
      <c r="W552" t="s">
        <v>168</v>
      </c>
      <c r="X552" t="s">
        <v>166</v>
      </c>
    </row>
    <row r="553" spans="1:24" x14ac:dyDescent="0.3">
      <c r="A553" s="7" t="s">
        <v>69</v>
      </c>
      <c r="B553" t="s">
        <v>70</v>
      </c>
      <c r="C553" t="s">
        <v>169</v>
      </c>
      <c r="D553" t="s">
        <v>164</v>
      </c>
      <c r="E553" s="108">
        <v>1000</v>
      </c>
      <c r="F553">
        <v>0</v>
      </c>
      <c r="G553" s="108">
        <v>1000</v>
      </c>
      <c r="H553" s="108">
        <v>19510</v>
      </c>
      <c r="I553" s="108">
        <v>19510</v>
      </c>
      <c r="J553" s="150">
        <v>0.50368055555555558</v>
      </c>
      <c r="K553" s="150">
        <v>0.50369212962962961</v>
      </c>
      <c r="L553" t="s">
        <v>165</v>
      </c>
      <c r="N553">
        <v>1660672</v>
      </c>
      <c r="O553">
        <v>1660672</v>
      </c>
      <c r="P553">
        <v>1660256</v>
      </c>
      <c r="Q553">
        <v>0</v>
      </c>
      <c r="R553" t="s">
        <v>166</v>
      </c>
      <c r="S553">
        <v>0</v>
      </c>
      <c r="T553" t="s">
        <v>167</v>
      </c>
      <c r="U553">
        <v>1660256</v>
      </c>
      <c r="W553" t="s">
        <v>168</v>
      </c>
      <c r="X553" t="s">
        <v>166</v>
      </c>
    </row>
    <row r="554" spans="1:24" x14ac:dyDescent="0.3">
      <c r="A554" s="7" t="s">
        <v>63</v>
      </c>
      <c r="B554" t="s">
        <v>64</v>
      </c>
      <c r="C554" t="s">
        <v>163</v>
      </c>
      <c r="D554" t="s">
        <v>164</v>
      </c>
      <c r="E554" s="108">
        <v>1000</v>
      </c>
      <c r="F554">
        <v>0</v>
      </c>
      <c r="G554" s="108">
        <v>1000</v>
      </c>
      <c r="H554" s="108">
        <v>4755</v>
      </c>
      <c r="I554" s="108">
        <v>4755</v>
      </c>
      <c r="J554" s="150">
        <v>0.50377314814814811</v>
      </c>
      <c r="K554" s="150">
        <v>0.50377314814814811</v>
      </c>
      <c r="L554" t="s">
        <v>165</v>
      </c>
      <c r="N554">
        <v>1661357</v>
      </c>
      <c r="O554">
        <v>1661357</v>
      </c>
      <c r="P554">
        <v>1659923</v>
      </c>
      <c r="Q554">
        <v>0</v>
      </c>
      <c r="R554" t="s">
        <v>166</v>
      </c>
      <c r="S554">
        <v>0</v>
      </c>
      <c r="T554" t="s">
        <v>167</v>
      </c>
      <c r="U554">
        <v>1659923</v>
      </c>
      <c r="W554" t="s">
        <v>168</v>
      </c>
      <c r="X554" t="s">
        <v>166</v>
      </c>
    </row>
    <row r="555" spans="1:24" x14ac:dyDescent="0.3">
      <c r="A555" s="7" t="s">
        <v>69</v>
      </c>
      <c r="B555" t="s">
        <v>70</v>
      </c>
      <c r="C555" t="s">
        <v>169</v>
      </c>
      <c r="D555" t="s">
        <v>170</v>
      </c>
      <c r="E555" s="108">
        <v>1000</v>
      </c>
      <c r="F555">
        <v>0</v>
      </c>
      <c r="G555" s="108">
        <v>1000</v>
      </c>
      <c r="H555" s="108">
        <v>19485</v>
      </c>
      <c r="I555" s="108">
        <v>19485</v>
      </c>
      <c r="J555" s="150">
        <v>0.50437500000000002</v>
      </c>
      <c r="K555" s="150">
        <v>0.50437500000000002</v>
      </c>
      <c r="L555" t="s">
        <v>165</v>
      </c>
      <c r="N555">
        <v>1666801</v>
      </c>
      <c r="O555">
        <v>1666801</v>
      </c>
      <c r="P555">
        <v>0</v>
      </c>
      <c r="Q555">
        <v>0</v>
      </c>
      <c r="R555" t="s">
        <v>166</v>
      </c>
      <c r="S555">
        <v>0</v>
      </c>
      <c r="T555" t="s">
        <v>167</v>
      </c>
      <c r="U555">
        <v>0</v>
      </c>
      <c r="W555" t="s">
        <v>168</v>
      </c>
      <c r="X555" t="s">
        <v>166</v>
      </c>
    </row>
    <row r="556" spans="1:24" x14ac:dyDescent="0.3">
      <c r="A556" s="7" t="s">
        <v>63</v>
      </c>
      <c r="B556" t="s">
        <v>64</v>
      </c>
      <c r="C556" t="s">
        <v>163</v>
      </c>
      <c r="D556" t="s">
        <v>164</v>
      </c>
      <c r="E556" s="108">
        <v>1000</v>
      </c>
      <c r="F556">
        <v>0</v>
      </c>
      <c r="G556" s="108">
        <v>1000</v>
      </c>
      <c r="H556" s="108">
        <v>4755</v>
      </c>
      <c r="I556" s="108">
        <v>4755</v>
      </c>
      <c r="J556" s="150">
        <v>0.50468750000000007</v>
      </c>
      <c r="K556" s="150">
        <v>0.50468750000000007</v>
      </c>
      <c r="L556" t="s">
        <v>165</v>
      </c>
      <c r="N556">
        <v>1669798</v>
      </c>
      <c r="O556">
        <v>1669798</v>
      </c>
      <c r="P556">
        <v>1667737</v>
      </c>
      <c r="Q556">
        <v>0</v>
      </c>
      <c r="R556" t="s">
        <v>166</v>
      </c>
      <c r="S556">
        <v>0</v>
      </c>
      <c r="T556" t="s">
        <v>167</v>
      </c>
      <c r="U556">
        <v>1667737</v>
      </c>
      <c r="W556" t="s">
        <v>168</v>
      </c>
      <c r="X556" t="s">
        <v>166</v>
      </c>
    </row>
    <row r="557" spans="1:24" x14ac:dyDescent="0.3">
      <c r="A557" s="7" t="s">
        <v>67</v>
      </c>
      <c r="B557" t="s">
        <v>68</v>
      </c>
      <c r="C557" t="s">
        <v>169</v>
      </c>
      <c r="D557" t="s">
        <v>164</v>
      </c>
      <c r="E557" s="108">
        <v>1000</v>
      </c>
      <c r="F557">
        <v>0</v>
      </c>
      <c r="G557" s="108">
        <v>1000</v>
      </c>
      <c r="H557" s="108">
        <v>10615</v>
      </c>
      <c r="I557" s="108">
        <v>10615</v>
      </c>
      <c r="J557" s="150">
        <v>0.50473379629629633</v>
      </c>
      <c r="K557" s="150">
        <v>0.50474537037037037</v>
      </c>
      <c r="L557" t="s">
        <v>165</v>
      </c>
      <c r="N557">
        <v>1670112</v>
      </c>
      <c r="O557">
        <v>1670112</v>
      </c>
      <c r="P557">
        <v>1670091</v>
      </c>
      <c r="Q557">
        <v>0</v>
      </c>
      <c r="R557" t="s">
        <v>166</v>
      </c>
      <c r="S557">
        <v>0</v>
      </c>
      <c r="T557" t="s">
        <v>167</v>
      </c>
      <c r="U557">
        <v>1670091</v>
      </c>
      <c r="W557" t="s">
        <v>168</v>
      </c>
      <c r="X557" t="s">
        <v>166</v>
      </c>
    </row>
    <row r="558" spans="1:24" x14ac:dyDescent="0.3">
      <c r="A558" s="7" t="s">
        <v>71</v>
      </c>
      <c r="B558" t="s">
        <v>72</v>
      </c>
      <c r="C558" t="s">
        <v>169</v>
      </c>
      <c r="D558" t="s">
        <v>164</v>
      </c>
      <c r="E558" s="108">
        <v>1000</v>
      </c>
      <c r="F558">
        <v>0</v>
      </c>
      <c r="G558">
        <v>98</v>
      </c>
      <c r="H558" s="108">
        <v>18990</v>
      </c>
      <c r="I558" s="108">
        <v>18990</v>
      </c>
      <c r="J558" s="150">
        <v>0.50520833333333337</v>
      </c>
      <c r="K558" s="150">
        <v>0.50524305555555549</v>
      </c>
      <c r="L558" t="s">
        <v>165</v>
      </c>
      <c r="N558">
        <v>1674947</v>
      </c>
      <c r="O558">
        <v>1674947</v>
      </c>
      <c r="P558">
        <v>1674890</v>
      </c>
      <c r="Q558">
        <v>902</v>
      </c>
      <c r="R558" t="s">
        <v>166</v>
      </c>
      <c r="S558">
        <v>0</v>
      </c>
      <c r="T558" t="s">
        <v>167</v>
      </c>
      <c r="U558">
        <v>1674890</v>
      </c>
      <c r="W558" t="s">
        <v>168</v>
      </c>
      <c r="X558" t="s">
        <v>166</v>
      </c>
    </row>
    <row r="559" spans="1:24" x14ac:dyDescent="0.3">
      <c r="A559" s="7" t="s">
        <v>63</v>
      </c>
      <c r="B559" t="s">
        <v>64</v>
      </c>
      <c r="C559" t="s">
        <v>163</v>
      </c>
      <c r="D559" t="s">
        <v>170</v>
      </c>
      <c r="E559" s="108">
        <v>1000</v>
      </c>
      <c r="F559">
        <v>0</v>
      </c>
      <c r="G559" s="108">
        <v>1000</v>
      </c>
      <c r="H559" s="108">
        <v>4755</v>
      </c>
      <c r="I559" s="108">
        <v>4755</v>
      </c>
      <c r="J559" s="150">
        <v>0.5053819444444444</v>
      </c>
      <c r="K559" s="150">
        <v>0.50539351851851855</v>
      </c>
      <c r="L559" t="s">
        <v>165</v>
      </c>
      <c r="N559">
        <v>1676511</v>
      </c>
      <c r="O559">
        <v>1676511</v>
      </c>
      <c r="P559">
        <v>0</v>
      </c>
      <c r="Q559">
        <v>0</v>
      </c>
      <c r="R559" t="s">
        <v>166</v>
      </c>
      <c r="S559">
        <v>0</v>
      </c>
      <c r="T559" t="s">
        <v>167</v>
      </c>
      <c r="U559">
        <v>0</v>
      </c>
      <c r="W559" t="s">
        <v>168</v>
      </c>
      <c r="X559" t="s">
        <v>166</v>
      </c>
    </row>
    <row r="560" spans="1:24" x14ac:dyDescent="0.3">
      <c r="A560" s="7" t="s">
        <v>69</v>
      </c>
      <c r="B560" t="s">
        <v>70</v>
      </c>
      <c r="C560" t="s">
        <v>169</v>
      </c>
      <c r="D560" t="s">
        <v>164</v>
      </c>
      <c r="E560" s="108">
        <v>1000</v>
      </c>
      <c r="F560">
        <v>0</v>
      </c>
      <c r="G560">
        <v>88</v>
      </c>
      <c r="H560" s="108">
        <v>19450</v>
      </c>
      <c r="I560" s="108">
        <v>19450</v>
      </c>
      <c r="J560" s="150">
        <v>0.50567129629629626</v>
      </c>
      <c r="K560" s="150">
        <v>0.50567129629629626</v>
      </c>
      <c r="L560" t="s">
        <v>165</v>
      </c>
      <c r="N560">
        <v>1678966</v>
      </c>
      <c r="O560">
        <v>1678966</v>
      </c>
      <c r="P560">
        <v>1678939</v>
      </c>
      <c r="Q560">
        <v>912</v>
      </c>
      <c r="R560" t="s">
        <v>166</v>
      </c>
      <c r="S560">
        <v>0</v>
      </c>
      <c r="T560" t="s">
        <v>167</v>
      </c>
      <c r="U560">
        <v>1678939</v>
      </c>
      <c r="W560" t="s">
        <v>168</v>
      </c>
      <c r="X560" t="s">
        <v>166</v>
      </c>
    </row>
    <row r="561" spans="1:24" x14ac:dyDescent="0.3">
      <c r="A561" s="7" t="s">
        <v>71</v>
      </c>
      <c r="B561" t="s">
        <v>72</v>
      </c>
      <c r="C561" t="s">
        <v>169</v>
      </c>
      <c r="D561" t="s">
        <v>164</v>
      </c>
      <c r="E561" s="108">
        <v>1000</v>
      </c>
      <c r="F561">
        <v>0</v>
      </c>
      <c r="G561">
        <v>98</v>
      </c>
      <c r="H561" s="108">
        <v>18980</v>
      </c>
      <c r="I561" s="108">
        <v>18980</v>
      </c>
      <c r="J561" s="150">
        <v>0.50593750000000004</v>
      </c>
      <c r="K561" s="150">
        <v>0.50597222222222216</v>
      </c>
      <c r="L561" t="s">
        <v>165</v>
      </c>
      <c r="N561">
        <v>1681055</v>
      </c>
      <c r="O561">
        <v>1681055</v>
      </c>
      <c r="P561">
        <v>1681035</v>
      </c>
      <c r="Q561">
        <v>902</v>
      </c>
      <c r="R561" t="s">
        <v>166</v>
      </c>
      <c r="S561">
        <v>0</v>
      </c>
      <c r="T561" t="s">
        <v>167</v>
      </c>
      <c r="U561">
        <v>1681035</v>
      </c>
      <c r="W561" t="s">
        <v>168</v>
      </c>
      <c r="X561" t="s">
        <v>166</v>
      </c>
    </row>
    <row r="562" spans="1:24" x14ac:dyDescent="0.3">
      <c r="A562" s="7" t="s">
        <v>67</v>
      </c>
      <c r="B562" t="s">
        <v>68</v>
      </c>
      <c r="C562" t="s">
        <v>169</v>
      </c>
      <c r="D562" t="s">
        <v>164</v>
      </c>
      <c r="E562" s="108">
        <v>1000</v>
      </c>
      <c r="F562">
        <v>0</v>
      </c>
      <c r="G562">
        <v>29</v>
      </c>
      <c r="H562" s="108">
        <v>10605</v>
      </c>
      <c r="I562" s="108">
        <v>10605</v>
      </c>
      <c r="J562" s="150">
        <v>0.50597222222222216</v>
      </c>
      <c r="K562" s="150">
        <v>0.50598379629629631</v>
      </c>
      <c r="L562" t="s">
        <v>165</v>
      </c>
      <c r="N562">
        <v>1681292</v>
      </c>
      <c r="O562">
        <v>1681292</v>
      </c>
      <c r="P562">
        <v>1681200</v>
      </c>
      <c r="Q562">
        <v>971</v>
      </c>
      <c r="R562" t="s">
        <v>166</v>
      </c>
      <c r="S562">
        <v>0</v>
      </c>
      <c r="T562" t="s">
        <v>167</v>
      </c>
      <c r="U562">
        <v>1681200</v>
      </c>
      <c r="W562" t="s">
        <v>168</v>
      </c>
      <c r="X562" t="s">
        <v>166</v>
      </c>
    </row>
    <row r="563" spans="1:24" x14ac:dyDescent="0.3">
      <c r="A563" s="7" t="s">
        <v>63</v>
      </c>
      <c r="B563" t="s">
        <v>64</v>
      </c>
      <c r="C563" t="s">
        <v>163</v>
      </c>
      <c r="D563" t="s">
        <v>164</v>
      </c>
      <c r="E563" s="108">
        <v>1000</v>
      </c>
      <c r="F563">
        <v>0</v>
      </c>
      <c r="G563">
        <v>65</v>
      </c>
      <c r="H563" s="108">
        <v>4760</v>
      </c>
      <c r="I563" s="108">
        <v>4760</v>
      </c>
      <c r="J563" s="150">
        <v>0.50653935185185184</v>
      </c>
      <c r="K563" s="150">
        <v>0.50660879629629629</v>
      </c>
      <c r="L563" t="s">
        <v>165</v>
      </c>
      <c r="N563">
        <v>1686122</v>
      </c>
      <c r="O563">
        <v>1686122</v>
      </c>
      <c r="P563">
        <v>1686098</v>
      </c>
      <c r="Q563">
        <v>935</v>
      </c>
      <c r="R563" t="s">
        <v>166</v>
      </c>
      <c r="S563">
        <v>0</v>
      </c>
      <c r="T563" t="s">
        <v>167</v>
      </c>
      <c r="U563">
        <v>1686098</v>
      </c>
      <c r="W563" t="s">
        <v>168</v>
      </c>
      <c r="X563" t="s">
        <v>166</v>
      </c>
    </row>
    <row r="564" spans="1:24" x14ac:dyDescent="0.3">
      <c r="A564" s="7" t="s">
        <v>63</v>
      </c>
      <c r="B564" t="s">
        <v>64</v>
      </c>
      <c r="C564" t="s">
        <v>163</v>
      </c>
      <c r="D564" t="s">
        <v>164</v>
      </c>
      <c r="E564" s="108">
        <v>1000</v>
      </c>
      <c r="F564">
        <v>0</v>
      </c>
      <c r="G564" s="108">
        <v>1000</v>
      </c>
      <c r="H564" s="108">
        <v>4760</v>
      </c>
      <c r="I564" s="108">
        <v>4760</v>
      </c>
      <c r="J564" s="150">
        <v>0.50733796296296296</v>
      </c>
      <c r="K564" s="150">
        <v>0.507349537037037</v>
      </c>
      <c r="L564" t="s">
        <v>165</v>
      </c>
      <c r="N564">
        <v>1694679</v>
      </c>
      <c r="O564">
        <v>1694679</v>
      </c>
      <c r="P564">
        <v>1694119</v>
      </c>
      <c r="Q564">
        <v>0</v>
      </c>
      <c r="R564" t="s">
        <v>166</v>
      </c>
      <c r="S564">
        <v>0</v>
      </c>
      <c r="T564" t="s">
        <v>167</v>
      </c>
      <c r="U564">
        <v>1694119</v>
      </c>
      <c r="W564" t="s">
        <v>168</v>
      </c>
      <c r="X564" t="s">
        <v>166</v>
      </c>
    </row>
    <row r="565" spans="1:24" x14ac:dyDescent="0.3">
      <c r="A565" s="7" t="s">
        <v>69</v>
      </c>
      <c r="B565" t="s">
        <v>70</v>
      </c>
      <c r="C565" t="s">
        <v>169</v>
      </c>
      <c r="D565" t="s">
        <v>164</v>
      </c>
      <c r="E565" s="108">
        <v>1000</v>
      </c>
      <c r="F565">
        <v>0</v>
      </c>
      <c r="G565">
        <v>500</v>
      </c>
      <c r="H565" s="108">
        <v>19450</v>
      </c>
      <c r="I565" s="108">
        <v>19450</v>
      </c>
      <c r="J565" s="150">
        <v>0.507349537037037</v>
      </c>
      <c r="K565" s="150">
        <v>0.507349537037037</v>
      </c>
      <c r="L565" t="s">
        <v>165</v>
      </c>
      <c r="N565">
        <v>1694760</v>
      </c>
      <c r="O565">
        <v>1694760</v>
      </c>
      <c r="P565">
        <v>1694714</v>
      </c>
      <c r="Q565">
        <v>500</v>
      </c>
      <c r="R565" t="s">
        <v>166</v>
      </c>
      <c r="S565">
        <v>0</v>
      </c>
      <c r="T565" t="s">
        <v>167</v>
      </c>
      <c r="U565">
        <v>1694714</v>
      </c>
      <c r="W565" t="s">
        <v>168</v>
      </c>
      <c r="X565" t="s">
        <v>166</v>
      </c>
    </row>
    <row r="566" spans="1:24" x14ac:dyDescent="0.3">
      <c r="A566" s="7" t="s">
        <v>67</v>
      </c>
      <c r="B566" t="s">
        <v>68</v>
      </c>
      <c r="C566" t="s">
        <v>169</v>
      </c>
      <c r="D566" t="s">
        <v>164</v>
      </c>
      <c r="E566" s="108">
        <v>1000</v>
      </c>
      <c r="F566">
        <v>0</v>
      </c>
      <c r="G566">
        <v>19</v>
      </c>
      <c r="H566" s="108">
        <v>10605</v>
      </c>
      <c r="I566" s="108">
        <v>10605</v>
      </c>
      <c r="J566" s="150">
        <v>0.50769675925925928</v>
      </c>
      <c r="K566" s="150">
        <v>0.50769675925925928</v>
      </c>
      <c r="L566" t="s">
        <v>165</v>
      </c>
      <c r="N566">
        <v>1698359</v>
      </c>
      <c r="O566">
        <v>1698359</v>
      </c>
      <c r="P566">
        <v>1697328</v>
      </c>
      <c r="Q566">
        <v>981</v>
      </c>
      <c r="R566" t="s">
        <v>166</v>
      </c>
      <c r="S566">
        <v>0</v>
      </c>
      <c r="T566" t="s">
        <v>167</v>
      </c>
      <c r="U566">
        <v>1697328</v>
      </c>
      <c r="W566" t="s">
        <v>168</v>
      </c>
      <c r="X566" t="s">
        <v>166</v>
      </c>
    </row>
    <row r="567" spans="1:24" x14ac:dyDescent="0.3">
      <c r="A567" s="7" t="s">
        <v>63</v>
      </c>
      <c r="B567" t="s">
        <v>64</v>
      </c>
      <c r="C567" t="s">
        <v>163</v>
      </c>
      <c r="D567" t="s">
        <v>170</v>
      </c>
      <c r="E567" s="108">
        <v>1000</v>
      </c>
      <c r="F567">
        <v>0</v>
      </c>
      <c r="G567">
        <v>2</v>
      </c>
      <c r="H567" s="108">
        <v>4760</v>
      </c>
      <c r="I567" s="108">
        <v>4760</v>
      </c>
      <c r="J567" s="150">
        <v>0.5080324074074074</v>
      </c>
      <c r="K567" s="150">
        <v>0.5080324074074074</v>
      </c>
      <c r="L567" t="s">
        <v>165</v>
      </c>
      <c r="N567">
        <v>1701407</v>
      </c>
      <c r="O567">
        <v>1701407</v>
      </c>
      <c r="P567">
        <v>0</v>
      </c>
      <c r="Q567">
        <v>998</v>
      </c>
      <c r="R567" t="s">
        <v>166</v>
      </c>
      <c r="S567">
        <v>0</v>
      </c>
      <c r="T567" t="s">
        <v>167</v>
      </c>
      <c r="U567">
        <v>0</v>
      </c>
      <c r="W567" t="s">
        <v>168</v>
      </c>
      <c r="X567" t="s">
        <v>166</v>
      </c>
    </row>
    <row r="568" spans="1:24" x14ac:dyDescent="0.3">
      <c r="A568" s="7" t="s">
        <v>69</v>
      </c>
      <c r="B568" t="s">
        <v>70</v>
      </c>
      <c r="C568" t="s">
        <v>169</v>
      </c>
      <c r="D568" t="s">
        <v>164</v>
      </c>
      <c r="E568" s="108">
        <v>1000</v>
      </c>
      <c r="F568">
        <v>0</v>
      </c>
      <c r="G568" s="108">
        <v>1000</v>
      </c>
      <c r="H568" s="108">
        <v>19450</v>
      </c>
      <c r="I568" s="108">
        <v>19450</v>
      </c>
      <c r="J568" s="150">
        <v>0.50824074074074077</v>
      </c>
      <c r="K568" s="150">
        <v>0.50825231481481481</v>
      </c>
      <c r="L568" t="s">
        <v>165</v>
      </c>
      <c r="N568">
        <v>1703546</v>
      </c>
      <c r="O568">
        <v>1703546</v>
      </c>
      <c r="P568">
        <v>1703072</v>
      </c>
      <c r="Q568">
        <v>0</v>
      </c>
      <c r="R568" t="s">
        <v>166</v>
      </c>
      <c r="S568">
        <v>0</v>
      </c>
      <c r="T568" t="s">
        <v>167</v>
      </c>
      <c r="U568">
        <v>1703072</v>
      </c>
      <c r="W568" t="s">
        <v>168</v>
      </c>
      <c r="X568" t="s">
        <v>166</v>
      </c>
    </row>
    <row r="569" spans="1:24" x14ac:dyDescent="0.3">
      <c r="A569" s="7" t="s">
        <v>85</v>
      </c>
      <c r="B569" t="s">
        <v>86</v>
      </c>
      <c r="C569" t="s">
        <v>163</v>
      </c>
      <c r="D569" t="s">
        <v>164</v>
      </c>
      <c r="E569" s="108">
        <v>1000</v>
      </c>
      <c r="F569">
        <v>0</v>
      </c>
      <c r="G569">
        <v>16</v>
      </c>
      <c r="H569" s="108">
        <v>12635</v>
      </c>
      <c r="I569" s="108">
        <v>12635</v>
      </c>
      <c r="J569" s="150">
        <v>0.50851851851851848</v>
      </c>
      <c r="K569" s="150">
        <v>0.50853009259259252</v>
      </c>
      <c r="L569" t="s">
        <v>165</v>
      </c>
      <c r="N569">
        <v>1706549</v>
      </c>
      <c r="O569">
        <v>1706549</v>
      </c>
      <c r="P569">
        <v>1705869</v>
      </c>
      <c r="Q569">
        <v>984</v>
      </c>
      <c r="R569" t="s">
        <v>166</v>
      </c>
      <c r="S569">
        <v>0</v>
      </c>
      <c r="T569" t="s">
        <v>167</v>
      </c>
      <c r="U569">
        <v>1705869</v>
      </c>
      <c r="W569" t="s">
        <v>168</v>
      </c>
      <c r="X569" t="s">
        <v>166</v>
      </c>
    </row>
    <row r="570" spans="1:24" x14ac:dyDescent="0.3">
      <c r="A570" s="7" t="s">
        <v>63</v>
      </c>
      <c r="B570" t="s">
        <v>64</v>
      </c>
      <c r="C570" t="s">
        <v>163</v>
      </c>
      <c r="D570" t="s">
        <v>164</v>
      </c>
      <c r="E570" s="108">
        <v>1000</v>
      </c>
      <c r="F570">
        <v>0</v>
      </c>
      <c r="G570" s="108">
        <v>1000</v>
      </c>
      <c r="H570" s="108">
        <v>4765</v>
      </c>
      <c r="I570" s="108">
        <v>4765</v>
      </c>
      <c r="J570" s="150">
        <v>0.50876157407407407</v>
      </c>
      <c r="K570" s="150">
        <v>0.50876157407407407</v>
      </c>
      <c r="L570" t="s">
        <v>165</v>
      </c>
      <c r="N570">
        <v>1708640</v>
      </c>
      <c r="O570">
        <v>1708640</v>
      </c>
      <c r="P570">
        <v>1708327</v>
      </c>
      <c r="Q570">
        <v>0</v>
      </c>
      <c r="R570" t="s">
        <v>166</v>
      </c>
      <c r="S570">
        <v>0</v>
      </c>
      <c r="T570" t="s">
        <v>167</v>
      </c>
      <c r="U570">
        <v>1708327</v>
      </c>
      <c r="W570" t="s">
        <v>168</v>
      </c>
      <c r="X570" t="s">
        <v>166</v>
      </c>
    </row>
    <row r="571" spans="1:24" x14ac:dyDescent="0.3">
      <c r="A571" s="7" t="s">
        <v>138</v>
      </c>
      <c r="B571" t="s">
        <v>171</v>
      </c>
      <c r="C571" t="s">
        <v>169</v>
      </c>
      <c r="D571" t="s">
        <v>164</v>
      </c>
      <c r="E571" s="108">
        <v>1000</v>
      </c>
      <c r="F571">
        <v>0</v>
      </c>
      <c r="G571" s="108">
        <v>1000</v>
      </c>
      <c r="H571" s="108">
        <v>9240</v>
      </c>
      <c r="I571" s="108">
        <v>9240</v>
      </c>
      <c r="J571" s="150">
        <v>0.50888888888888884</v>
      </c>
      <c r="K571" s="150">
        <v>0.50888888888888884</v>
      </c>
      <c r="L571" t="s">
        <v>165</v>
      </c>
      <c r="N571">
        <v>1710091</v>
      </c>
      <c r="O571">
        <v>1710091</v>
      </c>
      <c r="P571">
        <v>1709345</v>
      </c>
      <c r="Q571">
        <v>0</v>
      </c>
      <c r="R571" t="s">
        <v>166</v>
      </c>
      <c r="S571">
        <v>0</v>
      </c>
      <c r="T571" t="s">
        <v>167</v>
      </c>
      <c r="U571">
        <v>1709345</v>
      </c>
      <c r="W571" t="s">
        <v>168</v>
      </c>
      <c r="X571" t="s">
        <v>166</v>
      </c>
    </row>
    <row r="572" spans="1:24" x14ac:dyDescent="0.3">
      <c r="A572" s="7" t="s">
        <v>69</v>
      </c>
      <c r="B572" t="s">
        <v>70</v>
      </c>
      <c r="C572" t="s">
        <v>169</v>
      </c>
      <c r="D572" t="s">
        <v>170</v>
      </c>
      <c r="E572" s="108">
        <v>1000</v>
      </c>
      <c r="F572">
        <v>0</v>
      </c>
      <c r="G572" s="108">
        <v>1000</v>
      </c>
      <c r="H572" s="108">
        <v>19455</v>
      </c>
      <c r="I572" s="108">
        <v>19455</v>
      </c>
      <c r="J572" s="150">
        <v>0.50893518518518521</v>
      </c>
      <c r="K572" s="150">
        <v>0.50893518518518521</v>
      </c>
      <c r="L572" t="s">
        <v>165</v>
      </c>
      <c r="N572">
        <v>1710619</v>
      </c>
      <c r="O572">
        <v>1710619</v>
      </c>
      <c r="P572">
        <v>0</v>
      </c>
      <c r="Q572">
        <v>0</v>
      </c>
      <c r="R572" t="s">
        <v>166</v>
      </c>
      <c r="S572">
        <v>0</v>
      </c>
      <c r="T572" t="s">
        <v>167</v>
      </c>
      <c r="U572">
        <v>0</v>
      </c>
      <c r="W572" t="s">
        <v>168</v>
      </c>
      <c r="X572" t="s">
        <v>166</v>
      </c>
    </row>
    <row r="573" spans="1:24" x14ac:dyDescent="0.3">
      <c r="A573" s="7" t="s">
        <v>63</v>
      </c>
      <c r="B573" t="s">
        <v>64</v>
      </c>
      <c r="C573" t="s">
        <v>163</v>
      </c>
      <c r="D573" t="s">
        <v>164</v>
      </c>
      <c r="E573" s="108">
        <v>1000</v>
      </c>
      <c r="F573">
        <v>0</v>
      </c>
      <c r="G573" s="108">
        <v>1000</v>
      </c>
      <c r="H573" s="108">
        <v>4765</v>
      </c>
      <c r="I573" s="108">
        <v>4765</v>
      </c>
      <c r="J573" s="150">
        <v>0.50954861111111105</v>
      </c>
      <c r="K573" s="150">
        <v>0.50954861111111105</v>
      </c>
      <c r="L573" t="s">
        <v>165</v>
      </c>
      <c r="N573">
        <v>1716968</v>
      </c>
      <c r="O573">
        <v>1716968</v>
      </c>
      <c r="P573">
        <v>1716145</v>
      </c>
      <c r="Q573">
        <v>0</v>
      </c>
      <c r="R573" t="s">
        <v>166</v>
      </c>
      <c r="S573">
        <v>0</v>
      </c>
      <c r="T573" t="s">
        <v>167</v>
      </c>
      <c r="U573">
        <v>1716145</v>
      </c>
      <c r="W573" t="s">
        <v>168</v>
      </c>
      <c r="X573" t="s">
        <v>166</v>
      </c>
    </row>
    <row r="574" spans="1:24" x14ac:dyDescent="0.3">
      <c r="A574" s="7" t="s">
        <v>69</v>
      </c>
      <c r="B574" t="s">
        <v>70</v>
      </c>
      <c r="C574" t="s">
        <v>169</v>
      </c>
      <c r="D574" t="s">
        <v>164</v>
      </c>
      <c r="E574" s="108">
        <v>1000</v>
      </c>
      <c r="F574">
        <v>0</v>
      </c>
      <c r="G574" s="108">
        <v>1000</v>
      </c>
      <c r="H574" s="108">
        <v>19425</v>
      </c>
      <c r="I574" s="108">
        <v>19425</v>
      </c>
      <c r="J574" s="150">
        <v>0.50989583333333333</v>
      </c>
      <c r="K574" s="150">
        <v>0.50989583333333333</v>
      </c>
      <c r="L574" t="s">
        <v>165</v>
      </c>
      <c r="N574">
        <v>1720585</v>
      </c>
      <c r="O574">
        <v>1720585</v>
      </c>
      <c r="P574">
        <v>1720409</v>
      </c>
      <c r="Q574">
        <v>0</v>
      </c>
      <c r="R574" t="s">
        <v>166</v>
      </c>
      <c r="S574">
        <v>0</v>
      </c>
      <c r="T574" t="s">
        <v>167</v>
      </c>
      <c r="U574">
        <v>1720409</v>
      </c>
      <c r="W574" t="s">
        <v>168</v>
      </c>
      <c r="X574" t="s">
        <v>166</v>
      </c>
    </row>
    <row r="575" spans="1:24" x14ac:dyDescent="0.3">
      <c r="A575" s="7" t="s">
        <v>63</v>
      </c>
      <c r="B575" t="s">
        <v>64</v>
      </c>
      <c r="C575" t="s">
        <v>163</v>
      </c>
      <c r="D575" t="s">
        <v>164</v>
      </c>
      <c r="E575" s="108">
        <v>1000</v>
      </c>
      <c r="F575">
        <v>0</v>
      </c>
      <c r="G575" s="108">
        <v>1000</v>
      </c>
      <c r="H575" s="108">
        <v>4765</v>
      </c>
      <c r="I575" s="108">
        <v>4765</v>
      </c>
      <c r="J575" s="150">
        <v>0.51026620370370368</v>
      </c>
      <c r="K575" s="150">
        <v>0.51026620370370368</v>
      </c>
      <c r="L575" t="s">
        <v>165</v>
      </c>
      <c r="N575">
        <v>1724777</v>
      </c>
      <c r="O575">
        <v>1724777</v>
      </c>
      <c r="P575">
        <v>1724617</v>
      </c>
      <c r="Q575">
        <v>0</v>
      </c>
      <c r="R575" t="s">
        <v>166</v>
      </c>
      <c r="S575">
        <v>0</v>
      </c>
      <c r="T575" t="s">
        <v>167</v>
      </c>
      <c r="U575">
        <v>1724617</v>
      </c>
      <c r="W575" t="s">
        <v>168</v>
      </c>
      <c r="X575" t="s">
        <v>166</v>
      </c>
    </row>
    <row r="576" spans="1:24" x14ac:dyDescent="0.3">
      <c r="A576" s="7" t="s">
        <v>106</v>
      </c>
      <c r="B576" t="s">
        <v>107</v>
      </c>
      <c r="C576" t="s">
        <v>163</v>
      </c>
      <c r="D576" t="s">
        <v>164</v>
      </c>
      <c r="E576" s="108">
        <v>1000</v>
      </c>
      <c r="F576">
        <v>0</v>
      </c>
      <c r="G576">
        <v>373</v>
      </c>
      <c r="H576" s="108">
        <v>2685</v>
      </c>
      <c r="I576" s="108">
        <v>2685</v>
      </c>
      <c r="J576" s="150">
        <v>0.51026620370370368</v>
      </c>
      <c r="K576" s="150">
        <v>0.5146412037037037</v>
      </c>
      <c r="L576" t="s">
        <v>165</v>
      </c>
      <c r="N576">
        <v>1724924</v>
      </c>
      <c r="O576">
        <v>1724924</v>
      </c>
      <c r="P576">
        <v>1724923</v>
      </c>
      <c r="Q576">
        <v>627</v>
      </c>
      <c r="R576" t="s">
        <v>166</v>
      </c>
      <c r="S576">
        <v>0</v>
      </c>
      <c r="T576" t="s">
        <v>167</v>
      </c>
      <c r="U576">
        <v>1724923</v>
      </c>
      <c r="W576" t="s">
        <v>168</v>
      </c>
      <c r="X576" t="s">
        <v>166</v>
      </c>
    </row>
    <row r="577" spans="1:24" x14ac:dyDescent="0.3">
      <c r="A577" s="7" t="s">
        <v>63</v>
      </c>
      <c r="B577" t="s">
        <v>64</v>
      </c>
      <c r="C577" t="s">
        <v>163</v>
      </c>
      <c r="D577" t="s">
        <v>170</v>
      </c>
      <c r="E577" s="108">
        <v>1000</v>
      </c>
      <c r="F577">
        <v>0</v>
      </c>
      <c r="G577">
        <v>980</v>
      </c>
      <c r="H577" s="108">
        <v>4765</v>
      </c>
      <c r="I577" s="108">
        <v>4765</v>
      </c>
      <c r="J577" s="150">
        <v>0.51096064814814812</v>
      </c>
      <c r="K577" s="150">
        <v>0.51096064814814812</v>
      </c>
      <c r="L577" t="s">
        <v>165</v>
      </c>
      <c r="N577">
        <v>1733643</v>
      </c>
      <c r="O577">
        <v>1733643</v>
      </c>
      <c r="P577">
        <v>0</v>
      </c>
      <c r="Q577">
        <v>20</v>
      </c>
      <c r="R577" t="s">
        <v>166</v>
      </c>
      <c r="S577">
        <v>0</v>
      </c>
      <c r="T577" t="s">
        <v>167</v>
      </c>
      <c r="U577">
        <v>0</v>
      </c>
      <c r="W577" t="s">
        <v>168</v>
      </c>
      <c r="X577" t="s">
        <v>166</v>
      </c>
    </row>
    <row r="578" spans="1:24" x14ac:dyDescent="0.3">
      <c r="A578" s="7" t="s">
        <v>71</v>
      </c>
      <c r="B578" t="s">
        <v>72</v>
      </c>
      <c r="C578" t="s">
        <v>169</v>
      </c>
      <c r="D578" t="s">
        <v>164</v>
      </c>
      <c r="E578" s="108">
        <v>1000</v>
      </c>
      <c r="F578">
        <v>0</v>
      </c>
      <c r="G578">
        <v>619</v>
      </c>
      <c r="H578" s="108">
        <v>18990</v>
      </c>
      <c r="I578" s="108">
        <v>18990</v>
      </c>
      <c r="J578" s="150">
        <v>0.51137731481481474</v>
      </c>
      <c r="K578" s="150">
        <v>0.51137731481481474</v>
      </c>
      <c r="L578" t="s">
        <v>165</v>
      </c>
      <c r="N578">
        <v>1738184</v>
      </c>
      <c r="O578">
        <v>1738184</v>
      </c>
      <c r="P578">
        <v>1738059</v>
      </c>
      <c r="Q578">
        <v>381</v>
      </c>
      <c r="R578" t="s">
        <v>166</v>
      </c>
      <c r="S578">
        <v>0</v>
      </c>
      <c r="T578" t="s">
        <v>167</v>
      </c>
      <c r="U578">
        <v>1738059</v>
      </c>
      <c r="W578" t="s">
        <v>168</v>
      </c>
      <c r="X578" t="s">
        <v>166</v>
      </c>
    </row>
    <row r="579" spans="1:24" x14ac:dyDescent="0.3">
      <c r="A579" s="7" t="s">
        <v>63</v>
      </c>
      <c r="B579" t="s">
        <v>64</v>
      </c>
      <c r="C579" t="s">
        <v>163</v>
      </c>
      <c r="D579" t="s">
        <v>170</v>
      </c>
      <c r="E579" s="108">
        <v>1000</v>
      </c>
      <c r="F579">
        <v>0</v>
      </c>
      <c r="G579" s="108">
        <v>1000</v>
      </c>
      <c r="H579" s="108">
        <v>4765</v>
      </c>
      <c r="I579" s="108">
        <v>4765</v>
      </c>
      <c r="J579" s="150">
        <v>0.51165509259259256</v>
      </c>
      <c r="K579" s="150">
        <v>0.51165509259259256</v>
      </c>
      <c r="L579" t="s">
        <v>165</v>
      </c>
      <c r="N579">
        <v>1741132</v>
      </c>
      <c r="O579">
        <v>1741132</v>
      </c>
      <c r="P579">
        <v>0</v>
      </c>
      <c r="Q579">
        <v>0</v>
      </c>
      <c r="R579" t="s">
        <v>166</v>
      </c>
      <c r="S579">
        <v>0</v>
      </c>
      <c r="T579" t="s">
        <v>167</v>
      </c>
      <c r="U579">
        <v>0</v>
      </c>
      <c r="W579" t="s">
        <v>168</v>
      </c>
      <c r="X579" t="s">
        <v>166</v>
      </c>
    </row>
    <row r="580" spans="1:24" x14ac:dyDescent="0.3">
      <c r="A580" s="7" t="s">
        <v>63</v>
      </c>
      <c r="B580" t="s">
        <v>64</v>
      </c>
      <c r="C580" t="s">
        <v>163</v>
      </c>
      <c r="D580" t="s">
        <v>170</v>
      </c>
      <c r="E580" s="108">
        <v>1000</v>
      </c>
      <c r="F580">
        <v>0</v>
      </c>
      <c r="G580">
        <v>197</v>
      </c>
      <c r="H580" s="108">
        <v>4770</v>
      </c>
      <c r="I580" s="108">
        <v>4770</v>
      </c>
      <c r="J580" s="150">
        <v>0.51234953703703701</v>
      </c>
      <c r="K580" s="150">
        <v>0.51251157407407411</v>
      </c>
      <c r="L580" t="s">
        <v>165</v>
      </c>
      <c r="N580">
        <v>1748304</v>
      </c>
      <c r="O580">
        <v>1748304</v>
      </c>
      <c r="P580">
        <v>0</v>
      </c>
      <c r="Q580">
        <v>803</v>
      </c>
      <c r="R580" t="s">
        <v>166</v>
      </c>
      <c r="S580">
        <v>0</v>
      </c>
      <c r="T580" t="s">
        <v>167</v>
      </c>
      <c r="U580">
        <v>0</v>
      </c>
      <c r="W580" t="s">
        <v>168</v>
      </c>
      <c r="X580" t="s">
        <v>166</v>
      </c>
    </row>
    <row r="581" spans="1:24" x14ac:dyDescent="0.3">
      <c r="A581" s="7" t="s">
        <v>71</v>
      </c>
      <c r="B581" t="s">
        <v>72</v>
      </c>
      <c r="C581" t="s">
        <v>169</v>
      </c>
      <c r="D581" t="s">
        <v>164</v>
      </c>
      <c r="E581" s="108">
        <v>1000</v>
      </c>
      <c r="F581">
        <v>0</v>
      </c>
      <c r="G581">
        <v>619</v>
      </c>
      <c r="H581" s="108">
        <v>19000</v>
      </c>
      <c r="I581" s="108">
        <v>19000</v>
      </c>
      <c r="J581" s="150">
        <v>0.51244212962962965</v>
      </c>
      <c r="K581" s="150">
        <v>0.51253472222222218</v>
      </c>
      <c r="L581" t="s">
        <v>165</v>
      </c>
      <c r="N581">
        <v>1749252</v>
      </c>
      <c r="O581">
        <v>1749252</v>
      </c>
      <c r="P581">
        <v>1749046</v>
      </c>
      <c r="Q581">
        <v>381</v>
      </c>
      <c r="R581" t="s">
        <v>166</v>
      </c>
      <c r="S581">
        <v>0</v>
      </c>
      <c r="T581" t="s">
        <v>167</v>
      </c>
      <c r="U581">
        <v>1749046</v>
      </c>
      <c r="W581" t="s">
        <v>168</v>
      </c>
      <c r="X581" t="s">
        <v>166</v>
      </c>
    </row>
    <row r="582" spans="1:24" x14ac:dyDescent="0.3">
      <c r="A582" s="7" t="s">
        <v>63</v>
      </c>
      <c r="B582" t="s">
        <v>64</v>
      </c>
      <c r="C582" t="s">
        <v>163</v>
      </c>
      <c r="D582" t="s">
        <v>170</v>
      </c>
      <c r="E582" s="108">
        <v>1000</v>
      </c>
      <c r="F582">
        <v>0</v>
      </c>
      <c r="G582">
        <v>158</v>
      </c>
      <c r="H582" s="108">
        <v>4765</v>
      </c>
      <c r="I582" s="108">
        <v>4765</v>
      </c>
      <c r="J582" s="150">
        <v>0.51320601851851855</v>
      </c>
      <c r="K582" s="150">
        <v>0.51320601851851855</v>
      </c>
      <c r="L582" t="s">
        <v>165</v>
      </c>
      <c r="N582">
        <v>1756191</v>
      </c>
      <c r="O582">
        <v>1756191</v>
      </c>
      <c r="P582">
        <v>0</v>
      </c>
      <c r="Q582">
        <v>842</v>
      </c>
      <c r="R582" t="s">
        <v>166</v>
      </c>
      <c r="S582">
        <v>0</v>
      </c>
      <c r="T582" t="s">
        <v>167</v>
      </c>
      <c r="U582">
        <v>0</v>
      </c>
      <c r="W582" t="s">
        <v>168</v>
      </c>
      <c r="X582" t="s">
        <v>166</v>
      </c>
    </row>
    <row r="583" spans="1:24" x14ac:dyDescent="0.3">
      <c r="A583" s="7" t="s">
        <v>67</v>
      </c>
      <c r="B583" t="s">
        <v>68</v>
      </c>
      <c r="C583" t="s">
        <v>169</v>
      </c>
      <c r="D583" t="s">
        <v>164</v>
      </c>
      <c r="E583" s="108">
        <v>1000</v>
      </c>
      <c r="F583">
        <v>0</v>
      </c>
      <c r="G583">
        <v>8</v>
      </c>
      <c r="H583" s="108">
        <v>10615</v>
      </c>
      <c r="I583" s="108">
        <v>10615</v>
      </c>
      <c r="J583" s="150">
        <v>0.51396990740740744</v>
      </c>
      <c r="K583" s="150">
        <v>0.51398148148148148</v>
      </c>
      <c r="L583" t="s">
        <v>165</v>
      </c>
      <c r="N583">
        <v>1764646</v>
      </c>
      <c r="O583">
        <v>1764646</v>
      </c>
      <c r="P583">
        <v>1764564</v>
      </c>
      <c r="Q583">
        <v>992</v>
      </c>
      <c r="R583" t="s">
        <v>166</v>
      </c>
      <c r="S583">
        <v>0</v>
      </c>
      <c r="T583" t="s">
        <v>167</v>
      </c>
      <c r="U583">
        <v>1764564</v>
      </c>
      <c r="W583" t="s">
        <v>168</v>
      </c>
      <c r="X583" t="s">
        <v>166</v>
      </c>
    </row>
    <row r="584" spans="1:24" x14ac:dyDescent="0.3">
      <c r="A584" s="7" t="s">
        <v>138</v>
      </c>
      <c r="B584" t="s">
        <v>171</v>
      </c>
      <c r="C584" t="s">
        <v>163</v>
      </c>
      <c r="D584" t="s">
        <v>164</v>
      </c>
      <c r="E584" s="108">
        <v>1000</v>
      </c>
      <c r="F584">
        <v>0</v>
      </c>
      <c r="G584" s="108">
        <v>1000</v>
      </c>
      <c r="H584" s="108">
        <v>9265</v>
      </c>
      <c r="I584" s="108">
        <v>9265</v>
      </c>
      <c r="J584" s="150">
        <v>0.51406249999999998</v>
      </c>
      <c r="K584" s="150">
        <v>0.51410879629629636</v>
      </c>
      <c r="L584" t="s">
        <v>165</v>
      </c>
      <c r="N584">
        <v>1765535</v>
      </c>
      <c r="O584">
        <v>1765535</v>
      </c>
      <c r="P584">
        <v>1764953</v>
      </c>
      <c r="Q584">
        <v>0</v>
      </c>
      <c r="R584" t="s">
        <v>166</v>
      </c>
      <c r="S584">
        <v>0</v>
      </c>
      <c r="T584" t="s">
        <v>167</v>
      </c>
      <c r="U584">
        <v>1764953</v>
      </c>
      <c r="W584" t="s">
        <v>168</v>
      </c>
      <c r="X584" t="s">
        <v>166</v>
      </c>
    </row>
    <row r="585" spans="1:24" x14ac:dyDescent="0.3">
      <c r="A585" s="7" t="s">
        <v>63</v>
      </c>
      <c r="B585" t="s">
        <v>64</v>
      </c>
      <c r="C585" t="s">
        <v>163</v>
      </c>
      <c r="D585" t="s">
        <v>164</v>
      </c>
      <c r="E585" s="108">
        <v>1000</v>
      </c>
      <c r="F585">
        <v>0</v>
      </c>
      <c r="G585" s="108">
        <v>1000</v>
      </c>
      <c r="H585" s="108">
        <v>4765</v>
      </c>
      <c r="I585" s="108">
        <v>4765</v>
      </c>
      <c r="J585" s="150">
        <v>0.51423611111111112</v>
      </c>
      <c r="K585" s="150">
        <v>0.51423611111111112</v>
      </c>
      <c r="L585" t="s">
        <v>165</v>
      </c>
      <c r="N585">
        <v>1767950</v>
      </c>
      <c r="O585">
        <v>1767950</v>
      </c>
      <c r="P585">
        <v>1763702</v>
      </c>
      <c r="Q585">
        <v>0</v>
      </c>
      <c r="R585" t="s">
        <v>166</v>
      </c>
      <c r="S585">
        <v>0</v>
      </c>
      <c r="T585" t="s">
        <v>167</v>
      </c>
      <c r="U585">
        <v>1763702</v>
      </c>
      <c r="W585" t="s">
        <v>168</v>
      </c>
      <c r="X585" t="s">
        <v>166</v>
      </c>
    </row>
    <row r="586" spans="1:24" x14ac:dyDescent="0.3">
      <c r="A586" s="7" t="s">
        <v>112</v>
      </c>
      <c r="B586" t="s">
        <v>113</v>
      </c>
      <c r="C586" t="s">
        <v>169</v>
      </c>
      <c r="D586" t="s">
        <v>164</v>
      </c>
      <c r="E586" s="108">
        <v>1000</v>
      </c>
      <c r="F586">
        <v>0</v>
      </c>
      <c r="G586" s="108">
        <v>1000</v>
      </c>
      <c r="H586" s="108">
        <v>56555</v>
      </c>
      <c r="I586" s="108">
        <v>56555</v>
      </c>
      <c r="J586" s="150">
        <v>0.51450231481481479</v>
      </c>
      <c r="K586" s="150">
        <v>0.51450231481481479</v>
      </c>
      <c r="L586" t="s">
        <v>165</v>
      </c>
      <c r="N586">
        <v>1770430</v>
      </c>
      <c r="O586">
        <v>1770430</v>
      </c>
      <c r="P586">
        <v>1770411</v>
      </c>
      <c r="Q586">
        <v>0</v>
      </c>
      <c r="R586" t="s">
        <v>166</v>
      </c>
      <c r="S586">
        <v>0</v>
      </c>
      <c r="T586" t="s">
        <v>167</v>
      </c>
      <c r="U586">
        <v>1770411</v>
      </c>
      <c r="W586" t="s">
        <v>168</v>
      </c>
      <c r="X586" t="s">
        <v>166</v>
      </c>
    </row>
    <row r="587" spans="1:24" x14ac:dyDescent="0.3">
      <c r="A587" s="7" t="s">
        <v>67</v>
      </c>
      <c r="B587" t="s">
        <v>68</v>
      </c>
      <c r="C587" t="s">
        <v>169</v>
      </c>
      <c r="D587" t="s">
        <v>164</v>
      </c>
      <c r="E587" s="108">
        <v>1000</v>
      </c>
      <c r="F587">
        <v>0</v>
      </c>
      <c r="G587" s="108">
        <v>1000</v>
      </c>
      <c r="H587" s="108">
        <v>10615</v>
      </c>
      <c r="I587" s="108">
        <v>10615</v>
      </c>
      <c r="J587" s="150">
        <v>0.51495370370370364</v>
      </c>
      <c r="K587" s="150">
        <v>0.51500000000000001</v>
      </c>
      <c r="L587" t="s">
        <v>165</v>
      </c>
      <c r="N587">
        <v>1773989</v>
      </c>
      <c r="O587">
        <v>1773989</v>
      </c>
      <c r="P587">
        <v>1773849</v>
      </c>
      <c r="Q587">
        <v>0</v>
      </c>
      <c r="R587" t="s">
        <v>166</v>
      </c>
      <c r="S587">
        <v>0</v>
      </c>
      <c r="T587" t="s">
        <v>167</v>
      </c>
      <c r="U587">
        <v>1773849</v>
      </c>
      <c r="W587" t="s">
        <v>168</v>
      </c>
      <c r="X587" t="s">
        <v>166</v>
      </c>
    </row>
    <row r="588" spans="1:24" x14ac:dyDescent="0.3">
      <c r="A588" s="7" t="s">
        <v>63</v>
      </c>
      <c r="B588" t="s">
        <v>64</v>
      </c>
      <c r="C588" t="s">
        <v>163</v>
      </c>
      <c r="D588" t="s">
        <v>164</v>
      </c>
      <c r="E588" s="108">
        <v>1000</v>
      </c>
      <c r="F588">
        <v>0</v>
      </c>
      <c r="G588">
        <v>53</v>
      </c>
      <c r="H588" s="108">
        <v>4765</v>
      </c>
      <c r="I588" s="108">
        <v>4765</v>
      </c>
      <c r="J588" s="150">
        <v>0.5153240740740741</v>
      </c>
      <c r="K588" s="150">
        <v>0.51539351851851845</v>
      </c>
      <c r="L588" t="s">
        <v>165</v>
      </c>
      <c r="N588">
        <v>1777231</v>
      </c>
      <c r="O588">
        <v>1777231</v>
      </c>
      <c r="P588">
        <v>1777214</v>
      </c>
      <c r="Q588">
        <v>947</v>
      </c>
      <c r="R588" t="s">
        <v>166</v>
      </c>
      <c r="S588">
        <v>0</v>
      </c>
      <c r="T588" t="s">
        <v>167</v>
      </c>
      <c r="U588">
        <v>1777214</v>
      </c>
      <c r="W588" t="s">
        <v>168</v>
      </c>
      <c r="X588" t="s">
        <v>166</v>
      </c>
    </row>
    <row r="589" spans="1:24" x14ac:dyDescent="0.3">
      <c r="A589" s="7" t="s">
        <v>63</v>
      </c>
      <c r="B589" t="s">
        <v>64</v>
      </c>
      <c r="C589" t="s">
        <v>163</v>
      </c>
      <c r="D589" t="s">
        <v>164</v>
      </c>
      <c r="E589" s="108">
        <v>1000</v>
      </c>
      <c r="F589">
        <v>0</v>
      </c>
      <c r="G589" s="108">
        <v>1000</v>
      </c>
      <c r="H589" s="108">
        <v>4765</v>
      </c>
      <c r="I589" s="108">
        <v>4765</v>
      </c>
      <c r="J589" s="150">
        <v>0.51649305555555558</v>
      </c>
      <c r="K589" s="150">
        <v>0.51650462962962962</v>
      </c>
      <c r="L589" t="s">
        <v>165</v>
      </c>
      <c r="N589">
        <v>1789280</v>
      </c>
      <c r="O589">
        <v>1789280</v>
      </c>
      <c r="P589">
        <v>1786937</v>
      </c>
      <c r="Q589">
        <v>0</v>
      </c>
      <c r="R589" t="s">
        <v>166</v>
      </c>
      <c r="S589">
        <v>0</v>
      </c>
      <c r="T589" t="s">
        <v>167</v>
      </c>
      <c r="U589">
        <v>1786937</v>
      </c>
      <c r="W589" t="s">
        <v>168</v>
      </c>
      <c r="X589" t="s">
        <v>166</v>
      </c>
    </row>
    <row r="590" spans="1:24" x14ac:dyDescent="0.3">
      <c r="A590" s="7" t="s">
        <v>67</v>
      </c>
      <c r="B590" t="s">
        <v>68</v>
      </c>
      <c r="C590" t="s">
        <v>169</v>
      </c>
      <c r="D590" t="s">
        <v>164</v>
      </c>
      <c r="E590" s="108">
        <v>1000</v>
      </c>
      <c r="F590">
        <v>0</v>
      </c>
      <c r="G590">
        <v>280</v>
      </c>
      <c r="H590" s="108">
        <v>10620</v>
      </c>
      <c r="I590" s="108">
        <v>10620</v>
      </c>
      <c r="J590" s="150">
        <v>0.5169097222222222</v>
      </c>
      <c r="K590" s="150">
        <v>0.5169097222222222</v>
      </c>
      <c r="L590" t="s">
        <v>165</v>
      </c>
      <c r="N590">
        <v>1794175</v>
      </c>
      <c r="O590">
        <v>1794175</v>
      </c>
      <c r="P590">
        <v>1793846</v>
      </c>
      <c r="Q590">
        <v>720</v>
      </c>
      <c r="R590" t="s">
        <v>166</v>
      </c>
      <c r="S590">
        <v>0</v>
      </c>
      <c r="T590" t="s">
        <v>167</v>
      </c>
      <c r="U590">
        <v>1793846</v>
      </c>
      <c r="W590" t="s">
        <v>168</v>
      </c>
      <c r="X590" t="s">
        <v>166</v>
      </c>
    </row>
    <row r="591" spans="1:24" x14ac:dyDescent="0.3">
      <c r="A591" s="7" t="s">
        <v>63</v>
      </c>
      <c r="B591" t="s">
        <v>64</v>
      </c>
      <c r="C591" t="s">
        <v>163</v>
      </c>
      <c r="D591" t="s">
        <v>170</v>
      </c>
      <c r="E591" s="108">
        <v>1000</v>
      </c>
      <c r="F591">
        <v>0</v>
      </c>
      <c r="G591" s="108">
        <v>1000</v>
      </c>
      <c r="H591" s="108">
        <v>4770</v>
      </c>
      <c r="I591" s="108">
        <v>4770</v>
      </c>
      <c r="J591" s="150">
        <v>0.51718750000000002</v>
      </c>
      <c r="K591" s="150">
        <v>0.51761574074074079</v>
      </c>
      <c r="L591" t="s">
        <v>165</v>
      </c>
      <c r="N591">
        <v>1796956</v>
      </c>
      <c r="O591">
        <v>1796956</v>
      </c>
      <c r="P591">
        <v>0</v>
      </c>
      <c r="Q591">
        <v>0</v>
      </c>
      <c r="R591" t="s">
        <v>166</v>
      </c>
      <c r="S591">
        <v>0</v>
      </c>
      <c r="T591" t="s">
        <v>167</v>
      </c>
      <c r="U591">
        <v>0</v>
      </c>
      <c r="W591" t="s">
        <v>168</v>
      </c>
      <c r="X591" t="s">
        <v>166</v>
      </c>
    </row>
    <row r="592" spans="1:24" x14ac:dyDescent="0.3">
      <c r="A592" s="7" t="s">
        <v>67</v>
      </c>
      <c r="B592" t="s">
        <v>68</v>
      </c>
      <c r="C592" t="s">
        <v>169</v>
      </c>
      <c r="D592" t="s">
        <v>164</v>
      </c>
      <c r="E592" s="108">
        <v>1000</v>
      </c>
      <c r="F592">
        <v>0</v>
      </c>
      <c r="G592" s="108">
        <v>1000</v>
      </c>
      <c r="H592" s="108">
        <v>10620</v>
      </c>
      <c r="I592" s="108">
        <v>10620</v>
      </c>
      <c r="J592" s="150">
        <v>0.51769675925925929</v>
      </c>
      <c r="K592" s="150">
        <v>0.51770833333333333</v>
      </c>
      <c r="L592" t="s">
        <v>165</v>
      </c>
      <c r="N592">
        <v>1802130</v>
      </c>
      <c r="O592">
        <v>1802130</v>
      </c>
      <c r="P592">
        <v>1801842</v>
      </c>
      <c r="Q592">
        <v>0</v>
      </c>
      <c r="R592" t="s">
        <v>166</v>
      </c>
      <c r="S592">
        <v>0</v>
      </c>
      <c r="T592" t="s">
        <v>167</v>
      </c>
      <c r="U592">
        <v>1801842</v>
      </c>
      <c r="W592" t="s">
        <v>168</v>
      </c>
      <c r="X592" t="s">
        <v>166</v>
      </c>
    </row>
    <row r="593" spans="1:24" x14ac:dyDescent="0.3">
      <c r="A593" s="7" t="s">
        <v>63</v>
      </c>
      <c r="B593" t="s">
        <v>64</v>
      </c>
      <c r="C593" t="s">
        <v>163</v>
      </c>
      <c r="D593" t="s">
        <v>164</v>
      </c>
      <c r="E593" s="108">
        <v>1000</v>
      </c>
      <c r="F593">
        <v>0</v>
      </c>
      <c r="G593" s="108">
        <v>1000</v>
      </c>
      <c r="H593" s="108">
        <v>4765</v>
      </c>
      <c r="I593" s="108">
        <v>4765</v>
      </c>
      <c r="J593" s="150">
        <v>0.51853009259259253</v>
      </c>
      <c r="K593" s="150">
        <v>0.51854166666666668</v>
      </c>
      <c r="L593" t="s">
        <v>165</v>
      </c>
      <c r="N593">
        <v>1809491</v>
      </c>
      <c r="O593">
        <v>1809491</v>
      </c>
      <c r="P593">
        <v>1807546</v>
      </c>
      <c r="Q593">
        <v>0</v>
      </c>
      <c r="R593" t="s">
        <v>166</v>
      </c>
      <c r="S593">
        <v>0</v>
      </c>
      <c r="T593" t="s">
        <v>167</v>
      </c>
      <c r="U593">
        <v>1807546</v>
      </c>
      <c r="W593" t="s">
        <v>168</v>
      </c>
      <c r="X593" t="s">
        <v>166</v>
      </c>
    </row>
    <row r="594" spans="1:24" x14ac:dyDescent="0.3">
      <c r="A594" s="7" t="s">
        <v>63</v>
      </c>
      <c r="B594" t="s">
        <v>64</v>
      </c>
      <c r="C594" t="s">
        <v>163</v>
      </c>
      <c r="D594" t="s">
        <v>170</v>
      </c>
      <c r="E594" s="108">
        <v>1000</v>
      </c>
      <c r="F594">
        <v>0</v>
      </c>
      <c r="G594" s="108">
        <v>1000</v>
      </c>
      <c r="H594" s="108">
        <v>4765</v>
      </c>
      <c r="I594" s="108">
        <v>4765</v>
      </c>
      <c r="J594" s="150">
        <v>0.51922453703703708</v>
      </c>
      <c r="K594" s="150">
        <v>0.51922453703703708</v>
      </c>
      <c r="L594" t="s">
        <v>165</v>
      </c>
      <c r="N594">
        <v>1815386</v>
      </c>
      <c r="O594">
        <v>1815386</v>
      </c>
      <c r="P594">
        <v>0</v>
      </c>
      <c r="Q594">
        <v>0</v>
      </c>
      <c r="R594" t="s">
        <v>166</v>
      </c>
      <c r="S594">
        <v>0</v>
      </c>
      <c r="T594" t="s">
        <v>167</v>
      </c>
      <c r="U594">
        <v>0</v>
      </c>
      <c r="W594" t="s">
        <v>168</v>
      </c>
      <c r="X594" t="s">
        <v>166</v>
      </c>
    </row>
    <row r="595" spans="1:24" x14ac:dyDescent="0.3">
      <c r="A595" s="7" t="s">
        <v>69</v>
      </c>
      <c r="B595" t="s">
        <v>70</v>
      </c>
      <c r="C595" t="s">
        <v>169</v>
      </c>
      <c r="D595" t="s">
        <v>164</v>
      </c>
      <c r="E595" s="108">
        <v>1000</v>
      </c>
      <c r="F595">
        <v>0</v>
      </c>
      <c r="G595" s="108">
        <v>1000</v>
      </c>
      <c r="H595" s="108">
        <v>19415</v>
      </c>
      <c r="I595" s="108">
        <v>19414</v>
      </c>
      <c r="J595" s="150">
        <v>0.51965277777777785</v>
      </c>
      <c r="K595" s="150">
        <v>0.51966435185185189</v>
      </c>
      <c r="L595" t="s">
        <v>165</v>
      </c>
      <c r="N595">
        <v>1818944</v>
      </c>
      <c r="O595">
        <v>1818944</v>
      </c>
      <c r="P595">
        <v>1818810</v>
      </c>
      <c r="Q595">
        <v>0</v>
      </c>
      <c r="R595" t="s">
        <v>166</v>
      </c>
      <c r="S595">
        <v>0</v>
      </c>
      <c r="T595" t="s">
        <v>167</v>
      </c>
      <c r="U595">
        <v>1818810</v>
      </c>
      <c r="W595" t="s">
        <v>168</v>
      </c>
      <c r="X595" t="s">
        <v>166</v>
      </c>
    </row>
    <row r="596" spans="1:24" x14ac:dyDescent="0.3">
      <c r="A596" s="7" t="s">
        <v>63</v>
      </c>
      <c r="B596" t="s">
        <v>64</v>
      </c>
      <c r="C596" t="s">
        <v>163</v>
      </c>
      <c r="D596" t="s">
        <v>164</v>
      </c>
      <c r="E596" s="108">
        <v>1000</v>
      </c>
      <c r="F596">
        <v>0</v>
      </c>
      <c r="G596" s="108">
        <v>1000</v>
      </c>
      <c r="H596" s="108">
        <v>4765</v>
      </c>
      <c r="I596" s="108">
        <v>4765</v>
      </c>
      <c r="J596" s="150">
        <v>0.5199421296296296</v>
      </c>
      <c r="K596" s="150">
        <v>0.5199421296296296</v>
      </c>
      <c r="L596" t="s">
        <v>165</v>
      </c>
      <c r="N596">
        <v>1821414</v>
      </c>
      <c r="O596">
        <v>1821414</v>
      </c>
      <c r="P596">
        <v>1821248</v>
      </c>
      <c r="Q596">
        <v>0</v>
      </c>
      <c r="R596" t="s">
        <v>166</v>
      </c>
      <c r="S596">
        <v>0</v>
      </c>
      <c r="T596" t="s">
        <v>167</v>
      </c>
      <c r="U596">
        <v>1821248</v>
      </c>
      <c r="W596" t="s">
        <v>168</v>
      </c>
      <c r="X596" t="s">
        <v>166</v>
      </c>
    </row>
    <row r="597" spans="1:24" x14ac:dyDescent="0.3">
      <c r="A597" s="7" t="s">
        <v>67</v>
      </c>
      <c r="B597" t="s">
        <v>68</v>
      </c>
      <c r="C597" t="s">
        <v>169</v>
      </c>
      <c r="D597" t="s">
        <v>164</v>
      </c>
      <c r="E597" s="108">
        <v>1000</v>
      </c>
      <c r="F597">
        <v>0</v>
      </c>
      <c r="G597">
        <v>49</v>
      </c>
      <c r="H597" s="108">
        <v>10620</v>
      </c>
      <c r="I597" s="108">
        <v>10620</v>
      </c>
      <c r="J597" s="150">
        <v>0.52019675925925923</v>
      </c>
      <c r="K597" s="150">
        <v>0.52019675925925923</v>
      </c>
      <c r="L597" t="s">
        <v>165</v>
      </c>
      <c r="N597">
        <v>1823501</v>
      </c>
      <c r="O597">
        <v>1823501</v>
      </c>
      <c r="P597">
        <v>1823360</v>
      </c>
      <c r="Q597">
        <v>951</v>
      </c>
      <c r="R597" t="s">
        <v>166</v>
      </c>
      <c r="S597">
        <v>0</v>
      </c>
      <c r="T597" t="s">
        <v>167</v>
      </c>
      <c r="U597">
        <v>1823360</v>
      </c>
      <c r="W597" t="s">
        <v>168</v>
      </c>
      <c r="X597" t="s">
        <v>166</v>
      </c>
    </row>
    <row r="598" spans="1:24" x14ac:dyDescent="0.3">
      <c r="A598" s="7" t="s">
        <v>138</v>
      </c>
      <c r="B598" t="s">
        <v>171</v>
      </c>
      <c r="C598" t="s">
        <v>169</v>
      </c>
      <c r="D598" t="s">
        <v>164</v>
      </c>
      <c r="E598" s="108">
        <v>1000</v>
      </c>
      <c r="F598">
        <v>0</v>
      </c>
      <c r="G598" s="108">
        <v>1000</v>
      </c>
      <c r="H598" s="108">
        <v>9225</v>
      </c>
      <c r="I598" s="108">
        <v>9225</v>
      </c>
      <c r="J598" s="150">
        <v>0.52179398148148148</v>
      </c>
      <c r="K598" s="150">
        <v>0.52190972222222221</v>
      </c>
      <c r="L598" t="s">
        <v>165</v>
      </c>
      <c r="N598">
        <v>1837260</v>
      </c>
      <c r="O598">
        <v>1837260</v>
      </c>
      <c r="P598">
        <v>1836011</v>
      </c>
      <c r="Q598">
        <v>0</v>
      </c>
      <c r="R598" t="s">
        <v>166</v>
      </c>
      <c r="S598">
        <v>0</v>
      </c>
      <c r="T598" t="s">
        <v>167</v>
      </c>
      <c r="U598">
        <v>1836011</v>
      </c>
      <c r="W598" t="s">
        <v>168</v>
      </c>
      <c r="X598" t="s">
        <v>166</v>
      </c>
    </row>
    <row r="599" spans="1:24" x14ac:dyDescent="0.3">
      <c r="A599" s="7" t="s">
        <v>85</v>
      </c>
      <c r="B599" t="s">
        <v>86</v>
      </c>
      <c r="C599" t="s">
        <v>163</v>
      </c>
      <c r="D599" t="s">
        <v>164</v>
      </c>
      <c r="E599" s="108">
        <v>1000</v>
      </c>
      <c r="F599">
        <v>0</v>
      </c>
      <c r="G599">
        <v>61</v>
      </c>
      <c r="H599" s="108">
        <v>12615</v>
      </c>
      <c r="I599" s="108">
        <v>12615</v>
      </c>
      <c r="J599" s="150">
        <v>0.52201388888888889</v>
      </c>
      <c r="K599" s="150">
        <v>0.52201388888888889</v>
      </c>
      <c r="L599" t="s">
        <v>165</v>
      </c>
      <c r="N599">
        <v>1839476</v>
      </c>
      <c r="O599">
        <v>1839476</v>
      </c>
      <c r="P599">
        <v>1839471</v>
      </c>
      <c r="Q599">
        <v>939</v>
      </c>
      <c r="R599" t="s">
        <v>166</v>
      </c>
      <c r="S599">
        <v>0</v>
      </c>
      <c r="T599" t="s">
        <v>167</v>
      </c>
      <c r="U599">
        <v>1839471</v>
      </c>
      <c r="W599" t="s">
        <v>168</v>
      </c>
      <c r="X599" t="s">
        <v>166</v>
      </c>
    </row>
    <row r="600" spans="1:24" x14ac:dyDescent="0.3">
      <c r="A600" s="7" t="s">
        <v>63</v>
      </c>
      <c r="B600" t="s">
        <v>64</v>
      </c>
      <c r="C600" t="s">
        <v>163</v>
      </c>
      <c r="D600" t="s">
        <v>164</v>
      </c>
      <c r="E600" s="108">
        <v>1000</v>
      </c>
      <c r="F600">
        <v>0</v>
      </c>
      <c r="G600">
        <v>980</v>
      </c>
      <c r="H600" s="108">
        <v>4755</v>
      </c>
      <c r="I600" s="108">
        <v>4755</v>
      </c>
      <c r="J600" s="150">
        <v>0.52228009259259256</v>
      </c>
      <c r="K600" s="150">
        <v>0.52228009259259256</v>
      </c>
      <c r="L600" t="s">
        <v>165</v>
      </c>
      <c r="N600">
        <v>1841422</v>
      </c>
      <c r="O600">
        <v>1841422</v>
      </c>
      <c r="P600">
        <v>1827794</v>
      </c>
      <c r="Q600">
        <v>20</v>
      </c>
      <c r="R600" t="s">
        <v>166</v>
      </c>
      <c r="S600">
        <v>0</v>
      </c>
      <c r="T600" t="s">
        <v>167</v>
      </c>
      <c r="U600">
        <v>1827794</v>
      </c>
      <c r="W600" t="s">
        <v>168</v>
      </c>
      <c r="X600" t="s">
        <v>166</v>
      </c>
    </row>
    <row r="601" spans="1:24" x14ac:dyDescent="0.3">
      <c r="A601" s="7" t="s">
        <v>77</v>
      </c>
      <c r="B601" t="s">
        <v>78</v>
      </c>
      <c r="C601" t="s">
        <v>169</v>
      </c>
      <c r="D601" t="s">
        <v>164</v>
      </c>
      <c r="E601" s="108">
        <v>1000</v>
      </c>
      <c r="F601">
        <v>0</v>
      </c>
      <c r="G601">
        <v>521</v>
      </c>
      <c r="H601" s="108">
        <v>18010</v>
      </c>
      <c r="I601" s="108">
        <v>18010</v>
      </c>
      <c r="J601" s="150">
        <v>0.52293981481481489</v>
      </c>
      <c r="K601" s="150">
        <v>0.52296296296296296</v>
      </c>
      <c r="L601" t="s">
        <v>165</v>
      </c>
      <c r="N601">
        <v>1847777</v>
      </c>
      <c r="O601">
        <v>1847777</v>
      </c>
      <c r="P601">
        <v>1847542</v>
      </c>
      <c r="Q601">
        <v>479</v>
      </c>
      <c r="R601" t="s">
        <v>166</v>
      </c>
      <c r="S601">
        <v>0</v>
      </c>
      <c r="T601" t="s">
        <v>167</v>
      </c>
      <c r="U601">
        <v>1847542</v>
      </c>
      <c r="W601" t="s">
        <v>168</v>
      </c>
      <c r="X601" t="s">
        <v>166</v>
      </c>
    </row>
    <row r="602" spans="1:24" x14ac:dyDescent="0.3">
      <c r="A602" s="7" t="s">
        <v>77</v>
      </c>
      <c r="B602" t="s">
        <v>78</v>
      </c>
      <c r="C602" t="s">
        <v>169</v>
      </c>
      <c r="D602" t="s">
        <v>164</v>
      </c>
      <c r="E602" s="108">
        <v>1000</v>
      </c>
      <c r="F602">
        <v>0</v>
      </c>
      <c r="G602" s="108">
        <v>1000</v>
      </c>
      <c r="H602" s="108">
        <v>18010</v>
      </c>
      <c r="I602" s="108">
        <v>18010</v>
      </c>
      <c r="J602" s="150">
        <v>0.52366898148148155</v>
      </c>
      <c r="K602" s="150">
        <v>0.52369212962962963</v>
      </c>
      <c r="L602" t="s">
        <v>165</v>
      </c>
      <c r="N602">
        <v>1853368</v>
      </c>
      <c r="O602">
        <v>1853368</v>
      </c>
      <c r="P602">
        <v>1853277</v>
      </c>
      <c r="Q602">
        <v>0</v>
      </c>
      <c r="R602" t="s">
        <v>166</v>
      </c>
      <c r="S602">
        <v>0</v>
      </c>
      <c r="T602" t="s">
        <v>167</v>
      </c>
      <c r="U602">
        <v>1853277</v>
      </c>
      <c r="W602" t="s">
        <v>168</v>
      </c>
      <c r="X602" t="s">
        <v>166</v>
      </c>
    </row>
    <row r="603" spans="1:24" x14ac:dyDescent="0.3">
      <c r="A603" s="7" t="s">
        <v>87</v>
      </c>
      <c r="B603" t="s">
        <v>88</v>
      </c>
      <c r="C603" t="s">
        <v>163</v>
      </c>
      <c r="D603" t="s">
        <v>164</v>
      </c>
      <c r="E603" s="108">
        <v>1000</v>
      </c>
      <c r="F603">
        <v>0</v>
      </c>
      <c r="G603">
        <v>485</v>
      </c>
      <c r="H603" s="108">
        <v>3105</v>
      </c>
      <c r="I603" s="108">
        <v>3105</v>
      </c>
      <c r="J603" s="150">
        <v>0.52385416666666662</v>
      </c>
      <c r="K603" s="150">
        <v>0.52385416666666662</v>
      </c>
      <c r="L603" t="s">
        <v>165</v>
      </c>
      <c r="N603">
        <v>1854898</v>
      </c>
      <c r="O603">
        <v>1854898</v>
      </c>
      <c r="P603">
        <v>1847341</v>
      </c>
      <c r="Q603">
        <v>515</v>
      </c>
      <c r="R603" t="s">
        <v>166</v>
      </c>
      <c r="S603">
        <v>0</v>
      </c>
      <c r="T603" t="s">
        <v>167</v>
      </c>
      <c r="U603">
        <v>1847341</v>
      </c>
      <c r="W603" t="s">
        <v>168</v>
      </c>
      <c r="X603" t="s">
        <v>166</v>
      </c>
    </row>
    <row r="604" spans="1:24" x14ac:dyDescent="0.3">
      <c r="A604" s="7" t="s">
        <v>67</v>
      </c>
      <c r="B604" t="s">
        <v>68</v>
      </c>
      <c r="C604" t="s">
        <v>169</v>
      </c>
      <c r="D604" t="s">
        <v>164</v>
      </c>
      <c r="E604" s="108">
        <v>1000</v>
      </c>
      <c r="F604">
        <v>0</v>
      </c>
      <c r="G604">
        <v>15</v>
      </c>
      <c r="H604" s="108">
        <v>10620</v>
      </c>
      <c r="I604" s="108">
        <v>10620</v>
      </c>
      <c r="J604" s="150">
        <v>0.52457175925925925</v>
      </c>
      <c r="K604" s="150">
        <v>0.52459490740740744</v>
      </c>
      <c r="L604" t="s">
        <v>165</v>
      </c>
      <c r="N604">
        <v>1860516</v>
      </c>
      <c r="O604">
        <v>1860516</v>
      </c>
      <c r="P604">
        <v>1860457</v>
      </c>
      <c r="Q604">
        <v>985</v>
      </c>
      <c r="R604" t="s">
        <v>166</v>
      </c>
      <c r="S604">
        <v>0</v>
      </c>
      <c r="T604" t="s">
        <v>167</v>
      </c>
      <c r="U604">
        <v>1860457</v>
      </c>
      <c r="W604" t="s">
        <v>168</v>
      </c>
      <c r="X604" t="s">
        <v>166</v>
      </c>
    </row>
    <row r="605" spans="1:24" x14ac:dyDescent="0.3">
      <c r="A605" s="7" t="s">
        <v>63</v>
      </c>
      <c r="B605" t="s">
        <v>64</v>
      </c>
      <c r="C605" t="s">
        <v>163</v>
      </c>
      <c r="D605" t="s">
        <v>164</v>
      </c>
      <c r="E605" s="108">
        <v>1000</v>
      </c>
      <c r="F605">
        <v>0</v>
      </c>
      <c r="G605">
        <v>661</v>
      </c>
      <c r="H605" s="108">
        <v>4755</v>
      </c>
      <c r="I605" s="108">
        <v>4755</v>
      </c>
      <c r="J605" s="150">
        <v>0.5259490740740741</v>
      </c>
      <c r="K605" s="150">
        <v>0.52596064814814814</v>
      </c>
      <c r="L605" t="s">
        <v>165</v>
      </c>
      <c r="N605">
        <v>1872429</v>
      </c>
      <c r="O605">
        <v>1872429</v>
      </c>
      <c r="P605">
        <v>1870607</v>
      </c>
      <c r="Q605">
        <v>339</v>
      </c>
      <c r="R605" t="s">
        <v>166</v>
      </c>
      <c r="S605">
        <v>0</v>
      </c>
      <c r="T605" t="s">
        <v>167</v>
      </c>
      <c r="U605">
        <v>1870607</v>
      </c>
      <c r="W605" t="s">
        <v>168</v>
      </c>
      <c r="X605" t="s">
        <v>166</v>
      </c>
    </row>
    <row r="606" spans="1:24" x14ac:dyDescent="0.3">
      <c r="A606" s="7" t="s">
        <v>67</v>
      </c>
      <c r="B606" t="s">
        <v>68</v>
      </c>
      <c r="C606" t="s">
        <v>169</v>
      </c>
      <c r="D606" t="s">
        <v>164</v>
      </c>
      <c r="E606" s="108">
        <v>1000</v>
      </c>
      <c r="F606">
        <v>0</v>
      </c>
      <c r="G606">
        <v>10</v>
      </c>
      <c r="H606" s="108">
        <v>10620</v>
      </c>
      <c r="I606" s="108">
        <v>10620</v>
      </c>
      <c r="J606" s="150">
        <v>0.52628472222222222</v>
      </c>
      <c r="K606" s="150">
        <v>0.52634259259259253</v>
      </c>
      <c r="L606" t="s">
        <v>165</v>
      </c>
      <c r="N606">
        <v>1875018</v>
      </c>
      <c r="O606">
        <v>1875018</v>
      </c>
      <c r="P606">
        <v>1875009</v>
      </c>
      <c r="Q606">
        <v>990</v>
      </c>
      <c r="R606" t="s">
        <v>166</v>
      </c>
      <c r="S606">
        <v>0</v>
      </c>
      <c r="T606" t="s">
        <v>167</v>
      </c>
      <c r="U606">
        <v>1875009</v>
      </c>
      <c r="W606" t="s">
        <v>168</v>
      </c>
      <c r="X606" t="s">
        <v>166</v>
      </c>
    </row>
    <row r="607" spans="1:24" x14ac:dyDescent="0.3">
      <c r="A607" s="7" t="s">
        <v>63</v>
      </c>
      <c r="B607" t="s">
        <v>64</v>
      </c>
      <c r="C607" t="s">
        <v>163</v>
      </c>
      <c r="D607" t="s">
        <v>164</v>
      </c>
      <c r="E607" s="108">
        <v>1000</v>
      </c>
      <c r="F607">
        <v>0</v>
      </c>
      <c r="G607" s="108">
        <v>1000</v>
      </c>
      <c r="H607" s="108">
        <v>4750</v>
      </c>
      <c r="I607" s="108">
        <v>4750</v>
      </c>
      <c r="J607" s="150">
        <v>0.52701388888888889</v>
      </c>
      <c r="K607" s="150">
        <v>0.52701388888888889</v>
      </c>
      <c r="L607" t="s">
        <v>165</v>
      </c>
      <c r="N607">
        <v>1880179</v>
      </c>
      <c r="O607">
        <v>1880179</v>
      </c>
      <c r="P607">
        <v>1879631</v>
      </c>
      <c r="Q607">
        <v>0</v>
      </c>
      <c r="R607" t="s">
        <v>166</v>
      </c>
      <c r="S607">
        <v>0</v>
      </c>
      <c r="T607" t="s">
        <v>167</v>
      </c>
      <c r="U607">
        <v>1879631</v>
      </c>
      <c r="W607" t="s">
        <v>168</v>
      </c>
      <c r="X607" t="s">
        <v>166</v>
      </c>
    </row>
    <row r="608" spans="1:24" x14ac:dyDescent="0.3">
      <c r="A608" s="7" t="s">
        <v>85</v>
      </c>
      <c r="B608" t="s">
        <v>86</v>
      </c>
      <c r="C608" t="s">
        <v>163</v>
      </c>
      <c r="D608" t="s">
        <v>164</v>
      </c>
      <c r="E608" s="108">
        <v>1000</v>
      </c>
      <c r="F608">
        <v>0</v>
      </c>
      <c r="G608">
        <v>20</v>
      </c>
      <c r="H608" s="108">
        <v>12620</v>
      </c>
      <c r="I608" s="108">
        <v>12620</v>
      </c>
      <c r="J608" s="150">
        <v>0.52711805555555558</v>
      </c>
      <c r="K608" s="150">
        <v>0.52712962962962961</v>
      </c>
      <c r="L608" t="s">
        <v>165</v>
      </c>
      <c r="N608">
        <v>1880988</v>
      </c>
      <c r="O608">
        <v>1880988</v>
      </c>
      <c r="P608">
        <v>1880438</v>
      </c>
      <c r="Q608">
        <v>980</v>
      </c>
      <c r="R608" t="s">
        <v>166</v>
      </c>
      <c r="S608">
        <v>0</v>
      </c>
      <c r="T608" t="s">
        <v>167</v>
      </c>
      <c r="U608">
        <v>1880438</v>
      </c>
      <c r="W608" t="s">
        <v>168</v>
      </c>
      <c r="X608" t="s">
        <v>166</v>
      </c>
    </row>
    <row r="609" spans="1:24" x14ac:dyDescent="0.3">
      <c r="A609" s="7" t="s">
        <v>87</v>
      </c>
      <c r="B609" t="s">
        <v>88</v>
      </c>
      <c r="C609" t="s">
        <v>163</v>
      </c>
      <c r="D609" t="s">
        <v>164</v>
      </c>
      <c r="E609" s="108">
        <v>1000</v>
      </c>
      <c r="F609">
        <v>0</v>
      </c>
      <c r="G609">
        <v>28</v>
      </c>
      <c r="H609" s="108">
        <v>3105</v>
      </c>
      <c r="I609" s="108">
        <v>3105</v>
      </c>
      <c r="J609" s="150">
        <v>0.52776620370370375</v>
      </c>
      <c r="K609" s="150">
        <v>0.52780092592592587</v>
      </c>
      <c r="L609" t="s">
        <v>165</v>
      </c>
      <c r="N609">
        <v>1885576</v>
      </c>
      <c r="O609">
        <v>1885576</v>
      </c>
      <c r="P609">
        <v>1885570</v>
      </c>
      <c r="Q609">
        <v>972</v>
      </c>
      <c r="R609" t="s">
        <v>166</v>
      </c>
      <c r="S609">
        <v>0</v>
      </c>
      <c r="T609" t="s">
        <v>167</v>
      </c>
      <c r="U609">
        <v>1885570</v>
      </c>
      <c r="W609" t="s">
        <v>168</v>
      </c>
      <c r="X609" t="s">
        <v>166</v>
      </c>
    </row>
    <row r="610" spans="1:24" x14ac:dyDescent="0.3">
      <c r="A610" s="7" t="s">
        <v>63</v>
      </c>
      <c r="B610" t="s">
        <v>64</v>
      </c>
      <c r="C610" t="s">
        <v>163</v>
      </c>
      <c r="D610" t="s">
        <v>164</v>
      </c>
      <c r="E610" s="108">
        <v>1000</v>
      </c>
      <c r="F610">
        <v>0</v>
      </c>
      <c r="G610" s="108">
        <v>1000</v>
      </c>
      <c r="H610" s="108">
        <v>4750</v>
      </c>
      <c r="I610" s="108">
        <v>4750</v>
      </c>
      <c r="J610" s="150">
        <v>0.52846064814814808</v>
      </c>
      <c r="K610" s="150">
        <v>0.52846064814814808</v>
      </c>
      <c r="L610" t="s">
        <v>165</v>
      </c>
      <c r="N610">
        <v>1891844</v>
      </c>
      <c r="O610">
        <v>1891844</v>
      </c>
      <c r="P610">
        <v>1889672</v>
      </c>
      <c r="Q610">
        <v>0</v>
      </c>
      <c r="R610" t="s">
        <v>166</v>
      </c>
      <c r="S610">
        <v>0</v>
      </c>
      <c r="T610" t="s">
        <v>167</v>
      </c>
      <c r="U610">
        <v>1889672</v>
      </c>
      <c r="W610" t="s">
        <v>168</v>
      </c>
      <c r="X610" t="s">
        <v>166</v>
      </c>
    </row>
    <row r="611" spans="1:24" x14ac:dyDescent="0.3">
      <c r="A611" s="7" t="s">
        <v>63</v>
      </c>
      <c r="B611" t="s">
        <v>64</v>
      </c>
      <c r="C611" t="s">
        <v>163</v>
      </c>
      <c r="D611" t="s">
        <v>164</v>
      </c>
      <c r="E611" s="108">
        <v>1000</v>
      </c>
      <c r="F611">
        <v>0</v>
      </c>
      <c r="G611">
        <v>50</v>
      </c>
      <c r="H611" s="108">
        <v>4750</v>
      </c>
      <c r="I611" s="108">
        <v>4750</v>
      </c>
      <c r="J611" s="150">
        <v>0.52939814814814812</v>
      </c>
      <c r="K611" s="150">
        <v>0.52940972222222216</v>
      </c>
      <c r="L611" t="s">
        <v>165</v>
      </c>
      <c r="N611">
        <v>1898768</v>
      </c>
      <c r="O611">
        <v>1898768</v>
      </c>
      <c r="P611">
        <v>1898760</v>
      </c>
      <c r="Q611">
        <v>950</v>
      </c>
      <c r="R611" t="s">
        <v>166</v>
      </c>
      <c r="S611">
        <v>0</v>
      </c>
      <c r="T611" t="s">
        <v>167</v>
      </c>
      <c r="U611">
        <v>1898760</v>
      </c>
      <c r="W611" t="s">
        <v>168</v>
      </c>
      <c r="X611" t="s">
        <v>166</v>
      </c>
    </row>
    <row r="612" spans="1:24" x14ac:dyDescent="0.3">
      <c r="A612" s="7" t="s">
        <v>85</v>
      </c>
      <c r="B612" t="s">
        <v>86</v>
      </c>
      <c r="C612" t="s">
        <v>163</v>
      </c>
      <c r="D612" t="s">
        <v>164</v>
      </c>
      <c r="E612" s="108">
        <v>1000</v>
      </c>
      <c r="F612">
        <v>0</v>
      </c>
      <c r="G612">
        <v>23</v>
      </c>
      <c r="H612" s="108">
        <v>12620</v>
      </c>
      <c r="I612" s="108">
        <v>12620</v>
      </c>
      <c r="J612" s="150">
        <v>0.52964120370370371</v>
      </c>
      <c r="K612" s="150">
        <v>0.52965277777777775</v>
      </c>
      <c r="L612" t="s">
        <v>165</v>
      </c>
      <c r="N612">
        <v>1900689</v>
      </c>
      <c r="O612">
        <v>1900689</v>
      </c>
      <c r="P612">
        <v>1900236</v>
      </c>
      <c r="Q612">
        <v>977</v>
      </c>
      <c r="R612" t="s">
        <v>166</v>
      </c>
      <c r="S612">
        <v>0</v>
      </c>
      <c r="T612" t="s">
        <v>167</v>
      </c>
      <c r="U612">
        <v>1900236</v>
      </c>
      <c r="W612" t="s">
        <v>168</v>
      </c>
      <c r="X612" t="s">
        <v>166</v>
      </c>
    </row>
    <row r="613" spans="1:24" x14ac:dyDescent="0.3">
      <c r="A613" s="7" t="s">
        <v>69</v>
      </c>
      <c r="B613" t="s">
        <v>70</v>
      </c>
      <c r="C613" t="s">
        <v>169</v>
      </c>
      <c r="D613" t="s">
        <v>164</v>
      </c>
      <c r="E613" s="108">
        <v>1000</v>
      </c>
      <c r="F613">
        <v>0</v>
      </c>
      <c r="G613" s="108">
        <v>1000</v>
      </c>
      <c r="H613" s="108">
        <v>19480</v>
      </c>
      <c r="I613" s="108">
        <v>19480</v>
      </c>
      <c r="J613" s="150">
        <v>0.53074074074074074</v>
      </c>
      <c r="K613" s="150">
        <v>0.53075231481481489</v>
      </c>
      <c r="L613" t="s">
        <v>165</v>
      </c>
      <c r="N613">
        <v>1909416</v>
      </c>
      <c r="O613">
        <v>1909416</v>
      </c>
      <c r="P613">
        <v>1909381</v>
      </c>
      <c r="Q613">
        <v>0</v>
      </c>
      <c r="R613" t="s">
        <v>166</v>
      </c>
      <c r="S613">
        <v>0</v>
      </c>
      <c r="T613" t="s">
        <v>167</v>
      </c>
      <c r="U613">
        <v>1909381</v>
      </c>
      <c r="W613" t="s">
        <v>168</v>
      </c>
      <c r="X613" t="s">
        <v>166</v>
      </c>
    </row>
    <row r="614" spans="1:24" x14ac:dyDescent="0.3">
      <c r="A614" s="7" t="s">
        <v>75</v>
      </c>
      <c r="B614" t="s">
        <v>76</v>
      </c>
      <c r="C614" t="s">
        <v>169</v>
      </c>
      <c r="D614" t="s">
        <v>164</v>
      </c>
      <c r="E614" s="108">
        <v>1000</v>
      </c>
      <c r="F614">
        <v>0</v>
      </c>
      <c r="G614" s="108">
        <v>1000</v>
      </c>
      <c r="H614" s="108">
        <v>7675</v>
      </c>
      <c r="I614" s="108">
        <v>7675</v>
      </c>
      <c r="J614" s="150">
        <v>0.53090277777777783</v>
      </c>
      <c r="K614" s="150">
        <v>0.53100694444444441</v>
      </c>
      <c r="L614" t="s">
        <v>165</v>
      </c>
      <c r="N614">
        <v>1910627</v>
      </c>
      <c r="O614">
        <v>1910627</v>
      </c>
      <c r="P614">
        <v>1910376</v>
      </c>
      <c r="Q614">
        <v>0</v>
      </c>
      <c r="R614" t="s">
        <v>166</v>
      </c>
      <c r="S614">
        <v>0</v>
      </c>
      <c r="T614" t="s">
        <v>167</v>
      </c>
      <c r="U614">
        <v>1910376</v>
      </c>
      <c r="W614" t="s">
        <v>168</v>
      </c>
      <c r="X614" t="s">
        <v>166</v>
      </c>
    </row>
    <row r="615" spans="1:24" x14ac:dyDescent="0.3">
      <c r="A615" s="7" t="s">
        <v>63</v>
      </c>
      <c r="B615" t="s">
        <v>64</v>
      </c>
      <c r="C615" t="s">
        <v>163</v>
      </c>
      <c r="D615" t="s">
        <v>164</v>
      </c>
      <c r="E615" s="108">
        <v>1000</v>
      </c>
      <c r="F615">
        <v>0</v>
      </c>
      <c r="G615" s="108">
        <v>1000</v>
      </c>
      <c r="H615" s="108">
        <v>4745</v>
      </c>
      <c r="I615" s="108">
        <v>4745</v>
      </c>
      <c r="J615" s="150">
        <v>0.53126157407407404</v>
      </c>
      <c r="K615" s="150">
        <v>0.53127314814814819</v>
      </c>
      <c r="L615" t="s">
        <v>165</v>
      </c>
      <c r="N615">
        <v>1913666</v>
      </c>
      <c r="O615">
        <v>1913666</v>
      </c>
      <c r="P615">
        <v>1908889</v>
      </c>
      <c r="Q615">
        <v>0</v>
      </c>
      <c r="R615" t="s">
        <v>166</v>
      </c>
      <c r="S615">
        <v>0</v>
      </c>
      <c r="T615" t="s">
        <v>167</v>
      </c>
      <c r="U615">
        <v>1908889</v>
      </c>
      <c r="W615" t="s">
        <v>168</v>
      </c>
      <c r="X615" t="s">
        <v>166</v>
      </c>
    </row>
    <row r="616" spans="1:24" x14ac:dyDescent="0.3">
      <c r="A616" s="7" t="s">
        <v>138</v>
      </c>
      <c r="B616" t="s">
        <v>171</v>
      </c>
      <c r="C616" t="s">
        <v>169</v>
      </c>
      <c r="D616" t="s">
        <v>164</v>
      </c>
      <c r="E616" s="108">
        <v>1000</v>
      </c>
      <c r="F616">
        <v>0</v>
      </c>
      <c r="G616" s="108">
        <v>1000</v>
      </c>
      <c r="H616" s="108">
        <v>9220</v>
      </c>
      <c r="I616" s="108">
        <v>9220</v>
      </c>
      <c r="J616" s="150">
        <v>0.53136574074074072</v>
      </c>
      <c r="K616" s="150">
        <v>0.53144675925925922</v>
      </c>
      <c r="L616" t="s">
        <v>165</v>
      </c>
      <c r="N616">
        <v>1914519</v>
      </c>
      <c r="O616">
        <v>1914519</v>
      </c>
      <c r="P616">
        <v>1913982</v>
      </c>
      <c r="Q616">
        <v>0</v>
      </c>
      <c r="R616" t="s">
        <v>166</v>
      </c>
      <c r="S616">
        <v>0</v>
      </c>
      <c r="T616" t="s">
        <v>167</v>
      </c>
      <c r="U616">
        <v>1913982</v>
      </c>
      <c r="W616" t="s">
        <v>168</v>
      </c>
      <c r="X616" t="s">
        <v>166</v>
      </c>
    </row>
    <row r="617" spans="1:24" x14ac:dyDescent="0.3">
      <c r="A617" s="7" t="s">
        <v>67</v>
      </c>
      <c r="B617" t="s">
        <v>68</v>
      </c>
      <c r="C617" t="s">
        <v>169</v>
      </c>
      <c r="D617" t="s">
        <v>164</v>
      </c>
      <c r="E617" s="108">
        <v>1000</v>
      </c>
      <c r="F617">
        <v>0</v>
      </c>
      <c r="G617" s="108">
        <v>1000</v>
      </c>
      <c r="H617" s="108">
        <v>10615</v>
      </c>
      <c r="I617" s="108">
        <v>10615</v>
      </c>
      <c r="J617" s="150">
        <v>0.53142361111111114</v>
      </c>
      <c r="K617" s="150">
        <v>0.53142361111111114</v>
      </c>
      <c r="L617" t="s">
        <v>165</v>
      </c>
      <c r="N617">
        <v>1915030</v>
      </c>
      <c r="O617">
        <v>1915030</v>
      </c>
      <c r="P617">
        <v>1915016</v>
      </c>
      <c r="Q617">
        <v>0</v>
      </c>
      <c r="R617" t="s">
        <v>166</v>
      </c>
      <c r="S617">
        <v>0</v>
      </c>
      <c r="T617" t="s">
        <v>167</v>
      </c>
      <c r="U617">
        <v>1915016</v>
      </c>
      <c r="W617" t="s">
        <v>168</v>
      </c>
      <c r="X617" t="s">
        <v>166</v>
      </c>
    </row>
    <row r="618" spans="1:24" x14ac:dyDescent="0.3">
      <c r="A618" s="7" t="s">
        <v>77</v>
      </c>
      <c r="B618" t="s">
        <v>78</v>
      </c>
      <c r="C618" t="s">
        <v>169</v>
      </c>
      <c r="D618" t="s">
        <v>164</v>
      </c>
      <c r="E618" s="108">
        <v>1000</v>
      </c>
      <c r="F618">
        <v>0</v>
      </c>
      <c r="G618" s="108">
        <v>1000</v>
      </c>
      <c r="H618" s="108">
        <v>18000</v>
      </c>
      <c r="I618" s="108">
        <v>18000</v>
      </c>
      <c r="J618" s="150">
        <v>0.5314699074074074</v>
      </c>
      <c r="K618" s="150">
        <v>0.5314699074074074</v>
      </c>
      <c r="L618" t="s">
        <v>165</v>
      </c>
      <c r="N618">
        <v>1915389</v>
      </c>
      <c r="O618">
        <v>1915389</v>
      </c>
      <c r="P618">
        <v>1915386</v>
      </c>
      <c r="Q618">
        <v>0</v>
      </c>
      <c r="R618" t="s">
        <v>166</v>
      </c>
      <c r="S618">
        <v>0</v>
      </c>
      <c r="T618" t="s">
        <v>167</v>
      </c>
      <c r="U618">
        <v>1915386</v>
      </c>
      <c r="W618" t="s">
        <v>168</v>
      </c>
      <c r="X618" t="s">
        <v>166</v>
      </c>
    </row>
    <row r="619" spans="1:24" x14ac:dyDescent="0.3">
      <c r="A619" s="7" t="s">
        <v>98</v>
      </c>
      <c r="B619" t="s">
        <v>99</v>
      </c>
      <c r="C619" t="s">
        <v>163</v>
      </c>
      <c r="D619" t="s">
        <v>164</v>
      </c>
      <c r="E619" s="108">
        <v>1000</v>
      </c>
      <c r="F619">
        <v>0</v>
      </c>
      <c r="G619">
        <v>1</v>
      </c>
      <c r="H619" s="108">
        <v>15490</v>
      </c>
      <c r="I619" s="108">
        <v>15490</v>
      </c>
      <c r="J619" s="150">
        <v>0.5314699074074074</v>
      </c>
      <c r="K619" s="150">
        <v>0.5314699074074074</v>
      </c>
      <c r="L619" t="s">
        <v>165</v>
      </c>
      <c r="N619">
        <v>1915414</v>
      </c>
      <c r="O619">
        <v>1915414</v>
      </c>
      <c r="P619">
        <v>1913802</v>
      </c>
      <c r="Q619">
        <v>999</v>
      </c>
      <c r="R619" t="s">
        <v>166</v>
      </c>
      <c r="S619">
        <v>0</v>
      </c>
      <c r="T619" t="s">
        <v>167</v>
      </c>
      <c r="U619">
        <v>1913802</v>
      </c>
      <c r="W619" t="s">
        <v>168</v>
      </c>
      <c r="X619" t="s">
        <v>166</v>
      </c>
    </row>
    <row r="620" spans="1:24" x14ac:dyDescent="0.3">
      <c r="A620" s="7" t="s">
        <v>63</v>
      </c>
      <c r="B620" t="s">
        <v>64</v>
      </c>
      <c r="C620" t="s">
        <v>163</v>
      </c>
      <c r="D620" t="s">
        <v>164</v>
      </c>
      <c r="E620" s="108">
        <v>1000</v>
      </c>
      <c r="F620">
        <v>0</v>
      </c>
      <c r="G620" s="108">
        <v>1000</v>
      </c>
      <c r="H620" s="108">
        <v>4745</v>
      </c>
      <c r="I620" s="108">
        <v>4745</v>
      </c>
      <c r="J620" s="150">
        <v>0.53256944444444443</v>
      </c>
      <c r="K620" s="150">
        <v>0.53256944444444443</v>
      </c>
      <c r="L620" t="s">
        <v>165</v>
      </c>
      <c r="N620">
        <v>1924791</v>
      </c>
      <c r="O620">
        <v>1924791</v>
      </c>
      <c r="P620">
        <v>1919959</v>
      </c>
      <c r="Q620">
        <v>0</v>
      </c>
      <c r="R620" t="s">
        <v>166</v>
      </c>
      <c r="S620">
        <v>0</v>
      </c>
      <c r="T620" t="s">
        <v>167</v>
      </c>
      <c r="U620">
        <v>1919959</v>
      </c>
      <c r="W620" t="s">
        <v>168</v>
      </c>
      <c r="X620" t="s">
        <v>166</v>
      </c>
    </row>
    <row r="621" spans="1:24" x14ac:dyDescent="0.3">
      <c r="A621" s="7" t="s">
        <v>69</v>
      </c>
      <c r="B621" t="s">
        <v>70</v>
      </c>
      <c r="C621" t="s">
        <v>169</v>
      </c>
      <c r="D621" t="s">
        <v>164</v>
      </c>
      <c r="E621" s="108">
        <v>1000</v>
      </c>
      <c r="F621">
        <v>0</v>
      </c>
      <c r="G621" s="108">
        <v>1000</v>
      </c>
      <c r="H621" s="108">
        <v>19470</v>
      </c>
      <c r="I621" s="108">
        <v>19470</v>
      </c>
      <c r="J621" s="150">
        <v>0.53258101851851858</v>
      </c>
      <c r="K621" s="150">
        <v>0.53258101851851858</v>
      </c>
      <c r="L621" t="s">
        <v>165</v>
      </c>
      <c r="N621">
        <v>1924954</v>
      </c>
      <c r="O621">
        <v>1924954</v>
      </c>
      <c r="P621">
        <v>1924341</v>
      </c>
      <c r="Q621">
        <v>0</v>
      </c>
      <c r="R621" t="s">
        <v>166</v>
      </c>
      <c r="S621">
        <v>0</v>
      </c>
      <c r="T621" t="s">
        <v>167</v>
      </c>
      <c r="U621">
        <v>1924341</v>
      </c>
      <c r="W621" t="s">
        <v>168</v>
      </c>
      <c r="X621" t="s">
        <v>166</v>
      </c>
    </row>
    <row r="622" spans="1:24" x14ac:dyDescent="0.3">
      <c r="A622" s="7" t="s">
        <v>67</v>
      </c>
      <c r="B622" t="s">
        <v>68</v>
      </c>
      <c r="C622" t="s">
        <v>169</v>
      </c>
      <c r="D622" t="s">
        <v>164</v>
      </c>
      <c r="E622" s="108">
        <v>1000</v>
      </c>
      <c r="F622">
        <v>0</v>
      </c>
      <c r="G622">
        <v>240</v>
      </c>
      <c r="H622" s="108">
        <v>10610</v>
      </c>
      <c r="I622" s="108">
        <v>10610</v>
      </c>
      <c r="J622" s="150">
        <v>0.53259259259259262</v>
      </c>
      <c r="K622" s="150">
        <v>0.53259259259259262</v>
      </c>
      <c r="L622" t="s">
        <v>165</v>
      </c>
      <c r="N622">
        <v>1925037</v>
      </c>
      <c r="O622">
        <v>1925037</v>
      </c>
      <c r="P622">
        <v>1924833</v>
      </c>
      <c r="Q622">
        <v>760</v>
      </c>
      <c r="R622" t="s">
        <v>166</v>
      </c>
      <c r="S622">
        <v>0</v>
      </c>
      <c r="T622" t="s">
        <v>167</v>
      </c>
      <c r="U622">
        <v>1924833</v>
      </c>
      <c r="W622" t="s">
        <v>168</v>
      </c>
      <c r="X622" t="s">
        <v>166</v>
      </c>
    </row>
    <row r="623" spans="1:24" x14ac:dyDescent="0.3">
      <c r="A623" s="7" t="s">
        <v>63</v>
      </c>
      <c r="B623" t="s">
        <v>64</v>
      </c>
      <c r="C623" t="s">
        <v>163</v>
      </c>
      <c r="D623" t="s">
        <v>164</v>
      </c>
      <c r="E623" s="108">
        <v>1000</v>
      </c>
      <c r="F623">
        <v>0</v>
      </c>
      <c r="G623" s="108">
        <v>1000</v>
      </c>
      <c r="H623" s="108">
        <v>4745</v>
      </c>
      <c r="I623" s="108">
        <v>4745</v>
      </c>
      <c r="J623" s="150">
        <v>0.53335648148148151</v>
      </c>
      <c r="K623" s="150">
        <v>0.53336805555555555</v>
      </c>
      <c r="L623" t="s">
        <v>165</v>
      </c>
      <c r="N623">
        <v>1931367</v>
      </c>
      <c r="O623">
        <v>1931367</v>
      </c>
      <c r="P623">
        <v>1930492</v>
      </c>
      <c r="Q623">
        <v>0</v>
      </c>
      <c r="R623" t="s">
        <v>166</v>
      </c>
      <c r="S623">
        <v>0</v>
      </c>
      <c r="T623" t="s">
        <v>167</v>
      </c>
      <c r="U623">
        <v>1930492</v>
      </c>
      <c r="W623" t="s">
        <v>168</v>
      </c>
      <c r="X623" t="s">
        <v>166</v>
      </c>
    </row>
    <row r="624" spans="1:24" x14ac:dyDescent="0.3">
      <c r="A624" s="7" t="s">
        <v>104</v>
      </c>
      <c r="B624" t="s">
        <v>105</v>
      </c>
      <c r="C624" t="s">
        <v>163</v>
      </c>
      <c r="D624" t="s">
        <v>164</v>
      </c>
      <c r="E624" s="108">
        <v>1000</v>
      </c>
      <c r="F624">
        <v>0</v>
      </c>
      <c r="G624">
        <v>1</v>
      </c>
      <c r="H624" s="108">
        <v>3715</v>
      </c>
      <c r="I624" s="108">
        <v>3715</v>
      </c>
      <c r="J624" s="150">
        <v>0.53472222222222221</v>
      </c>
      <c r="K624" s="150">
        <v>0.53472222222222221</v>
      </c>
      <c r="L624" t="s">
        <v>165</v>
      </c>
      <c r="N624">
        <v>1943118</v>
      </c>
      <c r="O624">
        <v>1943118</v>
      </c>
      <c r="P624">
        <v>1942770</v>
      </c>
      <c r="Q624">
        <v>999</v>
      </c>
      <c r="R624" t="s">
        <v>166</v>
      </c>
      <c r="S624">
        <v>0</v>
      </c>
      <c r="T624" t="s">
        <v>167</v>
      </c>
      <c r="U624">
        <v>1942770</v>
      </c>
      <c r="W624" t="s">
        <v>168</v>
      </c>
      <c r="X624" t="s">
        <v>166</v>
      </c>
    </row>
    <row r="625" spans="1:24" x14ac:dyDescent="0.3">
      <c r="A625" s="7" t="s">
        <v>67</v>
      </c>
      <c r="B625" t="s">
        <v>68</v>
      </c>
      <c r="C625" t="s">
        <v>169</v>
      </c>
      <c r="D625" t="s">
        <v>164</v>
      </c>
      <c r="E625" s="108">
        <v>1000</v>
      </c>
      <c r="F625">
        <v>0</v>
      </c>
      <c r="G625" s="108">
        <v>1000</v>
      </c>
      <c r="H625" s="108">
        <v>10605</v>
      </c>
      <c r="I625" s="108">
        <v>10605</v>
      </c>
      <c r="J625" s="150">
        <v>0.53515046296296298</v>
      </c>
      <c r="K625" s="150">
        <v>0.53516203703703702</v>
      </c>
      <c r="L625" t="s">
        <v>165</v>
      </c>
      <c r="N625">
        <v>1947154</v>
      </c>
      <c r="O625">
        <v>1947154</v>
      </c>
      <c r="P625">
        <v>1946639</v>
      </c>
      <c r="Q625">
        <v>0</v>
      </c>
      <c r="R625" t="s">
        <v>166</v>
      </c>
      <c r="S625">
        <v>0</v>
      </c>
      <c r="T625" t="s">
        <v>167</v>
      </c>
      <c r="U625">
        <v>1946639</v>
      </c>
      <c r="W625" t="s">
        <v>168</v>
      </c>
      <c r="X625" t="s">
        <v>166</v>
      </c>
    </row>
    <row r="626" spans="1:24" x14ac:dyDescent="0.3">
      <c r="A626" s="7" t="s">
        <v>87</v>
      </c>
      <c r="B626" t="s">
        <v>88</v>
      </c>
      <c r="C626" t="s">
        <v>163</v>
      </c>
      <c r="D626" t="s">
        <v>164</v>
      </c>
      <c r="E626" s="108">
        <v>1000</v>
      </c>
      <c r="F626">
        <v>0</v>
      </c>
      <c r="G626">
        <v>31</v>
      </c>
      <c r="H626" s="108">
        <v>3105</v>
      </c>
      <c r="I626" s="108">
        <v>3105</v>
      </c>
      <c r="J626" s="150">
        <v>0.53527777777777774</v>
      </c>
      <c r="K626" s="150">
        <v>0.53589120370370369</v>
      </c>
      <c r="L626" t="s">
        <v>165</v>
      </c>
      <c r="N626">
        <v>1948037</v>
      </c>
      <c r="O626">
        <v>1948037</v>
      </c>
      <c r="P626">
        <v>1947750</v>
      </c>
      <c r="Q626">
        <v>969</v>
      </c>
      <c r="R626" t="s">
        <v>166</v>
      </c>
      <c r="S626">
        <v>0</v>
      </c>
      <c r="T626" t="s">
        <v>167</v>
      </c>
      <c r="U626">
        <v>1947750</v>
      </c>
      <c r="W626" t="s">
        <v>168</v>
      </c>
      <c r="X626" t="s">
        <v>166</v>
      </c>
    </row>
    <row r="627" spans="1:24" x14ac:dyDescent="0.3">
      <c r="A627" s="7" t="s">
        <v>112</v>
      </c>
      <c r="B627" t="s">
        <v>113</v>
      </c>
      <c r="C627" t="s">
        <v>169</v>
      </c>
      <c r="D627" t="s">
        <v>164</v>
      </c>
      <c r="E627" s="108">
        <v>1000</v>
      </c>
      <c r="F627">
        <v>0</v>
      </c>
      <c r="G627">
        <v>696</v>
      </c>
      <c r="H627" s="108">
        <v>56395</v>
      </c>
      <c r="I627" s="108">
        <v>56395</v>
      </c>
      <c r="J627" s="150">
        <v>0.53528935185185189</v>
      </c>
      <c r="K627" s="150">
        <v>0.53530092592592593</v>
      </c>
      <c r="L627" t="s">
        <v>165</v>
      </c>
      <c r="N627">
        <v>1948155</v>
      </c>
      <c r="O627">
        <v>1948155</v>
      </c>
      <c r="P627">
        <v>1948136</v>
      </c>
      <c r="Q627">
        <v>304</v>
      </c>
      <c r="R627" t="s">
        <v>166</v>
      </c>
      <c r="S627">
        <v>0</v>
      </c>
      <c r="T627" t="s">
        <v>167</v>
      </c>
      <c r="U627">
        <v>1948136</v>
      </c>
      <c r="W627" t="s">
        <v>168</v>
      </c>
      <c r="X627" t="s">
        <v>166</v>
      </c>
    </row>
    <row r="628" spans="1:24" x14ac:dyDescent="0.3">
      <c r="A628" s="7" t="s">
        <v>138</v>
      </c>
      <c r="B628" t="s">
        <v>171</v>
      </c>
      <c r="C628" t="s">
        <v>169</v>
      </c>
      <c r="D628" t="s">
        <v>164</v>
      </c>
      <c r="E628" s="108">
        <v>1000</v>
      </c>
      <c r="F628">
        <v>0</v>
      </c>
      <c r="G628" s="108">
        <v>1000</v>
      </c>
      <c r="H628" s="108">
        <v>9215</v>
      </c>
      <c r="I628" s="108">
        <v>9212</v>
      </c>
      <c r="J628" s="150">
        <v>0.53563657407407406</v>
      </c>
      <c r="K628" s="150">
        <v>0.53563657407407406</v>
      </c>
      <c r="L628" t="s">
        <v>165</v>
      </c>
      <c r="N628">
        <v>1950677</v>
      </c>
      <c r="O628">
        <v>1950677</v>
      </c>
      <c r="P628">
        <v>1950152</v>
      </c>
      <c r="Q628">
        <v>0</v>
      </c>
      <c r="R628" t="s">
        <v>166</v>
      </c>
      <c r="S628">
        <v>0</v>
      </c>
      <c r="T628" t="s">
        <v>167</v>
      </c>
      <c r="U628">
        <v>1950152</v>
      </c>
      <c r="W628" t="s">
        <v>168</v>
      </c>
      <c r="X628" t="s">
        <v>166</v>
      </c>
    </row>
    <row r="629" spans="1:24" x14ac:dyDescent="0.3">
      <c r="A629" s="7" t="s">
        <v>69</v>
      </c>
      <c r="B629" t="s">
        <v>70</v>
      </c>
      <c r="C629" t="s">
        <v>169</v>
      </c>
      <c r="D629" t="s">
        <v>164</v>
      </c>
      <c r="E629" s="108">
        <v>1000</v>
      </c>
      <c r="F629">
        <v>0</v>
      </c>
      <c r="G629">
        <v>30</v>
      </c>
      <c r="H629" s="108">
        <v>19490</v>
      </c>
      <c r="I629" s="108">
        <v>19490</v>
      </c>
      <c r="J629" s="150">
        <v>0.53597222222222218</v>
      </c>
      <c r="K629" s="150">
        <v>0.53598379629629633</v>
      </c>
      <c r="L629" t="s">
        <v>165</v>
      </c>
      <c r="N629">
        <v>1953158</v>
      </c>
      <c r="O629">
        <v>1953158</v>
      </c>
      <c r="P629">
        <v>1953152</v>
      </c>
      <c r="Q629">
        <v>970</v>
      </c>
      <c r="R629" t="s">
        <v>166</v>
      </c>
      <c r="S629">
        <v>0</v>
      </c>
      <c r="T629" t="s">
        <v>167</v>
      </c>
      <c r="U629">
        <v>1953152</v>
      </c>
      <c r="W629" t="s">
        <v>168</v>
      </c>
      <c r="X629" t="s">
        <v>166</v>
      </c>
    </row>
    <row r="630" spans="1:24" x14ac:dyDescent="0.3">
      <c r="A630" s="7" t="s">
        <v>108</v>
      </c>
      <c r="B630" t="s">
        <v>172</v>
      </c>
      <c r="C630" t="s">
        <v>169</v>
      </c>
      <c r="D630" t="s">
        <v>164</v>
      </c>
      <c r="E630">
        <v>500</v>
      </c>
      <c r="F630">
        <v>0</v>
      </c>
      <c r="G630">
        <v>500</v>
      </c>
      <c r="H630" s="108">
        <v>51210</v>
      </c>
      <c r="I630" s="108">
        <v>51210</v>
      </c>
      <c r="J630" s="150">
        <v>0.53615740740740747</v>
      </c>
      <c r="K630" s="150">
        <v>0.53616898148148151</v>
      </c>
      <c r="L630" t="s">
        <v>165</v>
      </c>
      <c r="N630">
        <v>1954706</v>
      </c>
      <c r="O630">
        <v>1954706</v>
      </c>
      <c r="P630">
        <v>1954692</v>
      </c>
      <c r="Q630">
        <v>0</v>
      </c>
      <c r="R630" t="s">
        <v>166</v>
      </c>
      <c r="S630">
        <v>0</v>
      </c>
      <c r="T630" t="s">
        <v>167</v>
      </c>
      <c r="U630">
        <v>1954692</v>
      </c>
      <c r="W630" t="s">
        <v>168</v>
      </c>
      <c r="X630" t="s">
        <v>166</v>
      </c>
    </row>
    <row r="631" spans="1:24" x14ac:dyDescent="0.3">
      <c r="A631" s="7" t="s">
        <v>63</v>
      </c>
      <c r="B631" t="s">
        <v>64</v>
      </c>
      <c r="C631" t="s">
        <v>163</v>
      </c>
      <c r="D631" t="s">
        <v>164</v>
      </c>
      <c r="E631" s="108">
        <v>1000</v>
      </c>
      <c r="F631">
        <v>0</v>
      </c>
      <c r="G631" s="108">
        <v>1000</v>
      </c>
      <c r="H631" s="108">
        <v>4745</v>
      </c>
      <c r="I631" s="108">
        <v>4745</v>
      </c>
      <c r="J631" s="150">
        <v>0.53627314814814808</v>
      </c>
      <c r="K631" s="150">
        <v>0.53627314814814808</v>
      </c>
      <c r="L631" t="s">
        <v>165</v>
      </c>
      <c r="N631">
        <v>1955516</v>
      </c>
      <c r="O631">
        <v>1955516</v>
      </c>
      <c r="P631">
        <v>1949421</v>
      </c>
      <c r="Q631">
        <v>0</v>
      </c>
      <c r="R631" t="s">
        <v>166</v>
      </c>
      <c r="S631">
        <v>0</v>
      </c>
      <c r="T631" t="s">
        <v>167</v>
      </c>
      <c r="U631">
        <v>1949421</v>
      </c>
      <c r="W631" t="s">
        <v>168</v>
      </c>
      <c r="X631" t="s">
        <v>166</v>
      </c>
    </row>
    <row r="632" spans="1:24" x14ac:dyDescent="0.3">
      <c r="A632" s="7" t="s">
        <v>87</v>
      </c>
      <c r="B632" t="s">
        <v>88</v>
      </c>
      <c r="C632" t="s">
        <v>163</v>
      </c>
      <c r="D632" t="s">
        <v>164</v>
      </c>
      <c r="E632" s="108">
        <v>1000</v>
      </c>
      <c r="F632">
        <v>0</v>
      </c>
      <c r="G632">
        <v>2</v>
      </c>
      <c r="H632" s="108">
        <v>3105</v>
      </c>
      <c r="I632" s="108">
        <v>3105</v>
      </c>
      <c r="J632" s="150">
        <v>0.53660879629629632</v>
      </c>
      <c r="K632" s="150">
        <v>0.53728009259259257</v>
      </c>
      <c r="L632" t="s">
        <v>165</v>
      </c>
      <c r="N632">
        <v>1958301</v>
      </c>
      <c r="O632">
        <v>1958301</v>
      </c>
      <c r="P632">
        <v>1958250</v>
      </c>
      <c r="Q632">
        <v>998</v>
      </c>
      <c r="R632" t="s">
        <v>166</v>
      </c>
      <c r="S632">
        <v>0</v>
      </c>
      <c r="T632" t="s">
        <v>167</v>
      </c>
      <c r="U632">
        <v>1958250</v>
      </c>
      <c r="W632" t="s">
        <v>168</v>
      </c>
      <c r="X632" t="s">
        <v>166</v>
      </c>
    </row>
    <row r="633" spans="1:24" x14ac:dyDescent="0.3">
      <c r="A633" s="7" t="s">
        <v>69</v>
      </c>
      <c r="B633" t="s">
        <v>70</v>
      </c>
      <c r="C633" t="s">
        <v>169</v>
      </c>
      <c r="D633" t="s">
        <v>164</v>
      </c>
      <c r="E633" s="108">
        <v>1000</v>
      </c>
      <c r="F633">
        <v>0</v>
      </c>
      <c r="G633" s="108">
        <v>1000</v>
      </c>
      <c r="H633" s="108">
        <v>19485</v>
      </c>
      <c r="I633" s="108">
        <v>19485</v>
      </c>
      <c r="J633" s="150">
        <v>0.53682870370370372</v>
      </c>
      <c r="K633" s="150">
        <v>0.53684027777777776</v>
      </c>
      <c r="L633" t="s">
        <v>165</v>
      </c>
      <c r="N633">
        <v>1960144</v>
      </c>
      <c r="O633">
        <v>1960144</v>
      </c>
      <c r="P633">
        <v>1959876</v>
      </c>
      <c r="Q633">
        <v>0</v>
      </c>
      <c r="R633" t="s">
        <v>166</v>
      </c>
      <c r="S633">
        <v>0</v>
      </c>
      <c r="T633" t="s">
        <v>167</v>
      </c>
      <c r="U633">
        <v>1959876</v>
      </c>
      <c r="W633" t="s">
        <v>168</v>
      </c>
      <c r="X633" t="s">
        <v>166</v>
      </c>
    </row>
    <row r="634" spans="1:24" x14ac:dyDescent="0.3">
      <c r="A634" s="7" t="s">
        <v>63</v>
      </c>
      <c r="B634" t="s">
        <v>64</v>
      </c>
      <c r="C634" t="s">
        <v>163</v>
      </c>
      <c r="D634" t="s">
        <v>170</v>
      </c>
      <c r="E634" s="108">
        <v>1000</v>
      </c>
      <c r="F634">
        <v>0</v>
      </c>
      <c r="G634" s="108">
        <v>1000</v>
      </c>
      <c r="H634" s="108">
        <v>4745</v>
      </c>
      <c r="I634" s="108">
        <v>4745</v>
      </c>
      <c r="J634" s="150">
        <v>0.53696759259259264</v>
      </c>
      <c r="K634" s="150">
        <v>0.53696759259259264</v>
      </c>
      <c r="L634" t="s">
        <v>165</v>
      </c>
      <c r="N634">
        <v>1961402</v>
      </c>
      <c r="O634">
        <v>1961402</v>
      </c>
      <c r="P634">
        <v>0</v>
      </c>
      <c r="Q634">
        <v>0</v>
      </c>
      <c r="R634" t="s">
        <v>166</v>
      </c>
      <c r="S634">
        <v>0</v>
      </c>
      <c r="T634" t="s">
        <v>167</v>
      </c>
      <c r="U634">
        <v>0</v>
      </c>
      <c r="W634" t="s">
        <v>168</v>
      </c>
      <c r="X634" t="s">
        <v>166</v>
      </c>
    </row>
    <row r="635" spans="1:24" x14ac:dyDescent="0.3">
      <c r="A635" s="7" t="s">
        <v>77</v>
      </c>
      <c r="B635" t="s">
        <v>78</v>
      </c>
      <c r="C635" t="s">
        <v>169</v>
      </c>
      <c r="D635" t="s">
        <v>164</v>
      </c>
      <c r="E635" s="108">
        <v>1000</v>
      </c>
      <c r="F635">
        <v>0</v>
      </c>
      <c r="G635">
        <v>20</v>
      </c>
      <c r="H635" s="108">
        <v>17965</v>
      </c>
      <c r="I635" s="108">
        <v>17965</v>
      </c>
      <c r="J635" s="150">
        <v>0.53712962962962962</v>
      </c>
      <c r="K635" s="150">
        <v>0.53714120370370366</v>
      </c>
      <c r="L635" t="s">
        <v>165</v>
      </c>
      <c r="N635">
        <v>1962980</v>
      </c>
      <c r="O635">
        <v>1962980</v>
      </c>
      <c r="P635">
        <v>1962890</v>
      </c>
      <c r="Q635">
        <v>980</v>
      </c>
      <c r="R635" t="s">
        <v>166</v>
      </c>
      <c r="S635">
        <v>0</v>
      </c>
      <c r="T635" t="s">
        <v>167</v>
      </c>
      <c r="U635">
        <v>1962890</v>
      </c>
      <c r="W635" t="s">
        <v>168</v>
      </c>
      <c r="X635" t="s">
        <v>166</v>
      </c>
    </row>
    <row r="636" spans="1:24" x14ac:dyDescent="0.3">
      <c r="A636" s="7" t="s">
        <v>63</v>
      </c>
      <c r="B636" t="s">
        <v>64</v>
      </c>
      <c r="C636" t="s">
        <v>163</v>
      </c>
      <c r="D636" t="s">
        <v>164</v>
      </c>
      <c r="E636" s="108">
        <v>1000</v>
      </c>
      <c r="F636">
        <v>0</v>
      </c>
      <c r="G636" s="108">
        <v>1000</v>
      </c>
      <c r="H636" s="108">
        <v>4745</v>
      </c>
      <c r="I636" s="108">
        <v>4745</v>
      </c>
      <c r="J636" s="150">
        <v>0.53768518518518515</v>
      </c>
      <c r="K636" s="150">
        <v>0.53768518518518515</v>
      </c>
      <c r="L636" t="s">
        <v>165</v>
      </c>
      <c r="N636">
        <v>1968791</v>
      </c>
      <c r="O636">
        <v>1968791</v>
      </c>
      <c r="P636">
        <v>1968441</v>
      </c>
      <c r="Q636">
        <v>0</v>
      </c>
      <c r="R636" t="s">
        <v>166</v>
      </c>
      <c r="S636">
        <v>0</v>
      </c>
      <c r="T636" t="s">
        <v>167</v>
      </c>
      <c r="U636">
        <v>1968441</v>
      </c>
      <c r="W636" t="s">
        <v>168</v>
      </c>
      <c r="X636" t="s">
        <v>166</v>
      </c>
    </row>
    <row r="637" spans="1:24" x14ac:dyDescent="0.3">
      <c r="A637" s="7" t="s">
        <v>79</v>
      </c>
      <c r="B637" t="s">
        <v>80</v>
      </c>
      <c r="C637" t="s">
        <v>169</v>
      </c>
      <c r="D637" t="s">
        <v>164</v>
      </c>
      <c r="E637" s="108">
        <v>1000</v>
      </c>
      <c r="F637">
        <v>0</v>
      </c>
      <c r="G637">
        <v>3</v>
      </c>
      <c r="H637" s="108">
        <v>38390</v>
      </c>
      <c r="I637" s="108">
        <v>38390</v>
      </c>
      <c r="J637" s="150">
        <v>0.5376967592592593</v>
      </c>
      <c r="K637" s="150">
        <v>0.53770833333333334</v>
      </c>
      <c r="L637" t="s">
        <v>165</v>
      </c>
      <c r="N637">
        <v>1969033</v>
      </c>
      <c r="O637">
        <v>1969033</v>
      </c>
      <c r="P637">
        <v>1969026</v>
      </c>
      <c r="Q637">
        <v>997</v>
      </c>
      <c r="R637" t="s">
        <v>166</v>
      </c>
      <c r="S637">
        <v>0</v>
      </c>
      <c r="T637" t="s">
        <v>167</v>
      </c>
      <c r="U637">
        <v>1969026</v>
      </c>
      <c r="W637" t="s">
        <v>168</v>
      </c>
      <c r="X637" t="s">
        <v>166</v>
      </c>
    </row>
    <row r="638" spans="1:24" x14ac:dyDescent="0.3">
      <c r="A638" s="7" t="s">
        <v>98</v>
      </c>
      <c r="B638" t="s">
        <v>99</v>
      </c>
      <c r="C638" t="s">
        <v>163</v>
      </c>
      <c r="D638" t="s">
        <v>164</v>
      </c>
      <c r="E638" s="108">
        <v>1000</v>
      </c>
      <c r="F638">
        <v>0</v>
      </c>
      <c r="G638">
        <v>2</v>
      </c>
      <c r="H638" s="108">
        <v>15495</v>
      </c>
      <c r="I638" s="108">
        <v>15495</v>
      </c>
      <c r="J638" s="150">
        <v>0.5377777777777778</v>
      </c>
      <c r="K638" s="150">
        <v>0.53778935185185184</v>
      </c>
      <c r="L638" t="s">
        <v>165</v>
      </c>
      <c r="N638">
        <v>1969937</v>
      </c>
      <c r="O638">
        <v>1969937</v>
      </c>
      <c r="P638">
        <v>1967217</v>
      </c>
      <c r="Q638">
        <v>998</v>
      </c>
      <c r="R638" t="s">
        <v>166</v>
      </c>
      <c r="S638">
        <v>0</v>
      </c>
      <c r="T638" t="s">
        <v>167</v>
      </c>
      <c r="U638">
        <v>1967217</v>
      </c>
      <c r="W638" t="s">
        <v>168</v>
      </c>
      <c r="X638" t="s">
        <v>166</v>
      </c>
    </row>
    <row r="639" spans="1:24" x14ac:dyDescent="0.3">
      <c r="A639" s="7" t="s">
        <v>112</v>
      </c>
      <c r="B639" t="s">
        <v>113</v>
      </c>
      <c r="C639" t="s">
        <v>169</v>
      </c>
      <c r="D639" t="s">
        <v>164</v>
      </c>
      <c r="E639" s="108">
        <v>1000</v>
      </c>
      <c r="F639">
        <v>0</v>
      </c>
      <c r="G639">
        <v>10</v>
      </c>
      <c r="H639" s="108">
        <v>56465</v>
      </c>
      <c r="I639" s="108">
        <v>56465</v>
      </c>
      <c r="J639" s="150">
        <v>0.53809027777777774</v>
      </c>
      <c r="K639" s="150">
        <v>0.53811342592592593</v>
      </c>
      <c r="L639" t="s">
        <v>165</v>
      </c>
      <c r="N639">
        <v>1972866</v>
      </c>
      <c r="O639">
        <v>1972866</v>
      </c>
      <c r="P639">
        <v>1972853</v>
      </c>
      <c r="Q639">
        <v>990</v>
      </c>
      <c r="R639" t="s">
        <v>166</v>
      </c>
      <c r="S639">
        <v>0</v>
      </c>
      <c r="T639" t="s">
        <v>167</v>
      </c>
      <c r="U639">
        <v>1972853</v>
      </c>
      <c r="W639" t="s">
        <v>168</v>
      </c>
      <c r="X639" t="s">
        <v>166</v>
      </c>
    </row>
    <row r="640" spans="1:24" x14ac:dyDescent="0.3">
      <c r="A640" s="7" t="s">
        <v>138</v>
      </c>
      <c r="B640" t="s">
        <v>171</v>
      </c>
      <c r="C640" t="s">
        <v>163</v>
      </c>
      <c r="D640" t="s">
        <v>164</v>
      </c>
      <c r="E640" s="108">
        <v>1000</v>
      </c>
      <c r="F640">
        <v>0</v>
      </c>
      <c r="G640">
        <v>2</v>
      </c>
      <c r="H640" s="108">
        <v>9230</v>
      </c>
      <c r="I640" s="108">
        <v>9230</v>
      </c>
      <c r="J640" s="150">
        <v>0.53818287037037038</v>
      </c>
      <c r="K640" s="150">
        <v>0.53825231481481484</v>
      </c>
      <c r="L640" t="s">
        <v>165</v>
      </c>
      <c r="N640">
        <v>1973491</v>
      </c>
      <c r="O640">
        <v>1973491</v>
      </c>
      <c r="P640">
        <v>1969925</v>
      </c>
      <c r="Q640">
        <v>998</v>
      </c>
      <c r="R640" t="s">
        <v>166</v>
      </c>
      <c r="S640">
        <v>0</v>
      </c>
      <c r="T640" t="s">
        <v>167</v>
      </c>
      <c r="U640">
        <v>1969925</v>
      </c>
      <c r="W640" t="s">
        <v>168</v>
      </c>
      <c r="X640" t="s">
        <v>166</v>
      </c>
    </row>
    <row r="641" spans="1:24" x14ac:dyDescent="0.3">
      <c r="A641" s="7" t="s">
        <v>63</v>
      </c>
      <c r="B641" t="s">
        <v>64</v>
      </c>
      <c r="C641" t="s">
        <v>163</v>
      </c>
      <c r="D641" t="s">
        <v>170</v>
      </c>
      <c r="E641" s="108">
        <v>1000</v>
      </c>
      <c r="F641">
        <v>0</v>
      </c>
      <c r="G641" s="108">
        <v>1000</v>
      </c>
      <c r="H641" s="108">
        <v>4750</v>
      </c>
      <c r="I641" s="108">
        <v>4750</v>
      </c>
      <c r="J641" s="150">
        <v>0.5383796296296296</v>
      </c>
      <c r="K641" s="150">
        <v>0.53881944444444441</v>
      </c>
      <c r="L641" t="s">
        <v>165</v>
      </c>
      <c r="N641">
        <v>1975252</v>
      </c>
      <c r="O641">
        <v>1975252</v>
      </c>
      <c r="P641">
        <v>0</v>
      </c>
      <c r="Q641">
        <v>0</v>
      </c>
      <c r="R641" t="s">
        <v>166</v>
      </c>
      <c r="S641">
        <v>0</v>
      </c>
      <c r="T641" t="s">
        <v>167</v>
      </c>
      <c r="U641">
        <v>0</v>
      </c>
      <c r="W641" t="s">
        <v>168</v>
      </c>
      <c r="X641" t="s">
        <v>166</v>
      </c>
    </row>
    <row r="642" spans="1:24" x14ac:dyDescent="0.3">
      <c r="A642" s="7" t="s">
        <v>98</v>
      </c>
      <c r="B642" t="s">
        <v>99</v>
      </c>
      <c r="C642" t="s">
        <v>163</v>
      </c>
      <c r="D642" t="s">
        <v>164</v>
      </c>
      <c r="E642" s="108">
        <v>1000</v>
      </c>
      <c r="F642">
        <v>0</v>
      </c>
      <c r="G642">
        <v>5</v>
      </c>
      <c r="H642" s="108">
        <v>15495</v>
      </c>
      <c r="I642" s="108">
        <v>15495</v>
      </c>
      <c r="J642" s="150">
        <v>0.53847222222222224</v>
      </c>
      <c r="K642" s="150">
        <v>0.53848379629629628</v>
      </c>
      <c r="L642" t="s">
        <v>165</v>
      </c>
      <c r="N642">
        <v>1976088</v>
      </c>
      <c r="O642">
        <v>1976088</v>
      </c>
      <c r="P642">
        <v>1976017</v>
      </c>
      <c r="Q642">
        <v>995</v>
      </c>
      <c r="R642" t="s">
        <v>166</v>
      </c>
      <c r="S642">
        <v>0</v>
      </c>
      <c r="T642" t="s">
        <v>167</v>
      </c>
      <c r="U642">
        <v>1976017</v>
      </c>
      <c r="W642" t="s">
        <v>168</v>
      </c>
      <c r="X642" t="s">
        <v>166</v>
      </c>
    </row>
    <row r="643" spans="1:24" x14ac:dyDescent="0.3">
      <c r="A643" s="7" t="s">
        <v>77</v>
      </c>
      <c r="B643" t="s">
        <v>78</v>
      </c>
      <c r="C643" t="s">
        <v>169</v>
      </c>
      <c r="D643" t="s">
        <v>164</v>
      </c>
      <c r="E643" s="108">
        <v>1000</v>
      </c>
      <c r="F643">
        <v>0</v>
      </c>
      <c r="G643" s="108">
        <v>1000</v>
      </c>
      <c r="H643" s="108">
        <v>18005</v>
      </c>
      <c r="I643" s="108">
        <v>18005</v>
      </c>
      <c r="J643" s="150">
        <v>0.53880787037037037</v>
      </c>
      <c r="K643" s="150">
        <v>0.53883101851851845</v>
      </c>
      <c r="L643" t="s">
        <v>165</v>
      </c>
      <c r="N643">
        <v>1979490</v>
      </c>
      <c r="O643">
        <v>1979490</v>
      </c>
      <c r="P643">
        <v>1979453</v>
      </c>
      <c r="Q643">
        <v>0</v>
      </c>
      <c r="R643" t="s">
        <v>166</v>
      </c>
      <c r="S643">
        <v>0</v>
      </c>
      <c r="T643" t="s">
        <v>167</v>
      </c>
      <c r="U643">
        <v>1979453</v>
      </c>
      <c r="W643" t="s">
        <v>168</v>
      </c>
      <c r="X643" t="s">
        <v>166</v>
      </c>
    </row>
    <row r="644" spans="1:24" x14ac:dyDescent="0.3">
      <c r="A644" s="7" t="s">
        <v>87</v>
      </c>
      <c r="B644" t="s">
        <v>88</v>
      </c>
      <c r="C644" t="s">
        <v>163</v>
      </c>
      <c r="D644" t="s">
        <v>164</v>
      </c>
      <c r="E644" s="108">
        <v>1000</v>
      </c>
      <c r="F644">
        <v>0</v>
      </c>
      <c r="G644">
        <v>31</v>
      </c>
      <c r="H644" s="108">
        <v>3105</v>
      </c>
      <c r="I644" s="108">
        <v>3105</v>
      </c>
      <c r="J644" s="150">
        <v>0.53917824074074072</v>
      </c>
      <c r="K644" s="150">
        <v>0.53918981481481476</v>
      </c>
      <c r="L644" t="s">
        <v>165</v>
      </c>
      <c r="N644">
        <v>1982743</v>
      </c>
      <c r="O644">
        <v>1982743</v>
      </c>
      <c r="P644">
        <v>1982025</v>
      </c>
      <c r="Q644">
        <v>969</v>
      </c>
      <c r="R644" t="s">
        <v>166</v>
      </c>
      <c r="S644">
        <v>0</v>
      </c>
      <c r="T644" t="s">
        <v>167</v>
      </c>
      <c r="U644">
        <v>1982025</v>
      </c>
      <c r="W644" t="s">
        <v>168</v>
      </c>
      <c r="X644" t="s">
        <v>166</v>
      </c>
    </row>
    <row r="645" spans="1:24" x14ac:dyDescent="0.3">
      <c r="A645" s="7" t="s">
        <v>98</v>
      </c>
      <c r="B645" t="s">
        <v>99</v>
      </c>
      <c r="C645" t="s">
        <v>163</v>
      </c>
      <c r="D645" t="s">
        <v>164</v>
      </c>
      <c r="E645" s="108">
        <v>1000</v>
      </c>
      <c r="F645">
        <v>0</v>
      </c>
      <c r="G645">
        <v>9</v>
      </c>
      <c r="H645" s="108">
        <v>15500</v>
      </c>
      <c r="I645" s="108">
        <v>15500</v>
      </c>
      <c r="J645" s="150">
        <v>0.53976851851851848</v>
      </c>
      <c r="K645" s="150">
        <v>0.5398263888888889</v>
      </c>
      <c r="L645" t="s">
        <v>165</v>
      </c>
      <c r="N645">
        <v>1987341</v>
      </c>
      <c r="O645">
        <v>1987341</v>
      </c>
      <c r="P645">
        <v>1987298</v>
      </c>
      <c r="Q645">
        <v>991</v>
      </c>
      <c r="R645" t="s">
        <v>166</v>
      </c>
      <c r="S645">
        <v>0</v>
      </c>
      <c r="T645" t="s">
        <v>167</v>
      </c>
      <c r="U645">
        <v>1987298</v>
      </c>
      <c r="W645" t="s">
        <v>168</v>
      </c>
      <c r="X645" t="s">
        <v>166</v>
      </c>
    </row>
    <row r="646" spans="1:24" x14ac:dyDescent="0.3">
      <c r="A646" s="7" t="s">
        <v>112</v>
      </c>
      <c r="B646" t="s">
        <v>113</v>
      </c>
      <c r="C646" t="s">
        <v>169</v>
      </c>
      <c r="D646" t="s">
        <v>164</v>
      </c>
      <c r="E646" s="108">
        <v>1000</v>
      </c>
      <c r="F646">
        <v>0</v>
      </c>
      <c r="G646">
        <v>543</v>
      </c>
      <c r="H646" s="108">
        <v>56535</v>
      </c>
      <c r="I646" s="108">
        <v>56535</v>
      </c>
      <c r="J646" s="150">
        <v>0.53981481481481486</v>
      </c>
      <c r="K646" s="150">
        <v>0.5398263888888889</v>
      </c>
      <c r="L646" t="s">
        <v>165</v>
      </c>
      <c r="N646">
        <v>1987793</v>
      </c>
      <c r="O646">
        <v>1987793</v>
      </c>
      <c r="P646">
        <v>1987784</v>
      </c>
      <c r="Q646">
        <v>457</v>
      </c>
      <c r="R646" t="s">
        <v>166</v>
      </c>
      <c r="S646">
        <v>0</v>
      </c>
      <c r="T646" t="s">
        <v>167</v>
      </c>
      <c r="U646">
        <v>1987784</v>
      </c>
      <c r="W646" t="s">
        <v>168</v>
      </c>
      <c r="X646" t="s">
        <v>166</v>
      </c>
    </row>
    <row r="647" spans="1:24" x14ac:dyDescent="0.3">
      <c r="A647" s="7" t="s">
        <v>77</v>
      </c>
      <c r="B647" t="s">
        <v>78</v>
      </c>
      <c r="C647" t="s">
        <v>169</v>
      </c>
      <c r="D647" t="s">
        <v>164</v>
      </c>
      <c r="E647" s="108">
        <v>1000</v>
      </c>
      <c r="F647">
        <v>0</v>
      </c>
      <c r="G647" s="108">
        <v>1000</v>
      </c>
      <c r="H647" s="108">
        <v>18000</v>
      </c>
      <c r="I647" s="108">
        <v>18000</v>
      </c>
      <c r="J647" s="150">
        <v>0.54025462962962967</v>
      </c>
      <c r="K647" s="150">
        <v>0.54026620370370371</v>
      </c>
      <c r="L647" t="s">
        <v>165</v>
      </c>
      <c r="N647">
        <v>1991338</v>
      </c>
      <c r="O647">
        <v>1991338</v>
      </c>
      <c r="P647">
        <v>1991274</v>
      </c>
      <c r="Q647">
        <v>0</v>
      </c>
      <c r="R647" t="s">
        <v>166</v>
      </c>
      <c r="S647">
        <v>0</v>
      </c>
      <c r="T647" t="s">
        <v>167</v>
      </c>
      <c r="U647">
        <v>1991274</v>
      </c>
      <c r="W647" t="s">
        <v>168</v>
      </c>
      <c r="X647" t="s">
        <v>166</v>
      </c>
    </row>
    <row r="648" spans="1:24" x14ac:dyDescent="0.3">
      <c r="A648" s="7" t="s">
        <v>69</v>
      </c>
      <c r="B648" t="s">
        <v>70</v>
      </c>
      <c r="C648" t="s">
        <v>169</v>
      </c>
      <c r="D648" t="s">
        <v>164</v>
      </c>
      <c r="E648" s="108">
        <v>1000</v>
      </c>
      <c r="F648">
        <v>0</v>
      </c>
      <c r="G648" s="108">
        <v>1000</v>
      </c>
      <c r="H648" s="108">
        <v>19515</v>
      </c>
      <c r="I648" s="108">
        <v>19515</v>
      </c>
      <c r="J648" s="150">
        <v>0.54030092592592593</v>
      </c>
      <c r="K648" s="150">
        <v>0.54030092592592593</v>
      </c>
      <c r="L648" t="s">
        <v>165</v>
      </c>
      <c r="N648">
        <v>1991793</v>
      </c>
      <c r="O648">
        <v>1991793</v>
      </c>
      <c r="P648">
        <v>1991581</v>
      </c>
      <c r="Q648">
        <v>0</v>
      </c>
      <c r="R648" t="s">
        <v>166</v>
      </c>
      <c r="S648">
        <v>0</v>
      </c>
      <c r="T648" t="s">
        <v>167</v>
      </c>
      <c r="U648">
        <v>1991581</v>
      </c>
      <c r="W648" t="s">
        <v>168</v>
      </c>
      <c r="X648" t="s">
        <v>166</v>
      </c>
    </row>
    <row r="649" spans="1:24" x14ac:dyDescent="0.3">
      <c r="A649" s="7" t="s">
        <v>63</v>
      </c>
      <c r="B649" t="s">
        <v>64</v>
      </c>
      <c r="C649" t="s">
        <v>163</v>
      </c>
      <c r="D649" t="s">
        <v>164</v>
      </c>
      <c r="E649" s="108">
        <v>1000</v>
      </c>
      <c r="F649">
        <v>0</v>
      </c>
      <c r="G649" s="108">
        <v>1000</v>
      </c>
      <c r="H649" s="108">
        <v>4745</v>
      </c>
      <c r="I649" s="108">
        <v>4745</v>
      </c>
      <c r="J649" s="150">
        <v>0.5403472222222222</v>
      </c>
      <c r="K649" s="150">
        <v>0.5403472222222222</v>
      </c>
      <c r="L649" t="s">
        <v>165</v>
      </c>
      <c r="N649">
        <v>1992229</v>
      </c>
      <c r="O649">
        <v>1992229</v>
      </c>
      <c r="P649">
        <v>1986281</v>
      </c>
      <c r="Q649">
        <v>0</v>
      </c>
      <c r="R649" t="s">
        <v>166</v>
      </c>
      <c r="S649">
        <v>0</v>
      </c>
      <c r="T649" t="s">
        <v>167</v>
      </c>
      <c r="U649">
        <v>1986281</v>
      </c>
      <c r="W649" t="s">
        <v>168</v>
      </c>
      <c r="X649" t="s">
        <v>166</v>
      </c>
    </row>
    <row r="650" spans="1:24" x14ac:dyDescent="0.3">
      <c r="A650" s="7" t="s">
        <v>98</v>
      </c>
      <c r="B650" t="s">
        <v>99</v>
      </c>
      <c r="C650" t="s">
        <v>163</v>
      </c>
      <c r="D650" t="s">
        <v>164</v>
      </c>
      <c r="E650" s="108">
        <v>1000</v>
      </c>
      <c r="F650">
        <v>0</v>
      </c>
      <c r="G650">
        <v>7</v>
      </c>
      <c r="H650" s="108">
        <v>15490</v>
      </c>
      <c r="I650" s="108">
        <v>15490</v>
      </c>
      <c r="J650" s="150">
        <v>0.54078703703703701</v>
      </c>
      <c r="K650" s="150">
        <v>0.54078703703703701</v>
      </c>
      <c r="L650" t="s">
        <v>165</v>
      </c>
      <c r="N650">
        <v>1995775</v>
      </c>
      <c r="O650">
        <v>1995775</v>
      </c>
      <c r="P650">
        <v>1995361</v>
      </c>
      <c r="Q650">
        <v>993</v>
      </c>
      <c r="R650" t="s">
        <v>166</v>
      </c>
      <c r="S650">
        <v>0</v>
      </c>
      <c r="T650" t="s">
        <v>167</v>
      </c>
      <c r="U650">
        <v>1995361</v>
      </c>
      <c r="W650" t="s">
        <v>168</v>
      </c>
      <c r="X650" t="s">
        <v>166</v>
      </c>
    </row>
    <row r="651" spans="1:24" x14ac:dyDescent="0.3">
      <c r="A651" s="7" t="s">
        <v>71</v>
      </c>
      <c r="B651" t="s">
        <v>72</v>
      </c>
      <c r="C651" t="s">
        <v>169</v>
      </c>
      <c r="D651" t="s">
        <v>164</v>
      </c>
      <c r="E651" s="108">
        <v>1000</v>
      </c>
      <c r="F651">
        <v>0</v>
      </c>
      <c r="G651">
        <v>320</v>
      </c>
      <c r="H651" s="108">
        <v>19005</v>
      </c>
      <c r="I651" s="108">
        <v>19005</v>
      </c>
      <c r="J651" s="150">
        <v>0.54085648148148147</v>
      </c>
      <c r="K651" s="150">
        <v>0.5408680555555555</v>
      </c>
      <c r="L651" t="s">
        <v>165</v>
      </c>
      <c r="N651">
        <v>1996298</v>
      </c>
      <c r="O651">
        <v>1996298</v>
      </c>
      <c r="P651">
        <v>1996255</v>
      </c>
      <c r="Q651">
        <v>680</v>
      </c>
      <c r="R651" t="s">
        <v>166</v>
      </c>
      <c r="S651">
        <v>0</v>
      </c>
      <c r="T651" t="s">
        <v>167</v>
      </c>
      <c r="U651">
        <v>1996255</v>
      </c>
      <c r="W651" t="s">
        <v>168</v>
      </c>
      <c r="X651" t="s">
        <v>166</v>
      </c>
    </row>
    <row r="652" spans="1:24" x14ac:dyDescent="0.3">
      <c r="A652" s="7" t="s">
        <v>138</v>
      </c>
      <c r="B652" t="s">
        <v>171</v>
      </c>
      <c r="C652" t="s">
        <v>169</v>
      </c>
      <c r="D652" t="s">
        <v>164</v>
      </c>
      <c r="E652" s="108">
        <v>1000</v>
      </c>
      <c r="F652">
        <v>0</v>
      </c>
      <c r="G652">
        <v>376</v>
      </c>
      <c r="H652" s="108">
        <v>9215</v>
      </c>
      <c r="I652" s="108">
        <v>9215</v>
      </c>
      <c r="J652" s="150">
        <v>0.54089120370370369</v>
      </c>
      <c r="K652" s="150">
        <v>0.54089120370370369</v>
      </c>
      <c r="L652" t="s">
        <v>165</v>
      </c>
      <c r="N652">
        <v>1996552</v>
      </c>
      <c r="O652">
        <v>1996552</v>
      </c>
      <c r="P652">
        <v>1996290</v>
      </c>
      <c r="Q652">
        <v>624</v>
      </c>
      <c r="R652" t="s">
        <v>166</v>
      </c>
      <c r="S652">
        <v>0</v>
      </c>
      <c r="T652" t="s">
        <v>167</v>
      </c>
      <c r="U652">
        <v>1996290</v>
      </c>
      <c r="W652" t="s">
        <v>168</v>
      </c>
      <c r="X652" t="s">
        <v>166</v>
      </c>
    </row>
    <row r="653" spans="1:24" x14ac:dyDescent="0.3">
      <c r="A653" s="7" t="s">
        <v>67</v>
      </c>
      <c r="B653" t="s">
        <v>68</v>
      </c>
      <c r="C653" t="s">
        <v>169</v>
      </c>
      <c r="D653" t="s">
        <v>164</v>
      </c>
      <c r="E653" s="108">
        <v>1000</v>
      </c>
      <c r="F653">
        <v>0</v>
      </c>
      <c r="G653">
        <v>59</v>
      </c>
      <c r="H653" s="108">
        <v>10630</v>
      </c>
      <c r="I653" s="108">
        <v>10630</v>
      </c>
      <c r="J653" s="150">
        <v>0.54100694444444442</v>
      </c>
      <c r="K653" s="150">
        <v>0.5410300925925926</v>
      </c>
      <c r="L653" t="s">
        <v>165</v>
      </c>
      <c r="N653">
        <v>1997474</v>
      </c>
      <c r="O653">
        <v>1997474</v>
      </c>
      <c r="P653">
        <v>1997052</v>
      </c>
      <c r="Q653">
        <v>941</v>
      </c>
      <c r="R653" t="s">
        <v>166</v>
      </c>
      <c r="S653">
        <v>0</v>
      </c>
      <c r="T653" t="s">
        <v>167</v>
      </c>
      <c r="U653">
        <v>1997052</v>
      </c>
      <c r="W653" t="s">
        <v>168</v>
      </c>
      <c r="X653" t="s">
        <v>166</v>
      </c>
    </row>
    <row r="654" spans="1:24" x14ac:dyDescent="0.3">
      <c r="A654" s="7" t="s">
        <v>63</v>
      </c>
      <c r="B654" t="s">
        <v>64</v>
      </c>
      <c r="C654" t="s">
        <v>163</v>
      </c>
      <c r="D654" t="s">
        <v>170</v>
      </c>
      <c r="E654" s="108">
        <v>1000</v>
      </c>
      <c r="F654">
        <v>0</v>
      </c>
      <c r="G654" s="108">
        <v>1000</v>
      </c>
      <c r="H654" s="108">
        <v>4745</v>
      </c>
      <c r="I654" s="108">
        <v>4745</v>
      </c>
      <c r="J654" s="150">
        <v>0.54104166666666664</v>
      </c>
      <c r="K654" s="150">
        <v>0.54104166666666664</v>
      </c>
      <c r="L654" t="s">
        <v>165</v>
      </c>
      <c r="N654">
        <v>1997668</v>
      </c>
      <c r="O654">
        <v>1997668</v>
      </c>
      <c r="P654">
        <v>0</v>
      </c>
      <c r="Q654">
        <v>0</v>
      </c>
      <c r="R654" t="s">
        <v>166</v>
      </c>
      <c r="S654">
        <v>0</v>
      </c>
      <c r="T654" t="s">
        <v>167</v>
      </c>
      <c r="U654">
        <v>0</v>
      </c>
      <c r="W654" t="s">
        <v>168</v>
      </c>
      <c r="X654" t="s">
        <v>166</v>
      </c>
    </row>
    <row r="655" spans="1:24" x14ac:dyDescent="0.3">
      <c r="A655" s="7" t="s">
        <v>63</v>
      </c>
      <c r="B655" t="s">
        <v>64</v>
      </c>
      <c r="C655" t="s">
        <v>163</v>
      </c>
      <c r="D655" t="s">
        <v>164</v>
      </c>
      <c r="E655" s="108">
        <v>1000</v>
      </c>
      <c r="F655">
        <v>0</v>
      </c>
      <c r="G655" s="108">
        <v>1000</v>
      </c>
      <c r="H655" s="108">
        <v>4745</v>
      </c>
      <c r="I655" s="108">
        <v>4745</v>
      </c>
      <c r="J655" s="150">
        <v>0.54173611111111108</v>
      </c>
      <c r="K655" s="150">
        <v>0.54173611111111108</v>
      </c>
      <c r="L655" t="s">
        <v>165</v>
      </c>
      <c r="N655">
        <v>2003642</v>
      </c>
      <c r="O655">
        <v>2003642</v>
      </c>
      <c r="P655">
        <v>2003614</v>
      </c>
      <c r="Q655">
        <v>0</v>
      </c>
      <c r="R655" t="s">
        <v>166</v>
      </c>
      <c r="S655">
        <v>0</v>
      </c>
      <c r="T655" t="s">
        <v>167</v>
      </c>
      <c r="U655">
        <v>2003614</v>
      </c>
      <c r="W655" t="s">
        <v>168</v>
      </c>
      <c r="X655" t="s">
        <v>166</v>
      </c>
    </row>
    <row r="656" spans="1:24" x14ac:dyDescent="0.3">
      <c r="A656" s="7" t="s">
        <v>112</v>
      </c>
      <c r="B656" t="s">
        <v>113</v>
      </c>
      <c r="C656" t="s">
        <v>169</v>
      </c>
      <c r="D656" t="s">
        <v>164</v>
      </c>
      <c r="E656" s="108">
        <v>1000</v>
      </c>
      <c r="F656">
        <v>0</v>
      </c>
      <c r="G656">
        <v>25</v>
      </c>
      <c r="H656" s="108">
        <v>56440</v>
      </c>
      <c r="I656" s="108">
        <v>56440</v>
      </c>
      <c r="J656" s="150">
        <v>0.54189814814814818</v>
      </c>
      <c r="K656" s="150">
        <v>0.54190972222222222</v>
      </c>
      <c r="L656" t="s">
        <v>165</v>
      </c>
      <c r="N656">
        <v>2005665</v>
      </c>
      <c r="O656">
        <v>2005665</v>
      </c>
      <c r="P656">
        <v>2005634</v>
      </c>
      <c r="Q656">
        <v>975</v>
      </c>
      <c r="R656" t="s">
        <v>166</v>
      </c>
      <c r="S656">
        <v>0</v>
      </c>
      <c r="T656" t="s">
        <v>167</v>
      </c>
      <c r="U656">
        <v>2005634</v>
      </c>
      <c r="W656" t="s">
        <v>168</v>
      </c>
      <c r="X656" t="s">
        <v>166</v>
      </c>
    </row>
    <row r="657" spans="1:24" x14ac:dyDescent="0.3">
      <c r="A657" s="7" t="s">
        <v>138</v>
      </c>
      <c r="B657" t="s">
        <v>171</v>
      </c>
      <c r="C657" t="s">
        <v>169</v>
      </c>
      <c r="D657" t="s">
        <v>164</v>
      </c>
      <c r="E657" s="108">
        <v>1000</v>
      </c>
      <c r="F657">
        <v>0</v>
      </c>
      <c r="G657">
        <v>38</v>
      </c>
      <c r="H657" s="108">
        <v>9220</v>
      </c>
      <c r="I657" s="108">
        <v>9220</v>
      </c>
      <c r="J657" s="150">
        <v>0.54244212962962968</v>
      </c>
      <c r="K657" s="150">
        <v>0.54245370370370372</v>
      </c>
      <c r="L657" t="s">
        <v>165</v>
      </c>
      <c r="N657">
        <v>2010230</v>
      </c>
      <c r="O657">
        <v>2010230</v>
      </c>
      <c r="P657">
        <v>2009769</v>
      </c>
      <c r="Q657">
        <v>962</v>
      </c>
      <c r="R657" t="s">
        <v>166</v>
      </c>
      <c r="S657">
        <v>0</v>
      </c>
      <c r="T657" t="s">
        <v>167</v>
      </c>
      <c r="U657">
        <v>2009769</v>
      </c>
      <c r="W657" t="s">
        <v>168</v>
      </c>
      <c r="X657" t="s">
        <v>166</v>
      </c>
    </row>
    <row r="658" spans="1:24" x14ac:dyDescent="0.3">
      <c r="A658" s="7" t="s">
        <v>67</v>
      </c>
      <c r="B658" t="s">
        <v>68</v>
      </c>
      <c r="C658" t="s">
        <v>169</v>
      </c>
      <c r="D658" t="s">
        <v>164</v>
      </c>
      <c r="E658" s="108">
        <v>1000</v>
      </c>
      <c r="F658">
        <v>0</v>
      </c>
      <c r="G658">
        <v>1</v>
      </c>
      <c r="H658" s="108">
        <v>10635</v>
      </c>
      <c r="I658" s="108">
        <v>10635</v>
      </c>
      <c r="J658" s="150">
        <v>0.54265046296296293</v>
      </c>
      <c r="K658" s="150">
        <v>0.54265046296296293</v>
      </c>
      <c r="L658" t="s">
        <v>165</v>
      </c>
      <c r="N658">
        <v>2011706</v>
      </c>
      <c r="O658">
        <v>2011706</v>
      </c>
      <c r="P658">
        <v>2011538</v>
      </c>
      <c r="Q658">
        <v>999</v>
      </c>
      <c r="R658" t="s">
        <v>166</v>
      </c>
      <c r="S658">
        <v>0</v>
      </c>
      <c r="T658" t="s">
        <v>167</v>
      </c>
      <c r="U658">
        <v>2011538</v>
      </c>
      <c r="W658" t="s">
        <v>168</v>
      </c>
      <c r="X658" t="s">
        <v>166</v>
      </c>
    </row>
    <row r="659" spans="1:24" x14ac:dyDescent="0.3">
      <c r="A659" s="7" t="s">
        <v>77</v>
      </c>
      <c r="B659" t="s">
        <v>78</v>
      </c>
      <c r="C659" t="s">
        <v>169</v>
      </c>
      <c r="D659" t="s">
        <v>164</v>
      </c>
      <c r="E659" s="108">
        <v>1000</v>
      </c>
      <c r="F659">
        <v>0</v>
      </c>
      <c r="G659" s="108">
        <v>1000</v>
      </c>
      <c r="H659" s="108">
        <v>18015</v>
      </c>
      <c r="I659" s="108">
        <v>18015</v>
      </c>
      <c r="J659" s="150">
        <v>0.54288194444444449</v>
      </c>
      <c r="K659" s="150">
        <v>0.54289351851851853</v>
      </c>
      <c r="L659" t="s">
        <v>165</v>
      </c>
      <c r="N659">
        <v>2013675</v>
      </c>
      <c r="O659">
        <v>2013675</v>
      </c>
      <c r="P659">
        <v>2013560</v>
      </c>
      <c r="Q659">
        <v>0</v>
      </c>
      <c r="R659" t="s">
        <v>166</v>
      </c>
      <c r="S659">
        <v>0</v>
      </c>
      <c r="T659" t="s">
        <v>167</v>
      </c>
      <c r="U659">
        <v>2013560</v>
      </c>
      <c r="W659" t="s">
        <v>168</v>
      </c>
      <c r="X659" t="s">
        <v>166</v>
      </c>
    </row>
    <row r="660" spans="1:24" x14ac:dyDescent="0.3">
      <c r="A660" s="7" t="s">
        <v>63</v>
      </c>
      <c r="B660" t="s">
        <v>64</v>
      </c>
      <c r="C660" t="s">
        <v>163</v>
      </c>
      <c r="D660" t="s">
        <v>164</v>
      </c>
      <c r="E660" s="108">
        <v>1000</v>
      </c>
      <c r="F660">
        <v>0</v>
      </c>
      <c r="G660" s="108">
        <v>1000</v>
      </c>
      <c r="H660" s="108">
        <v>4740</v>
      </c>
      <c r="I660" s="108">
        <v>4740</v>
      </c>
      <c r="J660" s="150">
        <v>0.54298611111111106</v>
      </c>
      <c r="K660" s="150">
        <v>0.54299768518518521</v>
      </c>
      <c r="L660" t="s">
        <v>165</v>
      </c>
      <c r="N660">
        <v>2014574</v>
      </c>
      <c r="O660">
        <v>2014574</v>
      </c>
      <c r="P660">
        <v>2012829</v>
      </c>
      <c r="Q660">
        <v>0</v>
      </c>
      <c r="R660" t="s">
        <v>166</v>
      </c>
      <c r="S660">
        <v>0</v>
      </c>
      <c r="T660" t="s">
        <v>167</v>
      </c>
      <c r="U660">
        <v>2012829</v>
      </c>
      <c r="W660" t="s">
        <v>168</v>
      </c>
      <c r="X660" t="s">
        <v>166</v>
      </c>
    </row>
    <row r="661" spans="1:24" x14ac:dyDescent="0.3">
      <c r="A661" s="7" t="s">
        <v>112</v>
      </c>
      <c r="B661" t="s">
        <v>113</v>
      </c>
      <c r="C661" t="s">
        <v>169</v>
      </c>
      <c r="D661" t="s">
        <v>164</v>
      </c>
      <c r="E661" s="108">
        <v>1000</v>
      </c>
      <c r="F661">
        <v>0</v>
      </c>
      <c r="G661" s="108">
        <v>1000</v>
      </c>
      <c r="H661" s="108">
        <v>56445</v>
      </c>
      <c r="I661" s="108">
        <v>56445</v>
      </c>
      <c r="J661" s="150">
        <v>0.5430208333333334</v>
      </c>
      <c r="K661" s="150">
        <v>0.5430208333333334</v>
      </c>
      <c r="L661" t="s">
        <v>165</v>
      </c>
      <c r="N661">
        <v>2014753</v>
      </c>
      <c r="O661">
        <v>2014753</v>
      </c>
      <c r="P661">
        <v>2014742</v>
      </c>
      <c r="Q661">
        <v>0</v>
      </c>
      <c r="R661" t="s">
        <v>166</v>
      </c>
      <c r="S661">
        <v>0</v>
      </c>
      <c r="T661" t="s">
        <v>167</v>
      </c>
      <c r="U661">
        <v>2014742</v>
      </c>
      <c r="W661" t="s">
        <v>168</v>
      </c>
      <c r="X661" t="s">
        <v>166</v>
      </c>
    </row>
    <row r="662" spans="1:24" x14ac:dyDescent="0.3">
      <c r="A662" s="7" t="s">
        <v>138</v>
      </c>
      <c r="B662" t="s">
        <v>171</v>
      </c>
      <c r="C662" t="s">
        <v>169</v>
      </c>
      <c r="D662" t="s">
        <v>164</v>
      </c>
      <c r="E662" s="108">
        <v>1000</v>
      </c>
      <c r="F662">
        <v>0</v>
      </c>
      <c r="G662">
        <v>761</v>
      </c>
      <c r="H662" s="108">
        <v>9215</v>
      </c>
      <c r="I662" s="108">
        <v>9215</v>
      </c>
      <c r="J662" s="150">
        <v>0.54321759259259261</v>
      </c>
      <c r="K662" s="150">
        <v>0.54322916666666665</v>
      </c>
      <c r="L662" t="s">
        <v>165</v>
      </c>
      <c r="N662">
        <v>2016126</v>
      </c>
      <c r="O662">
        <v>2016126</v>
      </c>
      <c r="P662">
        <v>2015695</v>
      </c>
      <c r="Q662">
        <v>239</v>
      </c>
      <c r="R662" t="s">
        <v>166</v>
      </c>
      <c r="S662">
        <v>0</v>
      </c>
      <c r="T662" t="s">
        <v>167</v>
      </c>
      <c r="U662">
        <v>2015695</v>
      </c>
      <c r="W662" t="s">
        <v>168</v>
      </c>
      <c r="X662" t="s">
        <v>166</v>
      </c>
    </row>
    <row r="663" spans="1:24" x14ac:dyDescent="0.3">
      <c r="A663" s="7" t="s">
        <v>67</v>
      </c>
      <c r="B663" t="s">
        <v>68</v>
      </c>
      <c r="C663" t="s">
        <v>169</v>
      </c>
      <c r="D663" t="s">
        <v>164</v>
      </c>
      <c r="E663" s="108">
        <v>1000</v>
      </c>
      <c r="F663">
        <v>0</v>
      </c>
      <c r="G663">
        <v>23</v>
      </c>
      <c r="H663" s="108">
        <v>10620</v>
      </c>
      <c r="I663" s="108">
        <v>10620</v>
      </c>
      <c r="J663" s="150">
        <v>0.54351851851851851</v>
      </c>
      <c r="K663" s="150">
        <v>0.54357638888888882</v>
      </c>
      <c r="L663" t="s">
        <v>165</v>
      </c>
      <c r="N663">
        <v>2018537</v>
      </c>
      <c r="O663">
        <v>2018537</v>
      </c>
      <c r="P663">
        <v>2018397</v>
      </c>
      <c r="Q663">
        <v>977</v>
      </c>
      <c r="R663" t="s">
        <v>166</v>
      </c>
      <c r="S663">
        <v>0</v>
      </c>
      <c r="T663" t="s">
        <v>167</v>
      </c>
      <c r="U663">
        <v>2018397</v>
      </c>
      <c r="W663" t="s">
        <v>168</v>
      </c>
      <c r="X663" t="s">
        <v>166</v>
      </c>
    </row>
    <row r="664" spans="1:24" x14ac:dyDescent="0.3">
      <c r="A664" s="7" t="s">
        <v>67</v>
      </c>
      <c r="B664" t="s">
        <v>68</v>
      </c>
      <c r="C664" t="s">
        <v>169</v>
      </c>
      <c r="D664" t="s">
        <v>164</v>
      </c>
      <c r="E664" s="108">
        <v>1000</v>
      </c>
      <c r="F664">
        <v>0</v>
      </c>
      <c r="G664">
        <v>24</v>
      </c>
      <c r="H664" s="108">
        <v>10625</v>
      </c>
      <c r="I664" s="108">
        <v>10625</v>
      </c>
      <c r="J664" s="150">
        <v>0.54430555555555549</v>
      </c>
      <c r="K664" s="150">
        <v>0.5443634259259259</v>
      </c>
      <c r="L664" t="s">
        <v>165</v>
      </c>
      <c r="N664">
        <v>2024474</v>
      </c>
      <c r="O664">
        <v>2024474</v>
      </c>
      <c r="P664">
        <v>2024390</v>
      </c>
      <c r="Q664">
        <v>976</v>
      </c>
      <c r="R664" t="s">
        <v>166</v>
      </c>
      <c r="S664">
        <v>0</v>
      </c>
      <c r="T664" t="s">
        <v>167</v>
      </c>
      <c r="U664">
        <v>2024390</v>
      </c>
      <c r="W664" t="s">
        <v>168</v>
      </c>
      <c r="X664" t="s">
        <v>166</v>
      </c>
    </row>
    <row r="665" spans="1:24" x14ac:dyDescent="0.3">
      <c r="A665" s="7" t="s">
        <v>94</v>
      </c>
      <c r="B665" t="s">
        <v>95</v>
      </c>
      <c r="C665" t="s">
        <v>169</v>
      </c>
      <c r="D665" t="s">
        <v>164</v>
      </c>
      <c r="E665" s="108">
        <v>1000</v>
      </c>
      <c r="F665">
        <v>0</v>
      </c>
      <c r="G665">
        <v>980</v>
      </c>
      <c r="H665" s="108">
        <v>8475</v>
      </c>
      <c r="I665" s="108">
        <v>8475</v>
      </c>
      <c r="J665" s="150">
        <v>0.5446064814814815</v>
      </c>
      <c r="K665" s="150">
        <v>0.54461805555555554</v>
      </c>
      <c r="L665" t="s">
        <v>165</v>
      </c>
      <c r="N665">
        <v>2026733</v>
      </c>
      <c r="O665">
        <v>2026733</v>
      </c>
      <c r="P665">
        <v>2026723</v>
      </c>
      <c r="Q665">
        <v>20</v>
      </c>
      <c r="R665" t="s">
        <v>166</v>
      </c>
      <c r="S665">
        <v>0</v>
      </c>
      <c r="T665" t="s">
        <v>167</v>
      </c>
      <c r="U665">
        <v>2026723</v>
      </c>
      <c r="W665" t="s">
        <v>168</v>
      </c>
      <c r="X665" t="s">
        <v>166</v>
      </c>
    </row>
    <row r="666" spans="1:24" x14ac:dyDescent="0.3">
      <c r="A666" s="7" t="s">
        <v>71</v>
      </c>
      <c r="B666" t="s">
        <v>72</v>
      </c>
      <c r="C666" t="s">
        <v>169</v>
      </c>
      <c r="D666" t="s">
        <v>164</v>
      </c>
      <c r="E666" s="108">
        <v>1000</v>
      </c>
      <c r="F666">
        <v>0</v>
      </c>
      <c r="G666">
        <v>1</v>
      </c>
      <c r="H666" s="108">
        <v>19005</v>
      </c>
      <c r="I666" s="108">
        <v>19005</v>
      </c>
      <c r="J666" s="150">
        <v>0.54468749999999999</v>
      </c>
      <c r="K666" s="150">
        <v>0.54468749999999999</v>
      </c>
      <c r="L666" t="s">
        <v>165</v>
      </c>
      <c r="N666">
        <v>2027203</v>
      </c>
      <c r="O666">
        <v>2027203</v>
      </c>
      <c r="P666">
        <v>2027015</v>
      </c>
      <c r="Q666">
        <v>999</v>
      </c>
      <c r="R666" t="s">
        <v>166</v>
      </c>
      <c r="S666">
        <v>0</v>
      </c>
      <c r="T666" t="s">
        <v>167</v>
      </c>
      <c r="U666">
        <v>2027015</v>
      </c>
      <c r="W666" t="s">
        <v>168</v>
      </c>
      <c r="X666" t="s">
        <v>166</v>
      </c>
    </row>
    <row r="667" spans="1:24" x14ac:dyDescent="0.3">
      <c r="A667" s="7" t="s">
        <v>69</v>
      </c>
      <c r="B667" t="s">
        <v>70</v>
      </c>
      <c r="C667" t="s">
        <v>169</v>
      </c>
      <c r="D667" t="s">
        <v>164</v>
      </c>
      <c r="E667" s="108">
        <v>1000</v>
      </c>
      <c r="F667">
        <v>0</v>
      </c>
      <c r="G667" s="108">
        <v>1000</v>
      </c>
      <c r="H667" s="108">
        <v>19540</v>
      </c>
      <c r="I667" s="108">
        <v>19540</v>
      </c>
      <c r="J667" s="150">
        <v>0.54521990740740744</v>
      </c>
      <c r="K667" s="150">
        <v>0.54523148148148148</v>
      </c>
      <c r="L667" t="s">
        <v>165</v>
      </c>
      <c r="N667">
        <v>2031604</v>
      </c>
      <c r="O667">
        <v>2031604</v>
      </c>
      <c r="P667">
        <v>2031526</v>
      </c>
      <c r="Q667">
        <v>0</v>
      </c>
      <c r="R667" t="s">
        <v>166</v>
      </c>
      <c r="S667">
        <v>0</v>
      </c>
      <c r="T667" t="s">
        <v>167</v>
      </c>
      <c r="U667">
        <v>2031526</v>
      </c>
      <c r="W667" t="s">
        <v>168</v>
      </c>
      <c r="X667" t="s">
        <v>166</v>
      </c>
    </row>
    <row r="668" spans="1:24" x14ac:dyDescent="0.3">
      <c r="A668" s="7" t="s">
        <v>67</v>
      </c>
      <c r="B668" t="s">
        <v>68</v>
      </c>
      <c r="C668" t="s">
        <v>169</v>
      </c>
      <c r="D668" t="s">
        <v>164</v>
      </c>
      <c r="E668" s="108">
        <v>1000</v>
      </c>
      <c r="F668">
        <v>0</v>
      </c>
      <c r="G668" s="108">
        <v>1000</v>
      </c>
      <c r="H668" s="108">
        <v>10625</v>
      </c>
      <c r="I668" s="108">
        <v>10625</v>
      </c>
      <c r="J668" s="150">
        <v>0.54553240740740738</v>
      </c>
      <c r="K668" s="150">
        <v>0.54553240740740738</v>
      </c>
      <c r="L668" t="s">
        <v>165</v>
      </c>
      <c r="N668">
        <v>2034092</v>
      </c>
      <c r="O668">
        <v>2034092</v>
      </c>
      <c r="P668">
        <v>2034028</v>
      </c>
      <c r="Q668">
        <v>0</v>
      </c>
      <c r="R668" t="s">
        <v>166</v>
      </c>
      <c r="S668">
        <v>0</v>
      </c>
      <c r="T668" t="s">
        <v>167</v>
      </c>
      <c r="U668">
        <v>2034028</v>
      </c>
      <c r="W668" t="s">
        <v>168</v>
      </c>
      <c r="X668" t="s">
        <v>166</v>
      </c>
    </row>
    <row r="669" spans="1:24" x14ac:dyDescent="0.3">
      <c r="A669" s="7" t="s">
        <v>77</v>
      </c>
      <c r="B669" t="s">
        <v>78</v>
      </c>
      <c r="C669" t="s">
        <v>169</v>
      </c>
      <c r="D669" t="s">
        <v>164</v>
      </c>
      <c r="E669" s="108">
        <v>1000</v>
      </c>
      <c r="F669">
        <v>0</v>
      </c>
      <c r="G669" s="108">
        <v>1000</v>
      </c>
      <c r="H669" s="108">
        <v>17980</v>
      </c>
      <c r="I669" s="108">
        <v>17980</v>
      </c>
      <c r="J669" s="150">
        <v>0.54587962962962966</v>
      </c>
      <c r="K669" s="150">
        <v>0.5458912037037037</v>
      </c>
      <c r="L669" t="s">
        <v>165</v>
      </c>
      <c r="N669">
        <v>2036946</v>
      </c>
      <c r="O669">
        <v>2036946</v>
      </c>
      <c r="P669">
        <v>2036889</v>
      </c>
      <c r="Q669">
        <v>0</v>
      </c>
      <c r="R669" t="s">
        <v>166</v>
      </c>
      <c r="S669">
        <v>0</v>
      </c>
      <c r="T669" t="s">
        <v>167</v>
      </c>
      <c r="U669">
        <v>2036889</v>
      </c>
      <c r="W669" t="s">
        <v>168</v>
      </c>
      <c r="X669" t="s">
        <v>166</v>
      </c>
    </row>
    <row r="670" spans="1:24" x14ac:dyDescent="0.3">
      <c r="A670" s="7" t="s">
        <v>67</v>
      </c>
      <c r="B670" t="s">
        <v>68</v>
      </c>
      <c r="C670" t="s">
        <v>169</v>
      </c>
      <c r="D670" t="s">
        <v>164</v>
      </c>
      <c r="E670" s="108">
        <v>1000</v>
      </c>
      <c r="F670">
        <v>0</v>
      </c>
      <c r="G670" s="108">
        <v>1000</v>
      </c>
      <c r="H670" s="108">
        <v>10625</v>
      </c>
      <c r="I670" s="108">
        <v>10625</v>
      </c>
      <c r="J670" s="150">
        <v>0.54634259259259255</v>
      </c>
      <c r="K670" s="150">
        <v>0.5463541666666667</v>
      </c>
      <c r="L670" t="s">
        <v>165</v>
      </c>
      <c r="N670">
        <v>2041260</v>
      </c>
      <c r="O670">
        <v>2041260</v>
      </c>
      <c r="P670">
        <v>2041026</v>
      </c>
      <c r="Q670">
        <v>0</v>
      </c>
      <c r="R670" t="s">
        <v>166</v>
      </c>
      <c r="S670">
        <v>0</v>
      </c>
      <c r="T670" t="s">
        <v>167</v>
      </c>
      <c r="U670">
        <v>2041026</v>
      </c>
      <c r="W670" t="s">
        <v>168</v>
      </c>
      <c r="X670" t="s">
        <v>166</v>
      </c>
    </row>
    <row r="671" spans="1:24" x14ac:dyDescent="0.3">
      <c r="A671" s="7" t="s">
        <v>67</v>
      </c>
      <c r="B671" t="s">
        <v>68</v>
      </c>
      <c r="C671" t="s">
        <v>169</v>
      </c>
      <c r="D671" t="s">
        <v>164</v>
      </c>
      <c r="E671" s="108">
        <v>1000</v>
      </c>
      <c r="F671">
        <v>0</v>
      </c>
      <c r="G671">
        <v>13</v>
      </c>
      <c r="H671" s="108">
        <v>10625</v>
      </c>
      <c r="I671" s="108">
        <v>10625</v>
      </c>
      <c r="J671" s="150">
        <v>0.54708333333333337</v>
      </c>
      <c r="K671" s="150">
        <v>0.5470949074074074</v>
      </c>
      <c r="L671" t="s">
        <v>165</v>
      </c>
      <c r="N671">
        <v>2047923</v>
      </c>
      <c r="O671">
        <v>2047923</v>
      </c>
      <c r="P671">
        <v>2047914</v>
      </c>
      <c r="Q671">
        <v>987</v>
      </c>
      <c r="R671" t="s">
        <v>166</v>
      </c>
      <c r="S671">
        <v>0</v>
      </c>
      <c r="T671" t="s">
        <v>167</v>
      </c>
      <c r="U671">
        <v>2047914</v>
      </c>
      <c r="W671" t="s">
        <v>168</v>
      </c>
      <c r="X671" t="s">
        <v>166</v>
      </c>
    </row>
    <row r="672" spans="1:24" x14ac:dyDescent="0.3">
      <c r="A672" s="7" t="s">
        <v>87</v>
      </c>
      <c r="B672" t="s">
        <v>88</v>
      </c>
      <c r="C672" t="s">
        <v>169</v>
      </c>
      <c r="D672" t="s">
        <v>164</v>
      </c>
      <c r="E672" s="108">
        <v>1000</v>
      </c>
      <c r="F672">
        <v>0</v>
      </c>
      <c r="G672" s="108">
        <v>1000</v>
      </c>
      <c r="H672" s="108">
        <v>3095</v>
      </c>
      <c r="I672" s="108">
        <v>3095</v>
      </c>
      <c r="J672" s="150">
        <v>0.54744212962962957</v>
      </c>
      <c r="K672" s="150">
        <v>0.54819444444444443</v>
      </c>
      <c r="L672" t="s">
        <v>165</v>
      </c>
      <c r="N672">
        <v>2051227</v>
      </c>
      <c r="O672">
        <v>2051227</v>
      </c>
      <c r="P672">
        <v>2048531</v>
      </c>
      <c r="Q672">
        <v>0</v>
      </c>
      <c r="R672" t="s">
        <v>166</v>
      </c>
      <c r="S672">
        <v>0</v>
      </c>
      <c r="T672" t="s">
        <v>167</v>
      </c>
      <c r="U672">
        <v>2048531</v>
      </c>
      <c r="W672" t="s">
        <v>168</v>
      </c>
      <c r="X672" t="s">
        <v>166</v>
      </c>
    </row>
    <row r="673" spans="1:24" x14ac:dyDescent="0.3">
      <c r="A673" s="7" t="s">
        <v>94</v>
      </c>
      <c r="B673" t="s">
        <v>95</v>
      </c>
      <c r="C673" t="s">
        <v>169</v>
      </c>
      <c r="D673" t="s">
        <v>164</v>
      </c>
      <c r="E673" s="108">
        <v>1000</v>
      </c>
      <c r="F673">
        <v>0</v>
      </c>
      <c r="G673">
        <v>980</v>
      </c>
      <c r="H673" s="108">
        <v>8485</v>
      </c>
      <c r="I673" s="108">
        <v>8485</v>
      </c>
      <c r="J673" s="150">
        <v>0.54751157407407403</v>
      </c>
      <c r="K673" s="150">
        <v>0.54751157407407403</v>
      </c>
      <c r="L673" t="s">
        <v>165</v>
      </c>
      <c r="N673">
        <v>2051768</v>
      </c>
      <c r="O673">
        <v>2051768</v>
      </c>
      <c r="P673">
        <v>2051543</v>
      </c>
      <c r="Q673">
        <v>20</v>
      </c>
      <c r="R673" t="s">
        <v>166</v>
      </c>
      <c r="S673">
        <v>0</v>
      </c>
      <c r="T673" t="s">
        <v>167</v>
      </c>
      <c r="U673">
        <v>2051543</v>
      </c>
      <c r="W673" t="s">
        <v>168</v>
      </c>
      <c r="X673" t="s">
        <v>166</v>
      </c>
    </row>
    <row r="674" spans="1:24" x14ac:dyDescent="0.3">
      <c r="A674" s="7" t="s">
        <v>77</v>
      </c>
      <c r="B674" t="s">
        <v>78</v>
      </c>
      <c r="C674" t="s">
        <v>169</v>
      </c>
      <c r="D674" t="s">
        <v>164</v>
      </c>
      <c r="E674" s="108">
        <v>1000</v>
      </c>
      <c r="F674">
        <v>0</v>
      </c>
      <c r="G674">
        <v>501</v>
      </c>
      <c r="H674" s="108">
        <v>17970</v>
      </c>
      <c r="I674" s="108">
        <v>17970</v>
      </c>
      <c r="J674" s="150">
        <v>0.54767361111111112</v>
      </c>
      <c r="K674" s="150">
        <v>0.54768518518518516</v>
      </c>
      <c r="L674" t="s">
        <v>165</v>
      </c>
      <c r="N674">
        <v>2053312</v>
      </c>
      <c r="O674">
        <v>2053312</v>
      </c>
      <c r="P674">
        <v>2053309</v>
      </c>
      <c r="Q674">
        <v>499</v>
      </c>
      <c r="R674" t="s">
        <v>166</v>
      </c>
      <c r="S674">
        <v>0</v>
      </c>
      <c r="T674" t="s">
        <v>167</v>
      </c>
      <c r="U674">
        <v>2053309</v>
      </c>
      <c r="W674" t="s">
        <v>168</v>
      </c>
      <c r="X674" t="s">
        <v>166</v>
      </c>
    </row>
    <row r="675" spans="1:24" x14ac:dyDescent="0.3">
      <c r="A675" s="7" t="s">
        <v>138</v>
      </c>
      <c r="B675" t="s">
        <v>171</v>
      </c>
      <c r="C675" t="s">
        <v>169</v>
      </c>
      <c r="D675" t="s">
        <v>164</v>
      </c>
      <c r="E675" s="108">
        <v>1000</v>
      </c>
      <c r="F675">
        <v>0</v>
      </c>
      <c r="G675">
        <v>539</v>
      </c>
      <c r="H675" s="108">
        <v>9195</v>
      </c>
      <c r="I675" s="108">
        <v>9195</v>
      </c>
      <c r="J675" s="150">
        <v>0.54770833333333335</v>
      </c>
      <c r="K675" s="150">
        <v>0.54774305555555558</v>
      </c>
      <c r="L675" t="s">
        <v>165</v>
      </c>
      <c r="N675">
        <v>2053657</v>
      </c>
      <c r="O675">
        <v>2053657</v>
      </c>
      <c r="P675">
        <v>2053464</v>
      </c>
      <c r="Q675">
        <v>461</v>
      </c>
      <c r="R675" t="s">
        <v>166</v>
      </c>
      <c r="S675">
        <v>0</v>
      </c>
      <c r="T675" t="s">
        <v>167</v>
      </c>
      <c r="U675">
        <v>2053464</v>
      </c>
      <c r="W675" t="s">
        <v>168</v>
      </c>
      <c r="X675" t="s">
        <v>166</v>
      </c>
    </row>
    <row r="676" spans="1:24" x14ac:dyDescent="0.3">
      <c r="A676" s="7" t="s">
        <v>67</v>
      </c>
      <c r="B676" t="s">
        <v>68</v>
      </c>
      <c r="C676" t="s">
        <v>169</v>
      </c>
      <c r="D676" t="s">
        <v>164</v>
      </c>
      <c r="E676" s="108">
        <v>1000</v>
      </c>
      <c r="F676">
        <v>0</v>
      </c>
      <c r="G676">
        <v>7</v>
      </c>
      <c r="H676" s="108">
        <v>10630</v>
      </c>
      <c r="I676" s="108">
        <v>10630</v>
      </c>
      <c r="J676" s="150">
        <v>0.54813657407407412</v>
      </c>
      <c r="K676" s="150">
        <v>0.54817129629629624</v>
      </c>
      <c r="L676" t="s">
        <v>165</v>
      </c>
      <c r="N676">
        <v>2057804</v>
      </c>
      <c r="O676">
        <v>2057804</v>
      </c>
      <c r="P676">
        <v>2057703</v>
      </c>
      <c r="Q676">
        <v>993</v>
      </c>
      <c r="R676" t="s">
        <v>166</v>
      </c>
      <c r="S676">
        <v>0</v>
      </c>
      <c r="T676" t="s">
        <v>167</v>
      </c>
      <c r="U676">
        <v>2057703</v>
      </c>
      <c r="W676" t="s">
        <v>168</v>
      </c>
      <c r="X676" t="s">
        <v>166</v>
      </c>
    </row>
    <row r="677" spans="1:24" x14ac:dyDescent="0.3">
      <c r="A677" s="7" t="s">
        <v>77</v>
      </c>
      <c r="B677" t="s">
        <v>78</v>
      </c>
      <c r="C677" t="s">
        <v>169</v>
      </c>
      <c r="D677" t="s">
        <v>164</v>
      </c>
      <c r="E677" s="108">
        <v>1000</v>
      </c>
      <c r="F677">
        <v>0</v>
      </c>
      <c r="G677">
        <v>306</v>
      </c>
      <c r="H677" s="108">
        <v>17980</v>
      </c>
      <c r="I677" s="108">
        <v>17980</v>
      </c>
      <c r="J677" s="150">
        <v>0.5484606481481481</v>
      </c>
      <c r="K677" s="150">
        <v>0.54847222222222225</v>
      </c>
      <c r="L677" t="s">
        <v>165</v>
      </c>
      <c r="N677">
        <v>2061157</v>
      </c>
      <c r="O677">
        <v>2061157</v>
      </c>
      <c r="P677">
        <v>2061145</v>
      </c>
      <c r="Q677">
        <v>694</v>
      </c>
      <c r="R677" t="s">
        <v>166</v>
      </c>
      <c r="S677">
        <v>0</v>
      </c>
      <c r="T677" t="s">
        <v>167</v>
      </c>
      <c r="U677">
        <v>2061145</v>
      </c>
      <c r="W677" t="s">
        <v>168</v>
      </c>
      <c r="X677" t="s">
        <v>166</v>
      </c>
    </row>
    <row r="678" spans="1:24" x14ac:dyDescent="0.3">
      <c r="A678" s="7" t="s">
        <v>138</v>
      </c>
      <c r="B678" t="s">
        <v>171</v>
      </c>
      <c r="C678" t="s">
        <v>169</v>
      </c>
      <c r="D678" t="s">
        <v>164</v>
      </c>
      <c r="E678" s="108">
        <v>1000</v>
      </c>
      <c r="F678">
        <v>0</v>
      </c>
      <c r="G678">
        <v>13</v>
      </c>
      <c r="H678" s="108">
        <v>9190</v>
      </c>
      <c r="I678" s="108">
        <v>9190</v>
      </c>
      <c r="J678" s="150">
        <v>0.54901620370370374</v>
      </c>
      <c r="K678" s="150">
        <v>0.54902777777777778</v>
      </c>
      <c r="L678" t="s">
        <v>165</v>
      </c>
      <c r="N678">
        <v>2067018</v>
      </c>
      <c r="O678">
        <v>2067018</v>
      </c>
      <c r="P678">
        <v>2066403</v>
      </c>
      <c r="Q678">
        <v>987</v>
      </c>
      <c r="R678" t="s">
        <v>166</v>
      </c>
      <c r="S678">
        <v>0</v>
      </c>
      <c r="T678" t="s">
        <v>167</v>
      </c>
      <c r="U678">
        <v>2066403</v>
      </c>
      <c r="W678" t="s">
        <v>168</v>
      </c>
      <c r="X678" t="s">
        <v>166</v>
      </c>
    </row>
    <row r="679" spans="1:24" x14ac:dyDescent="0.3">
      <c r="A679" s="7" t="s">
        <v>77</v>
      </c>
      <c r="B679" t="s">
        <v>78</v>
      </c>
      <c r="C679" t="s">
        <v>169</v>
      </c>
      <c r="D679" t="s">
        <v>164</v>
      </c>
      <c r="E679" s="108">
        <v>1000</v>
      </c>
      <c r="F679">
        <v>0</v>
      </c>
      <c r="G679">
        <v>501</v>
      </c>
      <c r="H679" s="108">
        <v>17960</v>
      </c>
      <c r="I679" s="108">
        <v>17960</v>
      </c>
      <c r="J679" s="150">
        <v>0.54916666666666669</v>
      </c>
      <c r="K679" s="150">
        <v>0.54918981481481477</v>
      </c>
      <c r="L679" t="s">
        <v>165</v>
      </c>
      <c r="N679">
        <v>2068522</v>
      </c>
      <c r="O679">
        <v>2068522</v>
      </c>
      <c r="P679">
        <v>2068515</v>
      </c>
      <c r="Q679">
        <v>499</v>
      </c>
      <c r="R679" t="s">
        <v>166</v>
      </c>
      <c r="S679">
        <v>0</v>
      </c>
      <c r="T679" t="s">
        <v>167</v>
      </c>
      <c r="U679">
        <v>2068515</v>
      </c>
      <c r="W679" t="s">
        <v>168</v>
      </c>
      <c r="X679" t="s">
        <v>166</v>
      </c>
    </row>
    <row r="680" spans="1:24" x14ac:dyDescent="0.3">
      <c r="A680" s="7" t="s">
        <v>67</v>
      </c>
      <c r="B680" t="s">
        <v>68</v>
      </c>
      <c r="C680" t="s">
        <v>169</v>
      </c>
      <c r="D680" t="s">
        <v>164</v>
      </c>
      <c r="E680" s="108">
        <v>1000</v>
      </c>
      <c r="F680">
        <v>0</v>
      </c>
      <c r="G680">
        <v>6</v>
      </c>
      <c r="H680" s="108">
        <v>10625</v>
      </c>
      <c r="I680" s="108">
        <v>10625</v>
      </c>
      <c r="J680" s="150">
        <v>0.54964120370370373</v>
      </c>
      <c r="K680" s="150">
        <v>0.54971064814814818</v>
      </c>
      <c r="L680" t="s">
        <v>165</v>
      </c>
      <c r="N680">
        <v>2073629</v>
      </c>
      <c r="O680">
        <v>2073629</v>
      </c>
      <c r="P680">
        <v>2073542</v>
      </c>
      <c r="Q680">
        <v>994</v>
      </c>
      <c r="R680" t="s">
        <v>166</v>
      </c>
      <c r="S680">
        <v>0</v>
      </c>
      <c r="T680" t="s">
        <v>167</v>
      </c>
      <c r="U680">
        <v>2073542</v>
      </c>
      <c r="W680" t="s">
        <v>168</v>
      </c>
      <c r="X680" t="s">
        <v>166</v>
      </c>
    </row>
    <row r="681" spans="1:24" x14ac:dyDescent="0.3">
      <c r="A681" s="7" t="s">
        <v>138</v>
      </c>
      <c r="B681" t="s">
        <v>171</v>
      </c>
      <c r="C681" t="s">
        <v>169</v>
      </c>
      <c r="D681" t="s">
        <v>164</v>
      </c>
      <c r="E681" s="108">
        <v>1000</v>
      </c>
      <c r="F681">
        <v>0</v>
      </c>
      <c r="G681" s="108">
        <v>1000</v>
      </c>
      <c r="H681" s="108">
        <v>9185</v>
      </c>
      <c r="I681" s="108">
        <v>9185</v>
      </c>
      <c r="J681" s="150">
        <v>0.54986111111111113</v>
      </c>
      <c r="K681" s="150">
        <v>0.54987268518518517</v>
      </c>
      <c r="L681" t="s">
        <v>165</v>
      </c>
      <c r="N681">
        <v>2075641</v>
      </c>
      <c r="O681">
        <v>2075641</v>
      </c>
      <c r="P681">
        <v>2075191</v>
      </c>
      <c r="Q681">
        <v>0</v>
      </c>
      <c r="R681" t="s">
        <v>166</v>
      </c>
      <c r="S681">
        <v>0</v>
      </c>
      <c r="T681" t="s">
        <v>167</v>
      </c>
      <c r="U681">
        <v>2075191</v>
      </c>
      <c r="W681" t="s">
        <v>168</v>
      </c>
      <c r="X681" t="s">
        <v>166</v>
      </c>
    </row>
    <row r="682" spans="1:24" x14ac:dyDescent="0.3">
      <c r="A682" s="7" t="s">
        <v>77</v>
      </c>
      <c r="B682" t="s">
        <v>78</v>
      </c>
      <c r="C682" t="s">
        <v>169</v>
      </c>
      <c r="D682" t="s">
        <v>164</v>
      </c>
      <c r="E682" s="108">
        <v>1000</v>
      </c>
      <c r="F682">
        <v>0</v>
      </c>
      <c r="G682" s="108">
        <v>1000</v>
      </c>
      <c r="H682" s="108">
        <v>17965</v>
      </c>
      <c r="I682" s="108">
        <v>17965</v>
      </c>
      <c r="J682" s="150">
        <v>0.54988425925925932</v>
      </c>
      <c r="K682" s="150">
        <v>0.54989583333333336</v>
      </c>
      <c r="L682" t="s">
        <v>165</v>
      </c>
      <c r="N682">
        <v>2075776</v>
      </c>
      <c r="O682">
        <v>2075776</v>
      </c>
      <c r="P682">
        <v>2075721</v>
      </c>
      <c r="Q682">
        <v>0</v>
      </c>
      <c r="R682" t="s">
        <v>166</v>
      </c>
      <c r="S682">
        <v>0</v>
      </c>
      <c r="T682" t="s">
        <v>167</v>
      </c>
      <c r="U682">
        <v>2075721</v>
      </c>
      <c r="W682" t="s">
        <v>168</v>
      </c>
      <c r="X682" t="s">
        <v>166</v>
      </c>
    </row>
    <row r="683" spans="1:24" x14ac:dyDescent="0.3">
      <c r="A683" s="7" t="s">
        <v>77</v>
      </c>
      <c r="B683" t="s">
        <v>78</v>
      </c>
      <c r="C683" t="s">
        <v>169</v>
      </c>
      <c r="D683" t="s">
        <v>164</v>
      </c>
      <c r="E683" s="108">
        <v>1000</v>
      </c>
      <c r="F683">
        <v>0</v>
      </c>
      <c r="G683">
        <v>210</v>
      </c>
      <c r="H683" s="108">
        <v>17960</v>
      </c>
      <c r="I683" s="108">
        <v>17960</v>
      </c>
      <c r="J683" s="150">
        <v>0.55060185185185184</v>
      </c>
      <c r="K683" s="150">
        <v>0.55060185185185184</v>
      </c>
      <c r="L683" t="s">
        <v>165</v>
      </c>
      <c r="N683">
        <v>2082590</v>
      </c>
      <c r="O683">
        <v>2082590</v>
      </c>
      <c r="P683">
        <v>2082360</v>
      </c>
      <c r="Q683">
        <v>790</v>
      </c>
      <c r="R683" t="s">
        <v>166</v>
      </c>
      <c r="S683">
        <v>0</v>
      </c>
      <c r="T683" t="s">
        <v>167</v>
      </c>
      <c r="U683">
        <v>2082360</v>
      </c>
      <c r="W683" t="s">
        <v>168</v>
      </c>
      <c r="X683" t="s">
        <v>166</v>
      </c>
    </row>
    <row r="684" spans="1:24" x14ac:dyDescent="0.3">
      <c r="A684" s="7" t="s">
        <v>67</v>
      </c>
      <c r="B684" t="s">
        <v>68</v>
      </c>
      <c r="C684" t="s">
        <v>169</v>
      </c>
      <c r="D684" t="s">
        <v>164</v>
      </c>
      <c r="E684" s="108">
        <v>1000</v>
      </c>
      <c r="F684">
        <v>0</v>
      </c>
      <c r="G684">
        <v>2</v>
      </c>
      <c r="H684" s="108">
        <v>10625</v>
      </c>
      <c r="I684" s="108">
        <v>10625</v>
      </c>
      <c r="J684" s="150">
        <v>0.55060185185185184</v>
      </c>
      <c r="K684" s="150">
        <v>0.55061342592592599</v>
      </c>
      <c r="L684" t="s">
        <v>165</v>
      </c>
      <c r="N684">
        <v>2082765</v>
      </c>
      <c r="O684">
        <v>2082765</v>
      </c>
      <c r="P684">
        <v>2082653</v>
      </c>
      <c r="Q684">
        <v>998</v>
      </c>
      <c r="R684" t="s">
        <v>166</v>
      </c>
      <c r="S684">
        <v>0</v>
      </c>
      <c r="T684" t="s">
        <v>167</v>
      </c>
      <c r="U684">
        <v>2082653</v>
      </c>
      <c r="W684" t="s">
        <v>168</v>
      </c>
      <c r="X684" t="s">
        <v>166</v>
      </c>
    </row>
    <row r="685" spans="1:24" x14ac:dyDescent="0.3">
      <c r="A685" s="7" t="s">
        <v>98</v>
      </c>
      <c r="B685" t="s">
        <v>99</v>
      </c>
      <c r="C685" t="s">
        <v>163</v>
      </c>
      <c r="D685" t="s">
        <v>164</v>
      </c>
      <c r="E685" s="108">
        <v>1000</v>
      </c>
      <c r="F685">
        <v>0</v>
      </c>
      <c r="G685">
        <v>36</v>
      </c>
      <c r="H685" s="108">
        <v>15490</v>
      </c>
      <c r="I685" s="108">
        <v>15490</v>
      </c>
      <c r="J685" s="150">
        <v>0.55098379629629635</v>
      </c>
      <c r="K685" s="150">
        <v>0.55099537037037039</v>
      </c>
      <c r="L685" t="s">
        <v>165</v>
      </c>
      <c r="N685">
        <v>2086065</v>
      </c>
      <c r="O685">
        <v>2086065</v>
      </c>
      <c r="P685">
        <v>2085830</v>
      </c>
      <c r="Q685">
        <v>964</v>
      </c>
      <c r="R685" t="s">
        <v>166</v>
      </c>
      <c r="S685">
        <v>0</v>
      </c>
      <c r="T685" t="s">
        <v>167</v>
      </c>
      <c r="U685">
        <v>2085830</v>
      </c>
      <c r="W685" t="s">
        <v>168</v>
      </c>
      <c r="X685" t="s">
        <v>166</v>
      </c>
    </row>
    <row r="686" spans="1:24" x14ac:dyDescent="0.3">
      <c r="A686" s="7" t="s">
        <v>94</v>
      </c>
      <c r="B686" t="s">
        <v>95</v>
      </c>
      <c r="C686" t="s">
        <v>169</v>
      </c>
      <c r="D686" t="s">
        <v>164</v>
      </c>
      <c r="E686" s="108">
        <v>1000</v>
      </c>
      <c r="F686">
        <v>0</v>
      </c>
      <c r="G686">
        <v>958</v>
      </c>
      <c r="H686" s="108">
        <v>8485</v>
      </c>
      <c r="I686" s="108">
        <v>8485</v>
      </c>
      <c r="J686" s="150">
        <v>0.55114583333333333</v>
      </c>
      <c r="K686" s="150">
        <v>0.55115740740740737</v>
      </c>
      <c r="L686" t="s">
        <v>165</v>
      </c>
      <c r="N686">
        <v>2087356</v>
      </c>
      <c r="O686">
        <v>2087356</v>
      </c>
      <c r="P686">
        <v>2087328</v>
      </c>
      <c r="Q686">
        <v>42</v>
      </c>
      <c r="R686" t="s">
        <v>166</v>
      </c>
      <c r="S686">
        <v>0</v>
      </c>
      <c r="T686" t="s">
        <v>167</v>
      </c>
      <c r="U686">
        <v>2087328</v>
      </c>
      <c r="W686" t="s">
        <v>168</v>
      </c>
      <c r="X686" t="s">
        <v>166</v>
      </c>
    </row>
    <row r="687" spans="1:24" x14ac:dyDescent="0.3">
      <c r="A687" s="7" t="s">
        <v>77</v>
      </c>
      <c r="B687" t="s">
        <v>78</v>
      </c>
      <c r="C687" t="s">
        <v>169</v>
      </c>
      <c r="D687" t="s">
        <v>164</v>
      </c>
      <c r="E687" s="108">
        <v>1000</v>
      </c>
      <c r="F687">
        <v>0</v>
      </c>
      <c r="G687" s="108">
        <v>1000</v>
      </c>
      <c r="H687" s="108">
        <v>17955</v>
      </c>
      <c r="I687" s="108">
        <v>17955</v>
      </c>
      <c r="J687" s="150">
        <v>0.55141203703703701</v>
      </c>
      <c r="K687" s="150">
        <v>0.55141203703703701</v>
      </c>
      <c r="L687" t="s">
        <v>165</v>
      </c>
      <c r="N687">
        <v>2089554</v>
      </c>
      <c r="O687">
        <v>2089554</v>
      </c>
      <c r="P687">
        <v>2089548</v>
      </c>
      <c r="Q687">
        <v>0</v>
      </c>
      <c r="R687" t="s">
        <v>166</v>
      </c>
      <c r="S687">
        <v>0</v>
      </c>
      <c r="T687" t="s">
        <v>167</v>
      </c>
      <c r="U687">
        <v>2089548</v>
      </c>
      <c r="W687" t="s">
        <v>168</v>
      </c>
      <c r="X687" t="s">
        <v>166</v>
      </c>
    </row>
    <row r="688" spans="1:24" x14ac:dyDescent="0.3">
      <c r="A688" s="7" t="s">
        <v>67</v>
      </c>
      <c r="B688" t="s">
        <v>68</v>
      </c>
      <c r="C688" t="s">
        <v>169</v>
      </c>
      <c r="D688" t="s">
        <v>164</v>
      </c>
      <c r="E688" s="108">
        <v>1000</v>
      </c>
      <c r="F688">
        <v>0</v>
      </c>
      <c r="G688">
        <v>6</v>
      </c>
      <c r="H688" s="108">
        <v>10625</v>
      </c>
      <c r="I688" s="108">
        <v>10625</v>
      </c>
      <c r="J688" s="150">
        <v>0.55164351851851856</v>
      </c>
      <c r="K688" s="150">
        <v>0.5516550925925926</v>
      </c>
      <c r="L688" t="s">
        <v>165</v>
      </c>
      <c r="N688">
        <v>2092193</v>
      </c>
      <c r="O688">
        <v>2092193</v>
      </c>
      <c r="P688">
        <v>2092155</v>
      </c>
      <c r="Q688">
        <v>994</v>
      </c>
      <c r="R688" t="s">
        <v>166</v>
      </c>
      <c r="S688">
        <v>0</v>
      </c>
      <c r="T688" t="s">
        <v>167</v>
      </c>
      <c r="U688">
        <v>2092155</v>
      </c>
      <c r="W688" t="s">
        <v>168</v>
      </c>
      <c r="X688" t="s">
        <v>166</v>
      </c>
    </row>
    <row r="689" spans="1:24" x14ac:dyDescent="0.3">
      <c r="A689" s="7" t="s">
        <v>94</v>
      </c>
      <c r="B689" t="s">
        <v>95</v>
      </c>
      <c r="C689" t="s">
        <v>169</v>
      </c>
      <c r="D689" t="s">
        <v>164</v>
      </c>
      <c r="E689" s="108">
        <v>1000</v>
      </c>
      <c r="F689">
        <v>0</v>
      </c>
      <c r="G689">
        <v>980</v>
      </c>
      <c r="H689" s="108">
        <v>8480</v>
      </c>
      <c r="I689" s="108">
        <v>8480</v>
      </c>
      <c r="J689" s="150">
        <v>0.55228009259259259</v>
      </c>
      <c r="K689" s="150">
        <v>0.55228009259259259</v>
      </c>
      <c r="L689" t="s">
        <v>165</v>
      </c>
      <c r="N689">
        <v>2098039</v>
      </c>
      <c r="O689">
        <v>2098039</v>
      </c>
      <c r="P689">
        <v>2097939</v>
      </c>
      <c r="Q689">
        <v>20</v>
      </c>
      <c r="R689" t="s">
        <v>166</v>
      </c>
      <c r="S689">
        <v>0</v>
      </c>
      <c r="T689" t="s">
        <v>167</v>
      </c>
      <c r="U689">
        <v>2097939</v>
      </c>
      <c r="W689" t="s">
        <v>168</v>
      </c>
      <c r="X689" t="s">
        <v>166</v>
      </c>
    </row>
    <row r="690" spans="1:24" x14ac:dyDescent="0.3">
      <c r="A690" s="7" t="s">
        <v>79</v>
      </c>
      <c r="B690" t="s">
        <v>80</v>
      </c>
      <c r="C690" t="s">
        <v>169</v>
      </c>
      <c r="D690" t="s">
        <v>164</v>
      </c>
      <c r="E690" s="108">
        <v>1000</v>
      </c>
      <c r="F690">
        <v>0</v>
      </c>
      <c r="G690">
        <v>15</v>
      </c>
      <c r="H690" s="108">
        <v>38340</v>
      </c>
      <c r="I690" s="108">
        <v>38340</v>
      </c>
      <c r="J690" s="150">
        <v>0.55270833333333336</v>
      </c>
      <c r="K690" s="150">
        <v>0.5527199074074074</v>
      </c>
      <c r="L690" t="s">
        <v>165</v>
      </c>
      <c r="N690">
        <v>2102516</v>
      </c>
      <c r="O690">
        <v>2102516</v>
      </c>
      <c r="P690">
        <v>2102443</v>
      </c>
      <c r="Q690">
        <v>985</v>
      </c>
      <c r="R690" t="s">
        <v>166</v>
      </c>
      <c r="S690">
        <v>0</v>
      </c>
      <c r="T690" t="s">
        <v>167</v>
      </c>
      <c r="U690">
        <v>2102443</v>
      </c>
      <c r="W690" t="s">
        <v>168</v>
      </c>
      <c r="X690" t="s">
        <v>166</v>
      </c>
    </row>
    <row r="691" spans="1:24" x14ac:dyDescent="0.3">
      <c r="A691" s="7" t="s">
        <v>67</v>
      </c>
      <c r="B691" t="s">
        <v>68</v>
      </c>
      <c r="C691" t="s">
        <v>169</v>
      </c>
      <c r="D691" t="s">
        <v>164</v>
      </c>
      <c r="E691" s="108">
        <v>1000</v>
      </c>
      <c r="F691">
        <v>0</v>
      </c>
      <c r="G691">
        <v>85</v>
      </c>
      <c r="H691" s="108">
        <v>10630</v>
      </c>
      <c r="I691" s="108">
        <v>10630</v>
      </c>
      <c r="J691" s="150">
        <v>0.55295138888888895</v>
      </c>
      <c r="K691" s="150">
        <v>0.55297453703703703</v>
      </c>
      <c r="L691" t="s">
        <v>165</v>
      </c>
      <c r="N691">
        <v>2104900</v>
      </c>
      <c r="O691">
        <v>2104900</v>
      </c>
      <c r="P691">
        <v>2104870</v>
      </c>
      <c r="Q691">
        <v>915</v>
      </c>
      <c r="R691" t="s">
        <v>166</v>
      </c>
      <c r="S691">
        <v>0</v>
      </c>
      <c r="T691" t="s">
        <v>167</v>
      </c>
      <c r="U691">
        <v>2104870</v>
      </c>
      <c r="W691" t="s">
        <v>168</v>
      </c>
      <c r="X691" t="s">
        <v>166</v>
      </c>
    </row>
    <row r="692" spans="1:24" x14ac:dyDescent="0.3">
      <c r="A692" s="7" t="s">
        <v>67</v>
      </c>
      <c r="B692" t="s">
        <v>68</v>
      </c>
      <c r="C692" t="s">
        <v>169</v>
      </c>
      <c r="D692" t="s">
        <v>164</v>
      </c>
      <c r="E692" s="108">
        <v>1000</v>
      </c>
      <c r="F692">
        <v>0</v>
      </c>
      <c r="G692">
        <v>1</v>
      </c>
      <c r="H692" s="108">
        <v>10630</v>
      </c>
      <c r="I692" s="108">
        <v>10630</v>
      </c>
      <c r="J692" s="150">
        <v>0.55369212962962966</v>
      </c>
      <c r="K692" s="150">
        <v>0.5537037037037037</v>
      </c>
      <c r="L692" t="s">
        <v>165</v>
      </c>
      <c r="N692">
        <v>2112169</v>
      </c>
      <c r="O692">
        <v>2112169</v>
      </c>
      <c r="P692">
        <v>2111976</v>
      </c>
      <c r="Q692">
        <v>999</v>
      </c>
      <c r="R692" t="s">
        <v>166</v>
      </c>
      <c r="S692">
        <v>0</v>
      </c>
      <c r="T692" t="s">
        <v>167</v>
      </c>
      <c r="U692">
        <v>2111976</v>
      </c>
      <c r="W692" t="s">
        <v>168</v>
      </c>
      <c r="X692" t="s">
        <v>166</v>
      </c>
    </row>
    <row r="693" spans="1:24" x14ac:dyDescent="0.3">
      <c r="A693" s="7" t="s">
        <v>106</v>
      </c>
      <c r="B693" t="s">
        <v>107</v>
      </c>
      <c r="C693" t="s">
        <v>163</v>
      </c>
      <c r="D693" t="s">
        <v>164</v>
      </c>
      <c r="E693" s="108">
        <v>1000</v>
      </c>
      <c r="F693">
        <v>0</v>
      </c>
      <c r="G693">
        <v>37</v>
      </c>
      <c r="H693" s="108">
        <v>2685</v>
      </c>
      <c r="I693" s="108">
        <v>2685</v>
      </c>
      <c r="J693" s="150">
        <v>0.55467592592592596</v>
      </c>
      <c r="K693" s="150">
        <v>0.55623842592592598</v>
      </c>
      <c r="L693" t="s">
        <v>165</v>
      </c>
      <c r="N693">
        <v>2122319</v>
      </c>
      <c r="O693">
        <v>2122319</v>
      </c>
      <c r="P693">
        <v>2122177</v>
      </c>
      <c r="Q693">
        <v>963</v>
      </c>
      <c r="R693" t="s">
        <v>166</v>
      </c>
      <c r="S693">
        <v>0</v>
      </c>
      <c r="T693" t="s">
        <v>167</v>
      </c>
      <c r="U693">
        <v>2122177</v>
      </c>
      <c r="W693" t="s">
        <v>168</v>
      </c>
      <c r="X693" t="s">
        <v>166</v>
      </c>
    </row>
    <row r="694" spans="1:24" x14ac:dyDescent="0.3">
      <c r="A694" s="7" t="s">
        <v>67</v>
      </c>
      <c r="B694" t="s">
        <v>68</v>
      </c>
      <c r="C694" t="s">
        <v>169</v>
      </c>
      <c r="D694" t="s">
        <v>164</v>
      </c>
      <c r="E694" s="108">
        <v>1000</v>
      </c>
      <c r="F694">
        <v>0</v>
      </c>
      <c r="G694">
        <v>1</v>
      </c>
      <c r="H694" s="108">
        <v>10640</v>
      </c>
      <c r="I694" s="108">
        <v>10640</v>
      </c>
      <c r="J694" s="150">
        <v>0.55469907407407404</v>
      </c>
      <c r="K694" s="150">
        <v>0.55471064814814819</v>
      </c>
      <c r="L694" t="s">
        <v>165</v>
      </c>
      <c r="N694">
        <v>2122536</v>
      </c>
      <c r="O694">
        <v>2122536</v>
      </c>
      <c r="P694">
        <v>2122115</v>
      </c>
      <c r="Q694">
        <v>999</v>
      </c>
      <c r="R694" t="s">
        <v>166</v>
      </c>
      <c r="S694">
        <v>0</v>
      </c>
      <c r="T694" t="s">
        <v>167</v>
      </c>
      <c r="U694">
        <v>2122115</v>
      </c>
      <c r="W694" t="s">
        <v>168</v>
      </c>
      <c r="X694" t="s">
        <v>166</v>
      </c>
    </row>
    <row r="695" spans="1:24" x14ac:dyDescent="0.3">
      <c r="A695" s="7" t="s">
        <v>104</v>
      </c>
      <c r="B695" t="s">
        <v>105</v>
      </c>
      <c r="C695" t="s">
        <v>163</v>
      </c>
      <c r="D695" t="s">
        <v>164</v>
      </c>
      <c r="E695" s="108">
        <v>1000</v>
      </c>
      <c r="F695">
        <v>0</v>
      </c>
      <c r="G695">
        <v>9</v>
      </c>
      <c r="H695" s="108">
        <v>3710</v>
      </c>
      <c r="I695" s="108">
        <v>3710</v>
      </c>
      <c r="J695" s="150">
        <v>0.55527777777777776</v>
      </c>
      <c r="K695" s="150">
        <v>0.55528935185185191</v>
      </c>
      <c r="L695" t="s">
        <v>165</v>
      </c>
      <c r="N695">
        <v>2128472</v>
      </c>
      <c r="O695">
        <v>2128472</v>
      </c>
      <c r="P695">
        <v>2128296</v>
      </c>
      <c r="Q695">
        <v>991</v>
      </c>
      <c r="R695" t="s">
        <v>166</v>
      </c>
      <c r="S695">
        <v>0</v>
      </c>
      <c r="T695" t="s">
        <v>167</v>
      </c>
      <c r="U695">
        <v>2128296</v>
      </c>
      <c r="W695" t="s">
        <v>168</v>
      </c>
      <c r="X695" t="s">
        <v>166</v>
      </c>
    </row>
    <row r="696" spans="1:24" x14ac:dyDescent="0.3">
      <c r="A696" s="7" t="s">
        <v>77</v>
      </c>
      <c r="B696" t="s">
        <v>78</v>
      </c>
      <c r="C696" t="s">
        <v>169</v>
      </c>
      <c r="D696" t="s">
        <v>164</v>
      </c>
      <c r="E696" s="108">
        <v>1000</v>
      </c>
      <c r="F696">
        <v>0</v>
      </c>
      <c r="G696" s="108">
        <v>1000</v>
      </c>
      <c r="H696" s="108">
        <v>17985</v>
      </c>
      <c r="I696" s="108">
        <v>17985</v>
      </c>
      <c r="J696" s="150">
        <v>0.55556712962962962</v>
      </c>
      <c r="K696" s="150">
        <v>0.55557870370370377</v>
      </c>
      <c r="L696" t="s">
        <v>165</v>
      </c>
      <c r="N696">
        <v>2131185</v>
      </c>
      <c r="O696">
        <v>2131185</v>
      </c>
      <c r="P696">
        <v>2131153</v>
      </c>
      <c r="Q696">
        <v>0</v>
      </c>
      <c r="R696" t="s">
        <v>166</v>
      </c>
      <c r="S696">
        <v>0</v>
      </c>
      <c r="T696" t="s">
        <v>167</v>
      </c>
      <c r="U696">
        <v>2131153</v>
      </c>
      <c r="W696" t="s">
        <v>168</v>
      </c>
      <c r="X696" t="s">
        <v>166</v>
      </c>
    </row>
    <row r="697" spans="1:24" x14ac:dyDescent="0.3">
      <c r="A697" s="7" t="s">
        <v>67</v>
      </c>
      <c r="B697" t="s">
        <v>68</v>
      </c>
      <c r="C697" t="s">
        <v>169</v>
      </c>
      <c r="D697" t="s">
        <v>164</v>
      </c>
      <c r="E697" s="108">
        <v>1000</v>
      </c>
      <c r="F697">
        <v>0</v>
      </c>
      <c r="G697">
        <v>534</v>
      </c>
      <c r="H697" s="108">
        <v>10635</v>
      </c>
      <c r="I697" s="108">
        <v>10635</v>
      </c>
      <c r="J697" s="150">
        <v>0.55586805555555552</v>
      </c>
      <c r="K697" s="150">
        <v>0.55587962962962967</v>
      </c>
      <c r="L697" t="s">
        <v>165</v>
      </c>
      <c r="N697">
        <v>2133944</v>
      </c>
      <c r="O697">
        <v>2133944</v>
      </c>
      <c r="P697">
        <v>2133920</v>
      </c>
      <c r="Q697">
        <v>466</v>
      </c>
      <c r="R697" t="s">
        <v>166</v>
      </c>
      <c r="S697">
        <v>0</v>
      </c>
      <c r="T697" t="s">
        <v>167</v>
      </c>
      <c r="U697">
        <v>2133920</v>
      </c>
      <c r="W697" t="s">
        <v>168</v>
      </c>
      <c r="X697" t="s">
        <v>166</v>
      </c>
    </row>
    <row r="698" spans="1:24" x14ac:dyDescent="0.3">
      <c r="A698" s="7" t="s">
        <v>94</v>
      </c>
      <c r="B698" t="s">
        <v>95</v>
      </c>
      <c r="C698" t="s">
        <v>169</v>
      </c>
      <c r="D698" t="s">
        <v>164</v>
      </c>
      <c r="E698" s="108">
        <v>1000</v>
      </c>
      <c r="F698">
        <v>0</v>
      </c>
      <c r="G698">
        <v>980</v>
      </c>
      <c r="H698" s="108">
        <v>8475</v>
      </c>
      <c r="I698" s="108">
        <v>8475</v>
      </c>
      <c r="J698" s="150">
        <v>0.55645833333333339</v>
      </c>
      <c r="K698" s="150">
        <v>0.55646990740740743</v>
      </c>
      <c r="L698" t="s">
        <v>165</v>
      </c>
      <c r="N698">
        <v>2139438</v>
      </c>
      <c r="O698">
        <v>2139438</v>
      </c>
      <c r="P698">
        <v>2139159</v>
      </c>
      <c r="Q698">
        <v>20</v>
      </c>
      <c r="R698" t="s">
        <v>166</v>
      </c>
      <c r="S698">
        <v>0</v>
      </c>
      <c r="T698" t="s">
        <v>167</v>
      </c>
      <c r="U698">
        <v>2139159</v>
      </c>
      <c r="W698" t="s">
        <v>168</v>
      </c>
      <c r="X698" t="s">
        <v>166</v>
      </c>
    </row>
    <row r="699" spans="1:24" x14ac:dyDescent="0.3">
      <c r="A699" s="7" t="s">
        <v>67</v>
      </c>
      <c r="B699" t="s">
        <v>68</v>
      </c>
      <c r="C699" t="s">
        <v>169</v>
      </c>
      <c r="D699" t="s">
        <v>164</v>
      </c>
      <c r="E699" s="108">
        <v>1000</v>
      </c>
      <c r="F699">
        <v>0</v>
      </c>
      <c r="G699">
        <v>16</v>
      </c>
      <c r="H699" s="108">
        <v>10630</v>
      </c>
      <c r="I699" s="108">
        <v>10630</v>
      </c>
      <c r="J699" s="150">
        <v>0.556574074074074</v>
      </c>
      <c r="K699" s="150">
        <v>0.55658564814814815</v>
      </c>
      <c r="L699" t="s">
        <v>165</v>
      </c>
      <c r="N699">
        <v>2140420</v>
      </c>
      <c r="O699">
        <v>2140420</v>
      </c>
      <c r="P699">
        <v>2140378</v>
      </c>
      <c r="Q699">
        <v>984</v>
      </c>
      <c r="R699" t="s">
        <v>166</v>
      </c>
      <c r="S699">
        <v>0</v>
      </c>
      <c r="T699" t="s">
        <v>167</v>
      </c>
      <c r="U699">
        <v>2140378</v>
      </c>
      <c r="W699" t="s">
        <v>168</v>
      </c>
      <c r="X699" t="s">
        <v>166</v>
      </c>
    </row>
    <row r="700" spans="1:24" x14ac:dyDescent="0.3">
      <c r="A700" s="7" t="s">
        <v>98</v>
      </c>
      <c r="B700" t="s">
        <v>99</v>
      </c>
      <c r="C700" t="s">
        <v>163</v>
      </c>
      <c r="D700" t="s">
        <v>164</v>
      </c>
      <c r="E700" s="108">
        <v>1000</v>
      </c>
      <c r="F700">
        <v>0</v>
      </c>
      <c r="G700">
        <v>20</v>
      </c>
      <c r="H700" s="108">
        <v>15470</v>
      </c>
      <c r="I700" s="108">
        <v>15470</v>
      </c>
      <c r="J700" s="150">
        <v>0.55722222222222217</v>
      </c>
      <c r="K700" s="150">
        <v>0.55723379629629632</v>
      </c>
      <c r="L700" t="s">
        <v>165</v>
      </c>
      <c r="N700">
        <v>2145901</v>
      </c>
      <c r="O700">
        <v>2145901</v>
      </c>
      <c r="P700">
        <v>2145704</v>
      </c>
      <c r="Q700">
        <v>980</v>
      </c>
      <c r="R700" t="s">
        <v>166</v>
      </c>
      <c r="S700">
        <v>0</v>
      </c>
      <c r="T700" t="s">
        <v>167</v>
      </c>
      <c r="U700">
        <v>2145704</v>
      </c>
      <c r="W700" t="s">
        <v>168</v>
      </c>
      <c r="X700" t="s">
        <v>166</v>
      </c>
    </row>
    <row r="701" spans="1:24" x14ac:dyDescent="0.3">
      <c r="A701" s="7" t="s">
        <v>77</v>
      </c>
      <c r="B701" t="s">
        <v>78</v>
      </c>
      <c r="C701" t="s">
        <v>169</v>
      </c>
      <c r="D701" t="s">
        <v>164</v>
      </c>
      <c r="E701" s="108">
        <v>1000</v>
      </c>
      <c r="F701">
        <v>0</v>
      </c>
      <c r="G701" s="108">
        <v>1000</v>
      </c>
      <c r="H701" s="108">
        <v>17965</v>
      </c>
      <c r="I701" s="108">
        <v>17965</v>
      </c>
      <c r="J701" s="150">
        <v>0.55762731481481487</v>
      </c>
      <c r="K701" s="150">
        <v>0.55763888888888891</v>
      </c>
      <c r="L701" t="s">
        <v>165</v>
      </c>
      <c r="N701">
        <v>2149487</v>
      </c>
      <c r="O701">
        <v>2149487</v>
      </c>
      <c r="P701">
        <v>2149407</v>
      </c>
      <c r="Q701">
        <v>0</v>
      </c>
      <c r="R701" t="s">
        <v>166</v>
      </c>
      <c r="S701">
        <v>0</v>
      </c>
      <c r="T701" t="s">
        <v>167</v>
      </c>
      <c r="U701">
        <v>2149407</v>
      </c>
      <c r="W701" t="s">
        <v>168</v>
      </c>
      <c r="X701" t="s">
        <v>166</v>
      </c>
    </row>
    <row r="702" spans="1:24" x14ac:dyDescent="0.3">
      <c r="A702" s="7" t="s">
        <v>94</v>
      </c>
      <c r="B702" t="s">
        <v>95</v>
      </c>
      <c r="C702" t="s">
        <v>169</v>
      </c>
      <c r="D702" t="s">
        <v>164</v>
      </c>
      <c r="E702" s="108">
        <v>1000</v>
      </c>
      <c r="F702">
        <v>0</v>
      </c>
      <c r="G702">
        <v>402</v>
      </c>
      <c r="H702" s="108">
        <v>8475</v>
      </c>
      <c r="I702" s="108">
        <v>8475</v>
      </c>
      <c r="J702" s="150">
        <v>0.55765046296296295</v>
      </c>
      <c r="K702" s="150">
        <v>0.55765046296296295</v>
      </c>
      <c r="L702" t="s">
        <v>165</v>
      </c>
      <c r="N702">
        <v>2149668</v>
      </c>
      <c r="O702">
        <v>2149668</v>
      </c>
      <c r="P702">
        <v>2149035</v>
      </c>
      <c r="Q702">
        <v>598</v>
      </c>
      <c r="R702" t="s">
        <v>166</v>
      </c>
      <c r="S702">
        <v>0</v>
      </c>
      <c r="T702" t="s">
        <v>167</v>
      </c>
      <c r="U702">
        <v>2149035</v>
      </c>
      <c r="W702" t="s">
        <v>168</v>
      </c>
      <c r="X702" t="s">
        <v>166</v>
      </c>
    </row>
    <row r="703" spans="1:24" x14ac:dyDescent="0.3">
      <c r="A703" s="7" t="s">
        <v>69</v>
      </c>
      <c r="B703" t="s">
        <v>70</v>
      </c>
      <c r="C703" t="s">
        <v>169</v>
      </c>
      <c r="D703" t="s">
        <v>164</v>
      </c>
      <c r="E703" s="108">
        <v>1000</v>
      </c>
      <c r="F703">
        <v>0</v>
      </c>
      <c r="G703">
        <v>209</v>
      </c>
      <c r="H703" s="108">
        <v>19625</v>
      </c>
      <c r="I703" s="108">
        <v>19625</v>
      </c>
      <c r="J703" s="150">
        <v>0.55769675925925932</v>
      </c>
      <c r="K703" s="150">
        <v>0.55769675925925932</v>
      </c>
      <c r="L703" t="s">
        <v>165</v>
      </c>
      <c r="N703">
        <v>2150137</v>
      </c>
      <c r="O703">
        <v>2150137</v>
      </c>
      <c r="P703">
        <v>2150030</v>
      </c>
      <c r="Q703">
        <v>791</v>
      </c>
      <c r="R703" t="s">
        <v>166</v>
      </c>
      <c r="S703">
        <v>0</v>
      </c>
      <c r="T703" t="s">
        <v>167</v>
      </c>
      <c r="U703">
        <v>2150030</v>
      </c>
      <c r="W703" t="s">
        <v>168</v>
      </c>
      <c r="X703" t="s">
        <v>166</v>
      </c>
    </row>
    <row r="704" spans="1:24" x14ac:dyDescent="0.3">
      <c r="A704" s="7" t="s">
        <v>79</v>
      </c>
      <c r="B704" t="s">
        <v>80</v>
      </c>
      <c r="C704" t="s">
        <v>169</v>
      </c>
      <c r="D704" t="s">
        <v>164</v>
      </c>
      <c r="E704" s="108">
        <v>1000</v>
      </c>
      <c r="F704">
        <v>0</v>
      </c>
      <c r="G704">
        <v>8</v>
      </c>
      <c r="H704" s="108">
        <v>38370</v>
      </c>
      <c r="I704" s="108">
        <v>38370</v>
      </c>
      <c r="J704" s="150">
        <v>0.55774305555555559</v>
      </c>
      <c r="K704" s="150">
        <v>0.55775462962962963</v>
      </c>
      <c r="L704" t="s">
        <v>165</v>
      </c>
      <c r="N704">
        <v>2150929</v>
      </c>
      <c r="O704">
        <v>2150929</v>
      </c>
      <c r="P704">
        <v>2150892</v>
      </c>
      <c r="Q704">
        <v>992</v>
      </c>
      <c r="R704" t="s">
        <v>166</v>
      </c>
      <c r="S704">
        <v>0</v>
      </c>
      <c r="T704" t="s">
        <v>167</v>
      </c>
      <c r="U704">
        <v>2150892</v>
      </c>
      <c r="W704" t="s">
        <v>168</v>
      </c>
      <c r="X704" t="s">
        <v>166</v>
      </c>
    </row>
    <row r="705" spans="1:24" x14ac:dyDescent="0.3">
      <c r="A705" s="7" t="s">
        <v>79</v>
      </c>
      <c r="B705" t="s">
        <v>80</v>
      </c>
      <c r="C705" t="s">
        <v>169</v>
      </c>
      <c r="D705" t="s">
        <v>164</v>
      </c>
      <c r="E705" s="108">
        <v>1000</v>
      </c>
      <c r="F705">
        <v>0</v>
      </c>
      <c r="G705">
        <v>39</v>
      </c>
      <c r="H705" s="108">
        <v>38395</v>
      </c>
      <c r="I705" s="108">
        <v>38395</v>
      </c>
      <c r="J705" s="150">
        <v>0.55909722222222225</v>
      </c>
      <c r="K705" s="150">
        <v>0.55909722222222225</v>
      </c>
      <c r="L705" t="s">
        <v>165</v>
      </c>
      <c r="N705">
        <v>2164891</v>
      </c>
      <c r="O705">
        <v>2164891</v>
      </c>
      <c r="P705">
        <v>2164880</v>
      </c>
      <c r="Q705">
        <v>961</v>
      </c>
      <c r="R705" t="s">
        <v>166</v>
      </c>
      <c r="S705">
        <v>0</v>
      </c>
      <c r="T705" t="s">
        <v>167</v>
      </c>
      <c r="U705">
        <v>2164880</v>
      </c>
      <c r="W705" t="s">
        <v>168</v>
      </c>
      <c r="X705" t="s">
        <v>166</v>
      </c>
    </row>
    <row r="706" spans="1:24" x14ac:dyDescent="0.3">
      <c r="A706" s="7" t="s">
        <v>77</v>
      </c>
      <c r="B706" t="s">
        <v>78</v>
      </c>
      <c r="C706" t="s">
        <v>169</v>
      </c>
      <c r="D706" t="s">
        <v>164</v>
      </c>
      <c r="E706" s="108">
        <v>1000</v>
      </c>
      <c r="F706">
        <v>0</v>
      </c>
      <c r="G706">
        <v>5</v>
      </c>
      <c r="H706" s="108">
        <v>17960</v>
      </c>
      <c r="I706" s="108">
        <v>17960</v>
      </c>
      <c r="J706" s="150">
        <v>0.55929398148148146</v>
      </c>
      <c r="K706" s="150">
        <v>0.55930555555555561</v>
      </c>
      <c r="L706" t="s">
        <v>165</v>
      </c>
      <c r="N706">
        <v>2167399</v>
      </c>
      <c r="O706">
        <v>2167399</v>
      </c>
      <c r="P706">
        <v>2167336</v>
      </c>
      <c r="Q706">
        <v>995</v>
      </c>
      <c r="R706" t="s">
        <v>166</v>
      </c>
      <c r="S706">
        <v>0</v>
      </c>
      <c r="T706" t="s">
        <v>167</v>
      </c>
      <c r="U706">
        <v>2167336</v>
      </c>
      <c r="W706" t="s">
        <v>168</v>
      </c>
      <c r="X706" t="s">
        <v>166</v>
      </c>
    </row>
    <row r="707" spans="1:24" x14ac:dyDescent="0.3">
      <c r="A707" s="7" t="s">
        <v>79</v>
      </c>
      <c r="B707" t="s">
        <v>80</v>
      </c>
      <c r="C707" t="s">
        <v>169</v>
      </c>
      <c r="D707" t="s">
        <v>164</v>
      </c>
      <c r="E707" s="108">
        <v>1000</v>
      </c>
      <c r="F707">
        <v>0</v>
      </c>
      <c r="G707">
        <v>308</v>
      </c>
      <c r="H707" s="108">
        <v>38410</v>
      </c>
      <c r="I707" s="108">
        <v>38410</v>
      </c>
      <c r="J707" s="150">
        <v>0.56078703703703703</v>
      </c>
      <c r="K707" s="150">
        <v>0.56079861111111107</v>
      </c>
      <c r="L707" t="s">
        <v>165</v>
      </c>
      <c r="N707">
        <v>2182462</v>
      </c>
      <c r="O707">
        <v>2182462</v>
      </c>
      <c r="P707">
        <v>2182449</v>
      </c>
      <c r="Q707">
        <v>692</v>
      </c>
      <c r="R707" t="s">
        <v>166</v>
      </c>
      <c r="S707">
        <v>0</v>
      </c>
      <c r="T707" t="s">
        <v>167</v>
      </c>
      <c r="U707">
        <v>2182449</v>
      </c>
      <c r="W707" t="s">
        <v>168</v>
      </c>
      <c r="X707" t="s">
        <v>166</v>
      </c>
    </row>
    <row r="708" spans="1:24" x14ac:dyDescent="0.3">
      <c r="A708" s="7" t="s">
        <v>69</v>
      </c>
      <c r="B708" t="s">
        <v>70</v>
      </c>
      <c r="C708" t="s">
        <v>169</v>
      </c>
      <c r="D708" t="s">
        <v>164</v>
      </c>
      <c r="E708" s="108">
        <v>1000</v>
      </c>
      <c r="F708">
        <v>0</v>
      </c>
      <c r="G708" s="108">
        <v>1000</v>
      </c>
      <c r="H708" s="108">
        <v>19645</v>
      </c>
      <c r="I708" s="108">
        <v>19645</v>
      </c>
      <c r="J708" s="150">
        <v>0.56115740740740738</v>
      </c>
      <c r="K708" s="150">
        <v>0.56115740740740738</v>
      </c>
      <c r="L708" t="s">
        <v>165</v>
      </c>
      <c r="N708">
        <v>2185855</v>
      </c>
      <c r="O708">
        <v>2185855</v>
      </c>
      <c r="P708">
        <v>2185700</v>
      </c>
      <c r="Q708">
        <v>0</v>
      </c>
      <c r="R708" t="s">
        <v>166</v>
      </c>
      <c r="S708">
        <v>0</v>
      </c>
      <c r="T708" t="s">
        <v>167</v>
      </c>
      <c r="U708">
        <v>2185700</v>
      </c>
      <c r="W708" t="s">
        <v>168</v>
      </c>
      <c r="X708" t="s">
        <v>166</v>
      </c>
    </row>
    <row r="709" spans="1:24" x14ac:dyDescent="0.3">
      <c r="A709" s="7" t="s">
        <v>77</v>
      </c>
      <c r="B709" t="s">
        <v>78</v>
      </c>
      <c r="C709" t="s">
        <v>169</v>
      </c>
      <c r="D709" t="s">
        <v>164</v>
      </c>
      <c r="E709" s="108">
        <v>1000</v>
      </c>
      <c r="F709">
        <v>0</v>
      </c>
      <c r="G709">
        <v>12</v>
      </c>
      <c r="H709" s="108">
        <v>17965</v>
      </c>
      <c r="I709" s="108">
        <v>17965</v>
      </c>
      <c r="J709" s="150">
        <v>0.56123842592592588</v>
      </c>
      <c r="K709" s="150">
        <v>0.56126157407407407</v>
      </c>
      <c r="L709" t="s">
        <v>165</v>
      </c>
      <c r="N709">
        <v>2186595</v>
      </c>
      <c r="O709">
        <v>2186595</v>
      </c>
      <c r="P709">
        <v>2186572</v>
      </c>
      <c r="Q709">
        <v>988</v>
      </c>
      <c r="R709" t="s">
        <v>166</v>
      </c>
      <c r="S709">
        <v>0</v>
      </c>
      <c r="T709" t="s">
        <v>167</v>
      </c>
      <c r="U709">
        <v>2186572</v>
      </c>
      <c r="W709" t="s">
        <v>168</v>
      </c>
      <c r="X709" t="s">
        <v>166</v>
      </c>
    </row>
    <row r="710" spans="1:24" x14ac:dyDescent="0.3">
      <c r="A710" s="7" t="s">
        <v>138</v>
      </c>
      <c r="B710" t="s">
        <v>171</v>
      </c>
      <c r="C710" t="s">
        <v>169</v>
      </c>
      <c r="D710" t="s">
        <v>164</v>
      </c>
      <c r="E710" s="108">
        <v>1000</v>
      </c>
      <c r="F710">
        <v>0</v>
      </c>
      <c r="G710" s="108">
        <v>1000</v>
      </c>
      <c r="H710" s="108">
        <v>9150</v>
      </c>
      <c r="I710" s="108">
        <v>9150</v>
      </c>
      <c r="J710" s="150">
        <v>0.56136574074074075</v>
      </c>
      <c r="K710" s="150">
        <v>0.56136574074074075</v>
      </c>
      <c r="L710" t="s">
        <v>165</v>
      </c>
      <c r="N710">
        <v>2187742</v>
      </c>
      <c r="O710">
        <v>2187742</v>
      </c>
      <c r="P710">
        <v>2187643</v>
      </c>
      <c r="Q710">
        <v>0</v>
      </c>
      <c r="R710" t="s">
        <v>166</v>
      </c>
      <c r="S710">
        <v>0</v>
      </c>
      <c r="T710" t="s">
        <v>167</v>
      </c>
      <c r="U710">
        <v>2187643</v>
      </c>
      <c r="W710" t="s">
        <v>168</v>
      </c>
      <c r="X710" t="s">
        <v>166</v>
      </c>
    </row>
    <row r="711" spans="1:24" x14ac:dyDescent="0.3">
      <c r="A711" s="7" t="s">
        <v>77</v>
      </c>
      <c r="B711" t="s">
        <v>78</v>
      </c>
      <c r="C711" t="s">
        <v>169</v>
      </c>
      <c r="D711" t="s">
        <v>164</v>
      </c>
      <c r="E711" s="108">
        <v>1000</v>
      </c>
      <c r="F711">
        <v>0</v>
      </c>
      <c r="G711" s="108">
        <v>1000</v>
      </c>
      <c r="H711" s="108">
        <v>17940</v>
      </c>
      <c r="I711" s="108">
        <v>17940</v>
      </c>
      <c r="J711" s="150">
        <v>0.56256944444444446</v>
      </c>
      <c r="K711" s="150">
        <v>0.56258101851851849</v>
      </c>
      <c r="L711" t="s">
        <v>165</v>
      </c>
      <c r="N711">
        <v>2201055</v>
      </c>
      <c r="O711">
        <v>2201055</v>
      </c>
      <c r="P711">
        <v>2201042</v>
      </c>
      <c r="Q711">
        <v>0</v>
      </c>
      <c r="R711" t="s">
        <v>166</v>
      </c>
      <c r="S711">
        <v>0</v>
      </c>
      <c r="T711" t="s">
        <v>167</v>
      </c>
      <c r="U711">
        <v>2201042</v>
      </c>
      <c r="W711" t="s">
        <v>168</v>
      </c>
      <c r="X711" t="s">
        <v>166</v>
      </c>
    </row>
    <row r="712" spans="1:24" x14ac:dyDescent="0.3">
      <c r="A712" s="7" t="s">
        <v>69</v>
      </c>
      <c r="B712" t="s">
        <v>70</v>
      </c>
      <c r="C712" t="s">
        <v>169</v>
      </c>
      <c r="D712" t="s">
        <v>164</v>
      </c>
      <c r="E712" s="108">
        <v>1000</v>
      </c>
      <c r="F712">
        <v>0</v>
      </c>
      <c r="G712" s="108">
        <v>1000</v>
      </c>
      <c r="H712" s="108">
        <v>19680</v>
      </c>
      <c r="I712" s="108">
        <v>19680</v>
      </c>
      <c r="J712" s="150">
        <v>0.56256944444444446</v>
      </c>
      <c r="K712" s="150">
        <v>0.56258101851851849</v>
      </c>
      <c r="L712" t="s">
        <v>165</v>
      </c>
      <c r="N712">
        <v>2201130</v>
      </c>
      <c r="O712">
        <v>2201130</v>
      </c>
      <c r="P712">
        <v>2201094</v>
      </c>
      <c r="Q712">
        <v>0</v>
      </c>
      <c r="R712" t="s">
        <v>166</v>
      </c>
      <c r="S712">
        <v>0</v>
      </c>
      <c r="T712" t="s">
        <v>167</v>
      </c>
      <c r="U712">
        <v>2201094</v>
      </c>
      <c r="W712" t="s">
        <v>168</v>
      </c>
      <c r="X712" t="s">
        <v>166</v>
      </c>
    </row>
    <row r="713" spans="1:24" x14ac:dyDescent="0.3">
      <c r="A713" s="7" t="s">
        <v>79</v>
      </c>
      <c r="B713" t="s">
        <v>80</v>
      </c>
      <c r="C713" t="s">
        <v>169</v>
      </c>
      <c r="D713" t="s">
        <v>164</v>
      </c>
      <c r="E713" s="108">
        <v>1000</v>
      </c>
      <c r="F713">
        <v>0</v>
      </c>
      <c r="G713">
        <v>2</v>
      </c>
      <c r="H713" s="108">
        <v>38250</v>
      </c>
      <c r="I713" s="108">
        <v>38250</v>
      </c>
      <c r="J713" s="150">
        <v>0.56270833333333337</v>
      </c>
      <c r="K713" s="150">
        <v>0.56270833333333337</v>
      </c>
      <c r="L713" t="s">
        <v>165</v>
      </c>
      <c r="N713">
        <v>2203848</v>
      </c>
      <c r="O713">
        <v>2203848</v>
      </c>
      <c r="P713">
        <v>2203830</v>
      </c>
      <c r="Q713">
        <v>998</v>
      </c>
      <c r="R713" t="s">
        <v>166</v>
      </c>
      <c r="S713">
        <v>0</v>
      </c>
      <c r="T713" t="s">
        <v>167</v>
      </c>
      <c r="U713">
        <v>2203830</v>
      </c>
      <c r="W713" t="s">
        <v>168</v>
      </c>
      <c r="X713" t="s">
        <v>166</v>
      </c>
    </row>
    <row r="714" spans="1:24" x14ac:dyDescent="0.3">
      <c r="A714" s="7" t="s">
        <v>138</v>
      </c>
      <c r="B714" t="s">
        <v>171</v>
      </c>
      <c r="C714" t="s">
        <v>169</v>
      </c>
      <c r="D714" t="s">
        <v>164</v>
      </c>
      <c r="E714" s="108">
        <v>1000</v>
      </c>
      <c r="F714">
        <v>0</v>
      </c>
      <c r="G714" s="108">
        <v>1000</v>
      </c>
      <c r="H714" s="108">
        <v>9150</v>
      </c>
      <c r="I714" s="108">
        <v>9150</v>
      </c>
      <c r="J714" s="150">
        <v>0.56491898148148145</v>
      </c>
      <c r="K714" s="150">
        <v>0.5649305555555556</v>
      </c>
      <c r="L714" t="s">
        <v>165</v>
      </c>
      <c r="N714">
        <v>2233502</v>
      </c>
      <c r="O714">
        <v>2233502</v>
      </c>
      <c r="P714">
        <v>2233412</v>
      </c>
      <c r="Q714">
        <v>0</v>
      </c>
      <c r="R714" t="s">
        <v>166</v>
      </c>
      <c r="S714">
        <v>0</v>
      </c>
      <c r="T714" t="s">
        <v>167</v>
      </c>
      <c r="U714">
        <v>2233412</v>
      </c>
      <c r="W714" t="s">
        <v>168</v>
      </c>
      <c r="X714" t="s">
        <v>166</v>
      </c>
    </row>
    <row r="715" spans="1:24" x14ac:dyDescent="0.3">
      <c r="A715" s="7" t="s">
        <v>67</v>
      </c>
      <c r="B715" t="s">
        <v>68</v>
      </c>
      <c r="C715" t="s">
        <v>169</v>
      </c>
      <c r="D715" t="s">
        <v>164</v>
      </c>
      <c r="E715" s="108">
        <v>1000</v>
      </c>
      <c r="F715">
        <v>0</v>
      </c>
      <c r="G715">
        <v>84</v>
      </c>
      <c r="H715" s="108">
        <v>10625</v>
      </c>
      <c r="I715" s="108">
        <v>10625</v>
      </c>
      <c r="J715" s="150">
        <v>0.56623842592592599</v>
      </c>
      <c r="K715" s="150">
        <v>0.56628472222222226</v>
      </c>
      <c r="L715" t="s">
        <v>165</v>
      </c>
      <c r="N715">
        <v>2248315</v>
      </c>
      <c r="O715">
        <v>2248315</v>
      </c>
      <c r="P715">
        <v>2248137</v>
      </c>
      <c r="Q715">
        <v>916</v>
      </c>
      <c r="R715" t="s">
        <v>166</v>
      </c>
      <c r="S715">
        <v>0</v>
      </c>
      <c r="T715" t="s">
        <v>167</v>
      </c>
      <c r="U715">
        <v>2248137</v>
      </c>
      <c r="W715" t="s">
        <v>168</v>
      </c>
      <c r="X715" t="s">
        <v>166</v>
      </c>
    </row>
    <row r="716" spans="1:24" x14ac:dyDescent="0.3">
      <c r="A716" s="7" t="s">
        <v>79</v>
      </c>
      <c r="B716" t="s">
        <v>80</v>
      </c>
      <c r="C716" t="s">
        <v>169</v>
      </c>
      <c r="D716" t="s">
        <v>164</v>
      </c>
      <c r="E716" s="108">
        <v>1000</v>
      </c>
      <c r="F716">
        <v>0</v>
      </c>
      <c r="G716">
        <v>85</v>
      </c>
      <c r="H716" s="108">
        <v>38290</v>
      </c>
      <c r="I716" s="108">
        <v>38290</v>
      </c>
      <c r="J716" s="150">
        <v>0.56688657407407406</v>
      </c>
      <c r="K716" s="150">
        <v>0.56688657407407406</v>
      </c>
      <c r="L716" t="s">
        <v>165</v>
      </c>
      <c r="N716">
        <v>2255396</v>
      </c>
      <c r="O716">
        <v>2255396</v>
      </c>
      <c r="P716">
        <v>2255385</v>
      </c>
      <c r="Q716">
        <v>915</v>
      </c>
      <c r="R716" t="s">
        <v>166</v>
      </c>
      <c r="S716">
        <v>0</v>
      </c>
      <c r="T716" t="s">
        <v>167</v>
      </c>
      <c r="U716">
        <v>2255385</v>
      </c>
      <c r="W716" t="s">
        <v>168</v>
      </c>
      <c r="X716" t="s">
        <v>166</v>
      </c>
    </row>
    <row r="717" spans="1:24" x14ac:dyDescent="0.3">
      <c r="A717" s="7" t="s">
        <v>77</v>
      </c>
      <c r="B717" t="s">
        <v>78</v>
      </c>
      <c r="C717" t="s">
        <v>169</v>
      </c>
      <c r="D717" t="s">
        <v>164</v>
      </c>
      <c r="E717" s="108">
        <v>1000</v>
      </c>
      <c r="F717">
        <v>0</v>
      </c>
      <c r="G717">
        <v>863</v>
      </c>
      <c r="H717" s="108">
        <v>17970</v>
      </c>
      <c r="I717" s="108">
        <v>17970</v>
      </c>
      <c r="J717" s="150">
        <v>0.56781249999999994</v>
      </c>
      <c r="K717" s="150">
        <v>0.56782407407407409</v>
      </c>
      <c r="L717" t="s">
        <v>165</v>
      </c>
      <c r="N717">
        <v>2265402</v>
      </c>
      <c r="O717">
        <v>2265402</v>
      </c>
      <c r="P717">
        <v>2265355</v>
      </c>
      <c r="Q717">
        <v>137</v>
      </c>
      <c r="R717" t="s">
        <v>166</v>
      </c>
      <c r="S717">
        <v>0</v>
      </c>
      <c r="T717" t="s">
        <v>167</v>
      </c>
      <c r="U717">
        <v>2265355</v>
      </c>
      <c r="W717" t="s">
        <v>168</v>
      </c>
      <c r="X717" t="s">
        <v>166</v>
      </c>
    </row>
    <row r="718" spans="1:24" x14ac:dyDescent="0.3">
      <c r="A718" s="7" t="s">
        <v>67</v>
      </c>
      <c r="B718" t="s">
        <v>68</v>
      </c>
      <c r="C718" t="s">
        <v>169</v>
      </c>
      <c r="D718" t="s">
        <v>164</v>
      </c>
      <c r="E718" s="108">
        <v>1000</v>
      </c>
      <c r="F718">
        <v>0</v>
      </c>
      <c r="G718">
        <v>801</v>
      </c>
      <c r="H718" s="108">
        <v>10625</v>
      </c>
      <c r="I718" s="108">
        <v>10625</v>
      </c>
      <c r="J718" s="150">
        <v>0.56817129629629626</v>
      </c>
      <c r="K718" s="150">
        <v>0.56819444444444445</v>
      </c>
      <c r="L718" t="s">
        <v>165</v>
      </c>
      <c r="N718">
        <v>2269712</v>
      </c>
      <c r="O718">
        <v>2269712</v>
      </c>
      <c r="P718">
        <v>2269573</v>
      </c>
      <c r="Q718">
        <v>199</v>
      </c>
      <c r="R718" t="s">
        <v>166</v>
      </c>
      <c r="S718">
        <v>0</v>
      </c>
      <c r="T718" t="s">
        <v>167</v>
      </c>
      <c r="U718">
        <v>2269573</v>
      </c>
      <c r="W718" t="s">
        <v>168</v>
      </c>
      <c r="X718" t="s">
        <v>166</v>
      </c>
    </row>
    <row r="719" spans="1:24" x14ac:dyDescent="0.3">
      <c r="A719" s="7" t="s">
        <v>98</v>
      </c>
      <c r="B719" t="s">
        <v>99</v>
      </c>
      <c r="C719" t="s">
        <v>163</v>
      </c>
      <c r="D719" t="s">
        <v>164</v>
      </c>
      <c r="E719" s="108">
        <v>1000</v>
      </c>
      <c r="F719">
        <v>0</v>
      </c>
      <c r="G719">
        <v>2</v>
      </c>
      <c r="H719" s="108">
        <v>15465</v>
      </c>
      <c r="I719" s="108">
        <v>15465</v>
      </c>
      <c r="J719" s="150">
        <v>0.5689467592592593</v>
      </c>
      <c r="K719" s="150">
        <v>0.56895833333333334</v>
      </c>
      <c r="L719" t="s">
        <v>165</v>
      </c>
      <c r="N719">
        <v>2279502</v>
      </c>
      <c r="O719">
        <v>2279502</v>
      </c>
      <c r="P719">
        <v>2278999</v>
      </c>
      <c r="Q719">
        <v>998</v>
      </c>
      <c r="R719" t="s">
        <v>166</v>
      </c>
      <c r="S719">
        <v>0</v>
      </c>
      <c r="T719" t="s">
        <v>167</v>
      </c>
      <c r="U719">
        <v>2278999</v>
      </c>
      <c r="W719" t="s">
        <v>168</v>
      </c>
      <c r="X719" t="s">
        <v>166</v>
      </c>
    </row>
    <row r="720" spans="1:24" x14ac:dyDescent="0.3">
      <c r="A720" s="7" t="s">
        <v>67</v>
      </c>
      <c r="B720" t="s">
        <v>68</v>
      </c>
      <c r="C720" t="s">
        <v>169</v>
      </c>
      <c r="D720" t="s">
        <v>164</v>
      </c>
      <c r="E720" s="108">
        <v>1000</v>
      </c>
      <c r="F720">
        <v>0</v>
      </c>
      <c r="G720">
        <v>10</v>
      </c>
      <c r="H720" s="108">
        <v>10625</v>
      </c>
      <c r="I720" s="108">
        <v>10625</v>
      </c>
      <c r="J720" s="150">
        <v>0.56952546296296302</v>
      </c>
      <c r="K720" s="150">
        <v>0.56952546296296302</v>
      </c>
      <c r="L720" t="s">
        <v>165</v>
      </c>
      <c r="N720">
        <v>2286396</v>
      </c>
      <c r="O720">
        <v>2286396</v>
      </c>
      <c r="P720">
        <v>2286303</v>
      </c>
      <c r="Q720">
        <v>990</v>
      </c>
      <c r="R720" t="s">
        <v>166</v>
      </c>
      <c r="S720">
        <v>0</v>
      </c>
      <c r="T720" t="s">
        <v>167</v>
      </c>
      <c r="U720">
        <v>2286303</v>
      </c>
      <c r="W720" t="s">
        <v>168</v>
      </c>
      <c r="X720" t="s">
        <v>166</v>
      </c>
    </row>
    <row r="721" spans="1:24" x14ac:dyDescent="0.3">
      <c r="A721" s="7" t="s">
        <v>77</v>
      </c>
      <c r="B721" t="s">
        <v>78</v>
      </c>
      <c r="C721" t="s">
        <v>169</v>
      </c>
      <c r="D721" t="s">
        <v>164</v>
      </c>
      <c r="E721" s="108">
        <v>1000</v>
      </c>
      <c r="F721">
        <v>0</v>
      </c>
      <c r="G721">
        <v>415</v>
      </c>
      <c r="H721" s="108">
        <v>17970</v>
      </c>
      <c r="I721" s="108">
        <v>17970</v>
      </c>
      <c r="J721" s="150">
        <v>0.56959490740740748</v>
      </c>
      <c r="K721" s="150">
        <v>0.56959490740740748</v>
      </c>
      <c r="L721" t="s">
        <v>165</v>
      </c>
      <c r="N721">
        <v>2287174</v>
      </c>
      <c r="O721">
        <v>2287174</v>
      </c>
      <c r="P721">
        <v>2287149</v>
      </c>
      <c r="Q721">
        <v>585</v>
      </c>
      <c r="R721" t="s">
        <v>166</v>
      </c>
      <c r="S721">
        <v>0</v>
      </c>
      <c r="T721" t="s">
        <v>167</v>
      </c>
      <c r="U721">
        <v>2287149</v>
      </c>
      <c r="W721" t="s">
        <v>168</v>
      </c>
      <c r="X721" t="s">
        <v>166</v>
      </c>
    </row>
    <row r="722" spans="1:24" x14ac:dyDescent="0.3">
      <c r="A722" s="7" t="s">
        <v>79</v>
      </c>
      <c r="B722" t="s">
        <v>80</v>
      </c>
      <c r="C722" t="s">
        <v>169</v>
      </c>
      <c r="D722" t="s">
        <v>164</v>
      </c>
      <c r="E722" s="108">
        <v>1000</v>
      </c>
      <c r="F722">
        <v>0</v>
      </c>
      <c r="G722">
        <v>726</v>
      </c>
      <c r="H722" s="108">
        <v>38220</v>
      </c>
      <c r="I722" s="108">
        <v>38220</v>
      </c>
      <c r="J722" s="150">
        <v>0.5696296296296296</v>
      </c>
      <c r="K722" s="150">
        <v>0.5696296296296296</v>
      </c>
      <c r="L722" t="s">
        <v>165</v>
      </c>
      <c r="N722">
        <v>2287516</v>
      </c>
      <c r="O722">
        <v>2287516</v>
      </c>
      <c r="P722">
        <v>2287513</v>
      </c>
      <c r="Q722">
        <v>274</v>
      </c>
      <c r="R722" t="s">
        <v>166</v>
      </c>
      <c r="S722">
        <v>0</v>
      </c>
      <c r="T722" t="s">
        <v>167</v>
      </c>
      <c r="U722">
        <v>2287513</v>
      </c>
      <c r="W722" t="s">
        <v>168</v>
      </c>
      <c r="X722" t="s">
        <v>166</v>
      </c>
    </row>
    <row r="723" spans="1:24" x14ac:dyDescent="0.3">
      <c r="A723" s="7" t="s">
        <v>98</v>
      </c>
      <c r="B723" t="s">
        <v>99</v>
      </c>
      <c r="C723" t="s">
        <v>163</v>
      </c>
      <c r="D723" t="s">
        <v>164</v>
      </c>
      <c r="E723" s="108">
        <v>1000</v>
      </c>
      <c r="F723">
        <v>0</v>
      </c>
      <c r="G723">
        <v>3</v>
      </c>
      <c r="H723" s="108">
        <v>15455</v>
      </c>
      <c r="I723" s="108">
        <v>15455</v>
      </c>
      <c r="J723" s="150">
        <v>0.57025462962962969</v>
      </c>
      <c r="K723" s="150">
        <v>0.57025462962962969</v>
      </c>
      <c r="L723" t="s">
        <v>165</v>
      </c>
      <c r="N723">
        <v>2294032</v>
      </c>
      <c r="O723">
        <v>2294032</v>
      </c>
      <c r="P723">
        <v>2293475</v>
      </c>
      <c r="Q723">
        <v>997</v>
      </c>
      <c r="R723" t="s">
        <v>166</v>
      </c>
      <c r="S723">
        <v>0</v>
      </c>
      <c r="T723" t="s">
        <v>167</v>
      </c>
      <c r="U723">
        <v>2293475</v>
      </c>
      <c r="W723" t="s">
        <v>168</v>
      </c>
      <c r="X723" t="s">
        <v>166</v>
      </c>
    </row>
    <row r="724" spans="1:24" x14ac:dyDescent="0.3">
      <c r="A724" s="7" t="s">
        <v>69</v>
      </c>
      <c r="B724" t="s">
        <v>70</v>
      </c>
      <c r="C724" t="s">
        <v>169</v>
      </c>
      <c r="D724" t="s">
        <v>164</v>
      </c>
      <c r="E724" s="108">
        <v>1000</v>
      </c>
      <c r="F724">
        <v>0</v>
      </c>
      <c r="G724">
        <v>16</v>
      </c>
      <c r="H724" s="108">
        <v>19700</v>
      </c>
      <c r="I724" s="108">
        <v>19700</v>
      </c>
      <c r="J724" s="150">
        <v>0.57026620370370373</v>
      </c>
      <c r="K724" s="150">
        <v>0.57027777777777777</v>
      </c>
      <c r="L724" t="s">
        <v>165</v>
      </c>
      <c r="N724">
        <v>2294156</v>
      </c>
      <c r="O724">
        <v>2294156</v>
      </c>
      <c r="P724">
        <v>2294153</v>
      </c>
      <c r="Q724">
        <v>984</v>
      </c>
      <c r="R724" t="s">
        <v>166</v>
      </c>
      <c r="S724">
        <v>0</v>
      </c>
      <c r="T724" t="s">
        <v>167</v>
      </c>
      <c r="U724">
        <v>2294153</v>
      </c>
      <c r="W724" t="s">
        <v>168</v>
      </c>
      <c r="X724" t="s">
        <v>166</v>
      </c>
    </row>
    <row r="725" spans="1:24" x14ac:dyDescent="0.3">
      <c r="A725" s="7" t="s">
        <v>69</v>
      </c>
      <c r="B725" t="s">
        <v>70</v>
      </c>
      <c r="C725" t="s">
        <v>169</v>
      </c>
      <c r="D725" t="s">
        <v>164</v>
      </c>
      <c r="E725" s="108">
        <v>1000</v>
      </c>
      <c r="F725">
        <v>0</v>
      </c>
      <c r="G725">
        <v>39</v>
      </c>
      <c r="H725" s="108">
        <v>19760</v>
      </c>
      <c r="I725" s="108">
        <v>19760</v>
      </c>
      <c r="J725" s="150">
        <v>0.5710763888888889</v>
      </c>
      <c r="K725" s="150">
        <v>0.57108796296296294</v>
      </c>
      <c r="L725" t="s">
        <v>165</v>
      </c>
      <c r="N725">
        <v>2304671</v>
      </c>
      <c r="O725">
        <v>2304671</v>
      </c>
      <c r="P725">
        <v>2304662</v>
      </c>
      <c r="Q725">
        <v>961</v>
      </c>
      <c r="R725" t="s">
        <v>166</v>
      </c>
      <c r="S725">
        <v>0</v>
      </c>
      <c r="T725" t="s">
        <v>167</v>
      </c>
      <c r="U725">
        <v>2304662</v>
      </c>
      <c r="W725" t="s">
        <v>168</v>
      </c>
      <c r="X725" t="s">
        <v>166</v>
      </c>
    </row>
    <row r="726" spans="1:24" x14ac:dyDescent="0.3">
      <c r="A726" s="7" t="s">
        <v>75</v>
      </c>
      <c r="B726" t="s">
        <v>76</v>
      </c>
      <c r="C726" t="s">
        <v>163</v>
      </c>
      <c r="D726" t="s">
        <v>164</v>
      </c>
      <c r="E726" s="108">
        <v>1000</v>
      </c>
      <c r="F726">
        <v>0</v>
      </c>
      <c r="G726">
        <v>10</v>
      </c>
      <c r="H726" s="108">
        <v>7655</v>
      </c>
      <c r="I726" s="108">
        <v>7655</v>
      </c>
      <c r="J726" s="150">
        <v>0.57223379629629634</v>
      </c>
      <c r="K726" s="150">
        <v>0.57232638888888887</v>
      </c>
      <c r="L726" t="s">
        <v>165</v>
      </c>
      <c r="N726">
        <v>2318166</v>
      </c>
      <c r="O726">
        <v>2318166</v>
      </c>
      <c r="P726">
        <v>2316914</v>
      </c>
      <c r="Q726">
        <v>990</v>
      </c>
      <c r="R726" t="s">
        <v>166</v>
      </c>
      <c r="S726">
        <v>0</v>
      </c>
      <c r="T726" t="s">
        <v>167</v>
      </c>
      <c r="U726">
        <v>2316914</v>
      </c>
      <c r="W726" t="s">
        <v>168</v>
      </c>
      <c r="X726" t="s">
        <v>166</v>
      </c>
    </row>
    <row r="727" spans="1:24" x14ac:dyDescent="0.3">
      <c r="A727" s="7" t="s">
        <v>81</v>
      </c>
      <c r="B727" t="s">
        <v>82</v>
      </c>
      <c r="C727" t="s">
        <v>169</v>
      </c>
      <c r="D727" t="s">
        <v>164</v>
      </c>
      <c r="E727" s="108">
        <v>1000</v>
      </c>
      <c r="F727">
        <v>0</v>
      </c>
      <c r="G727">
        <v>5</v>
      </c>
      <c r="H727" s="108">
        <v>13530</v>
      </c>
      <c r="I727" s="108">
        <v>13530</v>
      </c>
      <c r="J727" s="150">
        <v>0.57231481481481483</v>
      </c>
      <c r="K727" s="150">
        <v>0.57232638888888887</v>
      </c>
      <c r="L727" t="s">
        <v>165</v>
      </c>
      <c r="N727">
        <v>2318951</v>
      </c>
      <c r="O727">
        <v>2318951</v>
      </c>
      <c r="P727">
        <v>2318794</v>
      </c>
      <c r="Q727">
        <v>995</v>
      </c>
      <c r="R727" t="s">
        <v>166</v>
      </c>
      <c r="S727">
        <v>0</v>
      </c>
      <c r="T727" t="s">
        <v>167</v>
      </c>
      <c r="U727">
        <v>2318794</v>
      </c>
      <c r="W727" t="s">
        <v>168</v>
      </c>
      <c r="X727" t="s">
        <v>166</v>
      </c>
    </row>
    <row r="728" spans="1:24" x14ac:dyDescent="0.3">
      <c r="A728" s="7" t="s">
        <v>67</v>
      </c>
      <c r="B728" t="s">
        <v>68</v>
      </c>
      <c r="C728" t="s">
        <v>169</v>
      </c>
      <c r="D728" t="s">
        <v>164</v>
      </c>
      <c r="E728" s="108">
        <v>1000</v>
      </c>
      <c r="F728">
        <v>0</v>
      </c>
      <c r="G728">
        <v>639</v>
      </c>
      <c r="H728" s="108">
        <v>10610</v>
      </c>
      <c r="I728" s="108">
        <v>10610</v>
      </c>
      <c r="J728" s="150">
        <v>0.5725231481481482</v>
      </c>
      <c r="K728" s="150">
        <v>0.57253472222222224</v>
      </c>
      <c r="L728" t="s">
        <v>165</v>
      </c>
      <c r="N728">
        <v>2321230</v>
      </c>
      <c r="O728">
        <v>2321230</v>
      </c>
      <c r="P728">
        <v>2320916</v>
      </c>
      <c r="Q728">
        <v>361</v>
      </c>
      <c r="R728" t="s">
        <v>166</v>
      </c>
      <c r="S728">
        <v>0</v>
      </c>
      <c r="T728" t="s">
        <v>167</v>
      </c>
      <c r="U728">
        <v>2320916</v>
      </c>
      <c r="W728" t="s">
        <v>168</v>
      </c>
      <c r="X728" t="s">
        <v>166</v>
      </c>
    </row>
    <row r="729" spans="1:24" x14ac:dyDescent="0.3">
      <c r="A729" s="7" t="s">
        <v>69</v>
      </c>
      <c r="B729" t="s">
        <v>70</v>
      </c>
      <c r="C729" t="s">
        <v>169</v>
      </c>
      <c r="D729" t="s">
        <v>164</v>
      </c>
      <c r="E729" s="108">
        <v>1000</v>
      </c>
      <c r="F729">
        <v>0</v>
      </c>
      <c r="G729">
        <v>6</v>
      </c>
      <c r="H729" s="108">
        <v>19725</v>
      </c>
      <c r="I729" s="108">
        <v>19725</v>
      </c>
      <c r="J729" s="150">
        <v>0.57262731481481477</v>
      </c>
      <c r="K729" s="150">
        <v>0.57265046296296296</v>
      </c>
      <c r="L729" t="s">
        <v>165</v>
      </c>
      <c r="N729">
        <v>2322063</v>
      </c>
      <c r="O729">
        <v>2322063</v>
      </c>
      <c r="P729">
        <v>2321536</v>
      </c>
      <c r="Q729">
        <v>994</v>
      </c>
      <c r="R729" t="s">
        <v>166</v>
      </c>
      <c r="S729">
        <v>0</v>
      </c>
      <c r="T729" t="s">
        <v>167</v>
      </c>
      <c r="U729">
        <v>2321536</v>
      </c>
      <c r="W729" t="s">
        <v>168</v>
      </c>
      <c r="X729" t="s">
        <v>166</v>
      </c>
    </row>
    <row r="730" spans="1:24" x14ac:dyDescent="0.3">
      <c r="A730" s="7" t="s">
        <v>77</v>
      </c>
      <c r="B730" t="s">
        <v>78</v>
      </c>
      <c r="C730" t="s">
        <v>169</v>
      </c>
      <c r="D730" t="s">
        <v>164</v>
      </c>
      <c r="E730" s="108">
        <v>1000</v>
      </c>
      <c r="F730">
        <v>0</v>
      </c>
      <c r="G730" s="108">
        <v>1000</v>
      </c>
      <c r="H730" s="108">
        <v>17975</v>
      </c>
      <c r="I730" s="108">
        <v>17975</v>
      </c>
      <c r="J730" s="150">
        <v>0.57271990740740741</v>
      </c>
      <c r="K730" s="150">
        <v>0.57271990740740741</v>
      </c>
      <c r="L730" t="s">
        <v>165</v>
      </c>
      <c r="N730">
        <v>2322948</v>
      </c>
      <c r="O730">
        <v>2322948</v>
      </c>
      <c r="P730">
        <v>2322912</v>
      </c>
      <c r="Q730">
        <v>0</v>
      </c>
      <c r="R730" t="s">
        <v>166</v>
      </c>
      <c r="S730">
        <v>0</v>
      </c>
      <c r="T730" t="s">
        <v>167</v>
      </c>
      <c r="U730">
        <v>2322912</v>
      </c>
      <c r="W730" t="s">
        <v>168</v>
      </c>
      <c r="X730" t="s">
        <v>166</v>
      </c>
    </row>
    <row r="731" spans="1:24" x14ac:dyDescent="0.3">
      <c r="A731" s="7" t="s">
        <v>73</v>
      </c>
      <c r="B731" t="s">
        <v>74</v>
      </c>
      <c r="C731" t="s">
        <v>169</v>
      </c>
      <c r="D731" t="s">
        <v>164</v>
      </c>
      <c r="E731" s="108">
        <v>1000</v>
      </c>
      <c r="F731">
        <v>0</v>
      </c>
      <c r="G731" s="108">
        <v>1000</v>
      </c>
      <c r="H731" s="108">
        <v>22420</v>
      </c>
      <c r="I731" s="108">
        <v>22420</v>
      </c>
      <c r="J731" s="150">
        <v>0.57309027777777777</v>
      </c>
      <c r="K731" s="150">
        <v>0.57310185185185192</v>
      </c>
      <c r="L731" t="s">
        <v>165</v>
      </c>
      <c r="N731">
        <v>2327425</v>
      </c>
      <c r="O731">
        <v>2327425</v>
      </c>
      <c r="P731">
        <v>2327418</v>
      </c>
      <c r="Q731">
        <v>0</v>
      </c>
      <c r="R731" t="s">
        <v>166</v>
      </c>
      <c r="S731">
        <v>0</v>
      </c>
      <c r="T731" t="s">
        <v>167</v>
      </c>
      <c r="U731">
        <v>2327418</v>
      </c>
      <c r="W731" t="s">
        <v>168</v>
      </c>
      <c r="X731" t="s">
        <v>166</v>
      </c>
    </row>
    <row r="732" spans="1:24" x14ac:dyDescent="0.3">
      <c r="A732" s="7" t="s">
        <v>98</v>
      </c>
      <c r="B732" t="s">
        <v>99</v>
      </c>
      <c r="C732" t="s">
        <v>163</v>
      </c>
      <c r="D732" t="s">
        <v>164</v>
      </c>
      <c r="E732" s="108">
        <v>1000</v>
      </c>
      <c r="F732">
        <v>0</v>
      </c>
      <c r="G732">
        <v>3</v>
      </c>
      <c r="H732" s="108">
        <v>15460</v>
      </c>
      <c r="I732" s="108">
        <v>15460</v>
      </c>
      <c r="J732" s="150">
        <v>0.57467592592592587</v>
      </c>
      <c r="K732" s="150">
        <v>0.57468750000000002</v>
      </c>
      <c r="L732" t="s">
        <v>165</v>
      </c>
      <c r="N732">
        <v>2345874</v>
      </c>
      <c r="O732">
        <v>2345874</v>
      </c>
      <c r="P732">
        <v>2345444</v>
      </c>
      <c r="Q732">
        <v>997</v>
      </c>
      <c r="R732" t="s">
        <v>166</v>
      </c>
      <c r="S732">
        <v>0</v>
      </c>
      <c r="T732" t="s">
        <v>167</v>
      </c>
      <c r="U732">
        <v>2345444</v>
      </c>
      <c r="W732" t="s">
        <v>168</v>
      </c>
      <c r="X732" t="s">
        <v>166</v>
      </c>
    </row>
    <row r="733" spans="1:24" x14ac:dyDescent="0.3">
      <c r="A733" s="7" t="s">
        <v>79</v>
      </c>
      <c r="B733" t="s">
        <v>80</v>
      </c>
      <c r="C733" t="s">
        <v>169</v>
      </c>
      <c r="D733" t="s">
        <v>164</v>
      </c>
      <c r="E733" s="108">
        <v>1000</v>
      </c>
      <c r="F733">
        <v>0</v>
      </c>
      <c r="G733">
        <v>2</v>
      </c>
      <c r="H733" s="108">
        <v>38260</v>
      </c>
      <c r="I733" s="108">
        <v>38260</v>
      </c>
      <c r="J733" s="150">
        <v>0.57469907407407406</v>
      </c>
      <c r="K733" s="150">
        <v>0.57469907407407406</v>
      </c>
      <c r="L733" t="s">
        <v>165</v>
      </c>
      <c r="N733">
        <v>2346231</v>
      </c>
      <c r="O733">
        <v>2346231</v>
      </c>
      <c r="P733">
        <v>2346222</v>
      </c>
      <c r="Q733">
        <v>998</v>
      </c>
      <c r="R733" t="s">
        <v>166</v>
      </c>
      <c r="S733">
        <v>0</v>
      </c>
      <c r="T733" t="s">
        <v>167</v>
      </c>
      <c r="U733">
        <v>2346222</v>
      </c>
      <c r="W733" t="s">
        <v>168</v>
      </c>
      <c r="X733" t="s">
        <v>166</v>
      </c>
    </row>
    <row r="734" spans="1:24" x14ac:dyDescent="0.3">
      <c r="A734" s="7" t="s">
        <v>69</v>
      </c>
      <c r="B734" t="s">
        <v>70</v>
      </c>
      <c r="C734" t="s">
        <v>169</v>
      </c>
      <c r="D734" t="s">
        <v>164</v>
      </c>
      <c r="E734" s="108">
        <v>1000</v>
      </c>
      <c r="F734">
        <v>0</v>
      </c>
      <c r="G734">
        <v>50</v>
      </c>
      <c r="H734" s="108">
        <v>19745</v>
      </c>
      <c r="I734" s="108">
        <v>19745</v>
      </c>
      <c r="J734" s="150">
        <v>0.57533564814814808</v>
      </c>
      <c r="K734" s="150">
        <v>0.57534722222222223</v>
      </c>
      <c r="L734" t="s">
        <v>165</v>
      </c>
      <c r="N734">
        <v>2352674</v>
      </c>
      <c r="O734">
        <v>2352674</v>
      </c>
      <c r="P734">
        <v>2352493</v>
      </c>
      <c r="Q734">
        <v>950</v>
      </c>
      <c r="R734" t="s">
        <v>166</v>
      </c>
      <c r="S734">
        <v>0</v>
      </c>
      <c r="T734" t="s">
        <v>167</v>
      </c>
      <c r="U734">
        <v>2352493</v>
      </c>
      <c r="W734" t="s">
        <v>168</v>
      </c>
      <c r="X734" t="s">
        <v>166</v>
      </c>
    </row>
    <row r="735" spans="1:24" x14ac:dyDescent="0.3">
      <c r="A735" s="7" t="s">
        <v>67</v>
      </c>
      <c r="B735" t="s">
        <v>68</v>
      </c>
      <c r="C735" t="s">
        <v>169</v>
      </c>
      <c r="D735" t="s">
        <v>164</v>
      </c>
      <c r="E735" s="108">
        <v>1000</v>
      </c>
      <c r="F735">
        <v>0</v>
      </c>
      <c r="G735">
        <v>309</v>
      </c>
      <c r="H735" s="108">
        <v>10610</v>
      </c>
      <c r="I735" s="108">
        <v>10610</v>
      </c>
      <c r="J735" s="150">
        <v>0.57556712962962964</v>
      </c>
      <c r="K735" s="150">
        <v>0.57556712962962964</v>
      </c>
      <c r="L735" t="s">
        <v>165</v>
      </c>
      <c r="N735">
        <v>2354800</v>
      </c>
      <c r="O735">
        <v>2354800</v>
      </c>
      <c r="P735">
        <v>2354672</v>
      </c>
      <c r="Q735">
        <v>691</v>
      </c>
      <c r="R735" t="s">
        <v>166</v>
      </c>
      <c r="S735">
        <v>0</v>
      </c>
      <c r="T735" t="s">
        <v>167</v>
      </c>
      <c r="U735">
        <v>2354672</v>
      </c>
      <c r="W735" t="s">
        <v>168</v>
      </c>
      <c r="X735" t="s">
        <v>166</v>
      </c>
    </row>
    <row r="736" spans="1:24" x14ac:dyDescent="0.3">
      <c r="A736" s="7" t="s">
        <v>98</v>
      </c>
      <c r="B736" t="s">
        <v>99</v>
      </c>
      <c r="C736" t="s">
        <v>163</v>
      </c>
      <c r="D736" t="s">
        <v>164</v>
      </c>
      <c r="E736" s="108">
        <v>1000</v>
      </c>
      <c r="F736">
        <v>0</v>
      </c>
      <c r="G736">
        <v>7</v>
      </c>
      <c r="H736" s="108">
        <v>15450</v>
      </c>
      <c r="I736" s="108">
        <v>15450</v>
      </c>
      <c r="J736" s="150">
        <v>0.57559027777777783</v>
      </c>
      <c r="K736" s="150">
        <v>0.57560185185185186</v>
      </c>
      <c r="L736" t="s">
        <v>165</v>
      </c>
      <c r="N736">
        <v>2355108</v>
      </c>
      <c r="O736">
        <v>2355108</v>
      </c>
      <c r="P736">
        <v>2354865</v>
      </c>
      <c r="Q736">
        <v>993</v>
      </c>
      <c r="R736" t="s">
        <v>166</v>
      </c>
      <c r="S736">
        <v>0</v>
      </c>
      <c r="T736" t="s">
        <v>167</v>
      </c>
      <c r="U736">
        <v>2354865</v>
      </c>
      <c r="W736" t="s">
        <v>168</v>
      </c>
      <c r="X736" t="s">
        <v>166</v>
      </c>
    </row>
    <row r="737" spans="1:24" x14ac:dyDescent="0.3">
      <c r="A737" s="7" t="s">
        <v>112</v>
      </c>
      <c r="B737" t="s">
        <v>113</v>
      </c>
      <c r="C737" t="s">
        <v>169</v>
      </c>
      <c r="D737" t="s">
        <v>164</v>
      </c>
      <c r="E737" s="108">
        <v>1000</v>
      </c>
      <c r="F737">
        <v>0</v>
      </c>
      <c r="G737">
        <v>11</v>
      </c>
      <c r="H737" s="108">
        <v>56065</v>
      </c>
      <c r="I737" s="108">
        <v>56065</v>
      </c>
      <c r="J737" s="150">
        <v>0.57710648148148147</v>
      </c>
      <c r="K737" s="150">
        <v>0.57710648148148147</v>
      </c>
      <c r="L737" t="s">
        <v>165</v>
      </c>
      <c r="N737">
        <v>2373289</v>
      </c>
      <c r="O737">
        <v>2373289</v>
      </c>
      <c r="P737">
        <v>2373263</v>
      </c>
      <c r="Q737">
        <v>989</v>
      </c>
      <c r="R737" t="s">
        <v>166</v>
      </c>
      <c r="S737">
        <v>0</v>
      </c>
      <c r="T737" t="s">
        <v>167</v>
      </c>
      <c r="U737">
        <v>2373263</v>
      </c>
      <c r="W737" t="s">
        <v>168</v>
      </c>
      <c r="X737" t="s">
        <v>166</v>
      </c>
    </row>
    <row r="738" spans="1:24" x14ac:dyDescent="0.3">
      <c r="A738" s="7" t="s">
        <v>98</v>
      </c>
      <c r="B738" t="s">
        <v>99</v>
      </c>
      <c r="C738" t="s">
        <v>163</v>
      </c>
      <c r="D738" t="s">
        <v>164</v>
      </c>
      <c r="E738" s="108">
        <v>1000</v>
      </c>
      <c r="F738">
        <v>0</v>
      </c>
      <c r="G738">
        <v>4</v>
      </c>
      <c r="H738" s="108">
        <v>15450</v>
      </c>
      <c r="I738" s="108">
        <v>15450</v>
      </c>
      <c r="J738" s="150">
        <v>0.57717592592592593</v>
      </c>
      <c r="K738" s="150">
        <v>0.57718749999999996</v>
      </c>
      <c r="L738" t="s">
        <v>165</v>
      </c>
      <c r="N738">
        <v>2374120</v>
      </c>
      <c r="O738">
        <v>2374120</v>
      </c>
      <c r="P738">
        <v>2374117</v>
      </c>
      <c r="Q738">
        <v>996</v>
      </c>
      <c r="R738" t="s">
        <v>166</v>
      </c>
      <c r="S738">
        <v>0</v>
      </c>
      <c r="T738" t="s">
        <v>167</v>
      </c>
      <c r="U738">
        <v>2374117</v>
      </c>
      <c r="W738" t="s">
        <v>168</v>
      </c>
      <c r="X738" t="s">
        <v>166</v>
      </c>
    </row>
    <row r="739" spans="1:24" x14ac:dyDescent="0.3">
      <c r="A739" s="7" t="s">
        <v>69</v>
      </c>
      <c r="B739" t="s">
        <v>70</v>
      </c>
      <c r="C739" t="s">
        <v>169</v>
      </c>
      <c r="D739" t="s">
        <v>164</v>
      </c>
      <c r="E739" s="108">
        <v>1000</v>
      </c>
      <c r="F739">
        <v>0</v>
      </c>
      <c r="G739" s="108">
        <v>1000</v>
      </c>
      <c r="H739" s="108">
        <v>19750</v>
      </c>
      <c r="I739" s="108">
        <v>19750</v>
      </c>
      <c r="J739" s="150">
        <v>0.57765046296296296</v>
      </c>
      <c r="K739" s="150">
        <v>0.57765046296296296</v>
      </c>
      <c r="L739" t="s">
        <v>165</v>
      </c>
      <c r="N739">
        <v>2378561</v>
      </c>
      <c r="O739">
        <v>2378561</v>
      </c>
      <c r="P739">
        <v>2378456</v>
      </c>
      <c r="Q739">
        <v>0</v>
      </c>
      <c r="R739" t="s">
        <v>166</v>
      </c>
      <c r="S739">
        <v>0</v>
      </c>
      <c r="T739" t="s">
        <v>167</v>
      </c>
      <c r="U739">
        <v>2378456</v>
      </c>
      <c r="W739" t="s">
        <v>168</v>
      </c>
      <c r="X739" t="s">
        <v>166</v>
      </c>
    </row>
    <row r="740" spans="1:24" x14ac:dyDescent="0.3">
      <c r="A740" s="7" t="s">
        <v>65</v>
      </c>
      <c r="B740" t="s">
        <v>66</v>
      </c>
      <c r="C740" t="s">
        <v>169</v>
      </c>
      <c r="D740" t="s">
        <v>164</v>
      </c>
      <c r="E740" s="108">
        <v>1000</v>
      </c>
      <c r="F740">
        <v>0</v>
      </c>
      <c r="G740">
        <v>980</v>
      </c>
      <c r="H740" s="108">
        <v>5045</v>
      </c>
      <c r="I740" s="108">
        <v>5045</v>
      </c>
      <c r="J740" s="150">
        <v>0.57806712962962969</v>
      </c>
      <c r="K740" s="150">
        <v>0.57807870370370373</v>
      </c>
      <c r="L740" t="s">
        <v>165</v>
      </c>
      <c r="N740">
        <v>2382514</v>
      </c>
      <c r="O740">
        <v>2382514</v>
      </c>
      <c r="P740">
        <v>2382362</v>
      </c>
      <c r="Q740">
        <v>20</v>
      </c>
      <c r="R740" t="s">
        <v>166</v>
      </c>
      <c r="S740">
        <v>0</v>
      </c>
      <c r="T740" t="s">
        <v>167</v>
      </c>
      <c r="U740">
        <v>2382362</v>
      </c>
      <c r="W740" t="s">
        <v>168</v>
      </c>
      <c r="X740" t="s">
        <v>166</v>
      </c>
    </row>
    <row r="741" spans="1:24" x14ac:dyDescent="0.3">
      <c r="A741" s="7" t="s">
        <v>69</v>
      </c>
      <c r="B741" t="s">
        <v>70</v>
      </c>
      <c r="C741" t="s">
        <v>169</v>
      </c>
      <c r="D741" t="s">
        <v>164</v>
      </c>
      <c r="E741" s="108">
        <v>1000</v>
      </c>
      <c r="F741">
        <v>0</v>
      </c>
      <c r="G741">
        <v>514</v>
      </c>
      <c r="H741" s="108">
        <v>19725</v>
      </c>
      <c r="I741" s="108">
        <v>19725</v>
      </c>
      <c r="J741" s="150">
        <v>0.5783449074074074</v>
      </c>
      <c r="K741" s="150">
        <v>0.57835648148148155</v>
      </c>
      <c r="L741" t="s">
        <v>165</v>
      </c>
      <c r="N741">
        <v>2385889</v>
      </c>
      <c r="O741">
        <v>2385889</v>
      </c>
      <c r="P741">
        <v>2385783</v>
      </c>
      <c r="Q741">
        <v>486</v>
      </c>
      <c r="R741" t="s">
        <v>166</v>
      </c>
      <c r="S741">
        <v>0</v>
      </c>
      <c r="T741" t="s">
        <v>167</v>
      </c>
      <c r="U741">
        <v>2385783</v>
      </c>
      <c r="W741" t="s">
        <v>168</v>
      </c>
      <c r="X741" t="s">
        <v>166</v>
      </c>
    </row>
    <row r="742" spans="1:24" x14ac:dyDescent="0.3">
      <c r="A742" s="7" t="s">
        <v>138</v>
      </c>
      <c r="B742" t="s">
        <v>171</v>
      </c>
      <c r="C742" t="s">
        <v>169</v>
      </c>
      <c r="D742" t="s">
        <v>164</v>
      </c>
      <c r="E742" s="108">
        <v>1000</v>
      </c>
      <c r="F742">
        <v>0</v>
      </c>
      <c r="G742">
        <v>15</v>
      </c>
      <c r="H742" s="108">
        <v>9155</v>
      </c>
      <c r="I742" s="108">
        <v>9155</v>
      </c>
      <c r="J742" s="150">
        <v>0.57868055555555553</v>
      </c>
      <c r="K742" s="150">
        <v>0.57872685185185191</v>
      </c>
      <c r="L742" t="s">
        <v>165</v>
      </c>
      <c r="N742">
        <v>2389195</v>
      </c>
      <c r="O742">
        <v>2389195</v>
      </c>
      <c r="P742">
        <v>2388291</v>
      </c>
      <c r="Q742">
        <v>985</v>
      </c>
      <c r="R742" t="s">
        <v>166</v>
      </c>
      <c r="S742">
        <v>0</v>
      </c>
      <c r="T742" t="s">
        <v>167</v>
      </c>
      <c r="U742">
        <v>2388291</v>
      </c>
      <c r="W742" t="s">
        <v>168</v>
      </c>
      <c r="X742" t="s">
        <v>166</v>
      </c>
    </row>
    <row r="743" spans="1:24" x14ac:dyDescent="0.3">
      <c r="A743" s="7" t="s">
        <v>69</v>
      </c>
      <c r="B743" t="s">
        <v>70</v>
      </c>
      <c r="C743" t="s">
        <v>169</v>
      </c>
      <c r="D743" t="s">
        <v>164</v>
      </c>
      <c r="E743" s="108">
        <v>1000</v>
      </c>
      <c r="F743">
        <v>0</v>
      </c>
      <c r="G743" s="108">
        <v>1000</v>
      </c>
      <c r="H743" s="108">
        <v>19700</v>
      </c>
      <c r="I743" s="108">
        <v>19700</v>
      </c>
      <c r="J743" s="150">
        <v>0.57907407407407407</v>
      </c>
      <c r="K743" s="150">
        <v>0.57908564814814811</v>
      </c>
      <c r="L743" t="s">
        <v>165</v>
      </c>
      <c r="N743">
        <v>2393537</v>
      </c>
      <c r="O743">
        <v>2393537</v>
      </c>
      <c r="P743">
        <v>2393513</v>
      </c>
      <c r="Q743">
        <v>0</v>
      </c>
      <c r="R743" t="s">
        <v>166</v>
      </c>
      <c r="S743">
        <v>0</v>
      </c>
      <c r="T743" t="s">
        <v>167</v>
      </c>
      <c r="U743">
        <v>2393513</v>
      </c>
      <c r="W743" t="s">
        <v>168</v>
      </c>
      <c r="X743" t="s">
        <v>166</v>
      </c>
    </row>
    <row r="744" spans="1:24" x14ac:dyDescent="0.3">
      <c r="A744" s="7" t="s">
        <v>75</v>
      </c>
      <c r="B744" t="s">
        <v>76</v>
      </c>
      <c r="C744" t="s">
        <v>163</v>
      </c>
      <c r="D744" t="s">
        <v>164</v>
      </c>
      <c r="E744" s="108">
        <v>1000</v>
      </c>
      <c r="F744">
        <v>0</v>
      </c>
      <c r="G744">
        <v>1</v>
      </c>
      <c r="H744" s="108">
        <v>7655</v>
      </c>
      <c r="I744" s="108">
        <v>7655</v>
      </c>
      <c r="J744" s="150">
        <v>0.57912037037037034</v>
      </c>
      <c r="K744" s="150">
        <v>0.57913194444444438</v>
      </c>
      <c r="L744" t="s">
        <v>165</v>
      </c>
      <c r="N744">
        <v>2394270</v>
      </c>
      <c r="O744">
        <v>2394270</v>
      </c>
      <c r="P744">
        <v>2393826</v>
      </c>
      <c r="Q744">
        <v>999</v>
      </c>
      <c r="R744" t="s">
        <v>166</v>
      </c>
      <c r="S744">
        <v>0</v>
      </c>
      <c r="T744" t="s">
        <v>167</v>
      </c>
      <c r="U744">
        <v>2393826</v>
      </c>
      <c r="W744" t="s">
        <v>168</v>
      </c>
      <c r="X744" t="s">
        <v>166</v>
      </c>
    </row>
    <row r="745" spans="1:24" x14ac:dyDescent="0.3">
      <c r="A745" s="7" t="s">
        <v>138</v>
      </c>
      <c r="B745" t="s">
        <v>171</v>
      </c>
      <c r="C745" t="s">
        <v>163</v>
      </c>
      <c r="D745" t="s">
        <v>164</v>
      </c>
      <c r="E745" s="108">
        <v>1000</v>
      </c>
      <c r="F745">
        <v>0</v>
      </c>
      <c r="G745">
        <v>926</v>
      </c>
      <c r="H745" s="108">
        <v>9185</v>
      </c>
      <c r="I745" s="108">
        <v>9185</v>
      </c>
      <c r="J745" s="150">
        <v>0.5797106481481481</v>
      </c>
      <c r="K745" s="150">
        <v>0.57973379629629629</v>
      </c>
      <c r="L745" t="s">
        <v>165</v>
      </c>
      <c r="N745">
        <v>2402377</v>
      </c>
      <c r="O745">
        <v>2402377</v>
      </c>
      <c r="P745">
        <v>2401879</v>
      </c>
      <c r="Q745">
        <v>74</v>
      </c>
      <c r="R745" t="s">
        <v>166</v>
      </c>
      <c r="S745">
        <v>0</v>
      </c>
      <c r="T745" t="s">
        <v>167</v>
      </c>
      <c r="U745">
        <v>2401879</v>
      </c>
      <c r="W745" t="s">
        <v>168</v>
      </c>
      <c r="X745" t="s">
        <v>166</v>
      </c>
    </row>
    <row r="746" spans="1:24" x14ac:dyDescent="0.3">
      <c r="A746" s="7" t="s">
        <v>112</v>
      </c>
      <c r="B746" t="s">
        <v>113</v>
      </c>
      <c r="C746" t="s">
        <v>169</v>
      </c>
      <c r="D746" t="s">
        <v>164</v>
      </c>
      <c r="E746" s="108">
        <v>1000</v>
      </c>
      <c r="F746">
        <v>0</v>
      </c>
      <c r="G746" s="108">
        <v>1000</v>
      </c>
      <c r="H746" s="108">
        <v>56045</v>
      </c>
      <c r="I746" s="108">
        <v>56045</v>
      </c>
      <c r="J746" s="150">
        <v>0.58006944444444442</v>
      </c>
      <c r="K746" s="150">
        <v>0.58008101851851845</v>
      </c>
      <c r="L746" t="s">
        <v>165</v>
      </c>
      <c r="N746">
        <v>2407902</v>
      </c>
      <c r="O746">
        <v>2407902</v>
      </c>
      <c r="P746">
        <v>2407884</v>
      </c>
      <c r="Q746">
        <v>0</v>
      </c>
      <c r="R746" t="s">
        <v>166</v>
      </c>
      <c r="S746">
        <v>0</v>
      </c>
      <c r="T746" t="s">
        <v>167</v>
      </c>
      <c r="U746">
        <v>2407884</v>
      </c>
      <c r="W746" t="s">
        <v>168</v>
      </c>
      <c r="X746" t="s">
        <v>166</v>
      </c>
    </row>
    <row r="747" spans="1:24" x14ac:dyDescent="0.3">
      <c r="A747" s="7" t="s">
        <v>77</v>
      </c>
      <c r="B747" t="s">
        <v>78</v>
      </c>
      <c r="C747" t="s">
        <v>169</v>
      </c>
      <c r="D747" t="s">
        <v>164</v>
      </c>
      <c r="E747" s="108">
        <v>1000</v>
      </c>
      <c r="F747">
        <v>0</v>
      </c>
      <c r="G747" s="108">
        <v>1000</v>
      </c>
      <c r="H747" s="108">
        <v>17975</v>
      </c>
      <c r="I747" s="108">
        <v>17975</v>
      </c>
      <c r="J747" s="150">
        <v>0.5809375</v>
      </c>
      <c r="K747" s="150">
        <v>0.5809375</v>
      </c>
      <c r="L747" t="s">
        <v>165</v>
      </c>
      <c r="N747">
        <v>2418613</v>
      </c>
      <c r="O747">
        <v>2418613</v>
      </c>
      <c r="P747">
        <v>2418610</v>
      </c>
      <c r="Q747">
        <v>0</v>
      </c>
      <c r="R747" t="s">
        <v>166</v>
      </c>
      <c r="S747">
        <v>0</v>
      </c>
      <c r="T747" t="s">
        <v>167</v>
      </c>
      <c r="U747">
        <v>2418610</v>
      </c>
      <c r="W747" t="s">
        <v>168</v>
      </c>
      <c r="X747" t="s">
        <v>166</v>
      </c>
    </row>
    <row r="748" spans="1:24" x14ac:dyDescent="0.3">
      <c r="A748" s="7" t="s">
        <v>69</v>
      </c>
      <c r="B748" t="s">
        <v>70</v>
      </c>
      <c r="C748" t="s">
        <v>169</v>
      </c>
      <c r="D748" t="s">
        <v>164</v>
      </c>
      <c r="E748" s="108">
        <v>1000</v>
      </c>
      <c r="F748">
        <v>0</v>
      </c>
      <c r="G748" s="108">
        <v>1000</v>
      </c>
      <c r="H748" s="108">
        <v>19705</v>
      </c>
      <c r="I748" s="108">
        <v>19705</v>
      </c>
      <c r="J748" s="150">
        <v>0.58129629629629631</v>
      </c>
      <c r="K748" s="150">
        <v>0.58129629629629631</v>
      </c>
      <c r="L748" t="s">
        <v>165</v>
      </c>
      <c r="N748">
        <v>2423655</v>
      </c>
      <c r="O748">
        <v>2423655</v>
      </c>
      <c r="P748">
        <v>2423653</v>
      </c>
      <c r="Q748">
        <v>0</v>
      </c>
      <c r="R748" t="s">
        <v>166</v>
      </c>
      <c r="S748">
        <v>0</v>
      </c>
      <c r="T748" t="s">
        <v>167</v>
      </c>
      <c r="U748">
        <v>2423653</v>
      </c>
      <c r="W748" t="s">
        <v>168</v>
      </c>
      <c r="X748" t="s">
        <v>166</v>
      </c>
    </row>
    <row r="749" spans="1:24" x14ac:dyDescent="0.3">
      <c r="A749" s="7" t="s">
        <v>98</v>
      </c>
      <c r="B749" t="s">
        <v>99</v>
      </c>
      <c r="C749" t="s">
        <v>163</v>
      </c>
      <c r="D749" t="s">
        <v>164</v>
      </c>
      <c r="E749" s="108">
        <v>1000</v>
      </c>
      <c r="F749">
        <v>0</v>
      </c>
      <c r="G749">
        <v>20</v>
      </c>
      <c r="H749" s="108">
        <v>15435</v>
      </c>
      <c r="I749" s="108">
        <v>15435</v>
      </c>
      <c r="J749" s="150">
        <v>0.58148148148148149</v>
      </c>
      <c r="K749" s="150">
        <v>0.58148148148148149</v>
      </c>
      <c r="L749" t="s">
        <v>165</v>
      </c>
      <c r="N749">
        <v>2426599</v>
      </c>
      <c r="O749">
        <v>2426599</v>
      </c>
      <c r="P749">
        <v>2426183</v>
      </c>
      <c r="Q749">
        <v>980</v>
      </c>
      <c r="R749" t="s">
        <v>166</v>
      </c>
      <c r="S749">
        <v>0</v>
      </c>
      <c r="T749" t="s">
        <v>167</v>
      </c>
      <c r="U749">
        <v>2426183</v>
      </c>
      <c r="W749" t="s">
        <v>168</v>
      </c>
      <c r="X749" t="s">
        <v>166</v>
      </c>
    </row>
    <row r="750" spans="1:24" x14ac:dyDescent="0.3">
      <c r="A750" s="7" t="s">
        <v>112</v>
      </c>
      <c r="B750" t="s">
        <v>113</v>
      </c>
      <c r="C750" t="s">
        <v>169</v>
      </c>
      <c r="D750" t="s">
        <v>164</v>
      </c>
      <c r="E750" s="108">
        <v>1000</v>
      </c>
      <c r="F750">
        <v>0</v>
      </c>
      <c r="G750">
        <v>6</v>
      </c>
      <c r="H750" s="108">
        <v>56065</v>
      </c>
      <c r="I750" s="108">
        <v>56065</v>
      </c>
      <c r="J750" s="150">
        <v>0.58219907407407401</v>
      </c>
      <c r="K750" s="150">
        <v>0.58221064814814816</v>
      </c>
      <c r="L750" t="s">
        <v>165</v>
      </c>
      <c r="N750">
        <v>2437646</v>
      </c>
      <c r="O750">
        <v>2437646</v>
      </c>
      <c r="P750">
        <v>2437618</v>
      </c>
      <c r="Q750">
        <v>994</v>
      </c>
      <c r="R750" t="s">
        <v>166</v>
      </c>
      <c r="S750">
        <v>0</v>
      </c>
      <c r="T750" t="s">
        <v>167</v>
      </c>
      <c r="U750">
        <v>2437618</v>
      </c>
      <c r="W750" t="s">
        <v>168</v>
      </c>
      <c r="X750" t="s">
        <v>166</v>
      </c>
    </row>
    <row r="751" spans="1:24" x14ac:dyDescent="0.3">
      <c r="A751" s="7" t="s">
        <v>69</v>
      </c>
      <c r="B751" t="s">
        <v>70</v>
      </c>
      <c r="C751" t="s">
        <v>169</v>
      </c>
      <c r="D751" t="s">
        <v>164</v>
      </c>
      <c r="E751" s="108">
        <v>1000</v>
      </c>
      <c r="F751">
        <v>0</v>
      </c>
      <c r="G751">
        <v>6</v>
      </c>
      <c r="H751" s="108">
        <v>19745</v>
      </c>
      <c r="I751" s="108">
        <v>19745</v>
      </c>
      <c r="J751" s="150">
        <v>0.58378472222222222</v>
      </c>
      <c r="K751" s="150">
        <v>0.58379629629629626</v>
      </c>
      <c r="L751" t="s">
        <v>165</v>
      </c>
      <c r="N751">
        <v>2459806</v>
      </c>
      <c r="O751">
        <v>2459806</v>
      </c>
      <c r="P751">
        <v>2459801</v>
      </c>
      <c r="Q751">
        <v>994</v>
      </c>
      <c r="R751" t="s">
        <v>166</v>
      </c>
      <c r="S751">
        <v>0</v>
      </c>
      <c r="T751" t="s">
        <v>167</v>
      </c>
      <c r="U751">
        <v>2459801</v>
      </c>
      <c r="W751" t="s">
        <v>168</v>
      </c>
      <c r="X751" t="s">
        <v>166</v>
      </c>
    </row>
    <row r="752" spans="1:24" x14ac:dyDescent="0.3">
      <c r="A752" s="7" t="s">
        <v>98</v>
      </c>
      <c r="B752" t="s">
        <v>99</v>
      </c>
      <c r="C752" t="s">
        <v>163</v>
      </c>
      <c r="D752" t="s">
        <v>164</v>
      </c>
      <c r="E752" s="108">
        <v>1000</v>
      </c>
      <c r="F752">
        <v>0</v>
      </c>
      <c r="G752">
        <v>14</v>
      </c>
      <c r="H752" s="108">
        <v>15430</v>
      </c>
      <c r="I752" s="108">
        <v>15430</v>
      </c>
      <c r="J752" s="150">
        <v>0.58390046296296294</v>
      </c>
      <c r="K752" s="150">
        <v>0.58391203703703709</v>
      </c>
      <c r="L752" t="s">
        <v>165</v>
      </c>
      <c r="N752">
        <v>2461501</v>
      </c>
      <c r="O752">
        <v>2461501</v>
      </c>
      <c r="P752">
        <v>2461239</v>
      </c>
      <c r="Q752">
        <v>986</v>
      </c>
      <c r="R752" t="s">
        <v>166</v>
      </c>
      <c r="S752">
        <v>0</v>
      </c>
      <c r="T752" t="s">
        <v>167</v>
      </c>
      <c r="U752">
        <v>2461239</v>
      </c>
      <c r="W752" t="s">
        <v>168</v>
      </c>
      <c r="X752" t="s">
        <v>166</v>
      </c>
    </row>
    <row r="753" spans="1:24" x14ac:dyDescent="0.3">
      <c r="A753" s="7" t="s">
        <v>71</v>
      </c>
      <c r="B753" t="s">
        <v>72</v>
      </c>
      <c r="C753" t="s">
        <v>169</v>
      </c>
      <c r="D753" t="s">
        <v>164</v>
      </c>
      <c r="E753" s="108">
        <v>1000</v>
      </c>
      <c r="F753">
        <v>0</v>
      </c>
      <c r="G753">
        <v>24</v>
      </c>
      <c r="H753" s="108">
        <v>18930</v>
      </c>
      <c r="I753" s="108">
        <v>18930</v>
      </c>
      <c r="J753" s="150">
        <v>0.58401620370370366</v>
      </c>
      <c r="K753" s="150">
        <v>0.58401620370370366</v>
      </c>
      <c r="L753" t="s">
        <v>165</v>
      </c>
      <c r="N753">
        <v>2462952</v>
      </c>
      <c r="O753">
        <v>2462952</v>
      </c>
      <c r="P753">
        <v>2462944</v>
      </c>
      <c r="Q753">
        <v>976</v>
      </c>
      <c r="R753" t="s">
        <v>166</v>
      </c>
      <c r="S753">
        <v>0</v>
      </c>
      <c r="T753" t="s">
        <v>167</v>
      </c>
      <c r="U753">
        <v>2462944</v>
      </c>
      <c r="W753" t="s">
        <v>168</v>
      </c>
      <c r="X753" t="s">
        <v>166</v>
      </c>
    </row>
    <row r="754" spans="1:24" x14ac:dyDescent="0.3">
      <c r="A754" s="7" t="s">
        <v>75</v>
      </c>
      <c r="B754" t="s">
        <v>76</v>
      </c>
      <c r="C754" t="s">
        <v>163</v>
      </c>
      <c r="D754" t="s">
        <v>164</v>
      </c>
      <c r="E754" s="108">
        <v>1000</v>
      </c>
      <c r="F754">
        <v>0</v>
      </c>
      <c r="G754">
        <v>113</v>
      </c>
      <c r="H754" s="108">
        <v>7675</v>
      </c>
      <c r="I754" s="108">
        <v>7675</v>
      </c>
      <c r="J754" s="150">
        <v>0.58432870370370371</v>
      </c>
      <c r="K754" s="150">
        <v>0.58434027777777775</v>
      </c>
      <c r="L754" t="s">
        <v>165</v>
      </c>
      <c r="N754">
        <v>2466890</v>
      </c>
      <c r="O754">
        <v>2466890</v>
      </c>
      <c r="P754">
        <v>2466787</v>
      </c>
      <c r="Q754">
        <v>887</v>
      </c>
      <c r="R754" t="s">
        <v>166</v>
      </c>
      <c r="S754">
        <v>0</v>
      </c>
      <c r="T754" t="s">
        <v>167</v>
      </c>
      <c r="U754">
        <v>2466787</v>
      </c>
      <c r="W754" t="s">
        <v>168</v>
      </c>
      <c r="X754" t="s">
        <v>166</v>
      </c>
    </row>
    <row r="755" spans="1:24" x14ac:dyDescent="0.3">
      <c r="A755" s="7" t="s">
        <v>77</v>
      </c>
      <c r="B755" t="s">
        <v>78</v>
      </c>
      <c r="C755" t="s">
        <v>169</v>
      </c>
      <c r="D755" t="s">
        <v>164</v>
      </c>
      <c r="E755" s="108">
        <v>1000</v>
      </c>
      <c r="F755">
        <v>0</v>
      </c>
      <c r="G755">
        <v>44</v>
      </c>
      <c r="H755" s="108">
        <v>17955</v>
      </c>
      <c r="I755" s="108">
        <v>17955</v>
      </c>
      <c r="J755" s="150">
        <v>0.58434027777777775</v>
      </c>
      <c r="K755" s="150">
        <v>0.5843518518518519</v>
      </c>
      <c r="L755" t="s">
        <v>165</v>
      </c>
      <c r="N755">
        <v>2467155</v>
      </c>
      <c r="O755">
        <v>2467155</v>
      </c>
      <c r="P755">
        <v>2467145</v>
      </c>
      <c r="Q755">
        <v>956</v>
      </c>
      <c r="R755" t="s">
        <v>166</v>
      </c>
      <c r="S755">
        <v>0</v>
      </c>
      <c r="T755" t="s">
        <v>167</v>
      </c>
      <c r="U755">
        <v>2467145</v>
      </c>
      <c r="W755" t="s">
        <v>168</v>
      </c>
      <c r="X755" t="s">
        <v>166</v>
      </c>
    </row>
    <row r="756" spans="1:24" x14ac:dyDescent="0.3">
      <c r="A756" s="7" t="s">
        <v>98</v>
      </c>
      <c r="B756" t="s">
        <v>99</v>
      </c>
      <c r="C756" t="s">
        <v>163</v>
      </c>
      <c r="D756" t="s">
        <v>164</v>
      </c>
      <c r="E756" s="108">
        <v>1000</v>
      </c>
      <c r="F756">
        <v>0</v>
      </c>
      <c r="G756">
        <v>4</v>
      </c>
      <c r="H756" s="108">
        <v>15430</v>
      </c>
      <c r="I756" s="108">
        <v>15430</v>
      </c>
      <c r="J756" s="150">
        <v>0.58476851851851852</v>
      </c>
      <c r="K756" s="150">
        <v>0.58481481481481479</v>
      </c>
      <c r="L756" t="s">
        <v>165</v>
      </c>
      <c r="N756">
        <v>2473059</v>
      </c>
      <c r="O756">
        <v>2473059</v>
      </c>
      <c r="P756">
        <v>2473010</v>
      </c>
      <c r="Q756">
        <v>996</v>
      </c>
      <c r="R756" t="s">
        <v>166</v>
      </c>
      <c r="S756">
        <v>0</v>
      </c>
      <c r="T756" t="s">
        <v>167</v>
      </c>
      <c r="U756">
        <v>2473010</v>
      </c>
      <c r="W756" t="s">
        <v>168</v>
      </c>
      <c r="X756" t="s">
        <v>166</v>
      </c>
    </row>
    <row r="757" spans="1:24" x14ac:dyDescent="0.3">
      <c r="A757" s="7" t="s">
        <v>94</v>
      </c>
      <c r="B757" t="s">
        <v>95</v>
      </c>
      <c r="C757" t="s">
        <v>169</v>
      </c>
      <c r="D757" t="s">
        <v>164</v>
      </c>
      <c r="E757" s="108">
        <v>1000</v>
      </c>
      <c r="F757">
        <v>0</v>
      </c>
      <c r="G757">
        <v>980</v>
      </c>
      <c r="H757" s="108">
        <v>8455</v>
      </c>
      <c r="I757" s="108">
        <v>8455</v>
      </c>
      <c r="J757" s="150">
        <v>0.58486111111111116</v>
      </c>
      <c r="K757" s="150">
        <v>0.5848726851851852</v>
      </c>
      <c r="L757" t="s">
        <v>165</v>
      </c>
      <c r="N757">
        <v>2474456</v>
      </c>
      <c r="O757">
        <v>2474456</v>
      </c>
      <c r="P757">
        <v>2474157</v>
      </c>
      <c r="Q757">
        <v>20</v>
      </c>
      <c r="R757" t="s">
        <v>166</v>
      </c>
      <c r="S757">
        <v>0</v>
      </c>
      <c r="T757" t="s">
        <v>167</v>
      </c>
      <c r="U757">
        <v>2474157</v>
      </c>
      <c r="W757" t="s">
        <v>168</v>
      </c>
      <c r="X757" t="s">
        <v>166</v>
      </c>
    </row>
    <row r="758" spans="1:24" x14ac:dyDescent="0.3">
      <c r="A758" s="7" t="s">
        <v>71</v>
      </c>
      <c r="B758" t="s">
        <v>72</v>
      </c>
      <c r="C758" t="s">
        <v>169</v>
      </c>
      <c r="D758" t="s">
        <v>164</v>
      </c>
      <c r="E758" s="108">
        <v>1000</v>
      </c>
      <c r="F758">
        <v>0</v>
      </c>
      <c r="G758">
        <v>5</v>
      </c>
      <c r="H758" s="108">
        <v>18940</v>
      </c>
      <c r="I758" s="108">
        <v>18940</v>
      </c>
      <c r="J758" s="150">
        <v>0.58497685185185189</v>
      </c>
      <c r="K758" s="150">
        <v>0.58501157407407411</v>
      </c>
      <c r="L758" t="s">
        <v>165</v>
      </c>
      <c r="N758">
        <v>2476382</v>
      </c>
      <c r="O758">
        <v>2476382</v>
      </c>
      <c r="P758">
        <v>2476362</v>
      </c>
      <c r="Q758">
        <v>995</v>
      </c>
      <c r="R758" t="s">
        <v>166</v>
      </c>
      <c r="S758">
        <v>0</v>
      </c>
      <c r="T758" t="s">
        <v>167</v>
      </c>
      <c r="U758">
        <v>2476362</v>
      </c>
      <c r="W758" t="s">
        <v>168</v>
      </c>
      <c r="X758" t="s">
        <v>166</v>
      </c>
    </row>
    <row r="759" spans="1:24" x14ac:dyDescent="0.3">
      <c r="A759" s="7" t="s">
        <v>106</v>
      </c>
      <c r="B759" t="s">
        <v>107</v>
      </c>
      <c r="C759" t="s">
        <v>169</v>
      </c>
      <c r="D759" t="s">
        <v>164</v>
      </c>
      <c r="E759" s="108">
        <v>1000</v>
      </c>
      <c r="F759">
        <v>0</v>
      </c>
      <c r="G759">
        <v>838</v>
      </c>
      <c r="H759" s="108">
        <v>2665</v>
      </c>
      <c r="I759" s="108">
        <v>2665</v>
      </c>
      <c r="J759" s="150">
        <v>0.58524305555555556</v>
      </c>
      <c r="K759" s="150">
        <v>0.58638888888888896</v>
      </c>
      <c r="L759" t="s">
        <v>165</v>
      </c>
      <c r="N759">
        <v>2481076</v>
      </c>
      <c r="O759">
        <v>2481076</v>
      </c>
      <c r="P759">
        <v>2481042</v>
      </c>
      <c r="Q759">
        <v>162</v>
      </c>
      <c r="R759" t="s">
        <v>166</v>
      </c>
      <c r="S759">
        <v>0</v>
      </c>
      <c r="T759" t="s">
        <v>167</v>
      </c>
      <c r="U759">
        <v>2481042</v>
      </c>
      <c r="W759" t="s">
        <v>168</v>
      </c>
      <c r="X759" t="s">
        <v>166</v>
      </c>
    </row>
    <row r="760" spans="1:24" x14ac:dyDescent="0.3">
      <c r="A760" s="7" t="s">
        <v>138</v>
      </c>
      <c r="B760" t="s">
        <v>171</v>
      </c>
      <c r="C760" t="s">
        <v>169</v>
      </c>
      <c r="D760" t="s">
        <v>164</v>
      </c>
      <c r="E760" s="108">
        <v>1000</v>
      </c>
      <c r="F760">
        <v>0</v>
      </c>
      <c r="G760">
        <v>66</v>
      </c>
      <c r="H760" s="108">
        <v>9200</v>
      </c>
      <c r="I760" s="108">
        <v>9200</v>
      </c>
      <c r="J760" s="150">
        <v>0.5852546296296296</v>
      </c>
      <c r="K760" s="150">
        <v>0.58527777777777779</v>
      </c>
      <c r="L760" t="s">
        <v>165</v>
      </c>
      <c r="N760">
        <v>2481334</v>
      </c>
      <c r="O760">
        <v>2481334</v>
      </c>
      <c r="P760">
        <v>2481191</v>
      </c>
      <c r="Q760">
        <v>934</v>
      </c>
      <c r="R760" t="s">
        <v>166</v>
      </c>
      <c r="S760">
        <v>0</v>
      </c>
      <c r="T760" t="s">
        <v>167</v>
      </c>
      <c r="U760">
        <v>2481191</v>
      </c>
      <c r="W760" t="s">
        <v>168</v>
      </c>
      <c r="X760" t="s">
        <v>166</v>
      </c>
    </row>
    <row r="761" spans="1:24" x14ac:dyDescent="0.3">
      <c r="A761" s="7" t="s">
        <v>94</v>
      </c>
      <c r="B761" t="s">
        <v>95</v>
      </c>
      <c r="C761" t="s">
        <v>169</v>
      </c>
      <c r="D761" t="s">
        <v>164</v>
      </c>
      <c r="E761" s="108">
        <v>1000</v>
      </c>
      <c r="F761">
        <v>0</v>
      </c>
      <c r="G761" s="108">
        <v>1000</v>
      </c>
      <c r="H761" s="108">
        <v>8445</v>
      </c>
      <c r="I761" s="108">
        <v>8445</v>
      </c>
      <c r="J761" s="150">
        <v>0.58600694444444446</v>
      </c>
      <c r="K761" s="150">
        <v>0.58601851851851849</v>
      </c>
      <c r="L761" t="s">
        <v>165</v>
      </c>
      <c r="N761">
        <v>2492432</v>
      </c>
      <c r="O761">
        <v>2492432</v>
      </c>
      <c r="P761">
        <v>2492430</v>
      </c>
      <c r="Q761">
        <v>0</v>
      </c>
      <c r="R761" t="s">
        <v>166</v>
      </c>
      <c r="S761">
        <v>0</v>
      </c>
      <c r="T761" t="s">
        <v>167</v>
      </c>
      <c r="U761">
        <v>2492430</v>
      </c>
      <c r="W761" t="s">
        <v>168</v>
      </c>
      <c r="X761" t="s">
        <v>166</v>
      </c>
    </row>
    <row r="762" spans="1:24" x14ac:dyDescent="0.3">
      <c r="A762" s="7" t="s">
        <v>98</v>
      </c>
      <c r="B762" t="s">
        <v>99</v>
      </c>
      <c r="C762" t="s">
        <v>163</v>
      </c>
      <c r="D762" t="s">
        <v>164</v>
      </c>
      <c r="E762" s="108">
        <v>1000</v>
      </c>
      <c r="F762">
        <v>0</v>
      </c>
      <c r="G762">
        <v>10</v>
      </c>
      <c r="H762" s="108">
        <v>15425</v>
      </c>
      <c r="I762" s="108">
        <v>15425</v>
      </c>
      <c r="J762" s="150">
        <v>0.58612268518518518</v>
      </c>
      <c r="K762" s="150">
        <v>0.58612268518518518</v>
      </c>
      <c r="L762" t="s">
        <v>165</v>
      </c>
      <c r="N762">
        <v>2493875</v>
      </c>
      <c r="O762">
        <v>2493875</v>
      </c>
      <c r="P762">
        <v>2492681</v>
      </c>
      <c r="Q762">
        <v>990</v>
      </c>
      <c r="R762" t="s">
        <v>166</v>
      </c>
      <c r="S762">
        <v>0</v>
      </c>
      <c r="T762" t="s">
        <v>167</v>
      </c>
      <c r="U762">
        <v>2492681</v>
      </c>
      <c r="W762" t="s">
        <v>168</v>
      </c>
      <c r="X762" t="s">
        <v>166</v>
      </c>
    </row>
    <row r="763" spans="1:24" x14ac:dyDescent="0.3">
      <c r="A763" s="7" t="s">
        <v>138</v>
      </c>
      <c r="B763" t="s">
        <v>171</v>
      </c>
      <c r="C763" t="s">
        <v>169</v>
      </c>
      <c r="D763" t="s">
        <v>164</v>
      </c>
      <c r="E763" s="108">
        <v>1000</v>
      </c>
      <c r="F763">
        <v>0</v>
      </c>
      <c r="G763">
        <v>33</v>
      </c>
      <c r="H763" s="108">
        <v>9200</v>
      </c>
      <c r="I763" s="108">
        <v>9200</v>
      </c>
      <c r="J763" s="150">
        <v>0.58641203703703704</v>
      </c>
      <c r="K763" s="150">
        <v>0.58642361111111108</v>
      </c>
      <c r="L763" t="s">
        <v>165</v>
      </c>
      <c r="N763">
        <v>2498017</v>
      </c>
      <c r="O763">
        <v>2498017</v>
      </c>
      <c r="P763">
        <v>2497366</v>
      </c>
      <c r="Q763">
        <v>967</v>
      </c>
      <c r="R763" t="s">
        <v>166</v>
      </c>
      <c r="S763">
        <v>0</v>
      </c>
      <c r="T763" t="s">
        <v>167</v>
      </c>
      <c r="U763">
        <v>2497366</v>
      </c>
      <c r="W763" t="s">
        <v>168</v>
      </c>
      <c r="X763" t="s">
        <v>166</v>
      </c>
    </row>
    <row r="764" spans="1:24" x14ac:dyDescent="0.3">
      <c r="A764" s="7" t="s">
        <v>85</v>
      </c>
      <c r="B764" t="s">
        <v>86</v>
      </c>
      <c r="C764" t="s">
        <v>163</v>
      </c>
      <c r="D764" t="s">
        <v>164</v>
      </c>
      <c r="E764" s="108">
        <v>1000</v>
      </c>
      <c r="F764">
        <v>0</v>
      </c>
      <c r="G764">
        <v>1</v>
      </c>
      <c r="H764" s="108">
        <v>12535</v>
      </c>
      <c r="I764" s="108">
        <v>12535</v>
      </c>
      <c r="J764" s="150">
        <v>0.58680555555555558</v>
      </c>
      <c r="K764" s="150">
        <v>0.58680555555555558</v>
      </c>
      <c r="L764" t="s">
        <v>165</v>
      </c>
      <c r="N764">
        <v>2502896</v>
      </c>
      <c r="O764">
        <v>2502896</v>
      </c>
      <c r="P764">
        <v>2502582</v>
      </c>
      <c r="Q764">
        <v>999</v>
      </c>
      <c r="R764" t="s">
        <v>166</v>
      </c>
      <c r="S764">
        <v>0</v>
      </c>
      <c r="T764" t="s">
        <v>167</v>
      </c>
      <c r="U764">
        <v>2502582</v>
      </c>
      <c r="W764" t="s">
        <v>168</v>
      </c>
      <c r="X764" t="s">
        <v>166</v>
      </c>
    </row>
    <row r="765" spans="1:24" x14ac:dyDescent="0.3">
      <c r="A765" s="7" t="s">
        <v>77</v>
      </c>
      <c r="B765" t="s">
        <v>78</v>
      </c>
      <c r="C765" t="s">
        <v>169</v>
      </c>
      <c r="D765" t="s">
        <v>164</v>
      </c>
      <c r="E765" s="108">
        <v>1000</v>
      </c>
      <c r="F765">
        <v>0</v>
      </c>
      <c r="G765">
        <v>28</v>
      </c>
      <c r="H765" s="108">
        <v>17935</v>
      </c>
      <c r="I765" s="108">
        <v>17935</v>
      </c>
      <c r="J765" s="150">
        <v>0.58709490740740744</v>
      </c>
      <c r="K765" s="150">
        <v>0.58709490740740744</v>
      </c>
      <c r="L765" t="s">
        <v>165</v>
      </c>
      <c r="N765">
        <v>2507284</v>
      </c>
      <c r="O765">
        <v>2507284</v>
      </c>
      <c r="P765">
        <v>2507256</v>
      </c>
      <c r="Q765">
        <v>972</v>
      </c>
      <c r="R765" t="s">
        <v>166</v>
      </c>
      <c r="S765">
        <v>0</v>
      </c>
      <c r="T765" t="s">
        <v>167</v>
      </c>
      <c r="U765">
        <v>2507256</v>
      </c>
      <c r="W765" t="s">
        <v>168</v>
      </c>
      <c r="X765" t="s">
        <v>166</v>
      </c>
    </row>
    <row r="766" spans="1:24" x14ac:dyDescent="0.3">
      <c r="A766" s="7" t="s">
        <v>71</v>
      </c>
      <c r="B766" t="s">
        <v>72</v>
      </c>
      <c r="C766" t="s">
        <v>169</v>
      </c>
      <c r="D766" t="s">
        <v>164</v>
      </c>
      <c r="E766" s="108">
        <v>1000</v>
      </c>
      <c r="F766">
        <v>0</v>
      </c>
      <c r="G766">
        <v>5</v>
      </c>
      <c r="H766" s="108">
        <v>18945</v>
      </c>
      <c r="I766" s="108">
        <v>18945</v>
      </c>
      <c r="J766" s="150">
        <v>0.58709490740740744</v>
      </c>
      <c r="K766" s="150">
        <v>0.58709490740740744</v>
      </c>
      <c r="L766" t="s">
        <v>165</v>
      </c>
      <c r="N766">
        <v>2507314</v>
      </c>
      <c r="O766">
        <v>2507314</v>
      </c>
      <c r="P766">
        <v>2506857</v>
      </c>
      <c r="Q766">
        <v>995</v>
      </c>
      <c r="R766" t="s">
        <v>166</v>
      </c>
      <c r="S766">
        <v>0</v>
      </c>
      <c r="T766" t="s">
        <v>167</v>
      </c>
      <c r="U766">
        <v>2506857</v>
      </c>
      <c r="W766" t="s">
        <v>168</v>
      </c>
      <c r="X766" t="s">
        <v>166</v>
      </c>
    </row>
    <row r="767" spans="1:24" x14ac:dyDescent="0.3">
      <c r="A767" s="7" t="s">
        <v>120</v>
      </c>
      <c r="B767" t="s">
        <v>121</v>
      </c>
      <c r="C767" t="s">
        <v>169</v>
      </c>
      <c r="D767" t="s">
        <v>164</v>
      </c>
      <c r="E767" s="108">
        <v>1000</v>
      </c>
      <c r="F767">
        <v>0</v>
      </c>
      <c r="G767">
        <v>1</v>
      </c>
      <c r="H767" s="108">
        <v>37225</v>
      </c>
      <c r="I767" s="108">
        <v>37225</v>
      </c>
      <c r="J767" s="150">
        <v>0.58718749999999997</v>
      </c>
      <c r="K767" s="150">
        <v>0.58719907407407412</v>
      </c>
      <c r="L767" t="s">
        <v>165</v>
      </c>
      <c r="N767">
        <v>2508503</v>
      </c>
      <c r="O767">
        <v>2508503</v>
      </c>
      <c r="P767">
        <v>2508497</v>
      </c>
      <c r="Q767">
        <v>999</v>
      </c>
      <c r="R767" t="s">
        <v>166</v>
      </c>
      <c r="S767">
        <v>0</v>
      </c>
      <c r="T767" t="s">
        <v>167</v>
      </c>
      <c r="U767">
        <v>2508497</v>
      </c>
      <c r="W767" t="s">
        <v>168</v>
      </c>
      <c r="X767" t="s">
        <v>166</v>
      </c>
    </row>
    <row r="768" spans="1:24" x14ac:dyDescent="0.3">
      <c r="A768" s="7" t="s">
        <v>98</v>
      </c>
      <c r="B768" t="s">
        <v>99</v>
      </c>
      <c r="C768" t="s">
        <v>163</v>
      </c>
      <c r="D768" t="s">
        <v>164</v>
      </c>
      <c r="E768" s="108">
        <v>1000</v>
      </c>
      <c r="F768">
        <v>0</v>
      </c>
      <c r="G768">
        <v>850</v>
      </c>
      <c r="H768" s="108">
        <v>15430</v>
      </c>
      <c r="I768" s="108">
        <v>15430</v>
      </c>
      <c r="J768" s="150">
        <v>0.58732638888888888</v>
      </c>
      <c r="K768" s="150">
        <v>0.58733796296296303</v>
      </c>
      <c r="L768" t="s">
        <v>165</v>
      </c>
      <c r="N768">
        <v>2510563</v>
      </c>
      <c r="O768">
        <v>2510563</v>
      </c>
      <c r="P768">
        <v>2510334</v>
      </c>
      <c r="Q768">
        <v>150</v>
      </c>
      <c r="R768" t="s">
        <v>166</v>
      </c>
      <c r="S768">
        <v>0</v>
      </c>
      <c r="T768" t="s">
        <v>167</v>
      </c>
      <c r="U768">
        <v>2510334</v>
      </c>
      <c r="W768" t="s">
        <v>168</v>
      </c>
      <c r="X768" t="s">
        <v>166</v>
      </c>
    </row>
    <row r="769" spans="1:24" x14ac:dyDescent="0.3">
      <c r="A769" s="7" t="s">
        <v>67</v>
      </c>
      <c r="B769" t="s">
        <v>68</v>
      </c>
      <c r="C769" t="s">
        <v>163</v>
      </c>
      <c r="D769" t="s">
        <v>164</v>
      </c>
      <c r="E769" s="108">
        <v>1000</v>
      </c>
      <c r="F769">
        <v>0</v>
      </c>
      <c r="G769" s="108">
        <v>1000</v>
      </c>
      <c r="H769" s="108">
        <v>10620</v>
      </c>
      <c r="I769" s="108">
        <v>10620</v>
      </c>
      <c r="J769" s="150">
        <v>0.58756944444444448</v>
      </c>
      <c r="K769" s="150">
        <v>0.58758101851851852</v>
      </c>
      <c r="L769" t="s">
        <v>165</v>
      </c>
      <c r="N769">
        <v>2515614</v>
      </c>
      <c r="O769">
        <v>2515614</v>
      </c>
      <c r="P769">
        <v>2515577</v>
      </c>
      <c r="Q769">
        <v>0</v>
      </c>
      <c r="R769" t="s">
        <v>166</v>
      </c>
      <c r="S769">
        <v>0</v>
      </c>
      <c r="T769" t="s">
        <v>167</v>
      </c>
      <c r="U769">
        <v>2515577</v>
      </c>
      <c r="W769" t="s">
        <v>168</v>
      </c>
      <c r="X769" t="s">
        <v>166</v>
      </c>
    </row>
    <row r="770" spans="1:24" x14ac:dyDescent="0.3">
      <c r="A770" s="7" t="s">
        <v>94</v>
      </c>
      <c r="B770" t="s">
        <v>95</v>
      </c>
      <c r="C770" t="s">
        <v>169</v>
      </c>
      <c r="D770" t="s">
        <v>164</v>
      </c>
      <c r="E770" s="108">
        <v>1000</v>
      </c>
      <c r="F770">
        <v>0</v>
      </c>
      <c r="G770" s="108">
        <v>1000</v>
      </c>
      <c r="H770" s="108">
        <v>8450</v>
      </c>
      <c r="I770" s="108">
        <v>8450</v>
      </c>
      <c r="J770" s="150">
        <v>0.58833333333333326</v>
      </c>
      <c r="K770" s="150">
        <v>0.58834490740740741</v>
      </c>
      <c r="L770" t="s">
        <v>165</v>
      </c>
      <c r="N770">
        <v>2525714</v>
      </c>
      <c r="O770">
        <v>2525714</v>
      </c>
      <c r="P770">
        <v>2525699</v>
      </c>
      <c r="Q770">
        <v>0</v>
      </c>
      <c r="R770" t="s">
        <v>166</v>
      </c>
      <c r="S770">
        <v>0</v>
      </c>
      <c r="T770" t="s">
        <v>167</v>
      </c>
      <c r="U770">
        <v>2525699</v>
      </c>
      <c r="W770" t="s">
        <v>168</v>
      </c>
      <c r="X770" t="s">
        <v>166</v>
      </c>
    </row>
    <row r="771" spans="1:24" x14ac:dyDescent="0.3">
      <c r="A771" s="7" t="s">
        <v>69</v>
      </c>
      <c r="B771" t="s">
        <v>70</v>
      </c>
      <c r="C771" t="s">
        <v>169</v>
      </c>
      <c r="D771" t="s">
        <v>164</v>
      </c>
      <c r="E771" s="108">
        <v>1000</v>
      </c>
      <c r="F771">
        <v>0</v>
      </c>
      <c r="G771">
        <v>17</v>
      </c>
      <c r="H771" s="108">
        <v>19785</v>
      </c>
      <c r="I771" s="108">
        <v>19785</v>
      </c>
      <c r="J771" s="150">
        <v>0.58886574074074072</v>
      </c>
      <c r="K771" s="150">
        <v>0.58887731481481487</v>
      </c>
      <c r="L771" t="s">
        <v>165</v>
      </c>
      <c r="N771">
        <v>2534432</v>
      </c>
      <c r="O771">
        <v>2534432</v>
      </c>
      <c r="P771">
        <v>2534342</v>
      </c>
      <c r="Q771">
        <v>983</v>
      </c>
      <c r="R771" t="s">
        <v>166</v>
      </c>
      <c r="S771">
        <v>0</v>
      </c>
      <c r="T771" t="s">
        <v>167</v>
      </c>
      <c r="U771">
        <v>2534342</v>
      </c>
      <c r="W771" t="s">
        <v>168</v>
      </c>
      <c r="X771" t="s">
        <v>166</v>
      </c>
    </row>
    <row r="772" spans="1:24" x14ac:dyDescent="0.3">
      <c r="A772" s="7" t="s">
        <v>138</v>
      </c>
      <c r="B772" t="s">
        <v>171</v>
      </c>
      <c r="C772" t="s">
        <v>169</v>
      </c>
      <c r="D772" t="s">
        <v>164</v>
      </c>
      <c r="E772" s="108">
        <v>1000</v>
      </c>
      <c r="F772">
        <v>0</v>
      </c>
      <c r="G772">
        <v>229</v>
      </c>
      <c r="H772" s="108">
        <v>9220</v>
      </c>
      <c r="I772" s="108">
        <v>9220</v>
      </c>
      <c r="J772" s="150">
        <v>0.58962962962962961</v>
      </c>
      <c r="K772" s="150">
        <v>0.5896527777777778</v>
      </c>
      <c r="L772" t="s">
        <v>165</v>
      </c>
      <c r="N772">
        <v>2545673</v>
      </c>
      <c r="O772">
        <v>2545673</v>
      </c>
      <c r="P772">
        <v>2545173</v>
      </c>
      <c r="Q772">
        <v>771</v>
      </c>
      <c r="R772" t="s">
        <v>166</v>
      </c>
      <c r="S772">
        <v>0</v>
      </c>
      <c r="T772" t="s">
        <v>167</v>
      </c>
      <c r="U772">
        <v>2545173</v>
      </c>
      <c r="W772" t="s">
        <v>168</v>
      </c>
      <c r="X772" t="s">
        <v>166</v>
      </c>
    </row>
    <row r="773" spans="1:24" x14ac:dyDescent="0.3">
      <c r="A773" s="7" t="s">
        <v>94</v>
      </c>
      <c r="B773" t="s">
        <v>95</v>
      </c>
      <c r="C773" t="s">
        <v>169</v>
      </c>
      <c r="D773" t="s">
        <v>164</v>
      </c>
      <c r="E773" s="108">
        <v>1000</v>
      </c>
      <c r="F773">
        <v>0</v>
      </c>
      <c r="G773">
        <v>980</v>
      </c>
      <c r="H773" s="108">
        <v>8445</v>
      </c>
      <c r="I773" s="108">
        <v>8445</v>
      </c>
      <c r="J773" s="150">
        <v>0.58968750000000003</v>
      </c>
      <c r="K773" s="150">
        <v>0.58968750000000003</v>
      </c>
      <c r="L773" t="s">
        <v>165</v>
      </c>
      <c r="N773">
        <v>2546519</v>
      </c>
      <c r="O773">
        <v>2546519</v>
      </c>
      <c r="P773">
        <v>2545652</v>
      </c>
      <c r="Q773">
        <v>20</v>
      </c>
      <c r="R773" t="s">
        <v>166</v>
      </c>
      <c r="S773">
        <v>0</v>
      </c>
      <c r="T773" t="s">
        <v>167</v>
      </c>
      <c r="U773">
        <v>2545652</v>
      </c>
      <c r="W773" t="s">
        <v>168</v>
      </c>
      <c r="X773" t="s">
        <v>166</v>
      </c>
    </row>
    <row r="774" spans="1:24" x14ac:dyDescent="0.3">
      <c r="A774" s="7" t="s">
        <v>108</v>
      </c>
      <c r="B774" t="s">
        <v>172</v>
      </c>
      <c r="C774" t="s">
        <v>163</v>
      </c>
      <c r="D774" t="s">
        <v>164</v>
      </c>
      <c r="E774">
        <v>500</v>
      </c>
      <c r="F774">
        <v>0</v>
      </c>
      <c r="G774">
        <v>1</v>
      </c>
      <c r="H774" s="108">
        <v>50905</v>
      </c>
      <c r="I774" s="108">
        <v>50905</v>
      </c>
      <c r="J774" s="150">
        <v>0.59</v>
      </c>
      <c r="K774" s="150">
        <v>0.59001157407407401</v>
      </c>
      <c r="L774" t="s">
        <v>165</v>
      </c>
      <c r="N774">
        <v>2550903</v>
      </c>
      <c r="O774">
        <v>2550903</v>
      </c>
      <c r="P774">
        <v>2550896</v>
      </c>
      <c r="Q774">
        <v>499</v>
      </c>
      <c r="R774" t="s">
        <v>166</v>
      </c>
      <c r="S774">
        <v>0</v>
      </c>
      <c r="T774" t="s">
        <v>167</v>
      </c>
      <c r="U774">
        <v>2550896</v>
      </c>
      <c r="W774" t="s">
        <v>168</v>
      </c>
      <c r="X774" t="s">
        <v>166</v>
      </c>
    </row>
    <row r="775" spans="1:24" x14ac:dyDescent="0.3">
      <c r="A775" s="7" t="s">
        <v>65</v>
      </c>
      <c r="B775" t="s">
        <v>66</v>
      </c>
      <c r="C775" t="s">
        <v>169</v>
      </c>
      <c r="D775" t="s">
        <v>164</v>
      </c>
      <c r="E775" s="108">
        <v>1000</v>
      </c>
      <c r="F775">
        <v>0</v>
      </c>
      <c r="G775" s="108">
        <v>1000</v>
      </c>
      <c r="H775" s="108">
        <v>5050</v>
      </c>
      <c r="I775" s="108">
        <v>5050</v>
      </c>
      <c r="J775" s="150">
        <v>0.59027777777777779</v>
      </c>
      <c r="K775" s="150">
        <v>0.59028935185185183</v>
      </c>
      <c r="L775" t="s">
        <v>165</v>
      </c>
      <c r="N775">
        <v>2555385</v>
      </c>
      <c r="O775">
        <v>2555385</v>
      </c>
      <c r="P775">
        <v>2554723</v>
      </c>
      <c r="Q775">
        <v>0</v>
      </c>
      <c r="R775" t="s">
        <v>166</v>
      </c>
      <c r="S775">
        <v>0</v>
      </c>
      <c r="T775" t="s">
        <v>167</v>
      </c>
      <c r="U775">
        <v>2554723</v>
      </c>
      <c r="W775" t="s">
        <v>168</v>
      </c>
      <c r="X775" t="s">
        <v>166</v>
      </c>
    </row>
    <row r="776" spans="1:24" x14ac:dyDescent="0.3">
      <c r="A776" s="7" t="s">
        <v>67</v>
      </c>
      <c r="B776" t="s">
        <v>68</v>
      </c>
      <c r="C776" t="s">
        <v>163</v>
      </c>
      <c r="D776" t="s">
        <v>164</v>
      </c>
      <c r="E776" s="108">
        <v>1000</v>
      </c>
      <c r="F776">
        <v>0</v>
      </c>
      <c r="G776">
        <v>991</v>
      </c>
      <c r="H776" s="108">
        <v>10615</v>
      </c>
      <c r="I776" s="108">
        <v>10615</v>
      </c>
      <c r="J776" s="150">
        <v>0.59040509259259266</v>
      </c>
      <c r="K776" s="150">
        <v>0.5904166666666667</v>
      </c>
      <c r="L776" t="s">
        <v>165</v>
      </c>
      <c r="N776">
        <v>2557923</v>
      </c>
      <c r="O776">
        <v>2557923</v>
      </c>
      <c r="P776">
        <v>2557895</v>
      </c>
      <c r="Q776">
        <v>9</v>
      </c>
      <c r="R776" t="s">
        <v>166</v>
      </c>
      <c r="S776">
        <v>0</v>
      </c>
      <c r="T776" t="s">
        <v>167</v>
      </c>
      <c r="U776">
        <v>2557895</v>
      </c>
      <c r="W776" t="s">
        <v>168</v>
      </c>
      <c r="X776" t="s">
        <v>166</v>
      </c>
    </row>
    <row r="777" spans="1:24" x14ac:dyDescent="0.3">
      <c r="A777" s="7" t="s">
        <v>94</v>
      </c>
      <c r="B777" t="s">
        <v>95</v>
      </c>
      <c r="C777" t="s">
        <v>169</v>
      </c>
      <c r="D777" t="s">
        <v>164</v>
      </c>
      <c r="E777" s="108">
        <v>1000</v>
      </c>
      <c r="F777">
        <v>0</v>
      </c>
      <c r="G777" s="108">
        <v>1000</v>
      </c>
      <c r="H777" s="108">
        <v>8445</v>
      </c>
      <c r="I777" s="108">
        <v>8445</v>
      </c>
      <c r="J777" s="150">
        <v>0.59043981481481478</v>
      </c>
      <c r="K777" s="150">
        <v>0.59043981481481478</v>
      </c>
      <c r="L777" t="s">
        <v>165</v>
      </c>
      <c r="N777">
        <v>2558747</v>
      </c>
      <c r="O777">
        <v>2558747</v>
      </c>
      <c r="P777">
        <v>2558618</v>
      </c>
      <c r="Q777">
        <v>0</v>
      </c>
      <c r="R777" t="s">
        <v>166</v>
      </c>
      <c r="S777">
        <v>0</v>
      </c>
      <c r="T777" t="s">
        <v>167</v>
      </c>
      <c r="U777">
        <v>2558618</v>
      </c>
      <c r="W777" t="s">
        <v>168</v>
      </c>
      <c r="X777" t="s">
        <v>166</v>
      </c>
    </row>
    <row r="778" spans="1:24" x14ac:dyDescent="0.3">
      <c r="A778" s="7" t="s">
        <v>71</v>
      </c>
      <c r="B778" t="s">
        <v>72</v>
      </c>
      <c r="C778" t="s">
        <v>169</v>
      </c>
      <c r="D778" t="s">
        <v>164</v>
      </c>
      <c r="E778" s="108">
        <v>1000</v>
      </c>
      <c r="F778">
        <v>0</v>
      </c>
      <c r="G778">
        <v>992</v>
      </c>
      <c r="H778" s="108">
        <v>18940</v>
      </c>
      <c r="I778" s="108">
        <v>18940</v>
      </c>
      <c r="J778" s="150">
        <v>0.59065972222222218</v>
      </c>
      <c r="K778" s="150">
        <v>0.5907175925925926</v>
      </c>
      <c r="L778" t="s">
        <v>165</v>
      </c>
      <c r="N778">
        <v>2562107</v>
      </c>
      <c r="O778">
        <v>2562107</v>
      </c>
      <c r="P778">
        <v>2562075</v>
      </c>
      <c r="Q778">
        <v>8</v>
      </c>
      <c r="R778" t="s">
        <v>166</v>
      </c>
      <c r="S778">
        <v>0</v>
      </c>
      <c r="T778" t="s">
        <v>167</v>
      </c>
      <c r="U778">
        <v>2562075</v>
      </c>
      <c r="W778" t="s">
        <v>168</v>
      </c>
      <c r="X778" t="s">
        <v>166</v>
      </c>
    </row>
    <row r="779" spans="1:24" x14ac:dyDescent="0.3">
      <c r="A779" s="7" t="s">
        <v>98</v>
      </c>
      <c r="B779" t="s">
        <v>99</v>
      </c>
      <c r="C779" t="s">
        <v>163</v>
      </c>
      <c r="D779" t="s">
        <v>164</v>
      </c>
      <c r="E779" s="108">
        <v>1000</v>
      </c>
      <c r="F779">
        <v>0</v>
      </c>
      <c r="G779">
        <v>1</v>
      </c>
      <c r="H779" s="108">
        <v>15425</v>
      </c>
      <c r="I779" s="108">
        <v>15425</v>
      </c>
      <c r="J779" s="150">
        <v>0.59089120370370374</v>
      </c>
      <c r="K779" s="150">
        <v>0.59090277777777778</v>
      </c>
      <c r="L779" t="s">
        <v>165</v>
      </c>
      <c r="N779">
        <v>2566439</v>
      </c>
      <c r="O779">
        <v>2566439</v>
      </c>
      <c r="P779">
        <v>2565362</v>
      </c>
      <c r="Q779">
        <v>999</v>
      </c>
      <c r="R779" t="s">
        <v>166</v>
      </c>
      <c r="S779">
        <v>0</v>
      </c>
      <c r="T779" t="s">
        <v>167</v>
      </c>
      <c r="U779">
        <v>2565362</v>
      </c>
      <c r="W779" t="s">
        <v>168</v>
      </c>
      <c r="X779" t="s">
        <v>166</v>
      </c>
    </row>
    <row r="780" spans="1:24" x14ac:dyDescent="0.3">
      <c r="A780" s="7" t="s">
        <v>79</v>
      </c>
      <c r="B780" t="s">
        <v>80</v>
      </c>
      <c r="C780" t="s">
        <v>169</v>
      </c>
      <c r="D780" t="s">
        <v>164</v>
      </c>
      <c r="E780" s="108">
        <v>1000</v>
      </c>
      <c r="F780">
        <v>0</v>
      </c>
      <c r="G780">
        <v>10</v>
      </c>
      <c r="H780" s="108">
        <v>38145</v>
      </c>
      <c r="I780" s="108">
        <v>38145</v>
      </c>
      <c r="J780" s="150">
        <v>0.59143518518518523</v>
      </c>
      <c r="K780" s="150">
        <v>0.59143518518518523</v>
      </c>
      <c r="L780" t="s">
        <v>165</v>
      </c>
      <c r="N780">
        <v>2576517</v>
      </c>
      <c r="O780">
        <v>2576517</v>
      </c>
      <c r="P780">
        <v>2576446</v>
      </c>
      <c r="Q780">
        <v>990</v>
      </c>
      <c r="R780" t="s">
        <v>166</v>
      </c>
      <c r="S780">
        <v>0</v>
      </c>
      <c r="T780" t="s">
        <v>167</v>
      </c>
      <c r="U780">
        <v>2576446</v>
      </c>
      <c r="W780" t="s">
        <v>168</v>
      </c>
      <c r="X780" t="s">
        <v>166</v>
      </c>
    </row>
    <row r="781" spans="1:24" x14ac:dyDescent="0.3">
      <c r="A781" s="7" t="s">
        <v>77</v>
      </c>
      <c r="B781" t="s">
        <v>78</v>
      </c>
      <c r="C781" t="s">
        <v>169</v>
      </c>
      <c r="D781" t="s">
        <v>164</v>
      </c>
      <c r="E781" s="108">
        <v>1000</v>
      </c>
      <c r="F781">
        <v>0</v>
      </c>
      <c r="G781" s="108">
        <v>1000</v>
      </c>
      <c r="H781" s="108">
        <v>17925</v>
      </c>
      <c r="I781" s="108">
        <v>17925</v>
      </c>
      <c r="J781" s="150">
        <v>0.59172453703703709</v>
      </c>
      <c r="K781" s="150">
        <v>0.59173611111111113</v>
      </c>
      <c r="L781" t="s">
        <v>165</v>
      </c>
      <c r="N781">
        <v>2581171</v>
      </c>
      <c r="O781">
        <v>2581171</v>
      </c>
      <c r="P781">
        <v>2581038</v>
      </c>
      <c r="Q781">
        <v>0</v>
      </c>
      <c r="R781" t="s">
        <v>166</v>
      </c>
      <c r="S781">
        <v>0</v>
      </c>
      <c r="T781" t="s">
        <v>167</v>
      </c>
      <c r="U781">
        <v>2581038</v>
      </c>
      <c r="W781" t="s">
        <v>168</v>
      </c>
      <c r="X781" t="s">
        <v>166</v>
      </c>
    </row>
    <row r="782" spans="1:24" x14ac:dyDescent="0.3">
      <c r="A782" s="7" t="s">
        <v>94</v>
      </c>
      <c r="B782" t="s">
        <v>95</v>
      </c>
      <c r="C782" t="s">
        <v>169</v>
      </c>
      <c r="D782" t="s">
        <v>164</v>
      </c>
      <c r="E782" s="108">
        <v>1000</v>
      </c>
      <c r="F782">
        <v>0</v>
      </c>
      <c r="G782" s="108">
        <v>1000</v>
      </c>
      <c r="H782" s="108">
        <v>8435</v>
      </c>
      <c r="I782" s="108">
        <v>8435</v>
      </c>
      <c r="J782" s="150">
        <v>0.5917824074074074</v>
      </c>
      <c r="K782" s="150">
        <v>0.5917824074074074</v>
      </c>
      <c r="L782" t="s">
        <v>165</v>
      </c>
      <c r="N782">
        <v>2581897</v>
      </c>
      <c r="O782">
        <v>2581897</v>
      </c>
      <c r="P782">
        <v>2581845</v>
      </c>
      <c r="Q782">
        <v>0</v>
      </c>
      <c r="R782" t="s">
        <v>166</v>
      </c>
      <c r="S782">
        <v>0</v>
      </c>
      <c r="T782" t="s">
        <v>167</v>
      </c>
      <c r="U782">
        <v>2581845</v>
      </c>
      <c r="W782" t="s">
        <v>168</v>
      </c>
      <c r="X782" t="s">
        <v>166</v>
      </c>
    </row>
    <row r="783" spans="1:24" x14ac:dyDescent="0.3">
      <c r="A783" s="7" t="s">
        <v>98</v>
      </c>
      <c r="B783" t="s">
        <v>99</v>
      </c>
      <c r="C783" t="s">
        <v>163</v>
      </c>
      <c r="D783" t="s">
        <v>164</v>
      </c>
      <c r="E783" s="108">
        <v>1000</v>
      </c>
      <c r="F783">
        <v>0</v>
      </c>
      <c r="G783">
        <v>27</v>
      </c>
      <c r="H783" s="108">
        <v>15420</v>
      </c>
      <c r="I783" s="108">
        <v>15420</v>
      </c>
      <c r="J783" s="150">
        <v>0.59248842592592588</v>
      </c>
      <c r="K783" s="150">
        <v>0.59250000000000003</v>
      </c>
      <c r="L783" t="s">
        <v>165</v>
      </c>
      <c r="N783">
        <v>2593796</v>
      </c>
      <c r="O783">
        <v>2593796</v>
      </c>
      <c r="P783">
        <v>2593530</v>
      </c>
      <c r="Q783">
        <v>973</v>
      </c>
      <c r="R783" t="s">
        <v>166</v>
      </c>
      <c r="S783">
        <v>0</v>
      </c>
      <c r="T783" t="s">
        <v>167</v>
      </c>
      <c r="U783">
        <v>2593530</v>
      </c>
      <c r="W783" t="s">
        <v>168</v>
      </c>
      <c r="X783" t="s">
        <v>166</v>
      </c>
    </row>
    <row r="784" spans="1:24" x14ac:dyDescent="0.3">
      <c r="A784" s="7" t="s">
        <v>94</v>
      </c>
      <c r="B784" t="s">
        <v>95</v>
      </c>
      <c r="C784" t="s">
        <v>169</v>
      </c>
      <c r="D784" t="s">
        <v>164</v>
      </c>
      <c r="E784" s="108">
        <v>1000</v>
      </c>
      <c r="F784">
        <v>0</v>
      </c>
      <c r="G784" s="108">
        <v>1000</v>
      </c>
      <c r="H784" s="108">
        <v>8435</v>
      </c>
      <c r="I784" s="108">
        <v>8435</v>
      </c>
      <c r="J784" s="150">
        <v>0.59312500000000001</v>
      </c>
      <c r="K784" s="150">
        <v>0.59313657407407405</v>
      </c>
      <c r="L784" t="s">
        <v>165</v>
      </c>
      <c r="N784">
        <v>2605554</v>
      </c>
      <c r="O784">
        <v>2605554</v>
      </c>
      <c r="P784">
        <v>2605542</v>
      </c>
      <c r="Q784">
        <v>0</v>
      </c>
      <c r="R784" t="s">
        <v>166</v>
      </c>
      <c r="S784">
        <v>0</v>
      </c>
      <c r="T784" t="s">
        <v>167</v>
      </c>
      <c r="U784">
        <v>2605542</v>
      </c>
      <c r="W784" t="s">
        <v>168</v>
      </c>
      <c r="X784" t="s">
        <v>166</v>
      </c>
    </row>
    <row r="785" spans="1:24" x14ac:dyDescent="0.3">
      <c r="A785" s="7" t="s">
        <v>71</v>
      </c>
      <c r="B785" t="s">
        <v>72</v>
      </c>
      <c r="C785" t="s">
        <v>169</v>
      </c>
      <c r="D785" t="s">
        <v>164</v>
      </c>
      <c r="E785" s="108">
        <v>1000</v>
      </c>
      <c r="F785">
        <v>0</v>
      </c>
      <c r="G785">
        <v>19</v>
      </c>
      <c r="H785" s="108">
        <v>18955</v>
      </c>
      <c r="I785" s="108">
        <v>18955</v>
      </c>
      <c r="J785" s="150">
        <v>0.59377314814814819</v>
      </c>
      <c r="K785" s="150">
        <v>0.59380787037037031</v>
      </c>
      <c r="L785" t="s">
        <v>165</v>
      </c>
      <c r="N785">
        <v>2616192</v>
      </c>
      <c r="O785">
        <v>2616192</v>
      </c>
      <c r="P785">
        <v>2616179</v>
      </c>
      <c r="Q785">
        <v>981</v>
      </c>
      <c r="R785" t="s">
        <v>166</v>
      </c>
      <c r="S785">
        <v>0</v>
      </c>
      <c r="T785" t="s">
        <v>167</v>
      </c>
      <c r="U785">
        <v>2616179</v>
      </c>
      <c r="W785" t="s">
        <v>168</v>
      </c>
      <c r="X785" t="s">
        <v>166</v>
      </c>
    </row>
    <row r="786" spans="1:24" x14ac:dyDescent="0.3">
      <c r="A786" s="7" t="s">
        <v>94</v>
      </c>
      <c r="B786" t="s">
        <v>95</v>
      </c>
      <c r="C786" t="s">
        <v>169</v>
      </c>
      <c r="D786" t="s">
        <v>164</v>
      </c>
      <c r="E786" s="108">
        <v>1000</v>
      </c>
      <c r="F786">
        <v>0</v>
      </c>
      <c r="G786" s="108">
        <v>1000</v>
      </c>
      <c r="H786" s="108">
        <v>8435</v>
      </c>
      <c r="I786" s="108">
        <v>8435</v>
      </c>
      <c r="J786" s="150">
        <v>0.59384259259259264</v>
      </c>
      <c r="K786" s="150">
        <v>0.59385416666666668</v>
      </c>
      <c r="L786" t="s">
        <v>165</v>
      </c>
      <c r="N786">
        <v>2617271</v>
      </c>
      <c r="O786">
        <v>2617271</v>
      </c>
      <c r="P786">
        <v>2617232</v>
      </c>
      <c r="Q786">
        <v>0</v>
      </c>
      <c r="R786" t="s">
        <v>166</v>
      </c>
      <c r="S786">
        <v>0</v>
      </c>
      <c r="T786" t="s">
        <v>167</v>
      </c>
      <c r="U786">
        <v>2617232</v>
      </c>
      <c r="W786" t="s">
        <v>168</v>
      </c>
      <c r="X786" t="s">
        <v>166</v>
      </c>
    </row>
    <row r="787" spans="1:24" x14ac:dyDescent="0.3">
      <c r="A787" s="7" t="s">
        <v>98</v>
      </c>
      <c r="B787" t="s">
        <v>99</v>
      </c>
      <c r="C787" t="s">
        <v>163</v>
      </c>
      <c r="D787" t="s">
        <v>164</v>
      </c>
      <c r="E787" s="108">
        <v>1000</v>
      </c>
      <c r="F787">
        <v>0</v>
      </c>
      <c r="G787">
        <v>159</v>
      </c>
      <c r="H787" s="108">
        <v>15420</v>
      </c>
      <c r="I787" s="108">
        <v>15420</v>
      </c>
      <c r="J787" s="150">
        <v>0.59384259259259264</v>
      </c>
      <c r="K787" s="150">
        <v>0.59385416666666668</v>
      </c>
      <c r="L787" t="s">
        <v>165</v>
      </c>
      <c r="N787">
        <v>2617309</v>
      </c>
      <c r="O787">
        <v>2617309</v>
      </c>
      <c r="P787">
        <v>2617113</v>
      </c>
      <c r="Q787">
        <v>841</v>
      </c>
      <c r="R787" t="s">
        <v>166</v>
      </c>
      <c r="S787">
        <v>0</v>
      </c>
      <c r="T787" t="s">
        <v>167</v>
      </c>
      <c r="U787">
        <v>2617113</v>
      </c>
      <c r="W787" t="s">
        <v>168</v>
      </c>
      <c r="X787" t="s">
        <v>166</v>
      </c>
    </row>
    <row r="788" spans="1:24" x14ac:dyDescent="0.3">
      <c r="A788" s="7" t="s">
        <v>77</v>
      </c>
      <c r="B788" t="s">
        <v>78</v>
      </c>
      <c r="C788" t="s">
        <v>169</v>
      </c>
      <c r="D788" t="s">
        <v>164</v>
      </c>
      <c r="E788" s="108">
        <v>1000</v>
      </c>
      <c r="F788">
        <v>0</v>
      </c>
      <c r="G788" s="108">
        <v>1000</v>
      </c>
      <c r="H788" s="108">
        <v>17905</v>
      </c>
      <c r="I788" s="108">
        <v>17905</v>
      </c>
      <c r="J788" s="150">
        <v>0.59388888888888891</v>
      </c>
      <c r="K788" s="150">
        <v>0.59390046296296295</v>
      </c>
      <c r="L788" t="s">
        <v>165</v>
      </c>
      <c r="N788">
        <v>2618308</v>
      </c>
      <c r="O788">
        <v>2618308</v>
      </c>
      <c r="P788">
        <v>2618253</v>
      </c>
      <c r="Q788">
        <v>0</v>
      </c>
      <c r="R788" t="s">
        <v>166</v>
      </c>
      <c r="S788">
        <v>0</v>
      </c>
      <c r="T788" t="s">
        <v>167</v>
      </c>
      <c r="U788">
        <v>2618253</v>
      </c>
      <c r="W788" t="s">
        <v>168</v>
      </c>
      <c r="X788" t="s">
        <v>166</v>
      </c>
    </row>
    <row r="789" spans="1:24" x14ac:dyDescent="0.3">
      <c r="A789" s="7" t="s">
        <v>79</v>
      </c>
      <c r="B789" t="s">
        <v>80</v>
      </c>
      <c r="C789" t="s">
        <v>169</v>
      </c>
      <c r="D789" t="s">
        <v>164</v>
      </c>
      <c r="E789" s="108">
        <v>1000</v>
      </c>
      <c r="F789">
        <v>0</v>
      </c>
      <c r="G789">
        <v>449</v>
      </c>
      <c r="H789" s="108">
        <v>38140</v>
      </c>
      <c r="I789" s="108">
        <v>38140</v>
      </c>
      <c r="J789" s="150">
        <v>0.59415509259259258</v>
      </c>
      <c r="K789" s="150">
        <v>0.59415509259259258</v>
      </c>
      <c r="L789" t="s">
        <v>165</v>
      </c>
      <c r="N789">
        <v>2622465</v>
      </c>
      <c r="O789">
        <v>2622465</v>
      </c>
      <c r="P789">
        <v>2622440</v>
      </c>
      <c r="Q789">
        <v>551</v>
      </c>
      <c r="R789" t="s">
        <v>166</v>
      </c>
      <c r="S789">
        <v>0</v>
      </c>
      <c r="T789" t="s">
        <v>167</v>
      </c>
      <c r="U789">
        <v>2622440</v>
      </c>
      <c r="W789" t="s">
        <v>168</v>
      </c>
      <c r="X789" t="s">
        <v>166</v>
      </c>
    </row>
    <row r="790" spans="1:24" x14ac:dyDescent="0.3">
      <c r="A790" s="7" t="s">
        <v>65</v>
      </c>
      <c r="B790" t="s">
        <v>66</v>
      </c>
      <c r="C790" t="s">
        <v>169</v>
      </c>
      <c r="D790" t="s">
        <v>164</v>
      </c>
      <c r="E790" s="108">
        <v>1000</v>
      </c>
      <c r="F790">
        <v>0</v>
      </c>
      <c r="G790" s="108">
        <v>1000</v>
      </c>
      <c r="H790" s="108">
        <v>5045</v>
      </c>
      <c r="I790" s="108">
        <v>5045</v>
      </c>
      <c r="J790" s="150">
        <v>0.594212962962963</v>
      </c>
      <c r="K790" s="150">
        <v>0.594212962962963</v>
      </c>
      <c r="L790" t="s">
        <v>165</v>
      </c>
      <c r="N790">
        <v>2623265</v>
      </c>
      <c r="O790">
        <v>2623265</v>
      </c>
      <c r="P790">
        <v>2622155</v>
      </c>
      <c r="Q790">
        <v>0</v>
      </c>
      <c r="R790" t="s">
        <v>166</v>
      </c>
      <c r="S790">
        <v>0</v>
      </c>
      <c r="T790" t="s">
        <v>167</v>
      </c>
      <c r="U790">
        <v>2622155</v>
      </c>
      <c r="W790" t="s">
        <v>168</v>
      </c>
      <c r="X790" t="s">
        <v>166</v>
      </c>
    </row>
    <row r="791" spans="1:24" x14ac:dyDescent="0.3">
      <c r="A791" s="7" t="s">
        <v>77</v>
      </c>
      <c r="B791" t="s">
        <v>78</v>
      </c>
      <c r="C791" t="s">
        <v>163</v>
      </c>
      <c r="D791" t="s">
        <v>170</v>
      </c>
      <c r="E791" s="108">
        <v>5000</v>
      </c>
      <c r="F791">
        <v>0</v>
      </c>
      <c r="G791" s="108">
        <v>5000</v>
      </c>
      <c r="H791" s="108">
        <v>17875</v>
      </c>
      <c r="I791" s="108">
        <v>17875</v>
      </c>
      <c r="J791" s="150">
        <v>0.59840277777777773</v>
      </c>
      <c r="K791" s="150">
        <v>0.59961805555555558</v>
      </c>
      <c r="L791" t="s">
        <v>165</v>
      </c>
      <c r="N791">
        <v>2646803</v>
      </c>
      <c r="O791">
        <v>2646803</v>
      </c>
      <c r="P791">
        <v>0</v>
      </c>
      <c r="Q791">
        <v>0</v>
      </c>
      <c r="R791" t="s">
        <v>166</v>
      </c>
      <c r="S791">
        <v>0</v>
      </c>
      <c r="T791" t="s">
        <v>167</v>
      </c>
      <c r="U791">
        <v>0</v>
      </c>
      <c r="W791" t="s">
        <v>166</v>
      </c>
      <c r="X791" t="s">
        <v>166</v>
      </c>
    </row>
    <row r="792" spans="1:24" x14ac:dyDescent="0.3">
      <c r="A792" s="7" t="s">
        <v>69</v>
      </c>
      <c r="B792" t="s">
        <v>70</v>
      </c>
      <c r="C792" t="s">
        <v>163</v>
      </c>
      <c r="D792" t="s">
        <v>170</v>
      </c>
      <c r="E792" s="108">
        <v>6963</v>
      </c>
      <c r="F792">
        <v>0</v>
      </c>
      <c r="G792" s="108">
        <v>6963</v>
      </c>
      <c r="H792" s="108">
        <v>19625</v>
      </c>
      <c r="I792" s="108">
        <v>19625</v>
      </c>
      <c r="J792" s="150">
        <v>0.59857638888888887</v>
      </c>
      <c r="K792" s="150">
        <v>0.59895833333333337</v>
      </c>
      <c r="L792" t="s">
        <v>165</v>
      </c>
      <c r="N792">
        <v>2647690</v>
      </c>
      <c r="O792">
        <v>2647690</v>
      </c>
      <c r="P792">
        <v>0</v>
      </c>
      <c r="Q792">
        <v>0</v>
      </c>
      <c r="R792" t="s">
        <v>166</v>
      </c>
      <c r="S792">
        <v>0</v>
      </c>
      <c r="T792" t="s">
        <v>167</v>
      </c>
      <c r="U792">
        <v>0</v>
      </c>
      <c r="W792" t="s">
        <v>166</v>
      </c>
      <c r="X792" t="s">
        <v>166</v>
      </c>
    </row>
    <row r="793" spans="1:24" x14ac:dyDescent="0.3">
      <c r="A793" s="7" t="s">
        <v>79</v>
      </c>
      <c r="B793" t="s">
        <v>80</v>
      </c>
      <c r="C793" t="s">
        <v>163</v>
      </c>
      <c r="D793" t="s">
        <v>170</v>
      </c>
      <c r="E793" s="108">
        <v>6628</v>
      </c>
      <c r="F793">
        <v>0</v>
      </c>
      <c r="G793" s="108">
        <v>6628</v>
      </c>
      <c r="H793" s="108">
        <v>38085</v>
      </c>
      <c r="I793" s="108">
        <v>38085</v>
      </c>
      <c r="J793" s="150">
        <v>0.59871527777777778</v>
      </c>
      <c r="K793" s="150">
        <v>0.59885416666666669</v>
      </c>
      <c r="L793" t="s">
        <v>165</v>
      </c>
      <c r="N793">
        <v>2648442</v>
      </c>
      <c r="O793">
        <v>2648442</v>
      </c>
      <c r="P793">
        <v>0</v>
      </c>
      <c r="Q793">
        <v>0</v>
      </c>
      <c r="R793" t="s">
        <v>166</v>
      </c>
      <c r="S793">
        <v>0</v>
      </c>
      <c r="T793" t="s">
        <v>167</v>
      </c>
      <c r="U793">
        <v>0</v>
      </c>
      <c r="W793" t="s">
        <v>166</v>
      </c>
      <c r="X793" t="s">
        <v>166</v>
      </c>
    </row>
    <row r="794" spans="1:24" x14ac:dyDescent="0.3">
      <c r="A794" s="7" t="s">
        <v>63</v>
      </c>
      <c r="B794" t="s">
        <v>64</v>
      </c>
      <c r="C794" t="s">
        <v>163</v>
      </c>
      <c r="D794" t="s">
        <v>170</v>
      </c>
      <c r="E794" s="108">
        <v>50711</v>
      </c>
      <c r="F794">
        <v>0</v>
      </c>
      <c r="G794" s="108">
        <v>50711</v>
      </c>
      <c r="H794" s="108">
        <v>4720</v>
      </c>
      <c r="I794" s="108">
        <v>4720</v>
      </c>
      <c r="J794" s="150">
        <v>0.59900462962962964</v>
      </c>
      <c r="K794" s="150">
        <v>0.59964120370370366</v>
      </c>
      <c r="L794" t="s">
        <v>165</v>
      </c>
      <c r="N794">
        <v>2650054</v>
      </c>
      <c r="O794">
        <v>2650054</v>
      </c>
      <c r="P794">
        <v>0</v>
      </c>
      <c r="Q794">
        <v>0</v>
      </c>
      <c r="R794" t="s">
        <v>166</v>
      </c>
      <c r="S794">
        <v>0</v>
      </c>
      <c r="T794" t="s">
        <v>167</v>
      </c>
      <c r="U794">
        <v>0</v>
      </c>
      <c r="W794" t="s">
        <v>166</v>
      </c>
      <c r="X794" t="s">
        <v>166</v>
      </c>
    </row>
    <row r="795" spans="1:24" x14ac:dyDescent="0.3">
      <c r="A795" s="7" t="s">
        <v>67</v>
      </c>
      <c r="B795" t="s">
        <v>68</v>
      </c>
      <c r="C795" t="s">
        <v>163</v>
      </c>
      <c r="D795" t="s">
        <v>170</v>
      </c>
      <c r="E795" s="108">
        <v>5000</v>
      </c>
      <c r="F795">
        <v>0</v>
      </c>
      <c r="G795" s="108">
        <v>5000</v>
      </c>
      <c r="H795" s="108">
        <v>10590</v>
      </c>
      <c r="I795" s="108">
        <v>10590</v>
      </c>
      <c r="J795" s="150">
        <v>0.59939814814814818</v>
      </c>
      <c r="K795" s="150">
        <v>0.60065972222222219</v>
      </c>
      <c r="L795" t="s">
        <v>165</v>
      </c>
      <c r="N795">
        <v>2652003</v>
      </c>
      <c r="O795">
        <v>2652003</v>
      </c>
      <c r="P795">
        <v>0</v>
      </c>
      <c r="Q795">
        <v>0</v>
      </c>
      <c r="R795" t="s">
        <v>166</v>
      </c>
      <c r="S795">
        <v>0</v>
      </c>
      <c r="T795" t="s">
        <v>167</v>
      </c>
      <c r="U795">
        <v>0</v>
      </c>
      <c r="W795" t="s">
        <v>166</v>
      </c>
      <c r="X795" t="s">
        <v>166</v>
      </c>
    </row>
    <row r="796" spans="1:24" x14ac:dyDescent="0.3">
      <c r="A796" s="7" t="s">
        <v>65</v>
      </c>
      <c r="B796" t="s">
        <v>66</v>
      </c>
      <c r="C796" t="s">
        <v>163</v>
      </c>
      <c r="D796" t="s">
        <v>170</v>
      </c>
      <c r="E796" s="108">
        <v>5000</v>
      </c>
      <c r="F796">
        <v>0</v>
      </c>
      <c r="G796" s="108">
        <v>5000</v>
      </c>
      <c r="H796" s="108">
        <v>5030</v>
      </c>
      <c r="I796" s="108">
        <v>5030</v>
      </c>
      <c r="J796" s="150">
        <v>0.5995138888888889</v>
      </c>
      <c r="K796" s="150">
        <v>0.5995949074074074</v>
      </c>
      <c r="L796" t="s">
        <v>165</v>
      </c>
      <c r="N796">
        <v>2652569</v>
      </c>
      <c r="O796">
        <v>2652569</v>
      </c>
      <c r="P796">
        <v>0</v>
      </c>
      <c r="Q796">
        <v>0</v>
      </c>
      <c r="R796" t="s">
        <v>166</v>
      </c>
      <c r="S796">
        <v>0</v>
      </c>
      <c r="T796" t="s">
        <v>167</v>
      </c>
      <c r="U796">
        <v>0</v>
      </c>
      <c r="W796" t="s">
        <v>166</v>
      </c>
      <c r="X796" t="s">
        <v>166</v>
      </c>
    </row>
    <row r="797" spans="1:24" x14ac:dyDescent="0.3">
      <c r="A797" s="7" t="s">
        <v>65</v>
      </c>
      <c r="B797" t="s">
        <v>66</v>
      </c>
      <c r="C797" t="s">
        <v>163</v>
      </c>
      <c r="D797" t="s">
        <v>170</v>
      </c>
      <c r="E797" s="108">
        <v>5000</v>
      </c>
      <c r="F797">
        <v>0</v>
      </c>
      <c r="G797" s="108">
        <v>5000</v>
      </c>
      <c r="H797" s="108">
        <v>5025</v>
      </c>
      <c r="I797" s="108">
        <v>5025</v>
      </c>
      <c r="J797" s="150">
        <v>0.59956018518518517</v>
      </c>
      <c r="K797" s="150">
        <v>0.59956018518518517</v>
      </c>
      <c r="L797" t="s">
        <v>165</v>
      </c>
      <c r="N797">
        <v>2652803</v>
      </c>
      <c r="O797">
        <v>2652803</v>
      </c>
      <c r="P797">
        <v>0</v>
      </c>
      <c r="Q797">
        <v>0</v>
      </c>
      <c r="R797" t="s">
        <v>166</v>
      </c>
      <c r="S797">
        <v>0</v>
      </c>
      <c r="T797" t="s">
        <v>167</v>
      </c>
      <c r="U797">
        <v>0</v>
      </c>
      <c r="W797" t="s">
        <v>166</v>
      </c>
      <c r="X797" t="s">
        <v>166</v>
      </c>
    </row>
    <row r="798" spans="1:24" x14ac:dyDescent="0.3">
      <c r="A798" s="7" t="s">
        <v>63</v>
      </c>
      <c r="B798" t="s">
        <v>64</v>
      </c>
      <c r="C798" t="s">
        <v>169</v>
      </c>
      <c r="D798" t="s">
        <v>170</v>
      </c>
      <c r="E798" s="108">
        <v>50711</v>
      </c>
      <c r="F798">
        <v>0</v>
      </c>
      <c r="G798" s="108">
        <v>50711</v>
      </c>
      <c r="H798" s="108">
        <v>4720</v>
      </c>
      <c r="I798" s="108">
        <v>4720</v>
      </c>
      <c r="J798" s="150">
        <v>0.60020833333333334</v>
      </c>
      <c r="K798" s="150">
        <v>0.60229166666666667</v>
      </c>
      <c r="L798" t="s">
        <v>165</v>
      </c>
      <c r="N798">
        <v>2656288</v>
      </c>
      <c r="O798">
        <v>2656288</v>
      </c>
      <c r="P798">
        <v>0</v>
      </c>
      <c r="Q798">
        <v>0</v>
      </c>
      <c r="R798" t="s">
        <v>166</v>
      </c>
      <c r="S798">
        <v>0</v>
      </c>
      <c r="T798" t="s">
        <v>167</v>
      </c>
      <c r="U798">
        <v>0</v>
      </c>
      <c r="W798" t="s">
        <v>166</v>
      </c>
      <c r="X798" t="s">
        <v>166</v>
      </c>
    </row>
    <row r="799" spans="1:24" x14ac:dyDescent="0.3">
      <c r="A799" s="7" t="s">
        <v>63</v>
      </c>
      <c r="B799" t="s">
        <v>64</v>
      </c>
      <c r="C799" t="s">
        <v>169</v>
      </c>
      <c r="D799" t="s">
        <v>170</v>
      </c>
      <c r="E799" s="108">
        <v>50711</v>
      </c>
      <c r="F799">
        <v>0</v>
      </c>
      <c r="G799" s="108">
        <v>7127</v>
      </c>
      <c r="H799" s="108">
        <v>4715</v>
      </c>
      <c r="I799" s="108">
        <v>4715</v>
      </c>
      <c r="J799" s="150">
        <v>0.60021990740740738</v>
      </c>
      <c r="K799" s="150">
        <v>0.6051157407407407</v>
      </c>
      <c r="L799" t="s">
        <v>165</v>
      </c>
      <c r="N799">
        <v>2656336</v>
      </c>
      <c r="O799">
        <v>2656336</v>
      </c>
      <c r="P799">
        <v>0</v>
      </c>
      <c r="Q799" s="108">
        <v>43584</v>
      </c>
      <c r="R799" t="s">
        <v>166</v>
      </c>
      <c r="S799">
        <v>0</v>
      </c>
      <c r="T799" t="s">
        <v>167</v>
      </c>
      <c r="U799">
        <v>0</v>
      </c>
      <c r="W799" t="s">
        <v>166</v>
      </c>
      <c r="X799" t="s">
        <v>166</v>
      </c>
    </row>
    <row r="800" spans="1:24" x14ac:dyDescent="0.3">
      <c r="A800" s="7" t="s">
        <v>71</v>
      </c>
      <c r="B800" t="s">
        <v>72</v>
      </c>
      <c r="C800" t="s">
        <v>163</v>
      </c>
      <c r="D800" t="s">
        <v>170</v>
      </c>
      <c r="E800" s="108">
        <v>5000</v>
      </c>
      <c r="F800">
        <v>0</v>
      </c>
      <c r="G800" s="108">
        <v>5000</v>
      </c>
      <c r="H800" s="108">
        <v>18925</v>
      </c>
      <c r="I800" s="108">
        <v>18925</v>
      </c>
      <c r="J800" s="150">
        <v>0.60045138888888883</v>
      </c>
      <c r="K800" s="150">
        <v>0.60083333333333333</v>
      </c>
      <c r="L800" t="s">
        <v>165</v>
      </c>
      <c r="N800">
        <v>2657642</v>
      </c>
      <c r="O800">
        <v>2657642</v>
      </c>
      <c r="P800">
        <v>0</v>
      </c>
      <c r="Q800">
        <v>0</v>
      </c>
      <c r="R800" t="s">
        <v>166</v>
      </c>
      <c r="S800">
        <v>0</v>
      </c>
      <c r="T800" t="s">
        <v>167</v>
      </c>
      <c r="U800">
        <v>0</v>
      </c>
      <c r="W800" t="s">
        <v>166</v>
      </c>
      <c r="X800" t="s">
        <v>166</v>
      </c>
    </row>
    <row r="801" spans="1:24" x14ac:dyDescent="0.3">
      <c r="A801" s="7" t="s">
        <v>138</v>
      </c>
      <c r="B801" t="s">
        <v>171</v>
      </c>
      <c r="C801" t="s">
        <v>163</v>
      </c>
      <c r="D801" t="s">
        <v>170</v>
      </c>
      <c r="E801" s="108">
        <v>7292</v>
      </c>
      <c r="F801">
        <v>0</v>
      </c>
      <c r="G801" s="108">
        <v>7292</v>
      </c>
      <c r="H801" s="108">
        <v>9190</v>
      </c>
      <c r="I801" s="108">
        <v>9190</v>
      </c>
      <c r="J801" s="150">
        <v>0.60061342592592593</v>
      </c>
      <c r="K801" s="150">
        <v>0.60062499999999996</v>
      </c>
      <c r="L801" t="s">
        <v>165</v>
      </c>
      <c r="N801">
        <v>2658477</v>
      </c>
      <c r="O801">
        <v>2658477</v>
      </c>
      <c r="P801">
        <v>0</v>
      </c>
      <c r="Q801">
        <v>0</v>
      </c>
      <c r="R801" t="s">
        <v>166</v>
      </c>
      <c r="S801">
        <v>0</v>
      </c>
      <c r="T801" t="s">
        <v>167</v>
      </c>
      <c r="U801">
        <v>0</v>
      </c>
      <c r="W801" t="s">
        <v>166</v>
      </c>
      <c r="X801" t="s">
        <v>166</v>
      </c>
    </row>
    <row r="802" spans="1:24" x14ac:dyDescent="0.3">
      <c r="A802" s="7" t="s">
        <v>112</v>
      </c>
      <c r="B802" t="s">
        <v>113</v>
      </c>
      <c r="C802" t="s">
        <v>163</v>
      </c>
      <c r="D802" t="s">
        <v>170</v>
      </c>
      <c r="E802" s="108">
        <v>4618</v>
      </c>
      <c r="F802">
        <v>0</v>
      </c>
      <c r="G802" s="108">
        <v>4618</v>
      </c>
      <c r="H802" s="108">
        <v>56135</v>
      </c>
      <c r="I802" s="108">
        <v>56135</v>
      </c>
      <c r="J802" s="150">
        <v>0.60075231481481484</v>
      </c>
      <c r="K802" s="150">
        <v>0.60409722222222217</v>
      </c>
      <c r="L802" t="s">
        <v>165</v>
      </c>
      <c r="N802">
        <v>2659349</v>
      </c>
      <c r="O802">
        <v>2659349</v>
      </c>
      <c r="P802">
        <v>0</v>
      </c>
      <c r="Q802">
        <v>0</v>
      </c>
      <c r="R802" t="s">
        <v>166</v>
      </c>
      <c r="S802">
        <v>0</v>
      </c>
      <c r="T802" t="s">
        <v>167</v>
      </c>
      <c r="U802">
        <v>0</v>
      </c>
      <c r="W802" t="s">
        <v>166</v>
      </c>
      <c r="X802" t="s">
        <v>166</v>
      </c>
    </row>
    <row r="803" spans="1:24" x14ac:dyDescent="0.3">
      <c r="A803" s="7" t="s">
        <v>98</v>
      </c>
      <c r="B803" t="s">
        <v>99</v>
      </c>
      <c r="C803" t="s">
        <v>163</v>
      </c>
      <c r="D803" t="s">
        <v>170</v>
      </c>
      <c r="E803" s="108">
        <v>4907</v>
      </c>
      <c r="F803">
        <v>0</v>
      </c>
      <c r="G803" s="108">
        <v>4907</v>
      </c>
      <c r="H803" s="108">
        <v>15425</v>
      </c>
      <c r="I803" s="108">
        <v>15425</v>
      </c>
      <c r="J803" s="150">
        <v>0.60103009259259255</v>
      </c>
      <c r="K803" s="150">
        <v>0.60660879629629627</v>
      </c>
      <c r="L803" t="s">
        <v>165</v>
      </c>
      <c r="N803">
        <v>2660606</v>
      </c>
      <c r="O803">
        <v>2660606</v>
      </c>
      <c r="P803">
        <v>0</v>
      </c>
      <c r="Q803">
        <v>0</v>
      </c>
      <c r="R803" t="s">
        <v>166</v>
      </c>
      <c r="S803">
        <v>0</v>
      </c>
      <c r="T803" t="s">
        <v>167</v>
      </c>
      <c r="U803">
        <v>0</v>
      </c>
      <c r="W803" t="s">
        <v>166</v>
      </c>
      <c r="X803" t="s">
        <v>166</v>
      </c>
    </row>
    <row r="804" spans="1:24" x14ac:dyDescent="0.3">
      <c r="A804" s="7" t="s">
        <v>100</v>
      </c>
      <c r="B804" t="s">
        <v>101</v>
      </c>
      <c r="C804" t="s">
        <v>163</v>
      </c>
      <c r="D804" t="s">
        <v>170</v>
      </c>
      <c r="E804" s="108">
        <v>5000</v>
      </c>
      <c r="F804">
        <v>0</v>
      </c>
      <c r="G804" s="108">
        <v>5000</v>
      </c>
      <c r="H804" s="108">
        <v>26290</v>
      </c>
      <c r="I804" s="108">
        <v>26290</v>
      </c>
      <c r="J804" s="150">
        <v>0.60112268518518519</v>
      </c>
      <c r="K804" s="150">
        <v>0.60854166666666665</v>
      </c>
      <c r="L804" t="s">
        <v>165</v>
      </c>
      <c r="N804">
        <v>2661138</v>
      </c>
      <c r="O804">
        <v>2661138</v>
      </c>
      <c r="P804">
        <v>0</v>
      </c>
      <c r="Q804">
        <v>0</v>
      </c>
      <c r="R804" t="s">
        <v>166</v>
      </c>
      <c r="S804">
        <v>0</v>
      </c>
      <c r="T804" t="s">
        <v>167</v>
      </c>
      <c r="U804">
        <v>0</v>
      </c>
      <c r="W804" t="s">
        <v>166</v>
      </c>
      <c r="X804" t="s">
        <v>166</v>
      </c>
    </row>
    <row r="805" spans="1:24" x14ac:dyDescent="0.3">
      <c r="A805" s="7" t="s">
        <v>94</v>
      </c>
      <c r="B805" t="s">
        <v>95</v>
      </c>
      <c r="C805" t="s">
        <v>163</v>
      </c>
      <c r="D805" t="s">
        <v>170</v>
      </c>
      <c r="E805" s="108">
        <v>5000</v>
      </c>
      <c r="F805">
        <v>0</v>
      </c>
      <c r="G805">
        <v>119</v>
      </c>
      <c r="H805" s="108">
        <v>8440</v>
      </c>
      <c r="I805" s="108">
        <v>8440</v>
      </c>
      <c r="J805" s="150">
        <v>0.60144675925925928</v>
      </c>
      <c r="K805" s="150">
        <v>0.60892361111111104</v>
      </c>
      <c r="L805" t="s">
        <v>165</v>
      </c>
      <c r="N805">
        <v>2662734</v>
      </c>
      <c r="O805">
        <v>2662734</v>
      </c>
      <c r="P805">
        <v>0</v>
      </c>
      <c r="Q805" s="108">
        <v>4881</v>
      </c>
      <c r="R805" t="s">
        <v>166</v>
      </c>
      <c r="S805">
        <v>0</v>
      </c>
      <c r="T805" t="s">
        <v>167</v>
      </c>
      <c r="U805">
        <v>0</v>
      </c>
      <c r="W805" t="s">
        <v>166</v>
      </c>
      <c r="X805" t="s">
        <v>166</v>
      </c>
    </row>
    <row r="806" spans="1:24" x14ac:dyDescent="0.3">
      <c r="A806" s="7" t="s">
        <v>81</v>
      </c>
      <c r="B806" t="s">
        <v>82</v>
      </c>
      <c r="C806" t="s">
        <v>163</v>
      </c>
      <c r="D806" t="s">
        <v>170</v>
      </c>
      <c r="E806">
        <v>396</v>
      </c>
      <c r="F806">
        <v>0</v>
      </c>
      <c r="G806">
        <v>396</v>
      </c>
      <c r="H806" s="108">
        <v>13485</v>
      </c>
      <c r="I806" s="108">
        <v>13485</v>
      </c>
      <c r="J806" s="150">
        <v>0.60168981481481476</v>
      </c>
      <c r="K806" s="150">
        <v>0.60211805555555553</v>
      </c>
      <c r="L806" t="s">
        <v>165</v>
      </c>
      <c r="N806">
        <v>2663856</v>
      </c>
      <c r="O806">
        <v>2663856</v>
      </c>
      <c r="P806">
        <v>0</v>
      </c>
      <c r="Q806">
        <v>0</v>
      </c>
      <c r="R806" t="s">
        <v>166</v>
      </c>
      <c r="S806">
        <v>0</v>
      </c>
      <c r="T806" t="s">
        <v>167</v>
      </c>
      <c r="U806">
        <v>0</v>
      </c>
      <c r="W806" t="s">
        <v>166</v>
      </c>
      <c r="X806" t="s">
        <v>166</v>
      </c>
    </row>
    <row r="807" spans="1:24" x14ac:dyDescent="0.3">
      <c r="A807" s="7" t="s">
        <v>110</v>
      </c>
      <c r="B807" t="s">
        <v>111</v>
      </c>
      <c r="C807" t="s">
        <v>163</v>
      </c>
      <c r="D807" t="s">
        <v>170</v>
      </c>
      <c r="E807" s="108">
        <v>1000</v>
      </c>
      <c r="F807">
        <v>0</v>
      </c>
      <c r="G807" s="108">
        <v>1000</v>
      </c>
      <c r="H807" s="108">
        <v>25740</v>
      </c>
      <c r="I807" s="108">
        <v>25740</v>
      </c>
      <c r="J807" s="150">
        <v>0.60181712962962963</v>
      </c>
      <c r="K807" s="150">
        <v>0.60219907407407403</v>
      </c>
      <c r="L807" t="s">
        <v>165</v>
      </c>
      <c r="N807">
        <v>2664591</v>
      </c>
      <c r="O807">
        <v>2664591</v>
      </c>
      <c r="P807">
        <v>0</v>
      </c>
      <c r="Q807">
        <v>0</v>
      </c>
      <c r="R807" t="s">
        <v>166</v>
      </c>
      <c r="S807">
        <v>0</v>
      </c>
      <c r="T807" t="s">
        <v>167</v>
      </c>
      <c r="U807">
        <v>0</v>
      </c>
      <c r="W807" t="s">
        <v>166</v>
      </c>
      <c r="X807" t="s">
        <v>166</v>
      </c>
    </row>
    <row r="808" spans="1:24" x14ac:dyDescent="0.3">
      <c r="A808" s="7" t="s">
        <v>108</v>
      </c>
      <c r="B808" t="s">
        <v>172</v>
      </c>
      <c r="C808" t="s">
        <v>169</v>
      </c>
      <c r="D808" t="s">
        <v>170</v>
      </c>
      <c r="E808">
        <v>322</v>
      </c>
      <c r="F808">
        <v>0</v>
      </c>
      <c r="G808">
        <v>322</v>
      </c>
      <c r="H808" s="108">
        <v>50820</v>
      </c>
      <c r="I808" s="108">
        <v>50820</v>
      </c>
      <c r="J808" s="150">
        <v>0.60196759259259258</v>
      </c>
      <c r="K808" s="150">
        <v>0.60216435185185191</v>
      </c>
      <c r="L808" t="s">
        <v>165</v>
      </c>
      <c r="N808">
        <v>2665276</v>
      </c>
      <c r="O808">
        <v>2665276</v>
      </c>
      <c r="P808">
        <v>0</v>
      </c>
      <c r="Q808">
        <v>0</v>
      </c>
      <c r="R808" t="s">
        <v>166</v>
      </c>
      <c r="S808">
        <v>0</v>
      </c>
      <c r="T808" t="s">
        <v>167</v>
      </c>
      <c r="U808">
        <v>0</v>
      </c>
      <c r="W808" t="s">
        <v>166</v>
      </c>
      <c r="X808" t="s">
        <v>166</v>
      </c>
    </row>
    <row r="809" spans="1:24" x14ac:dyDescent="0.3">
      <c r="A809" s="7" t="s">
        <v>92</v>
      </c>
      <c r="B809" t="s">
        <v>93</v>
      </c>
      <c r="C809" t="s">
        <v>169</v>
      </c>
      <c r="D809" t="s">
        <v>164</v>
      </c>
      <c r="E809" s="108">
        <v>1272</v>
      </c>
      <c r="F809">
        <v>0</v>
      </c>
      <c r="G809">
        <v>349</v>
      </c>
      <c r="H809" s="108">
        <v>22215</v>
      </c>
      <c r="I809" s="108">
        <v>22215</v>
      </c>
      <c r="J809" s="150">
        <v>0.60222222222222221</v>
      </c>
      <c r="K809" s="150">
        <v>0.6051157407407407</v>
      </c>
      <c r="L809" t="s">
        <v>165</v>
      </c>
      <c r="N809">
        <v>2666483</v>
      </c>
      <c r="O809">
        <v>2666483</v>
      </c>
      <c r="P809">
        <v>2666433</v>
      </c>
      <c r="Q809">
        <v>923</v>
      </c>
      <c r="R809" t="s">
        <v>166</v>
      </c>
      <c r="S809">
        <v>0</v>
      </c>
      <c r="T809" t="s">
        <v>167</v>
      </c>
      <c r="U809">
        <v>2666433</v>
      </c>
      <c r="W809" t="s">
        <v>166</v>
      </c>
      <c r="X809" t="s">
        <v>166</v>
      </c>
    </row>
    <row r="810" spans="1:24" x14ac:dyDescent="0.3">
      <c r="A810" s="7" t="s">
        <v>85</v>
      </c>
      <c r="B810" t="s">
        <v>86</v>
      </c>
      <c r="C810" t="s">
        <v>169</v>
      </c>
      <c r="D810" t="s">
        <v>170</v>
      </c>
      <c r="E810">
        <v>94</v>
      </c>
      <c r="F810">
        <v>0</v>
      </c>
      <c r="G810">
        <v>94</v>
      </c>
      <c r="H810" s="108">
        <v>12515</v>
      </c>
      <c r="I810" s="108">
        <v>12515</v>
      </c>
      <c r="J810" s="150">
        <v>0.60240740740740739</v>
      </c>
      <c r="K810" s="150">
        <v>0.60240740740740739</v>
      </c>
      <c r="L810" t="s">
        <v>165</v>
      </c>
      <c r="N810">
        <v>2667236</v>
      </c>
      <c r="O810">
        <v>2667236</v>
      </c>
      <c r="P810">
        <v>0</v>
      </c>
      <c r="Q810">
        <v>0</v>
      </c>
      <c r="R810" t="s">
        <v>166</v>
      </c>
      <c r="S810">
        <v>0</v>
      </c>
      <c r="T810" t="s">
        <v>167</v>
      </c>
      <c r="U810">
        <v>0</v>
      </c>
      <c r="W810" t="s">
        <v>166</v>
      </c>
      <c r="X810" t="s">
        <v>166</v>
      </c>
    </row>
    <row r="811" spans="1:24" x14ac:dyDescent="0.3">
      <c r="A811" s="7" t="s">
        <v>104</v>
      </c>
      <c r="B811" t="s">
        <v>105</v>
      </c>
      <c r="C811" t="s">
        <v>169</v>
      </c>
      <c r="D811" t="s">
        <v>170</v>
      </c>
      <c r="E811">
        <v>963</v>
      </c>
      <c r="F811">
        <v>0</v>
      </c>
      <c r="G811">
        <v>963</v>
      </c>
      <c r="H811" s="108">
        <v>3710</v>
      </c>
      <c r="I811" s="108">
        <v>3710</v>
      </c>
      <c r="J811" s="150">
        <v>0.6025462962962963</v>
      </c>
      <c r="K811" s="150">
        <v>0.60393518518518519</v>
      </c>
      <c r="L811" t="s">
        <v>165</v>
      </c>
      <c r="N811">
        <v>2667824</v>
      </c>
      <c r="O811">
        <v>2667824</v>
      </c>
      <c r="P811">
        <v>0</v>
      </c>
      <c r="Q811">
        <v>0</v>
      </c>
      <c r="R811" t="s">
        <v>166</v>
      </c>
      <c r="S811">
        <v>0</v>
      </c>
      <c r="T811" t="s">
        <v>167</v>
      </c>
      <c r="U811">
        <v>0</v>
      </c>
      <c r="W811" t="s">
        <v>166</v>
      </c>
      <c r="X811" t="s">
        <v>166</v>
      </c>
    </row>
    <row r="812" spans="1:24" x14ac:dyDescent="0.3">
      <c r="A812" s="7" t="s">
        <v>106</v>
      </c>
      <c r="B812" t="s">
        <v>107</v>
      </c>
      <c r="C812" t="s">
        <v>163</v>
      </c>
      <c r="D812" t="s">
        <v>170</v>
      </c>
      <c r="E812">
        <v>998</v>
      </c>
      <c r="F812">
        <v>0</v>
      </c>
      <c r="G812">
        <v>998</v>
      </c>
      <c r="H812" s="108">
        <v>2665</v>
      </c>
      <c r="I812" s="108">
        <v>2665</v>
      </c>
      <c r="J812" s="150">
        <v>0.60274305555555552</v>
      </c>
      <c r="K812" s="150">
        <v>0.60274305555555552</v>
      </c>
      <c r="L812" t="s">
        <v>165</v>
      </c>
      <c r="N812">
        <v>2668751</v>
      </c>
      <c r="O812">
        <v>2668751</v>
      </c>
      <c r="P812">
        <v>0</v>
      </c>
      <c r="Q812">
        <v>0</v>
      </c>
      <c r="R812" t="s">
        <v>166</v>
      </c>
      <c r="S812">
        <v>0</v>
      </c>
      <c r="T812" t="s">
        <v>167</v>
      </c>
      <c r="U812">
        <v>0</v>
      </c>
      <c r="W812" t="s">
        <v>166</v>
      </c>
      <c r="X812" t="s">
        <v>166</v>
      </c>
    </row>
    <row r="813" spans="1:24" x14ac:dyDescent="0.3">
      <c r="A813" s="7" t="s">
        <v>67</v>
      </c>
      <c r="B813" t="s">
        <v>68</v>
      </c>
      <c r="C813" t="s">
        <v>163</v>
      </c>
      <c r="D813" t="s">
        <v>170</v>
      </c>
      <c r="E813" s="108">
        <v>5000</v>
      </c>
      <c r="F813">
        <v>0</v>
      </c>
      <c r="G813" s="108">
        <v>5000</v>
      </c>
      <c r="H813" s="108">
        <v>10565</v>
      </c>
      <c r="I813" s="108">
        <v>10565</v>
      </c>
      <c r="J813" s="150">
        <v>0.60293981481481485</v>
      </c>
      <c r="K813" s="150">
        <v>0.60300925925925919</v>
      </c>
      <c r="L813" t="s">
        <v>165</v>
      </c>
      <c r="N813">
        <v>2669819</v>
      </c>
      <c r="O813">
        <v>2669819</v>
      </c>
      <c r="P813">
        <v>0</v>
      </c>
      <c r="Q813">
        <v>0</v>
      </c>
      <c r="R813" t="s">
        <v>166</v>
      </c>
      <c r="S813">
        <v>0</v>
      </c>
      <c r="T813" t="s">
        <v>167</v>
      </c>
      <c r="U813">
        <v>0</v>
      </c>
      <c r="W813" t="s">
        <v>166</v>
      </c>
      <c r="X813" t="s">
        <v>166</v>
      </c>
    </row>
    <row r="814" spans="1:24" x14ac:dyDescent="0.3">
      <c r="A814" s="7" t="s">
        <v>83</v>
      </c>
      <c r="B814" t="s">
        <v>84</v>
      </c>
      <c r="C814" t="s">
        <v>169</v>
      </c>
      <c r="D814" t="s">
        <v>170</v>
      </c>
      <c r="E814" s="108">
        <v>1467</v>
      </c>
      <c r="F814">
        <v>0</v>
      </c>
      <c r="G814" s="108">
        <v>1467</v>
      </c>
      <c r="H814" s="108">
        <v>4700</v>
      </c>
      <c r="I814" s="108">
        <v>4700</v>
      </c>
      <c r="J814" s="150">
        <v>0.60324074074074074</v>
      </c>
      <c r="K814" s="150">
        <v>0.60324074074074074</v>
      </c>
      <c r="L814" t="s">
        <v>165</v>
      </c>
      <c r="N814">
        <v>2671558</v>
      </c>
      <c r="O814">
        <v>2671558</v>
      </c>
      <c r="P814">
        <v>0</v>
      </c>
      <c r="Q814">
        <v>0</v>
      </c>
      <c r="R814" t="s">
        <v>166</v>
      </c>
      <c r="S814">
        <v>0</v>
      </c>
      <c r="T814" t="s">
        <v>167</v>
      </c>
      <c r="U814">
        <v>0</v>
      </c>
      <c r="W814" t="s">
        <v>166</v>
      </c>
      <c r="X814" t="s">
        <v>166</v>
      </c>
    </row>
    <row r="815" spans="1:24" x14ac:dyDescent="0.3">
      <c r="A815" s="7" t="s">
        <v>75</v>
      </c>
      <c r="B815" t="s">
        <v>76</v>
      </c>
      <c r="C815" t="s">
        <v>163</v>
      </c>
      <c r="D815" t="s">
        <v>170</v>
      </c>
      <c r="E815">
        <v>872</v>
      </c>
      <c r="F815">
        <v>0</v>
      </c>
      <c r="G815">
        <v>872</v>
      </c>
      <c r="H815" s="108">
        <v>7660</v>
      </c>
      <c r="I815" s="108">
        <v>7660</v>
      </c>
      <c r="J815" s="150">
        <v>0.60337962962962965</v>
      </c>
      <c r="K815" s="150">
        <v>0.60337962962962965</v>
      </c>
      <c r="L815" t="s">
        <v>165</v>
      </c>
      <c r="N815">
        <v>2672313</v>
      </c>
      <c r="O815">
        <v>2672313</v>
      </c>
      <c r="P815">
        <v>0</v>
      </c>
      <c r="Q815">
        <v>0</v>
      </c>
      <c r="R815" t="s">
        <v>166</v>
      </c>
      <c r="S815">
        <v>0</v>
      </c>
      <c r="T815" t="s">
        <v>167</v>
      </c>
      <c r="U815">
        <v>0</v>
      </c>
      <c r="W815" t="s">
        <v>166</v>
      </c>
      <c r="X815" t="s">
        <v>166</v>
      </c>
    </row>
    <row r="816" spans="1:24" x14ac:dyDescent="0.3">
      <c r="A816" s="7" t="s">
        <v>120</v>
      </c>
      <c r="B816" t="s">
        <v>121</v>
      </c>
      <c r="C816" t="s">
        <v>163</v>
      </c>
      <c r="D816" t="s">
        <v>170</v>
      </c>
      <c r="E816">
        <v>11</v>
      </c>
      <c r="F816">
        <v>0</v>
      </c>
      <c r="G816">
        <v>11</v>
      </c>
      <c r="H816" s="108">
        <v>37230</v>
      </c>
      <c r="I816" s="108">
        <v>37230</v>
      </c>
      <c r="J816" s="150">
        <v>0.60402777777777772</v>
      </c>
      <c r="K816" s="150">
        <v>0.60562499999999997</v>
      </c>
      <c r="L816" t="s">
        <v>165</v>
      </c>
      <c r="N816">
        <v>2675427</v>
      </c>
      <c r="O816">
        <v>2675427</v>
      </c>
      <c r="P816">
        <v>0</v>
      </c>
      <c r="Q816">
        <v>0</v>
      </c>
      <c r="R816" t="s">
        <v>166</v>
      </c>
      <c r="S816">
        <v>0</v>
      </c>
      <c r="T816" t="s">
        <v>167</v>
      </c>
      <c r="U816">
        <v>0</v>
      </c>
      <c r="W816" t="s">
        <v>166</v>
      </c>
      <c r="X816" t="s">
        <v>166</v>
      </c>
    </row>
    <row r="817" spans="1:24" x14ac:dyDescent="0.3">
      <c r="A817" s="7" t="s">
        <v>100</v>
      </c>
      <c r="B817" t="s">
        <v>101</v>
      </c>
      <c r="C817" t="s">
        <v>163</v>
      </c>
      <c r="D817" t="s">
        <v>170</v>
      </c>
      <c r="E817" s="108">
        <v>5000</v>
      </c>
      <c r="F817">
        <v>0</v>
      </c>
      <c r="G817" s="108">
        <v>5000</v>
      </c>
      <c r="H817" s="108">
        <v>26275</v>
      </c>
      <c r="I817" s="108">
        <v>26275</v>
      </c>
      <c r="J817" s="150">
        <v>0.60418981481481482</v>
      </c>
      <c r="K817" s="150">
        <v>0.60659722222222223</v>
      </c>
      <c r="L817" t="s">
        <v>165</v>
      </c>
      <c r="N817">
        <v>2676245</v>
      </c>
      <c r="O817">
        <v>2676245</v>
      </c>
      <c r="P817">
        <v>0</v>
      </c>
      <c r="Q817">
        <v>0</v>
      </c>
      <c r="R817" t="s">
        <v>166</v>
      </c>
      <c r="S817">
        <v>0</v>
      </c>
      <c r="T817" t="s">
        <v>167</v>
      </c>
      <c r="U817">
        <v>0</v>
      </c>
      <c r="W817" t="s">
        <v>166</v>
      </c>
      <c r="X817" t="s">
        <v>166</v>
      </c>
    </row>
    <row r="818" spans="1:24" x14ac:dyDescent="0.3">
      <c r="A818" s="7" t="s">
        <v>100</v>
      </c>
      <c r="B818" t="s">
        <v>101</v>
      </c>
      <c r="C818" t="s">
        <v>163</v>
      </c>
      <c r="D818" t="s">
        <v>170</v>
      </c>
      <c r="E818" s="108">
        <v>5000</v>
      </c>
      <c r="F818">
        <v>0</v>
      </c>
      <c r="G818" s="108">
        <v>5000</v>
      </c>
      <c r="H818" s="108">
        <v>26260</v>
      </c>
      <c r="I818" s="108">
        <v>26260</v>
      </c>
      <c r="J818" s="150">
        <v>0.60420138888888886</v>
      </c>
      <c r="K818" s="150">
        <v>0.60658564814814808</v>
      </c>
      <c r="L818" t="s">
        <v>165</v>
      </c>
      <c r="N818">
        <v>2676301</v>
      </c>
      <c r="O818">
        <v>2676301</v>
      </c>
      <c r="P818">
        <v>0</v>
      </c>
      <c r="Q818">
        <v>0</v>
      </c>
      <c r="R818" t="s">
        <v>166</v>
      </c>
      <c r="S818">
        <v>0</v>
      </c>
      <c r="T818" t="s">
        <v>167</v>
      </c>
      <c r="U818">
        <v>0</v>
      </c>
      <c r="W818" t="s">
        <v>166</v>
      </c>
      <c r="X818" t="s">
        <v>166</v>
      </c>
    </row>
    <row r="819" spans="1:24" x14ac:dyDescent="0.3">
      <c r="A819" s="7" t="s">
        <v>100</v>
      </c>
      <c r="B819" t="s">
        <v>101</v>
      </c>
      <c r="C819" t="s">
        <v>163</v>
      </c>
      <c r="D819" t="s">
        <v>170</v>
      </c>
      <c r="E819" s="108">
        <v>2105</v>
      </c>
      <c r="F819">
        <v>0</v>
      </c>
      <c r="G819">
        <v>10</v>
      </c>
      <c r="H819" s="108">
        <v>26255</v>
      </c>
      <c r="I819" s="108">
        <v>26255</v>
      </c>
      <c r="J819" s="150">
        <v>0.60428240740740746</v>
      </c>
      <c r="K819" s="150">
        <v>0.60428240740740746</v>
      </c>
      <c r="L819" t="s">
        <v>165</v>
      </c>
      <c r="N819">
        <v>2676649</v>
      </c>
      <c r="O819">
        <v>2676649</v>
      </c>
      <c r="P819">
        <v>0</v>
      </c>
      <c r="Q819" s="108">
        <v>2095</v>
      </c>
      <c r="R819" t="s">
        <v>166</v>
      </c>
      <c r="S819">
        <v>0</v>
      </c>
      <c r="T819" t="s">
        <v>167</v>
      </c>
      <c r="U819">
        <v>0</v>
      </c>
      <c r="W819" t="s">
        <v>166</v>
      </c>
      <c r="X819" t="s">
        <v>166</v>
      </c>
    </row>
    <row r="820" spans="1:24" x14ac:dyDescent="0.3">
      <c r="A820" s="7" t="s">
        <v>100</v>
      </c>
      <c r="B820" t="s">
        <v>101</v>
      </c>
      <c r="C820" t="s">
        <v>163</v>
      </c>
      <c r="D820" t="s">
        <v>164</v>
      </c>
      <c r="E820" s="108">
        <v>2095</v>
      </c>
      <c r="F820">
        <v>0</v>
      </c>
      <c r="G820">
        <v>319</v>
      </c>
      <c r="H820" s="108">
        <v>26250</v>
      </c>
      <c r="I820" s="108">
        <v>26250</v>
      </c>
      <c r="J820" s="150">
        <v>0.60430555555555554</v>
      </c>
      <c r="K820" s="150">
        <v>0.60430555555555554</v>
      </c>
      <c r="L820" t="s">
        <v>165</v>
      </c>
      <c r="N820">
        <v>2676866</v>
      </c>
      <c r="O820">
        <v>2676866</v>
      </c>
      <c r="P820">
        <v>2676649</v>
      </c>
      <c r="Q820" s="108">
        <v>1776</v>
      </c>
      <c r="R820" t="s">
        <v>166</v>
      </c>
      <c r="S820">
        <v>0</v>
      </c>
      <c r="T820" t="s">
        <v>167</v>
      </c>
      <c r="U820">
        <v>2676649</v>
      </c>
      <c r="W820" t="s">
        <v>166</v>
      </c>
      <c r="X820" t="s">
        <v>166</v>
      </c>
    </row>
    <row r="821" spans="1:24" x14ac:dyDescent="0.3">
      <c r="A821" s="7" t="s">
        <v>100</v>
      </c>
      <c r="B821" t="s">
        <v>101</v>
      </c>
      <c r="C821" t="s">
        <v>163</v>
      </c>
      <c r="D821" t="s">
        <v>164</v>
      </c>
      <c r="E821" s="108">
        <v>1776</v>
      </c>
      <c r="F821">
        <v>0</v>
      </c>
      <c r="G821">
        <v>225</v>
      </c>
      <c r="H821" s="108">
        <v>26245</v>
      </c>
      <c r="I821" s="108">
        <v>26245</v>
      </c>
      <c r="J821" s="150">
        <v>0.60431712962962958</v>
      </c>
      <c r="K821" s="150">
        <v>0.60431712962962958</v>
      </c>
      <c r="L821" t="s">
        <v>165</v>
      </c>
      <c r="N821">
        <v>2676923</v>
      </c>
      <c r="O821">
        <v>2676923</v>
      </c>
      <c r="P821">
        <v>2676866</v>
      </c>
      <c r="Q821" s="108">
        <v>1551</v>
      </c>
      <c r="R821" t="s">
        <v>166</v>
      </c>
      <c r="S821">
        <v>0</v>
      </c>
      <c r="T821" t="s">
        <v>167</v>
      </c>
      <c r="U821">
        <v>2676866</v>
      </c>
      <c r="W821" t="s">
        <v>166</v>
      </c>
      <c r="X821" t="s">
        <v>166</v>
      </c>
    </row>
    <row r="822" spans="1:24" x14ac:dyDescent="0.3">
      <c r="A822" s="7" t="s">
        <v>100</v>
      </c>
      <c r="B822" t="s">
        <v>101</v>
      </c>
      <c r="C822" t="s">
        <v>163</v>
      </c>
      <c r="D822" t="s">
        <v>164</v>
      </c>
      <c r="E822" s="108">
        <v>1551</v>
      </c>
      <c r="F822">
        <v>0</v>
      </c>
      <c r="G822" s="108">
        <v>1551</v>
      </c>
      <c r="H822" s="108">
        <v>26240</v>
      </c>
      <c r="I822" s="108">
        <v>26240</v>
      </c>
      <c r="J822" s="150">
        <v>0.60432870370370373</v>
      </c>
      <c r="K822" s="150">
        <v>0.60432870370370373</v>
      </c>
      <c r="L822" t="s">
        <v>165</v>
      </c>
      <c r="N822">
        <v>2676968</v>
      </c>
      <c r="O822">
        <v>2676968</v>
      </c>
      <c r="P822">
        <v>2676923</v>
      </c>
      <c r="Q822">
        <v>0</v>
      </c>
      <c r="R822" t="s">
        <v>166</v>
      </c>
      <c r="S822">
        <v>0</v>
      </c>
      <c r="T822" t="s">
        <v>167</v>
      </c>
      <c r="U822">
        <v>2676923</v>
      </c>
      <c r="W822" t="s">
        <v>166</v>
      </c>
      <c r="X822" t="s">
        <v>166</v>
      </c>
    </row>
    <row r="823" spans="1:24" x14ac:dyDescent="0.3">
      <c r="A823" s="7" t="s">
        <v>102</v>
      </c>
      <c r="B823" t="s">
        <v>103</v>
      </c>
      <c r="C823" t="s">
        <v>169</v>
      </c>
      <c r="D823" t="s">
        <v>164</v>
      </c>
      <c r="E823" s="108">
        <v>4596</v>
      </c>
      <c r="F823">
        <v>0</v>
      </c>
      <c r="G823" s="108">
        <v>4596</v>
      </c>
      <c r="H823" s="108">
        <v>8075</v>
      </c>
      <c r="I823" s="108">
        <v>8075</v>
      </c>
      <c r="J823" s="150">
        <v>0.60456018518518517</v>
      </c>
      <c r="K823" s="150">
        <v>0.60457175925925932</v>
      </c>
      <c r="L823" t="s">
        <v>165</v>
      </c>
      <c r="N823">
        <v>2678122</v>
      </c>
      <c r="O823">
        <v>2678122</v>
      </c>
      <c r="P823">
        <v>2678036</v>
      </c>
      <c r="Q823">
        <v>0</v>
      </c>
      <c r="R823" t="s">
        <v>166</v>
      </c>
      <c r="S823">
        <v>0</v>
      </c>
      <c r="T823" t="s">
        <v>167</v>
      </c>
      <c r="U823">
        <v>2678036</v>
      </c>
      <c r="W823" t="s">
        <v>166</v>
      </c>
      <c r="X823" t="s">
        <v>166</v>
      </c>
    </row>
    <row r="824" spans="1:24" x14ac:dyDescent="0.3">
      <c r="A824" s="7" t="s">
        <v>77</v>
      </c>
      <c r="B824" t="s">
        <v>78</v>
      </c>
      <c r="C824" t="s">
        <v>163</v>
      </c>
      <c r="D824" t="s">
        <v>170</v>
      </c>
      <c r="E824" s="108">
        <v>5000</v>
      </c>
      <c r="F824">
        <v>0</v>
      </c>
      <c r="G824" s="108">
        <v>5000</v>
      </c>
      <c r="H824" s="108">
        <v>17885</v>
      </c>
      <c r="I824" s="108">
        <v>17885</v>
      </c>
      <c r="J824" s="150">
        <v>0.60473379629629631</v>
      </c>
      <c r="K824" s="150">
        <v>0.60491898148148149</v>
      </c>
      <c r="L824" t="s">
        <v>165</v>
      </c>
      <c r="N824">
        <v>2678940</v>
      </c>
      <c r="O824">
        <v>2678940</v>
      </c>
      <c r="P824">
        <v>0</v>
      </c>
      <c r="Q824">
        <v>0</v>
      </c>
      <c r="R824" t="s">
        <v>166</v>
      </c>
      <c r="S824">
        <v>0</v>
      </c>
      <c r="T824" t="s">
        <v>167</v>
      </c>
      <c r="U824">
        <v>0</v>
      </c>
      <c r="W824" t="s">
        <v>166</v>
      </c>
      <c r="X824" t="s">
        <v>166</v>
      </c>
    </row>
    <row r="825" spans="1:24" x14ac:dyDescent="0.3">
      <c r="A825" s="7" t="s">
        <v>77</v>
      </c>
      <c r="B825" t="s">
        <v>78</v>
      </c>
      <c r="C825" t="s">
        <v>163</v>
      </c>
      <c r="D825" t="s">
        <v>170</v>
      </c>
      <c r="E825" s="108">
        <v>5000</v>
      </c>
      <c r="F825">
        <v>0</v>
      </c>
      <c r="G825" s="108">
        <v>5000</v>
      </c>
      <c r="H825" s="108">
        <v>17890</v>
      </c>
      <c r="I825" s="108">
        <v>17890</v>
      </c>
      <c r="J825" s="150">
        <v>0.60474537037037035</v>
      </c>
      <c r="K825" s="150">
        <v>0.60493055555555553</v>
      </c>
      <c r="L825" t="s">
        <v>165</v>
      </c>
      <c r="N825">
        <v>2679020</v>
      </c>
      <c r="O825">
        <v>2679020</v>
      </c>
      <c r="P825">
        <v>0</v>
      </c>
      <c r="Q825">
        <v>0</v>
      </c>
      <c r="R825" t="s">
        <v>166</v>
      </c>
      <c r="S825">
        <v>0</v>
      </c>
      <c r="T825" t="s">
        <v>167</v>
      </c>
      <c r="U825">
        <v>0</v>
      </c>
      <c r="W825" t="s">
        <v>166</v>
      </c>
      <c r="X825" t="s">
        <v>166</v>
      </c>
    </row>
    <row r="826" spans="1:24" x14ac:dyDescent="0.3">
      <c r="A826" s="7" t="s">
        <v>77</v>
      </c>
      <c r="B826" t="s">
        <v>78</v>
      </c>
      <c r="C826" t="s">
        <v>163</v>
      </c>
      <c r="D826" t="s">
        <v>170</v>
      </c>
      <c r="E826" s="108">
        <v>5000</v>
      </c>
      <c r="F826">
        <v>0</v>
      </c>
      <c r="G826" s="108">
        <v>5000</v>
      </c>
      <c r="H826" s="108">
        <v>17895</v>
      </c>
      <c r="I826" s="108">
        <v>17895</v>
      </c>
      <c r="J826" s="150">
        <v>0.60474537037037035</v>
      </c>
      <c r="K826" s="150">
        <v>0.60526620370370365</v>
      </c>
      <c r="L826" t="s">
        <v>165</v>
      </c>
      <c r="N826">
        <v>2679059</v>
      </c>
      <c r="O826">
        <v>2679059</v>
      </c>
      <c r="P826">
        <v>0</v>
      </c>
      <c r="Q826">
        <v>0</v>
      </c>
      <c r="R826" t="s">
        <v>166</v>
      </c>
      <c r="S826">
        <v>0</v>
      </c>
      <c r="T826" t="s">
        <v>167</v>
      </c>
      <c r="U826">
        <v>0</v>
      </c>
      <c r="W826" t="s">
        <v>166</v>
      </c>
      <c r="X826" t="s">
        <v>166</v>
      </c>
    </row>
    <row r="827" spans="1:24" x14ac:dyDescent="0.3">
      <c r="A827" s="7" t="s">
        <v>77</v>
      </c>
      <c r="B827" t="s">
        <v>78</v>
      </c>
      <c r="C827" t="s">
        <v>163</v>
      </c>
      <c r="D827" t="s">
        <v>170</v>
      </c>
      <c r="E827" s="108">
        <v>5000</v>
      </c>
      <c r="F827">
        <v>0</v>
      </c>
      <c r="G827" s="108">
        <v>5000</v>
      </c>
      <c r="H827" s="108">
        <v>17900</v>
      </c>
      <c r="I827" s="108">
        <v>17900</v>
      </c>
      <c r="J827" s="150">
        <v>0.60475694444444439</v>
      </c>
      <c r="K827" s="150">
        <v>0.6053587962962963</v>
      </c>
      <c r="L827" t="s">
        <v>165</v>
      </c>
      <c r="N827">
        <v>2679084</v>
      </c>
      <c r="O827">
        <v>2679084</v>
      </c>
      <c r="P827">
        <v>0</v>
      </c>
      <c r="Q827">
        <v>0</v>
      </c>
      <c r="R827" t="s">
        <v>166</v>
      </c>
      <c r="S827">
        <v>0</v>
      </c>
      <c r="T827" t="s">
        <v>167</v>
      </c>
      <c r="U827">
        <v>0</v>
      </c>
      <c r="W827" t="s">
        <v>166</v>
      </c>
      <c r="X827" t="s">
        <v>166</v>
      </c>
    </row>
    <row r="828" spans="1:24" x14ac:dyDescent="0.3">
      <c r="A828" s="7" t="s">
        <v>77</v>
      </c>
      <c r="B828" t="s">
        <v>78</v>
      </c>
      <c r="C828" t="s">
        <v>163</v>
      </c>
      <c r="D828" t="s">
        <v>170</v>
      </c>
      <c r="E828" s="108">
        <v>4077</v>
      </c>
      <c r="F828">
        <v>0</v>
      </c>
      <c r="G828" s="108">
        <v>4077</v>
      </c>
      <c r="H828" s="108">
        <v>17880</v>
      </c>
      <c r="I828" s="108">
        <v>17880</v>
      </c>
      <c r="J828" s="150">
        <v>0.60481481481481481</v>
      </c>
      <c r="K828" s="150">
        <v>0.60484953703703703</v>
      </c>
      <c r="L828" t="s">
        <v>165</v>
      </c>
      <c r="N828">
        <v>2679431</v>
      </c>
      <c r="O828">
        <v>2679431</v>
      </c>
      <c r="P828">
        <v>0</v>
      </c>
      <c r="Q828">
        <v>0</v>
      </c>
      <c r="R828" t="s">
        <v>166</v>
      </c>
      <c r="S828">
        <v>0</v>
      </c>
      <c r="T828" t="s">
        <v>167</v>
      </c>
      <c r="U828">
        <v>0</v>
      </c>
      <c r="W828" t="s">
        <v>166</v>
      </c>
      <c r="X828" t="s">
        <v>166</v>
      </c>
    </row>
    <row r="829" spans="1:24" x14ac:dyDescent="0.3">
      <c r="A829" s="7" t="s">
        <v>116</v>
      </c>
      <c r="B829" t="s">
        <v>117</v>
      </c>
      <c r="C829" t="s">
        <v>163</v>
      </c>
      <c r="D829" t="s">
        <v>170</v>
      </c>
      <c r="E829">
        <v>58</v>
      </c>
      <c r="F829">
        <v>0</v>
      </c>
      <c r="G829">
        <v>58</v>
      </c>
      <c r="H829" s="108">
        <v>13085</v>
      </c>
      <c r="I829" s="108">
        <v>13085</v>
      </c>
      <c r="J829" s="150">
        <v>0.60502314814814817</v>
      </c>
      <c r="K829" s="150">
        <v>0.60563657407407401</v>
      </c>
      <c r="L829" t="s">
        <v>165</v>
      </c>
      <c r="N829">
        <v>2680510</v>
      </c>
      <c r="O829">
        <v>2680510</v>
      </c>
      <c r="P829">
        <v>0</v>
      </c>
      <c r="Q829">
        <v>0</v>
      </c>
      <c r="R829" t="s">
        <v>166</v>
      </c>
      <c r="S829">
        <v>0</v>
      </c>
      <c r="T829" t="s">
        <v>167</v>
      </c>
      <c r="U829">
        <v>0</v>
      </c>
      <c r="W829" t="s">
        <v>166</v>
      </c>
      <c r="X829" t="s">
        <v>166</v>
      </c>
    </row>
    <row r="830" spans="1:24" x14ac:dyDescent="0.3">
      <c r="A830" s="7" t="s">
        <v>124</v>
      </c>
      <c r="B830" t="s">
        <v>125</v>
      </c>
      <c r="C830" t="s">
        <v>163</v>
      </c>
      <c r="D830" t="s">
        <v>170</v>
      </c>
      <c r="E830">
        <v>75</v>
      </c>
      <c r="F830">
        <v>0</v>
      </c>
      <c r="G830">
        <v>75</v>
      </c>
      <c r="H830" s="108">
        <v>12485</v>
      </c>
      <c r="I830" s="108">
        <v>12485</v>
      </c>
      <c r="J830" s="150">
        <v>0.60513888888888889</v>
      </c>
      <c r="K830" s="150">
        <v>0.60515046296296293</v>
      </c>
      <c r="L830" t="s">
        <v>165</v>
      </c>
      <c r="N830">
        <v>2681226</v>
      </c>
      <c r="O830">
        <v>2681226</v>
      </c>
      <c r="P830">
        <v>0</v>
      </c>
      <c r="Q830">
        <v>0</v>
      </c>
      <c r="R830" t="s">
        <v>166</v>
      </c>
      <c r="S830">
        <v>0</v>
      </c>
      <c r="T830" t="s">
        <v>167</v>
      </c>
      <c r="U830">
        <v>0</v>
      </c>
      <c r="W830" t="s">
        <v>166</v>
      </c>
      <c r="X830" t="s">
        <v>166</v>
      </c>
    </row>
    <row r="831" spans="1:24" x14ac:dyDescent="0.3">
      <c r="A831" s="7" t="s">
        <v>71</v>
      </c>
      <c r="B831" t="s">
        <v>72</v>
      </c>
      <c r="C831" t="s">
        <v>163</v>
      </c>
      <c r="D831" t="s">
        <v>170</v>
      </c>
      <c r="E831" s="108">
        <v>5000</v>
      </c>
      <c r="F831">
        <v>0</v>
      </c>
      <c r="G831" s="108">
        <v>5000</v>
      </c>
      <c r="H831" s="108">
        <v>18915</v>
      </c>
      <c r="I831" s="108">
        <v>18915</v>
      </c>
      <c r="J831" s="150">
        <v>0.6058796296296296</v>
      </c>
      <c r="K831" s="150">
        <v>0.60636574074074068</v>
      </c>
      <c r="L831" t="s">
        <v>165</v>
      </c>
      <c r="N831">
        <v>2684547</v>
      </c>
      <c r="O831">
        <v>2684547</v>
      </c>
      <c r="P831">
        <v>0</v>
      </c>
      <c r="Q831">
        <v>0</v>
      </c>
      <c r="R831" t="s">
        <v>166</v>
      </c>
      <c r="S831">
        <v>0</v>
      </c>
      <c r="T831" t="s">
        <v>167</v>
      </c>
      <c r="U831">
        <v>0</v>
      </c>
      <c r="W831" t="s">
        <v>166</v>
      </c>
      <c r="X831" t="s">
        <v>166</v>
      </c>
    </row>
    <row r="832" spans="1:24" x14ac:dyDescent="0.3">
      <c r="A832" s="7" t="s">
        <v>71</v>
      </c>
      <c r="B832" t="s">
        <v>72</v>
      </c>
      <c r="C832" t="s">
        <v>163</v>
      </c>
      <c r="D832" t="s">
        <v>170</v>
      </c>
      <c r="E832" s="108">
        <v>5000</v>
      </c>
      <c r="F832">
        <v>0</v>
      </c>
      <c r="G832" s="108">
        <v>5000</v>
      </c>
      <c r="H832" s="108">
        <v>18930</v>
      </c>
      <c r="I832" s="108">
        <v>18930</v>
      </c>
      <c r="J832" s="150">
        <v>0.60589120370370375</v>
      </c>
      <c r="K832" s="150">
        <v>0.60655092592592597</v>
      </c>
      <c r="L832" t="s">
        <v>165</v>
      </c>
      <c r="N832">
        <v>2684581</v>
      </c>
      <c r="O832">
        <v>2684581</v>
      </c>
      <c r="P832">
        <v>0</v>
      </c>
      <c r="Q832">
        <v>0</v>
      </c>
      <c r="R832" t="s">
        <v>166</v>
      </c>
      <c r="S832">
        <v>0</v>
      </c>
      <c r="T832" t="s">
        <v>167</v>
      </c>
      <c r="U832">
        <v>0</v>
      </c>
      <c r="W832" t="s">
        <v>166</v>
      </c>
      <c r="X832" t="s">
        <v>166</v>
      </c>
    </row>
    <row r="833" spans="1:24" x14ac:dyDescent="0.3">
      <c r="A833" s="7" t="s">
        <v>67</v>
      </c>
      <c r="B833" t="s">
        <v>68</v>
      </c>
      <c r="C833" t="s">
        <v>163</v>
      </c>
      <c r="D833" t="s">
        <v>170</v>
      </c>
      <c r="E833" s="108">
        <v>5000</v>
      </c>
      <c r="F833">
        <v>0</v>
      </c>
      <c r="G833" s="108">
        <v>5000</v>
      </c>
      <c r="H833" s="108">
        <v>10590</v>
      </c>
      <c r="I833" s="108">
        <v>10590</v>
      </c>
      <c r="J833" s="150">
        <v>0.60607638888888882</v>
      </c>
      <c r="K833" s="150">
        <v>0.60660879629629627</v>
      </c>
      <c r="L833" t="s">
        <v>165</v>
      </c>
      <c r="N833">
        <v>2685189</v>
      </c>
      <c r="O833">
        <v>2685189</v>
      </c>
      <c r="P833">
        <v>0</v>
      </c>
      <c r="Q833">
        <v>0</v>
      </c>
      <c r="R833" t="s">
        <v>166</v>
      </c>
      <c r="S833">
        <v>0</v>
      </c>
      <c r="T833" t="s">
        <v>167</v>
      </c>
      <c r="U833">
        <v>0</v>
      </c>
      <c r="W833" t="s">
        <v>166</v>
      </c>
      <c r="X833" t="s">
        <v>166</v>
      </c>
    </row>
    <row r="834" spans="1:24" x14ac:dyDescent="0.3">
      <c r="A834" s="7" t="s">
        <v>67</v>
      </c>
      <c r="B834" t="s">
        <v>68</v>
      </c>
      <c r="C834" t="s">
        <v>163</v>
      </c>
      <c r="D834" t="s">
        <v>170</v>
      </c>
      <c r="E834" s="108">
        <v>5000</v>
      </c>
      <c r="F834">
        <v>0</v>
      </c>
      <c r="G834" s="108">
        <v>5000</v>
      </c>
      <c r="H834" s="108">
        <v>10595</v>
      </c>
      <c r="I834" s="108">
        <v>10595</v>
      </c>
      <c r="J834" s="150">
        <v>0.60607638888888882</v>
      </c>
      <c r="K834" s="150">
        <v>0.60682870370370368</v>
      </c>
      <c r="L834" t="s">
        <v>165</v>
      </c>
      <c r="N834">
        <v>2685211</v>
      </c>
      <c r="O834">
        <v>2685211</v>
      </c>
      <c r="P834">
        <v>0</v>
      </c>
      <c r="Q834">
        <v>0</v>
      </c>
      <c r="R834" t="s">
        <v>166</v>
      </c>
      <c r="S834">
        <v>0</v>
      </c>
      <c r="T834" t="s">
        <v>167</v>
      </c>
      <c r="U834">
        <v>0</v>
      </c>
      <c r="W834" t="s">
        <v>166</v>
      </c>
      <c r="X834" t="s">
        <v>166</v>
      </c>
    </row>
    <row r="835" spans="1:24" x14ac:dyDescent="0.3">
      <c r="A835" s="7" t="s">
        <v>67</v>
      </c>
      <c r="B835" t="s">
        <v>68</v>
      </c>
      <c r="C835" t="s">
        <v>163</v>
      </c>
      <c r="D835" t="s">
        <v>170</v>
      </c>
      <c r="E835" s="108">
        <v>5000</v>
      </c>
      <c r="F835">
        <v>0</v>
      </c>
      <c r="G835" s="108">
        <v>5000</v>
      </c>
      <c r="H835" s="108">
        <v>10600</v>
      </c>
      <c r="I835" s="108">
        <v>10600</v>
      </c>
      <c r="J835" s="150">
        <v>0.60608796296296297</v>
      </c>
      <c r="K835" s="150">
        <v>0.60730324074074071</v>
      </c>
      <c r="L835" t="s">
        <v>165</v>
      </c>
      <c r="N835">
        <v>2685237</v>
      </c>
      <c r="O835">
        <v>2685237</v>
      </c>
      <c r="P835">
        <v>0</v>
      </c>
      <c r="Q835">
        <v>0</v>
      </c>
      <c r="R835" t="s">
        <v>166</v>
      </c>
      <c r="S835">
        <v>0</v>
      </c>
      <c r="T835" t="s">
        <v>167</v>
      </c>
      <c r="U835">
        <v>0</v>
      </c>
      <c r="W835" t="s">
        <v>166</v>
      </c>
      <c r="X835" t="s">
        <v>166</v>
      </c>
    </row>
    <row r="836" spans="1:24" x14ac:dyDescent="0.3">
      <c r="A836" s="7" t="s">
        <v>67</v>
      </c>
      <c r="B836" t="s">
        <v>68</v>
      </c>
      <c r="C836" t="s">
        <v>163</v>
      </c>
      <c r="D836" t="s">
        <v>170</v>
      </c>
      <c r="E836" s="108">
        <v>5000</v>
      </c>
      <c r="F836">
        <v>0</v>
      </c>
      <c r="G836" s="108">
        <v>5000</v>
      </c>
      <c r="H836" s="108">
        <v>10605</v>
      </c>
      <c r="I836" s="108">
        <v>10605</v>
      </c>
      <c r="J836" s="150">
        <v>0.60608796296296297</v>
      </c>
      <c r="K836" s="150">
        <v>0.60767361111111107</v>
      </c>
      <c r="L836" t="s">
        <v>165</v>
      </c>
      <c r="N836">
        <v>2685255</v>
      </c>
      <c r="O836">
        <v>2685255</v>
      </c>
      <c r="P836">
        <v>0</v>
      </c>
      <c r="Q836">
        <v>0</v>
      </c>
      <c r="R836" t="s">
        <v>166</v>
      </c>
      <c r="S836">
        <v>0</v>
      </c>
      <c r="T836" t="s">
        <v>167</v>
      </c>
      <c r="U836">
        <v>0</v>
      </c>
      <c r="W836" t="s">
        <v>166</v>
      </c>
      <c r="X836" t="s">
        <v>166</v>
      </c>
    </row>
    <row r="837" spans="1:24" x14ac:dyDescent="0.3">
      <c r="A837" s="7" t="s">
        <v>67</v>
      </c>
      <c r="B837" t="s">
        <v>68</v>
      </c>
      <c r="C837" t="s">
        <v>163</v>
      </c>
      <c r="D837" t="s">
        <v>170</v>
      </c>
      <c r="E837" s="108">
        <v>1393</v>
      </c>
      <c r="F837">
        <v>0</v>
      </c>
      <c r="G837" s="108">
        <v>1393</v>
      </c>
      <c r="H837" s="108">
        <v>10610</v>
      </c>
      <c r="I837" s="108">
        <v>10610</v>
      </c>
      <c r="J837" s="150">
        <v>0.60613425925925923</v>
      </c>
      <c r="K837" s="150">
        <v>0.60803240740740738</v>
      </c>
      <c r="L837" t="s">
        <v>165</v>
      </c>
      <c r="N837">
        <v>2685502</v>
      </c>
      <c r="O837">
        <v>2685502</v>
      </c>
      <c r="P837">
        <v>0</v>
      </c>
      <c r="Q837">
        <v>0</v>
      </c>
      <c r="R837" t="s">
        <v>166</v>
      </c>
      <c r="S837">
        <v>0</v>
      </c>
      <c r="T837" t="s">
        <v>167</v>
      </c>
      <c r="U837">
        <v>0</v>
      </c>
      <c r="W837" t="s">
        <v>166</v>
      </c>
      <c r="X837" t="s">
        <v>166</v>
      </c>
    </row>
    <row r="838" spans="1:24" x14ac:dyDescent="0.3">
      <c r="A838" s="7" t="s">
        <v>87</v>
      </c>
      <c r="B838" t="s">
        <v>88</v>
      </c>
      <c r="C838" t="s">
        <v>169</v>
      </c>
      <c r="D838" t="s">
        <v>170</v>
      </c>
      <c r="E838">
        <v>581</v>
      </c>
      <c r="F838">
        <v>0</v>
      </c>
      <c r="G838">
        <v>581</v>
      </c>
      <c r="H838" s="108">
        <v>3080</v>
      </c>
      <c r="I838" s="108">
        <v>3080</v>
      </c>
      <c r="J838" s="150">
        <v>0.60633101851851856</v>
      </c>
      <c r="K838" s="150">
        <v>0.60633101851851856</v>
      </c>
      <c r="L838" t="s">
        <v>165</v>
      </c>
      <c r="N838">
        <v>2686390</v>
      </c>
      <c r="O838">
        <v>2686390</v>
      </c>
      <c r="P838">
        <v>0</v>
      </c>
      <c r="Q838">
        <v>0</v>
      </c>
      <c r="R838" t="s">
        <v>166</v>
      </c>
      <c r="S838">
        <v>0</v>
      </c>
      <c r="T838" t="s">
        <v>167</v>
      </c>
      <c r="U838">
        <v>0</v>
      </c>
      <c r="W838" t="s">
        <v>166</v>
      </c>
      <c r="X838" t="s">
        <v>166</v>
      </c>
    </row>
    <row r="839" spans="1:24" x14ac:dyDescent="0.3">
      <c r="A839" s="7" t="s">
        <v>114</v>
      </c>
      <c r="B839" t="s">
        <v>173</v>
      </c>
      <c r="C839" t="s">
        <v>163</v>
      </c>
      <c r="D839" t="s">
        <v>164</v>
      </c>
      <c r="E839">
        <v>10</v>
      </c>
      <c r="F839">
        <v>0</v>
      </c>
      <c r="G839">
        <v>10</v>
      </c>
      <c r="H839" s="108">
        <v>16675</v>
      </c>
      <c r="I839" s="108">
        <v>16675</v>
      </c>
      <c r="J839" s="150">
        <v>0.60651620370370374</v>
      </c>
      <c r="K839" s="150">
        <v>0.60652777777777778</v>
      </c>
      <c r="L839" t="s">
        <v>165</v>
      </c>
      <c r="N839">
        <v>2687274</v>
      </c>
      <c r="O839">
        <v>2687274</v>
      </c>
      <c r="P839">
        <v>2687258</v>
      </c>
      <c r="Q839">
        <v>0</v>
      </c>
      <c r="R839" t="s">
        <v>166</v>
      </c>
      <c r="S839">
        <v>0</v>
      </c>
      <c r="T839" t="s">
        <v>167</v>
      </c>
      <c r="U839">
        <v>2687258</v>
      </c>
      <c r="W839" t="s">
        <v>166</v>
      </c>
      <c r="X839" t="s">
        <v>166</v>
      </c>
    </row>
    <row r="840" spans="1:24" x14ac:dyDescent="0.3">
      <c r="A840" s="7" t="s">
        <v>73</v>
      </c>
      <c r="B840" t="s">
        <v>74</v>
      </c>
      <c r="C840" t="s">
        <v>163</v>
      </c>
      <c r="D840" t="s">
        <v>170</v>
      </c>
      <c r="E840" s="108">
        <v>6618</v>
      </c>
      <c r="F840">
        <v>0</v>
      </c>
      <c r="G840" s="108">
        <v>6618</v>
      </c>
      <c r="H840" s="108">
        <v>22410</v>
      </c>
      <c r="I840" s="108">
        <v>22410</v>
      </c>
      <c r="J840" s="150">
        <v>0.60692129629629632</v>
      </c>
      <c r="K840" s="150">
        <v>0.60711805555555554</v>
      </c>
      <c r="L840" t="s">
        <v>165</v>
      </c>
      <c r="N840">
        <v>2688903</v>
      </c>
      <c r="O840">
        <v>2688903</v>
      </c>
      <c r="P840">
        <v>0</v>
      </c>
      <c r="Q840">
        <v>0</v>
      </c>
      <c r="R840" t="s">
        <v>166</v>
      </c>
      <c r="S840">
        <v>0</v>
      </c>
      <c r="T840" t="s">
        <v>167</v>
      </c>
      <c r="U840">
        <v>0</v>
      </c>
      <c r="W840" t="s">
        <v>166</v>
      </c>
      <c r="X840" t="s">
        <v>166</v>
      </c>
    </row>
    <row r="841" spans="1:24" x14ac:dyDescent="0.3">
      <c r="A841" s="7" t="s">
        <v>60</v>
      </c>
      <c r="B841" t="s">
        <v>61</v>
      </c>
      <c r="C841" t="s">
        <v>163</v>
      </c>
      <c r="D841" t="s">
        <v>170</v>
      </c>
      <c r="E841">
        <v>933</v>
      </c>
      <c r="F841">
        <v>0</v>
      </c>
      <c r="G841">
        <v>933</v>
      </c>
      <c r="H841" s="108">
        <v>35755</v>
      </c>
      <c r="I841" s="108">
        <v>35755</v>
      </c>
      <c r="J841" s="150">
        <v>0.60708333333333331</v>
      </c>
      <c r="K841" s="150">
        <v>0.60711805555555554</v>
      </c>
      <c r="L841" t="s">
        <v>165</v>
      </c>
      <c r="N841">
        <v>2689653</v>
      </c>
      <c r="O841">
        <v>2689653</v>
      </c>
      <c r="P841">
        <v>0</v>
      </c>
      <c r="Q841">
        <v>0</v>
      </c>
      <c r="R841" t="s">
        <v>166</v>
      </c>
      <c r="S841">
        <v>0</v>
      </c>
      <c r="T841" t="s">
        <v>167</v>
      </c>
      <c r="U841">
        <v>0</v>
      </c>
      <c r="W841" t="s">
        <v>166</v>
      </c>
      <c r="X841" t="s">
        <v>166</v>
      </c>
    </row>
    <row r="842" spans="1:24" x14ac:dyDescent="0.3">
      <c r="A842" s="7" t="s">
        <v>71</v>
      </c>
      <c r="B842" t="s">
        <v>72</v>
      </c>
      <c r="C842" t="s">
        <v>163</v>
      </c>
      <c r="D842" t="s">
        <v>170</v>
      </c>
      <c r="E842" s="108">
        <v>3491</v>
      </c>
      <c r="F842">
        <v>0</v>
      </c>
      <c r="G842" s="108">
        <v>3491</v>
      </c>
      <c r="H842" s="108">
        <v>18950</v>
      </c>
      <c r="I842" s="108">
        <v>18950</v>
      </c>
      <c r="J842" s="150">
        <v>0.60719907407407414</v>
      </c>
      <c r="K842" s="150">
        <v>0.60721064814814818</v>
      </c>
      <c r="L842" t="s">
        <v>165</v>
      </c>
      <c r="N842">
        <v>2690042</v>
      </c>
      <c r="O842">
        <v>2690042</v>
      </c>
      <c r="P842">
        <v>0</v>
      </c>
      <c r="Q842">
        <v>0</v>
      </c>
      <c r="R842" t="s">
        <v>166</v>
      </c>
      <c r="S842">
        <v>0</v>
      </c>
      <c r="T842" t="s">
        <v>167</v>
      </c>
      <c r="U842">
        <v>0</v>
      </c>
      <c r="W842" t="s">
        <v>166</v>
      </c>
      <c r="X842" t="s">
        <v>166</v>
      </c>
    </row>
    <row r="843" spans="1:24" x14ac:dyDescent="0.3">
      <c r="A843" s="7" t="s">
        <v>65</v>
      </c>
      <c r="B843" t="s">
        <v>66</v>
      </c>
      <c r="C843" t="s">
        <v>163</v>
      </c>
      <c r="D843" t="s">
        <v>170</v>
      </c>
      <c r="E843" s="108">
        <v>2269</v>
      </c>
      <c r="F843">
        <v>0</v>
      </c>
      <c r="G843" s="108">
        <v>2269</v>
      </c>
      <c r="H843" s="108">
        <v>5055</v>
      </c>
      <c r="I843" s="108">
        <v>5055</v>
      </c>
      <c r="J843" s="150">
        <v>0.6074074074074074</v>
      </c>
      <c r="K843" s="150">
        <v>0.60748842592592589</v>
      </c>
      <c r="L843" t="s">
        <v>165</v>
      </c>
      <c r="N843">
        <v>2690994</v>
      </c>
      <c r="O843">
        <v>2690994</v>
      </c>
      <c r="P843">
        <v>0</v>
      </c>
      <c r="Q843">
        <v>0</v>
      </c>
      <c r="R843" t="s">
        <v>166</v>
      </c>
      <c r="S843">
        <v>0</v>
      </c>
      <c r="T843" t="s">
        <v>167</v>
      </c>
      <c r="U843">
        <v>0</v>
      </c>
      <c r="W843" t="s">
        <v>166</v>
      </c>
      <c r="X843" t="s">
        <v>166</v>
      </c>
    </row>
    <row r="844" spans="1:24" x14ac:dyDescent="0.3">
      <c r="A844" s="7" t="s">
        <v>65</v>
      </c>
      <c r="B844" t="s">
        <v>66</v>
      </c>
      <c r="C844" t="s">
        <v>163</v>
      </c>
      <c r="D844" t="s">
        <v>170</v>
      </c>
      <c r="E844" s="108">
        <v>5000</v>
      </c>
      <c r="F844">
        <v>0</v>
      </c>
      <c r="G844" s="108">
        <v>5000</v>
      </c>
      <c r="H844" s="108">
        <v>5055</v>
      </c>
      <c r="I844" s="108">
        <v>5055</v>
      </c>
      <c r="J844" s="150">
        <v>0.60743055555555558</v>
      </c>
      <c r="K844" s="150">
        <v>0.60748842592592589</v>
      </c>
      <c r="L844" t="s">
        <v>165</v>
      </c>
      <c r="N844">
        <v>2691100</v>
      </c>
      <c r="O844">
        <v>2691100</v>
      </c>
      <c r="P844">
        <v>0</v>
      </c>
      <c r="Q844">
        <v>0</v>
      </c>
      <c r="R844" t="s">
        <v>166</v>
      </c>
      <c r="S844">
        <v>0</v>
      </c>
      <c r="T844" t="s">
        <v>167</v>
      </c>
      <c r="U844">
        <v>0</v>
      </c>
      <c r="W844" t="s">
        <v>166</v>
      </c>
      <c r="X844" t="s">
        <v>166</v>
      </c>
    </row>
    <row r="845" spans="1:24" x14ac:dyDescent="0.3">
      <c r="A845" s="7" t="s">
        <v>65</v>
      </c>
      <c r="B845" t="s">
        <v>66</v>
      </c>
      <c r="C845" t="s">
        <v>163</v>
      </c>
      <c r="D845" t="s">
        <v>170</v>
      </c>
      <c r="E845" s="108">
        <v>5000</v>
      </c>
      <c r="F845">
        <v>0</v>
      </c>
      <c r="G845" s="108">
        <v>5000</v>
      </c>
      <c r="H845" s="108">
        <v>5055</v>
      </c>
      <c r="I845" s="108">
        <v>5055</v>
      </c>
      <c r="J845" s="150">
        <v>0.60744212962962962</v>
      </c>
      <c r="K845" s="150">
        <v>0.60748842592592589</v>
      </c>
      <c r="L845" t="s">
        <v>165</v>
      </c>
      <c r="N845">
        <v>2691126</v>
      </c>
      <c r="O845">
        <v>2691126</v>
      </c>
      <c r="P845">
        <v>0</v>
      </c>
      <c r="Q845">
        <v>0</v>
      </c>
      <c r="R845" t="s">
        <v>166</v>
      </c>
      <c r="S845">
        <v>0</v>
      </c>
      <c r="T845" t="s">
        <v>167</v>
      </c>
      <c r="U845">
        <v>0</v>
      </c>
      <c r="W845" t="s">
        <v>166</v>
      </c>
      <c r="X845" t="s">
        <v>166</v>
      </c>
    </row>
    <row r="846" spans="1:24" x14ac:dyDescent="0.3">
      <c r="A846" s="7" t="s">
        <v>96</v>
      </c>
      <c r="B846" t="s">
        <v>97</v>
      </c>
      <c r="C846" t="s">
        <v>169</v>
      </c>
      <c r="D846" t="s">
        <v>164</v>
      </c>
      <c r="E846" s="108">
        <v>2906</v>
      </c>
      <c r="F846">
        <v>0</v>
      </c>
      <c r="G846" s="108">
        <v>2906</v>
      </c>
      <c r="H846" s="108">
        <v>14325</v>
      </c>
      <c r="I846" s="108">
        <v>14325</v>
      </c>
      <c r="J846" s="150">
        <v>0.60755787037037035</v>
      </c>
      <c r="K846" s="150">
        <v>0.6092129629629629</v>
      </c>
      <c r="L846" t="s">
        <v>165</v>
      </c>
      <c r="N846">
        <v>2691688</v>
      </c>
      <c r="O846">
        <v>2691688</v>
      </c>
      <c r="P846">
        <v>2691646</v>
      </c>
      <c r="Q846">
        <v>0</v>
      </c>
      <c r="R846" t="s">
        <v>166</v>
      </c>
      <c r="S846">
        <v>0</v>
      </c>
      <c r="T846" t="s">
        <v>167</v>
      </c>
      <c r="U846">
        <v>2691646</v>
      </c>
      <c r="W846" t="s">
        <v>166</v>
      </c>
      <c r="X846" t="s">
        <v>166</v>
      </c>
    </row>
    <row r="847" spans="1:24" x14ac:dyDescent="0.3">
      <c r="A847" s="7" t="s">
        <v>94</v>
      </c>
      <c r="B847" t="s">
        <v>95</v>
      </c>
      <c r="C847" t="s">
        <v>163</v>
      </c>
      <c r="D847" t="s">
        <v>170</v>
      </c>
      <c r="E847" s="108">
        <v>5000</v>
      </c>
      <c r="F847">
        <v>0</v>
      </c>
      <c r="G847">
        <v>639</v>
      </c>
      <c r="H847" s="108">
        <v>8435</v>
      </c>
      <c r="I847" s="108">
        <v>8435</v>
      </c>
      <c r="J847" s="150">
        <v>0.60776620370370371</v>
      </c>
      <c r="K847" s="150">
        <v>0.60777777777777775</v>
      </c>
      <c r="L847" t="s">
        <v>165</v>
      </c>
      <c r="N847">
        <v>2692535</v>
      </c>
      <c r="O847">
        <v>2692535</v>
      </c>
      <c r="P847">
        <v>0</v>
      </c>
      <c r="Q847" s="108">
        <v>4361</v>
      </c>
      <c r="R847" t="s">
        <v>166</v>
      </c>
      <c r="S847">
        <v>0</v>
      </c>
      <c r="T847" t="s">
        <v>167</v>
      </c>
      <c r="U847">
        <v>0</v>
      </c>
      <c r="W847" t="s">
        <v>166</v>
      </c>
      <c r="X847" t="s">
        <v>166</v>
      </c>
    </row>
    <row r="848" spans="1:24" x14ac:dyDescent="0.3">
      <c r="A848" s="7" t="s">
        <v>94</v>
      </c>
      <c r="B848" t="s">
        <v>95</v>
      </c>
      <c r="C848" t="s">
        <v>163</v>
      </c>
      <c r="D848" t="s">
        <v>164</v>
      </c>
      <c r="E848" s="108">
        <v>4361</v>
      </c>
      <c r="F848">
        <v>0</v>
      </c>
      <c r="G848" s="108">
        <v>4361</v>
      </c>
      <c r="H848" s="108">
        <v>8430</v>
      </c>
      <c r="I848" s="108">
        <v>8430</v>
      </c>
      <c r="J848" s="150">
        <v>0.60777777777777775</v>
      </c>
      <c r="K848" s="150">
        <v>0.6077893518518519</v>
      </c>
      <c r="L848" t="s">
        <v>165</v>
      </c>
      <c r="N848">
        <v>2692573</v>
      </c>
      <c r="O848">
        <v>2692573</v>
      </c>
      <c r="P848">
        <v>2692535</v>
      </c>
      <c r="Q848">
        <v>0</v>
      </c>
      <c r="R848" t="s">
        <v>166</v>
      </c>
      <c r="S848">
        <v>0</v>
      </c>
      <c r="T848" t="s">
        <v>167</v>
      </c>
      <c r="U848">
        <v>2692535</v>
      </c>
      <c r="W848" t="s">
        <v>166</v>
      </c>
      <c r="X848" t="s">
        <v>166</v>
      </c>
    </row>
    <row r="849" spans="1:24" x14ac:dyDescent="0.3">
      <c r="A849" s="7" t="s">
        <v>94</v>
      </c>
      <c r="B849" t="s">
        <v>95</v>
      </c>
      <c r="C849" t="s">
        <v>163</v>
      </c>
      <c r="D849" t="s">
        <v>170</v>
      </c>
      <c r="E849" s="108">
        <v>1245</v>
      </c>
      <c r="F849">
        <v>0</v>
      </c>
      <c r="G849" s="108">
        <v>1245</v>
      </c>
      <c r="H849" s="108">
        <v>8435</v>
      </c>
      <c r="I849" s="108">
        <v>8435</v>
      </c>
      <c r="J849" s="150">
        <v>0.60783564814814817</v>
      </c>
      <c r="K849" s="150">
        <v>0.60783564814814817</v>
      </c>
      <c r="L849" t="s">
        <v>165</v>
      </c>
      <c r="N849">
        <v>2692772</v>
      </c>
      <c r="O849">
        <v>2692772</v>
      </c>
      <c r="P849">
        <v>0</v>
      </c>
      <c r="Q849">
        <v>0</v>
      </c>
      <c r="R849" t="s">
        <v>166</v>
      </c>
      <c r="S849">
        <v>0</v>
      </c>
      <c r="T849" t="s">
        <v>167</v>
      </c>
      <c r="U849">
        <v>0</v>
      </c>
      <c r="W849" t="s">
        <v>166</v>
      </c>
      <c r="X849" t="s">
        <v>166</v>
      </c>
    </row>
    <row r="850" spans="1:24" x14ac:dyDescent="0.3">
      <c r="A850" s="7" t="s">
        <v>92</v>
      </c>
      <c r="B850" t="s">
        <v>93</v>
      </c>
      <c r="C850" t="s">
        <v>169</v>
      </c>
      <c r="D850" t="s">
        <v>164</v>
      </c>
      <c r="E850">
        <v>923</v>
      </c>
      <c r="F850">
        <v>0</v>
      </c>
      <c r="G850">
        <v>923</v>
      </c>
      <c r="H850" s="108">
        <v>22235</v>
      </c>
      <c r="I850" s="108">
        <v>22235</v>
      </c>
      <c r="J850" s="150">
        <v>0.60798611111111112</v>
      </c>
      <c r="K850" s="150">
        <v>0.60798611111111112</v>
      </c>
      <c r="L850" t="s">
        <v>165</v>
      </c>
      <c r="N850">
        <v>2693435</v>
      </c>
      <c r="O850">
        <v>2693435</v>
      </c>
      <c r="P850">
        <v>2666483</v>
      </c>
      <c r="Q850">
        <v>0</v>
      </c>
      <c r="R850" t="s">
        <v>166</v>
      </c>
      <c r="S850">
        <v>0</v>
      </c>
      <c r="T850" t="s">
        <v>167</v>
      </c>
      <c r="U850">
        <v>2666483</v>
      </c>
      <c r="W850" t="s">
        <v>166</v>
      </c>
      <c r="X850" t="s">
        <v>166</v>
      </c>
    </row>
    <row r="851" spans="1:24" x14ac:dyDescent="0.3">
      <c r="A851" s="7" t="s">
        <v>94</v>
      </c>
      <c r="B851" t="s">
        <v>95</v>
      </c>
      <c r="C851" t="s">
        <v>163</v>
      </c>
      <c r="D851" t="s">
        <v>170</v>
      </c>
      <c r="E851" s="108">
        <v>7875</v>
      </c>
      <c r="F851">
        <v>0</v>
      </c>
      <c r="G851" s="108">
        <v>7875</v>
      </c>
      <c r="H851" s="108">
        <v>8445</v>
      </c>
      <c r="I851" s="108">
        <v>8445</v>
      </c>
      <c r="J851" s="150">
        <v>0.60908564814814814</v>
      </c>
      <c r="K851" s="150">
        <v>0.61156250000000001</v>
      </c>
      <c r="L851" t="s">
        <v>165</v>
      </c>
      <c r="N851">
        <v>2698226</v>
      </c>
      <c r="O851">
        <v>2698226</v>
      </c>
      <c r="P851">
        <v>0</v>
      </c>
      <c r="Q851">
        <v>0</v>
      </c>
      <c r="R851" t="s">
        <v>166</v>
      </c>
      <c r="S851">
        <v>0</v>
      </c>
      <c r="T851" t="s">
        <v>167</v>
      </c>
      <c r="U851">
        <v>0</v>
      </c>
      <c r="W851" t="s">
        <v>166</v>
      </c>
      <c r="X851" t="s">
        <v>166</v>
      </c>
    </row>
    <row r="852" spans="1:24" x14ac:dyDescent="0.3">
      <c r="A852" s="7" t="s">
        <v>63</v>
      </c>
      <c r="B852" t="s">
        <v>64</v>
      </c>
      <c r="C852" t="s">
        <v>169</v>
      </c>
      <c r="D852" t="s">
        <v>164</v>
      </c>
      <c r="E852" s="108">
        <v>43584</v>
      </c>
      <c r="F852">
        <v>0</v>
      </c>
      <c r="G852" s="108">
        <v>43584</v>
      </c>
      <c r="H852" s="108">
        <v>4735</v>
      </c>
      <c r="I852" s="108">
        <v>4735</v>
      </c>
      <c r="J852" s="150">
        <v>0.61122685185185188</v>
      </c>
      <c r="K852" s="150">
        <v>0.61123842592592592</v>
      </c>
      <c r="L852" t="s">
        <v>165</v>
      </c>
      <c r="N852">
        <v>2709681</v>
      </c>
      <c r="O852">
        <v>2709681</v>
      </c>
      <c r="P852">
        <v>2698567</v>
      </c>
      <c r="Q852">
        <v>0</v>
      </c>
      <c r="R852" t="s">
        <v>166</v>
      </c>
      <c r="S852">
        <v>0</v>
      </c>
      <c r="T852" t="s">
        <v>167</v>
      </c>
      <c r="U852">
        <v>2698567</v>
      </c>
      <c r="W852" t="s">
        <v>166</v>
      </c>
      <c r="X852" t="s">
        <v>166</v>
      </c>
    </row>
    <row r="853" spans="1:24" x14ac:dyDescent="0.3">
      <c r="A853" s="7" t="s">
        <v>132</v>
      </c>
      <c r="B853" t="s">
        <v>133</v>
      </c>
      <c r="C853" t="s">
        <v>169</v>
      </c>
      <c r="D853" t="s">
        <v>170</v>
      </c>
      <c r="E853">
        <v>24</v>
      </c>
      <c r="F853">
        <v>1</v>
      </c>
      <c r="G853">
        <v>23</v>
      </c>
      <c r="H853" s="108">
        <v>7840</v>
      </c>
      <c r="I853" s="108">
        <v>7840</v>
      </c>
      <c r="J853" s="150">
        <v>0.63600694444444439</v>
      </c>
      <c r="K853" s="150">
        <v>0.63601851851851854</v>
      </c>
      <c r="L853" t="s">
        <v>174</v>
      </c>
      <c r="N853">
        <v>2814427</v>
      </c>
      <c r="O853">
        <v>2814427</v>
      </c>
      <c r="P853">
        <v>0</v>
      </c>
      <c r="Q853">
        <v>0</v>
      </c>
      <c r="R853" t="s">
        <v>166</v>
      </c>
      <c r="S853">
        <v>0</v>
      </c>
      <c r="T853" t="s">
        <v>167</v>
      </c>
      <c r="U853">
        <v>0</v>
      </c>
      <c r="W853" t="s">
        <v>166</v>
      </c>
      <c r="X853" t="s">
        <v>166</v>
      </c>
    </row>
    <row r="854" spans="1:24" x14ac:dyDescent="0.3">
      <c r="A854" s="7" t="s">
        <v>176</v>
      </c>
      <c r="B854" t="s">
        <v>175</v>
      </c>
      <c r="C854" t="s">
        <v>169</v>
      </c>
      <c r="D854" t="s">
        <v>170</v>
      </c>
      <c r="E854">
        <v>400</v>
      </c>
      <c r="F854">
        <v>0</v>
      </c>
      <c r="G854">
        <v>398</v>
      </c>
      <c r="H854" s="108">
        <v>25255</v>
      </c>
      <c r="I854" s="108">
        <v>25253</v>
      </c>
      <c r="J854" s="150">
        <v>0.6365277777777778</v>
      </c>
      <c r="K854" s="150">
        <v>0.63673611111111106</v>
      </c>
      <c r="L854" t="s">
        <v>165</v>
      </c>
      <c r="N854">
        <v>2817007</v>
      </c>
      <c r="O854">
        <v>2817007</v>
      </c>
      <c r="P854">
        <v>0</v>
      </c>
      <c r="Q854">
        <v>2</v>
      </c>
      <c r="R854" t="s">
        <v>166</v>
      </c>
      <c r="S854">
        <v>0</v>
      </c>
      <c r="T854" t="s">
        <v>167</v>
      </c>
      <c r="U854">
        <v>0</v>
      </c>
      <c r="W854" t="s">
        <v>166</v>
      </c>
      <c r="X854" t="s">
        <v>166</v>
      </c>
    </row>
    <row r="855" spans="1:24" x14ac:dyDescent="0.3">
      <c r="A855" s="7" t="s">
        <v>71</v>
      </c>
      <c r="B855" t="s">
        <v>72</v>
      </c>
      <c r="C855" t="s">
        <v>169</v>
      </c>
      <c r="D855" t="s">
        <v>170</v>
      </c>
      <c r="E855" s="108">
        <v>2000</v>
      </c>
      <c r="F855">
        <v>0</v>
      </c>
      <c r="G855">
        <v>312</v>
      </c>
      <c r="H855" s="108">
        <v>19020</v>
      </c>
      <c r="I855" s="108">
        <v>19018</v>
      </c>
      <c r="J855" s="150">
        <v>0.6367708333333334</v>
      </c>
      <c r="K855" s="150">
        <v>0.63678240740740744</v>
      </c>
      <c r="L855" t="s">
        <v>165</v>
      </c>
      <c r="N855">
        <v>2817893</v>
      </c>
      <c r="O855">
        <v>2817893</v>
      </c>
      <c r="P855">
        <v>0</v>
      </c>
      <c r="Q855" s="108">
        <v>1688</v>
      </c>
      <c r="R855" t="s">
        <v>166</v>
      </c>
      <c r="S855">
        <v>0</v>
      </c>
      <c r="T855" t="s">
        <v>167</v>
      </c>
      <c r="U855">
        <v>0</v>
      </c>
      <c r="W855" t="s">
        <v>166</v>
      </c>
      <c r="X855" t="s">
        <v>166</v>
      </c>
    </row>
    <row r="856" spans="1:24" x14ac:dyDescent="0.3">
      <c r="A856" s="7" t="s">
        <v>71</v>
      </c>
      <c r="B856" t="s">
        <v>72</v>
      </c>
      <c r="C856" t="s">
        <v>169</v>
      </c>
      <c r="D856" t="s">
        <v>164</v>
      </c>
      <c r="E856" s="108">
        <v>1688</v>
      </c>
      <c r="F856">
        <v>0</v>
      </c>
      <c r="G856" s="108">
        <v>1461</v>
      </c>
      <c r="H856" s="108">
        <v>19030</v>
      </c>
      <c r="I856" s="108">
        <v>19029</v>
      </c>
      <c r="J856" s="150">
        <v>0.63681712962962966</v>
      </c>
      <c r="K856" s="150">
        <v>0.63681712962962966</v>
      </c>
      <c r="L856" t="s">
        <v>165</v>
      </c>
      <c r="N856">
        <v>2818342</v>
      </c>
      <c r="O856">
        <v>2818342</v>
      </c>
      <c r="P856">
        <v>2817893</v>
      </c>
      <c r="Q856">
        <v>227</v>
      </c>
      <c r="R856" t="s">
        <v>166</v>
      </c>
      <c r="S856">
        <v>0</v>
      </c>
      <c r="T856" t="s">
        <v>167</v>
      </c>
      <c r="U856">
        <v>2817893</v>
      </c>
      <c r="W856" t="s">
        <v>166</v>
      </c>
      <c r="X856" t="s">
        <v>166</v>
      </c>
    </row>
    <row r="857" spans="1:24" x14ac:dyDescent="0.3">
      <c r="A857" s="7" t="s">
        <v>71</v>
      </c>
      <c r="B857" t="s">
        <v>72</v>
      </c>
      <c r="C857" t="s">
        <v>169</v>
      </c>
      <c r="D857" t="s">
        <v>164</v>
      </c>
      <c r="E857">
        <v>227</v>
      </c>
      <c r="F857">
        <v>0</v>
      </c>
      <c r="G857">
        <v>24</v>
      </c>
      <c r="H857" s="108">
        <v>19025</v>
      </c>
      <c r="I857" s="108">
        <v>19025</v>
      </c>
      <c r="J857" s="150">
        <v>0.63684027777777785</v>
      </c>
      <c r="K857" s="150">
        <v>0.63719907407407406</v>
      </c>
      <c r="L857" t="s">
        <v>165</v>
      </c>
      <c r="N857">
        <v>2818433</v>
      </c>
      <c r="O857">
        <v>2818433</v>
      </c>
      <c r="P857">
        <v>2818342</v>
      </c>
      <c r="Q857">
        <v>203</v>
      </c>
      <c r="R857" t="s">
        <v>166</v>
      </c>
      <c r="S857">
        <v>0</v>
      </c>
      <c r="T857" t="s">
        <v>167</v>
      </c>
      <c r="U857">
        <v>2818342</v>
      </c>
      <c r="W857" t="s">
        <v>166</v>
      </c>
      <c r="X857" t="s">
        <v>166</v>
      </c>
    </row>
    <row r="858" spans="1:24" x14ac:dyDescent="0.3">
      <c r="A858" s="7" t="s">
        <v>176</v>
      </c>
      <c r="B858" t="s">
        <v>175</v>
      </c>
      <c r="C858" t="s">
        <v>169</v>
      </c>
      <c r="D858" t="s">
        <v>164</v>
      </c>
      <c r="E858">
        <v>2</v>
      </c>
      <c r="F858">
        <v>0</v>
      </c>
      <c r="G858">
        <v>2</v>
      </c>
      <c r="H858" s="108">
        <v>25285</v>
      </c>
      <c r="I858" s="108">
        <v>25275</v>
      </c>
      <c r="J858" s="150">
        <v>0.63721064814814821</v>
      </c>
      <c r="K858" s="150">
        <v>0.63722222222222225</v>
      </c>
      <c r="L858" t="s">
        <v>165</v>
      </c>
      <c r="N858">
        <v>2820108</v>
      </c>
      <c r="O858">
        <v>2820108</v>
      </c>
      <c r="P858">
        <v>2817007</v>
      </c>
      <c r="Q858">
        <v>0</v>
      </c>
      <c r="R858" t="s">
        <v>166</v>
      </c>
      <c r="S858">
        <v>0</v>
      </c>
      <c r="T858" t="s">
        <v>167</v>
      </c>
      <c r="U858">
        <v>2817007</v>
      </c>
      <c r="W858" t="s">
        <v>166</v>
      </c>
      <c r="X858" t="s">
        <v>166</v>
      </c>
    </row>
    <row r="859" spans="1:24" x14ac:dyDescent="0.3">
      <c r="A859" s="7" t="s">
        <v>71</v>
      </c>
      <c r="B859" t="s">
        <v>72</v>
      </c>
      <c r="C859" t="s">
        <v>169</v>
      </c>
      <c r="D859" t="s">
        <v>164</v>
      </c>
      <c r="E859">
        <v>203</v>
      </c>
      <c r="F859">
        <v>0</v>
      </c>
      <c r="G859">
        <v>203</v>
      </c>
      <c r="H859" s="108">
        <v>19050</v>
      </c>
      <c r="I859" s="108">
        <v>19045</v>
      </c>
      <c r="J859" s="150">
        <v>0.63732638888888882</v>
      </c>
      <c r="K859" s="150">
        <v>0.63733796296296297</v>
      </c>
      <c r="L859" t="s">
        <v>165</v>
      </c>
      <c r="N859">
        <v>2820586</v>
      </c>
      <c r="O859">
        <v>2820586</v>
      </c>
      <c r="P859">
        <v>2820503</v>
      </c>
      <c r="Q859">
        <v>0</v>
      </c>
      <c r="R859" t="s">
        <v>166</v>
      </c>
      <c r="S859">
        <v>0</v>
      </c>
      <c r="T859" t="s">
        <v>167</v>
      </c>
      <c r="U859">
        <v>2820503</v>
      </c>
      <c r="W859" t="s">
        <v>166</v>
      </c>
      <c r="X859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2026-08-27T00:14:59Z</dcterms:created>
  <dcterms:modified xsi:type="dcterms:W3CDTF">2026-08-27T06:20:38Z</dcterms:modified>
</cp:coreProperties>
</file>