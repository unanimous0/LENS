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diopadmin\Desktop\"/>
    </mc:Choice>
  </mc:AlternateContent>
  <xr:revisionPtr revIDLastSave="0" documentId="13_ncr:1_{6118ED5A-6B74-4098-B17E-C5D5A4BFDF67}" xr6:coauthVersionLast="47" xr6:coauthVersionMax="47" xr10:uidLastSave="{00000000-0000-0000-0000-000000000000}"/>
  <bookViews>
    <workbookView xWindow="-60" yWindow="-16320" windowWidth="29040" windowHeight="15720" xr2:uid="{7FD87D23-5BDD-4FCE-B401-FBFE30032D75}"/>
  </bookViews>
  <sheets>
    <sheet name="Sheet1" sheetId="1" r:id="rId1"/>
    <sheet name="Sheet2" sheetId="3" r:id="rId2"/>
    <sheet name="Sheet3" sheetId="4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1" l="1"/>
  <c r="AK52" i="1"/>
  <c r="AJ52" i="1"/>
  <c r="AG52" i="1"/>
  <c r="W52" i="1"/>
  <c r="V52" i="1"/>
  <c r="U52" i="1"/>
  <c r="Q52" i="1"/>
  <c r="P52" i="1"/>
  <c r="K52" i="1"/>
  <c r="J52" i="1"/>
  <c r="H52" i="1"/>
  <c r="G52" i="1"/>
  <c r="E52" i="1"/>
  <c r="D52" i="1"/>
  <c r="AK51" i="1"/>
  <c r="AJ51" i="1"/>
  <c r="AG51" i="1"/>
  <c r="W51" i="1"/>
  <c r="V51" i="1"/>
  <c r="U51" i="1"/>
  <c r="Q51" i="1"/>
  <c r="P51" i="1"/>
  <c r="K51" i="1"/>
  <c r="J51" i="1"/>
  <c r="H51" i="1"/>
  <c r="G51" i="1"/>
  <c r="E51" i="1"/>
  <c r="D51" i="1"/>
  <c r="AK50" i="1"/>
  <c r="AJ50" i="1"/>
  <c r="AG50" i="1"/>
  <c r="W50" i="1"/>
  <c r="V50" i="1"/>
  <c r="U50" i="1"/>
  <c r="Q50" i="1"/>
  <c r="P50" i="1"/>
  <c r="K50" i="1"/>
  <c r="J50" i="1"/>
  <c r="H50" i="1"/>
  <c r="G50" i="1"/>
  <c r="E50" i="1"/>
  <c r="D50" i="1"/>
  <c r="AK49" i="1"/>
  <c r="AJ49" i="1"/>
  <c r="AG49" i="1"/>
  <c r="W49" i="1"/>
  <c r="V49" i="1"/>
  <c r="U49" i="1"/>
  <c r="Q49" i="1"/>
  <c r="P49" i="1"/>
  <c r="K49" i="1"/>
  <c r="J49" i="1"/>
  <c r="H49" i="1"/>
  <c r="G49" i="1"/>
  <c r="E49" i="1"/>
  <c r="D49" i="1"/>
  <c r="AK48" i="1"/>
  <c r="AJ48" i="1"/>
  <c r="AG48" i="1"/>
  <c r="W48" i="1"/>
  <c r="V48" i="1"/>
  <c r="U48" i="1"/>
  <c r="Q48" i="1"/>
  <c r="P48" i="1"/>
  <c r="K48" i="1"/>
  <c r="J48" i="1"/>
  <c r="H48" i="1"/>
  <c r="G48" i="1"/>
  <c r="E48" i="1"/>
  <c r="D48" i="1"/>
  <c r="AK47" i="1"/>
  <c r="AJ47" i="1"/>
  <c r="AG47" i="1"/>
  <c r="W47" i="1"/>
  <c r="V47" i="1"/>
  <c r="U47" i="1"/>
  <c r="Q47" i="1"/>
  <c r="P47" i="1"/>
  <c r="K47" i="1"/>
  <c r="J47" i="1"/>
  <c r="H47" i="1"/>
  <c r="G47" i="1"/>
  <c r="E47" i="1"/>
  <c r="D47" i="1"/>
  <c r="AK46" i="1"/>
  <c r="AJ46" i="1"/>
  <c r="AG46" i="1"/>
  <c r="W46" i="1"/>
  <c r="V46" i="1"/>
  <c r="U46" i="1"/>
  <c r="Q46" i="1"/>
  <c r="P46" i="1"/>
  <c r="K46" i="1"/>
  <c r="J46" i="1"/>
  <c r="H46" i="1"/>
  <c r="G46" i="1"/>
  <c r="E46" i="1"/>
  <c r="D46" i="1"/>
  <c r="AK45" i="1"/>
  <c r="AJ45" i="1"/>
  <c r="AG45" i="1"/>
  <c r="W45" i="1"/>
  <c r="V45" i="1"/>
  <c r="U45" i="1"/>
  <c r="Q45" i="1"/>
  <c r="P45" i="1"/>
  <c r="K45" i="1"/>
  <c r="J45" i="1"/>
  <c r="H45" i="1"/>
  <c r="G45" i="1"/>
  <c r="E45" i="1"/>
  <c r="D45" i="1"/>
  <c r="AK44" i="1"/>
  <c r="AJ44" i="1"/>
  <c r="AG44" i="1"/>
  <c r="W44" i="1"/>
  <c r="V44" i="1"/>
  <c r="U44" i="1"/>
  <c r="Q44" i="1"/>
  <c r="P44" i="1"/>
  <c r="K44" i="1"/>
  <c r="J44" i="1"/>
  <c r="H44" i="1"/>
  <c r="G44" i="1"/>
  <c r="E44" i="1"/>
  <c r="D44" i="1"/>
  <c r="AK43" i="1"/>
  <c r="AJ43" i="1"/>
  <c r="AG43" i="1"/>
  <c r="W43" i="1"/>
  <c r="V43" i="1"/>
  <c r="U43" i="1"/>
  <c r="Q43" i="1"/>
  <c r="P43" i="1"/>
  <c r="K43" i="1"/>
  <c r="J43" i="1"/>
  <c r="H43" i="1"/>
  <c r="G43" i="1"/>
  <c r="E43" i="1"/>
  <c r="D43" i="1"/>
  <c r="AK42" i="1"/>
  <c r="AJ42" i="1"/>
  <c r="AG42" i="1"/>
  <c r="W42" i="1"/>
  <c r="V42" i="1"/>
  <c r="U42" i="1"/>
  <c r="Q42" i="1"/>
  <c r="P42" i="1"/>
  <c r="K42" i="1"/>
  <c r="J42" i="1"/>
  <c r="H42" i="1"/>
  <c r="G42" i="1"/>
  <c r="E42" i="1"/>
  <c r="D42" i="1"/>
  <c r="AK41" i="1"/>
  <c r="AJ41" i="1"/>
  <c r="AG41" i="1"/>
  <c r="W41" i="1"/>
  <c r="V41" i="1"/>
  <c r="U41" i="1"/>
  <c r="Q41" i="1"/>
  <c r="P41" i="1"/>
  <c r="K41" i="1"/>
  <c r="J41" i="1"/>
  <c r="H41" i="1"/>
  <c r="G41" i="1"/>
  <c r="E41" i="1"/>
  <c r="D41" i="1"/>
  <c r="AK40" i="1"/>
  <c r="AJ40" i="1"/>
  <c r="AG40" i="1"/>
  <c r="W40" i="1"/>
  <c r="V40" i="1"/>
  <c r="U40" i="1"/>
  <c r="Q40" i="1"/>
  <c r="P40" i="1"/>
  <c r="K40" i="1"/>
  <c r="J40" i="1"/>
  <c r="H40" i="1"/>
  <c r="G40" i="1"/>
  <c r="E40" i="1"/>
  <c r="D40" i="1"/>
  <c r="AK39" i="1"/>
  <c r="AJ39" i="1"/>
  <c r="AG39" i="1"/>
  <c r="W39" i="1"/>
  <c r="V39" i="1"/>
  <c r="U39" i="1"/>
  <c r="Q39" i="1"/>
  <c r="P39" i="1"/>
  <c r="K39" i="1"/>
  <c r="J39" i="1"/>
  <c r="H39" i="1"/>
  <c r="G39" i="1"/>
  <c r="E39" i="1"/>
  <c r="D39" i="1"/>
  <c r="AK38" i="1"/>
  <c r="AJ38" i="1"/>
  <c r="AG38" i="1"/>
  <c r="W38" i="1"/>
  <c r="V38" i="1"/>
  <c r="U38" i="1"/>
  <c r="Q38" i="1"/>
  <c r="P38" i="1"/>
  <c r="K38" i="1"/>
  <c r="J38" i="1"/>
  <c r="H38" i="1"/>
  <c r="G38" i="1"/>
  <c r="E38" i="1"/>
  <c r="D38" i="1"/>
  <c r="AK37" i="1"/>
  <c r="AJ37" i="1"/>
  <c r="AG37" i="1"/>
  <c r="W37" i="1"/>
  <c r="V37" i="1"/>
  <c r="U37" i="1"/>
  <c r="Q37" i="1"/>
  <c r="P37" i="1"/>
  <c r="K37" i="1"/>
  <c r="J37" i="1"/>
  <c r="H37" i="1"/>
  <c r="G37" i="1"/>
  <c r="E37" i="1"/>
  <c r="D37" i="1"/>
  <c r="AK36" i="1"/>
  <c r="AJ36" i="1"/>
  <c r="AG36" i="1"/>
  <c r="W36" i="1"/>
  <c r="V36" i="1"/>
  <c r="U36" i="1"/>
  <c r="Q36" i="1"/>
  <c r="P36" i="1"/>
  <c r="K36" i="1"/>
  <c r="J36" i="1"/>
  <c r="H36" i="1"/>
  <c r="G36" i="1"/>
  <c r="E36" i="1"/>
  <c r="D36" i="1"/>
  <c r="AK35" i="1"/>
  <c r="AJ35" i="1"/>
  <c r="AG35" i="1"/>
  <c r="W35" i="1"/>
  <c r="W14" i="1" s="1"/>
  <c r="V35" i="1"/>
  <c r="U35" i="1"/>
  <c r="Q35" i="1"/>
  <c r="P35" i="1"/>
  <c r="K35" i="1"/>
  <c r="J35" i="1"/>
  <c r="H35" i="1"/>
  <c r="G35" i="1"/>
  <c r="E35" i="1"/>
  <c r="D35" i="1"/>
  <c r="AK34" i="1"/>
  <c r="AJ34" i="1"/>
  <c r="AG34" i="1"/>
  <c r="W34" i="1"/>
  <c r="V34" i="1"/>
  <c r="U34" i="1"/>
  <c r="Q34" i="1"/>
  <c r="P34" i="1"/>
  <c r="K34" i="1"/>
  <c r="J34" i="1"/>
  <c r="H34" i="1"/>
  <c r="G34" i="1"/>
  <c r="E34" i="1"/>
  <c r="D34" i="1"/>
  <c r="AK33" i="1"/>
  <c r="AJ33" i="1"/>
  <c r="AG33" i="1"/>
  <c r="W33" i="1"/>
  <c r="V33" i="1"/>
  <c r="V14" i="1" s="1"/>
  <c r="U33" i="1"/>
  <c r="Q33" i="1"/>
  <c r="P33" i="1"/>
  <c r="K33" i="1"/>
  <c r="J33" i="1"/>
  <c r="H33" i="1"/>
  <c r="G33" i="1"/>
  <c r="E33" i="1"/>
  <c r="D33" i="1"/>
  <c r="AK32" i="1"/>
  <c r="AJ32" i="1"/>
  <c r="AG32" i="1"/>
  <c r="W32" i="1"/>
  <c r="V32" i="1"/>
  <c r="U32" i="1"/>
  <c r="Q32" i="1"/>
  <c r="P32" i="1"/>
  <c r="K32" i="1"/>
  <c r="J32" i="1"/>
  <c r="H32" i="1"/>
  <c r="G32" i="1"/>
  <c r="E32" i="1"/>
  <c r="D32" i="1"/>
  <c r="AK31" i="1"/>
  <c r="AJ31" i="1"/>
  <c r="AG31" i="1"/>
  <c r="W31" i="1"/>
  <c r="V31" i="1"/>
  <c r="U31" i="1"/>
  <c r="Q31" i="1"/>
  <c r="P31" i="1"/>
  <c r="K31" i="1"/>
  <c r="J31" i="1"/>
  <c r="H31" i="1"/>
  <c r="G31" i="1"/>
  <c r="E31" i="1"/>
  <c r="D31" i="1"/>
  <c r="AK30" i="1"/>
  <c r="AJ30" i="1"/>
  <c r="AG30" i="1"/>
  <c r="W30" i="1"/>
  <c r="V30" i="1"/>
  <c r="U30" i="1"/>
  <c r="Q30" i="1"/>
  <c r="P30" i="1"/>
  <c r="K30" i="1"/>
  <c r="J30" i="1"/>
  <c r="H30" i="1"/>
  <c r="G30" i="1"/>
  <c r="E30" i="1"/>
  <c r="D30" i="1"/>
  <c r="AK29" i="1"/>
  <c r="AJ29" i="1"/>
  <c r="AG29" i="1"/>
  <c r="W29" i="1"/>
  <c r="V29" i="1"/>
  <c r="U29" i="1"/>
  <c r="Q29" i="1"/>
  <c r="P29" i="1"/>
  <c r="K29" i="1"/>
  <c r="J29" i="1"/>
  <c r="H29" i="1"/>
  <c r="G29" i="1"/>
  <c r="E29" i="1"/>
  <c r="D29" i="1"/>
  <c r="AK28" i="1"/>
  <c r="AJ28" i="1"/>
  <c r="AG28" i="1"/>
  <c r="W28" i="1"/>
  <c r="V28" i="1"/>
  <c r="U28" i="1"/>
  <c r="Q28" i="1"/>
  <c r="P28" i="1"/>
  <c r="K28" i="1"/>
  <c r="J28" i="1"/>
  <c r="H28" i="1"/>
  <c r="G28" i="1"/>
  <c r="E28" i="1"/>
  <c r="D28" i="1"/>
  <c r="AK27" i="1"/>
  <c r="AJ27" i="1"/>
  <c r="AG27" i="1"/>
  <c r="W27" i="1"/>
  <c r="V27" i="1"/>
  <c r="U27" i="1"/>
  <c r="Q27" i="1"/>
  <c r="P27" i="1"/>
  <c r="K27" i="1"/>
  <c r="J27" i="1"/>
  <c r="H27" i="1"/>
  <c r="G27" i="1"/>
  <c r="E27" i="1"/>
  <c r="D27" i="1"/>
  <c r="AK26" i="1"/>
  <c r="AJ26" i="1"/>
  <c r="AG26" i="1"/>
  <c r="W26" i="1"/>
  <c r="V26" i="1"/>
  <c r="U26" i="1"/>
  <c r="Q26" i="1"/>
  <c r="P26" i="1"/>
  <c r="K26" i="1"/>
  <c r="J26" i="1"/>
  <c r="H26" i="1"/>
  <c r="G26" i="1"/>
  <c r="E26" i="1"/>
  <c r="D26" i="1"/>
  <c r="AK25" i="1"/>
  <c r="AJ25" i="1"/>
  <c r="AG25" i="1"/>
  <c r="W25" i="1"/>
  <c r="V25" i="1"/>
  <c r="U25" i="1"/>
  <c r="Q25" i="1"/>
  <c r="P25" i="1"/>
  <c r="K25" i="1"/>
  <c r="J25" i="1"/>
  <c r="H25" i="1"/>
  <c r="G25" i="1"/>
  <c r="E25" i="1"/>
  <c r="D25" i="1"/>
  <c r="AK24" i="1"/>
  <c r="AJ24" i="1"/>
  <c r="AG24" i="1"/>
  <c r="W24" i="1"/>
  <c r="V24" i="1"/>
  <c r="U24" i="1"/>
  <c r="Q24" i="1"/>
  <c r="P24" i="1"/>
  <c r="K24" i="1"/>
  <c r="J24" i="1"/>
  <c r="H24" i="1"/>
  <c r="G24" i="1"/>
  <c r="E24" i="1"/>
  <c r="D24" i="1"/>
  <c r="AK23" i="1"/>
  <c r="AJ23" i="1"/>
  <c r="AG23" i="1"/>
  <c r="W23" i="1"/>
  <c r="V23" i="1"/>
  <c r="U23" i="1"/>
  <c r="Q23" i="1"/>
  <c r="P23" i="1"/>
  <c r="K23" i="1"/>
  <c r="J23" i="1"/>
  <c r="H23" i="1"/>
  <c r="G23" i="1"/>
  <c r="E23" i="1"/>
  <c r="D23" i="1"/>
  <c r="AK22" i="1"/>
  <c r="AJ22" i="1"/>
  <c r="AG22" i="1"/>
  <c r="W22" i="1"/>
  <c r="V22" i="1"/>
  <c r="U22" i="1"/>
  <c r="Q22" i="1"/>
  <c r="P22" i="1"/>
  <c r="K22" i="1"/>
  <c r="J22" i="1"/>
  <c r="H22" i="1"/>
  <c r="G22" i="1"/>
  <c r="E22" i="1"/>
  <c r="D22" i="1"/>
  <c r="AK21" i="1"/>
  <c r="AJ21" i="1"/>
  <c r="AG21" i="1"/>
  <c r="W21" i="1"/>
  <c r="V21" i="1"/>
  <c r="U21" i="1"/>
  <c r="Q21" i="1"/>
  <c r="P21" i="1"/>
  <c r="K21" i="1"/>
  <c r="J21" i="1"/>
  <c r="H21" i="1"/>
  <c r="G21" i="1"/>
  <c r="E21" i="1"/>
  <c r="D21" i="1"/>
  <c r="AK20" i="1"/>
  <c r="AJ20" i="1"/>
  <c r="AG20" i="1"/>
  <c r="W20" i="1"/>
  <c r="V20" i="1"/>
  <c r="U20" i="1"/>
  <c r="Q20" i="1"/>
  <c r="P20" i="1"/>
  <c r="K20" i="1"/>
  <c r="J20" i="1"/>
  <c r="H20" i="1"/>
  <c r="G20" i="1"/>
  <c r="E20" i="1"/>
  <c r="D20" i="1"/>
  <c r="AK19" i="1"/>
  <c r="AJ19" i="1"/>
  <c r="AG19" i="1"/>
  <c r="W19" i="1"/>
  <c r="V19" i="1"/>
  <c r="U19" i="1"/>
  <c r="Q19" i="1"/>
  <c r="P19" i="1"/>
  <c r="K19" i="1"/>
  <c r="J19" i="1"/>
  <c r="H19" i="1"/>
  <c r="G19" i="1"/>
  <c r="E19" i="1"/>
  <c r="D19" i="1"/>
  <c r="AK18" i="1"/>
  <c r="AJ18" i="1"/>
  <c r="AG18" i="1"/>
  <c r="W18" i="1"/>
  <c r="V18" i="1"/>
  <c r="U18" i="1"/>
  <c r="Q18" i="1"/>
  <c r="P18" i="1"/>
  <c r="K18" i="1"/>
  <c r="J18" i="1"/>
  <c r="H18" i="1"/>
  <c r="G18" i="1"/>
  <c r="E18" i="1"/>
  <c r="D18" i="1"/>
  <c r="AK17" i="1"/>
  <c r="AJ17" i="1"/>
  <c r="AG17" i="1"/>
  <c r="W17" i="1"/>
  <c r="V17" i="1"/>
  <c r="U17" i="1"/>
  <c r="U14" i="1" s="1"/>
  <c r="Q17" i="1"/>
  <c r="P17" i="1"/>
  <c r="K17" i="1"/>
  <c r="J17" i="1"/>
  <c r="H17" i="1"/>
  <c r="G17" i="1"/>
  <c r="E17" i="1"/>
  <c r="D17" i="1"/>
  <c r="AK16" i="1"/>
  <c r="AJ16" i="1"/>
  <c r="AG16" i="1"/>
  <c r="W16" i="1"/>
  <c r="V16" i="1"/>
  <c r="U16" i="1"/>
  <c r="Q16" i="1"/>
  <c r="P16" i="1"/>
  <c r="K16" i="1"/>
  <c r="J16" i="1"/>
  <c r="H16" i="1"/>
  <c r="G16" i="1"/>
  <c r="E16" i="1"/>
  <c r="D16" i="1"/>
  <c r="AK15" i="1"/>
  <c r="AJ15" i="1"/>
  <c r="AG15" i="1"/>
  <c r="W15" i="1"/>
  <c r="V15" i="1"/>
  <c r="U15" i="1"/>
  <c r="P15" i="1"/>
  <c r="K15" i="1"/>
  <c r="J15" i="1"/>
  <c r="H15" i="1"/>
  <c r="G15" i="1"/>
  <c r="E15" i="1"/>
  <c r="D15" i="1"/>
  <c r="U11" i="1"/>
  <c r="P11" i="1"/>
  <c r="T11" i="1" s="1"/>
  <c r="K11" i="1"/>
  <c r="J11" i="1"/>
  <c r="H11" i="1"/>
  <c r="G11" i="1"/>
  <c r="U10" i="1"/>
  <c r="P10" i="1"/>
  <c r="T10" i="1" s="1"/>
  <c r="K10" i="1"/>
  <c r="J10" i="1"/>
  <c r="H10" i="1"/>
  <c r="G10" i="1"/>
  <c r="M42" i="1" l="1"/>
  <c r="AB42" i="1" s="1"/>
  <c r="AD42" i="1" s="1"/>
  <c r="M46" i="1"/>
  <c r="AH46" i="1" s="1"/>
  <c r="I41" i="1"/>
  <c r="R41" i="1" s="1"/>
  <c r="T9" i="1"/>
  <c r="M49" i="1"/>
  <c r="AA49" i="1" s="1"/>
  <c r="AC49" i="1" s="1"/>
  <c r="L46" i="1"/>
  <c r="S46" i="1" s="1"/>
  <c r="M51" i="1"/>
  <c r="AH51" i="1" s="1"/>
  <c r="M25" i="1"/>
  <c r="N25" i="1" s="1"/>
  <c r="AE25" i="1" s="1"/>
  <c r="M45" i="1"/>
  <c r="X45" i="1" s="1"/>
  <c r="M41" i="1"/>
  <c r="AA41" i="1" s="1"/>
  <c r="AC41" i="1" s="1"/>
  <c r="I48" i="1"/>
  <c r="R48" i="1" s="1"/>
  <c r="L20" i="1"/>
  <c r="S20" i="1" s="1"/>
  <c r="L28" i="1"/>
  <c r="S28" i="1" s="1"/>
  <c r="L19" i="1"/>
  <c r="S19" i="1" s="1"/>
  <c r="J9" i="1"/>
  <c r="M18" i="1"/>
  <c r="X18" i="1" s="1"/>
  <c r="I37" i="1"/>
  <c r="R37" i="1" s="1"/>
  <c r="M38" i="1"/>
  <c r="AA38" i="1" s="1"/>
  <c r="AC38" i="1" s="1"/>
  <c r="I40" i="1"/>
  <c r="R40" i="1" s="1"/>
  <c r="L31" i="1"/>
  <c r="S31" i="1" s="1"/>
  <c r="M24" i="1"/>
  <c r="AH24" i="1" s="1"/>
  <c r="M32" i="1"/>
  <c r="O32" i="1" s="1"/>
  <c r="M40" i="1"/>
  <c r="AB40" i="1" s="1"/>
  <c r="AD40" i="1" s="1"/>
  <c r="L22" i="1"/>
  <c r="S22" i="1" s="1"/>
  <c r="I51" i="1"/>
  <c r="R51" i="1" s="1"/>
  <c r="I29" i="1"/>
  <c r="R29" i="1" s="1"/>
  <c r="I28" i="1"/>
  <c r="R28" i="1" s="1"/>
  <c r="M16" i="1"/>
  <c r="AB16" i="1" s="1"/>
  <c r="AD16" i="1" s="1"/>
  <c r="M28" i="1"/>
  <c r="AH28" i="1" s="1"/>
  <c r="I31" i="1"/>
  <c r="R31" i="1" s="1"/>
  <c r="I17" i="1"/>
  <c r="R17" i="1" s="1"/>
  <c r="M17" i="1"/>
  <c r="AA17" i="1" s="1"/>
  <c r="AC17" i="1" s="1"/>
  <c r="L32" i="1"/>
  <c r="S32" i="1" s="1"/>
  <c r="L36" i="1"/>
  <c r="S36" i="1" s="1"/>
  <c r="I39" i="1"/>
  <c r="R39" i="1" s="1"/>
  <c r="G9" i="1"/>
  <c r="M39" i="1"/>
  <c r="AB39" i="1" s="1"/>
  <c r="AD39" i="1" s="1"/>
  <c r="L11" i="1"/>
  <c r="R11" i="1" s="1"/>
  <c r="I45" i="1"/>
  <c r="R45" i="1" s="1"/>
  <c r="I49" i="1"/>
  <c r="R49" i="1" s="1"/>
  <c r="L50" i="1"/>
  <c r="S50" i="1" s="1"/>
  <c r="I25" i="1"/>
  <c r="R25" i="1" s="1"/>
  <c r="M19" i="1"/>
  <c r="AB19" i="1" s="1"/>
  <c r="AD19" i="1" s="1"/>
  <c r="I52" i="1"/>
  <c r="R52" i="1" s="1"/>
  <c r="L35" i="1"/>
  <c r="S35" i="1" s="1"/>
  <c r="L52" i="1"/>
  <c r="S52" i="1" s="1"/>
  <c r="U9" i="1"/>
  <c r="H9" i="1"/>
  <c r="K9" i="1"/>
  <c r="I22" i="1"/>
  <c r="R22" i="1" s="1"/>
  <c r="M36" i="1"/>
  <c r="AH36" i="1" s="1"/>
  <c r="M22" i="1"/>
  <c r="O22" i="1" s="1"/>
  <c r="L42" i="1"/>
  <c r="S42" i="1" s="1"/>
  <c r="L17" i="1"/>
  <c r="S17" i="1" s="1"/>
  <c r="I20" i="1"/>
  <c r="R20" i="1" s="1"/>
  <c r="I34" i="1"/>
  <c r="R34" i="1" s="1"/>
  <c r="L39" i="1"/>
  <c r="S39" i="1" s="1"/>
  <c r="I15" i="1"/>
  <c r="R15" i="1" s="1"/>
  <c r="I43" i="1"/>
  <c r="R43" i="1" s="1"/>
  <c r="I47" i="1"/>
  <c r="R47" i="1" s="1"/>
  <c r="L48" i="1"/>
  <c r="S48" i="1" s="1"/>
  <c r="L24" i="1"/>
  <c r="S24" i="1" s="1"/>
  <c r="I32" i="1"/>
  <c r="R32" i="1" s="1"/>
  <c r="M37" i="1"/>
  <c r="AH37" i="1" s="1"/>
  <c r="I44" i="1"/>
  <c r="R44" i="1" s="1"/>
  <c r="I38" i="1"/>
  <c r="R38" i="1" s="1"/>
  <c r="M27" i="1"/>
  <c r="O27" i="1" s="1"/>
  <c r="M29" i="1"/>
  <c r="N29" i="1" s="1"/>
  <c r="AE29" i="1" s="1"/>
  <c r="I33" i="1"/>
  <c r="R33" i="1" s="1"/>
  <c r="L44" i="1"/>
  <c r="S44" i="1" s="1"/>
  <c r="M33" i="1"/>
  <c r="Y33" i="1" s="1"/>
  <c r="M35" i="1"/>
  <c r="O35" i="1" s="1"/>
  <c r="M50" i="1"/>
  <c r="X50" i="1" s="1"/>
  <c r="M52" i="1"/>
  <c r="AB52" i="1" s="1"/>
  <c r="AD52" i="1" s="1"/>
  <c r="I10" i="1"/>
  <c r="Q10" i="1" s="1"/>
  <c r="M11" i="1"/>
  <c r="N11" i="1" s="1"/>
  <c r="Q5" i="1" s="1"/>
  <c r="L21" i="1"/>
  <c r="S21" i="1" s="1"/>
  <c r="M15" i="1"/>
  <c r="N15" i="1" s="1"/>
  <c r="AE15" i="1" s="1"/>
  <c r="M47" i="1"/>
  <c r="AH47" i="1" s="1"/>
  <c r="M21" i="1"/>
  <c r="N21" i="1" s="1"/>
  <c r="AE21" i="1" s="1"/>
  <c r="I11" i="1"/>
  <c r="Q11" i="1" s="1"/>
  <c r="I36" i="1"/>
  <c r="R36" i="1" s="1"/>
  <c r="L40" i="1"/>
  <c r="S40" i="1" s="1"/>
  <c r="L51" i="1"/>
  <c r="S51" i="1" s="1"/>
  <c r="L16" i="1"/>
  <c r="S16" i="1" s="1"/>
  <c r="M30" i="1"/>
  <c r="Y30" i="1" s="1"/>
  <c r="I16" i="1"/>
  <c r="R16" i="1" s="1"/>
  <c r="L27" i="1"/>
  <c r="S27" i="1" s="1"/>
  <c r="L30" i="1"/>
  <c r="S30" i="1" s="1"/>
  <c r="L49" i="1"/>
  <c r="S49" i="1" s="1"/>
  <c r="I24" i="1"/>
  <c r="R24" i="1" s="1"/>
  <c r="M31" i="1"/>
  <c r="AB31" i="1" s="1"/>
  <c r="AD31" i="1" s="1"/>
  <c r="L37" i="1"/>
  <c r="S37" i="1" s="1"/>
  <c r="M43" i="1"/>
  <c r="AB43" i="1" s="1"/>
  <c r="AD43" i="1" s="1"/>
  <c r="I50" i="1"/>
  <c r="R50" i="1" s="1"/>
  <c r="I27" i="1"/>
  <c r="R27" i="1" s="1"/>
  <c r="I30" i="1"/>
  <c r="R30" i="1" s="1"/>
  <c r="G14" i="1"/>
  <c r="L33" i="1"/>
  <c r="S33" i="1" s="1"/>
  <c r="H14" i="1"/>
  <c r="I23" i="1"/>
  <c r="R23" i="1" s="1"/>
  <c r="L45" i="1"/>
  <c r="S45" i="1" s="1"/>
  <c r="K14" i="1"/>
  <c r="L23" i="1"/>
  <c r="S23" i="1" s="1"/>
  <c r="L25" i="1"/>
  <c r="S25" i="1" s="1"/>
  <c r="I26" i="1"/>
  <c r="R26" i="1" s="1"/>
  <c r="I19" i="1"/>
  <c r="R19" i="1" s="1"/>
  <c r="M26" i="1"/>
  <c r="L38" i="1"/>
  <c r="S38" i="1" s="1"/>
  <c r="I42" i="1"/>
  <c r="R42" i="1" s="1"/>
  <c r="I35" i="1"/>
  <c r="R35" i="1" s="1"/>
  <c r="L10" i="1"/>
  <c r="R10" i="1" s="1"/>
  <c r="L15" i="1"/>
  <c r="S15" i="1" s="1"/>
  <c r="M20" i="1"/>
  <c r="I21" i="1"/>
  <c r="R21" i="1" s="1"/>
  <c r="I46" i="1"/>
  <c r="R46" i="1" s="1"/>
  <c r="L29" i="1"/>
  <c r="S29" i="1" s="1"/>
  <c r="M10" i="1"/>
  <c r="J14" i="1"/>
  <c r="L18" i="1"/>
  <c r="S18" i="1" s="1"/>
  <c r="M23" i="1"/>
  <c r="L26" i="1"/>
  <c r="S26" i="1" s="1"/>
  <c r="I18" i="1"/>
  <c r="R18" i="1" s="1"/>
  <c r="M34" i="1"/>
  <c r="L34" i="1"/>
  <c r="S34" i="1" s="1"/>
  <c r="L43" i="1"/>
  <c r="S43" i="1" s="1"/>
  <c r="L47" i="1"/>
  <c r="S47" i="1" s="1"/>
  <c r="M44" i="1"/>
  <c r="M48" i="1"/>
  <c r="L41" i="1"/>
  <c r="S41" i="1" s="1"/>
  <c r="O46" i="1" l="1"/>
  <c r="N51" i="1"/>
  <c r="X25" i="1"/>
  <c r="AB25" i="1"/>
  <c r="AD25" i="1" s="1"/>
  <c r="X42" i="1"/>
  <c r="Y42" i="1"/>
  <c r="N42" i="1"/>
  <c r="X33" i="1"/>
  <c r="Z33" i="1" s="1"/>
  <c r="AB45" i="1"/>
  <c r="AD45" i="1" s="1"/>
  <c r="Y46" i="1"/>
  <c r="AA51" i="1"/>
  <c r="AC51" i="1" s="1"/>
  <c r="AA46" i="1"/>
  <c r="AC46" i="1" s="1"/>
  <c r="AB46" i="1"/>
  <c r="AD46" i="1" s="1"/>
  <c r="AB51" i="1"/>
  <c r="AD51" i="1" s="1"/>
  <c r="N24" i="1"/>
  <c r="AE24" i="1" s="1"/>
  <c r="AB49" i="1"/>
  <c r="AD49" i="1" s="1"/>
  <c r="N46" i="1"/>
  <c r="N49" i="1"/>
  <c r="N45" i="1"/>
  <c r="AH42" i="1"/>
  <c r="O42" i="1"/>
  <c r="Y51" i="1"/>
  <c r="O41" i="1"/>
  <c r="AA42" i="1"/>
  <c r="AC42" i="1" s="1"/>
  <c r="X46" i="1"/>
  <c r="O49" i="1"/>
  <c r="X49" i="1"/>
  <c r="Y41" i="1"/>
  <c r="AH49" i="1"/>
  <c r="AB41" i="1"/>
  <c r="AD41" i="1" s="1"/>
  <c r="AB28" i="1"/>
  <c r="AD28" i="1" s="1"/>
  <c r="Y49" i="1"/>
  <c r="AH45" i="1"/>
  <c r="N41" i="1"/>
  <c r="AE41" i="1" s="1"/>
  <c r="Y25" i="1"/>
  <c r="Y45" i="1"/>
  <c r="Z45" i="1" s="1"/>
  <c r="AA25" i="1"/>
  <c r="AC25" i="1" s="1"/>
  <c r="AA18" i="1"/>
  <c r="AC18" i="1" s="1"/>
  <c r="X38" i="1"/>
  <c r="Y38" i="1"/>
  <c r="AA45" i="1"/>
  <c r="AC45" i="1" s="1"/>
  <c r="X41" i="1"/>
  <c r="O45" i="1"/>
  <c r="O25" i="1"/>
  <c r="O38" i="1"/>
  <c r="AH25" i="1"/>
  <c r="Y24" i="1"/>
  <c r="AA31" i="1"/>
  <c r="AC31" i="1" s="1"/>
  <c r="X28" i="1"/>
  <c r="O51" i="1"/>
  <c r="X51" i="1"/>
  <c r="O24" i="1"/>
  <c r="O17" i="1"/>
  <c r="AA39" i="1"/>
  <c r="AC39" i="1" s="1"/>
  <c r="X17" i="1"/>
  <c r="Y40" i="1"/>
  <c r="N16" i="1"/>
  <c r="AE16" i="1" s="1"/>
  <c r="Y28" i="1"/>
  <c r="AH40" i="1"/>
  <c r="AH41" i="1"/>
  <c r="AB24" i="1"/>
  <c r="AD24" i="1" s="1"/>
  <c r="O16" i="1"/>
  <c r="AA32" i="1"/>
  <c r="AC32" i="1" s="1"/>
  <c r="N38" i="1"/>
  <c r="AB18" i="1"/>
  <c r="AD18" i="1" s="1"/>
  <c r="Y18" i="1"/>
  <c r="Z18" i="1" s="1"/>
  <c r="X22" i="1"/>
  <c r="AA16" i="1"/>
  <c r="AC16" i="1" s="1"/>
  <c r="AH18" i="1"/>
  <c r="X37" i="1"/>
  <c r="AH17" i="1"/>
  <c r="Y22" i="1"/>
  <c r="AH16" i="1"/>
  <c r="AB17" i="1"/>
  <c r="AD17" i="1" s="1"/>
  <c r="Y37" i="1"/>
  <c r="AB27" i="1"/>
  <c r="AD27" i="1" s="1"/>
  <c r="AB50" i="1"/>
  <c r="AD50" i="1" s="1"/>
  <c r="N37" i="1"/>
  <c r="AE37" i="1" s="1"/>
  <c r="AH39" i="1"/>
  <c r="N50" i="1"/>
  <c r="N19" i="1"/>
  <c r="AE19" i="1" s="1"/>
  <c r="O37" i="1"/>
  <c r="AH31" i="1"/>
  <c r="AB38" i="1"/>
  <c r="AD38" i="1" s="1"/>
  <c r="Y16" i="1"/>
  <c r="T52" i="1"/>
  <c r="X15" i="1"/>
  <c r="X36" i="1"/>
  <c r="X19" i="1"/>
  <c r="X16" i="1"/>
  <c r="X24" i="1"/>
  <c r="O39" i="1"/>
  <c r="AB32" i="1"/>
  <c r="AD32" i="1" s="1"/>
  <c r="Y32" i="1"/>
  <c r="AB36" i="1"/>
  <c r="AD36" i="1" s="1"/>
  <c r="O40" i="1"/>
  <c r="AH38" i="1"/>
  <c r="AA28" i="1"/>
  <c r="AC28" i="1" s="1"/>
  <c r="O29" i="1"/>
  <c r="AB22" i="1"/>
  <c r="AD22" i="1" s="1"/>
  <c r="N22" i="1"/>
  <c r="AE22" i="1" s="1"/>
  <c r="N39" i="1"/>
  <c r="AE39" i="1" s="1"/>
  <c r="AB35" i="1"/>
  <c r="AD35" i="1" s="1"/>
  <c r="N32" i="1"/>
  <c r="AE32" i="1" s="1"/>
  <c r="AA24" i="1"/>
  <c r="AC24" i="1" s="1"/>
  <c r="X32" i="1"/>
  <c r="X39" i="1"/>
  <c r="AH32" i="1"/>
  <c r="O33" i="1"/>
  <c r="AH15" i="1"/>
  <c r="X40" i="1"/>
  <c r="N28" i="1"/>
  <c r="AE28" i="1" s="1"/>
  <c r="N40" i="1"/>
  <c r="AE40" i="1" s="1"/>
  <c r="N18" i="1"/>
  <c r="AE18" i="1" s="1"/>
  <c r="AA40" i="1"/>
  <c r="AC40" i="1" s="1"/>
  <c r="T29" i="1"/>
  <c r="O18" i="1"/>
  <c r="AA19" i="1"/>
  <c r="AC19" i="1" s="1"/>
  <c r="Y39" i="1"/>
  <c r="AH22" i="1"/>
  <c r="Y50" i="1"/>
  <c r="Z50" i="1" s="1"/>
  <c r="O28" i="1"/>
  <c r="N17" i="1"/>
  <c r="AE17" i="1" s="1"/>
  <c r="Y29" i="1"/>
  <c r="O19" i="1"/>
  <c r="T44" i="1"/>
  <c r="AH21" i="1"/>
  <c r="Y17" i="1"/>
  <c r="AH30" i="1"/>
  <c r="Y35" i="1"/>
  <c r="AH35" i="1"/>
  <c r="X29" i="1"/>
  <c r="AA35" i="1"/>
  <c r="AC35" i="1" s="1"/>
  <c r="Y19" i="1"/>
  <c r="N35" i="1"/>
  <c r="AE35" i="1" s="1"/>
  <c r="AH29" i="1"/>
  <c r="X27" i="1"/>
  <c r="N52" i="1"/>
  <c r="AA29" i="1"/>
  <c r="AC29" i="1" s="1"/>
  <c r="AB29" i="1"/>
  <c r="AD29" i="1" s="1"/>
  <c r="T49" i="1"/>
  <c r="T48" i="1"/>
  <c r="T16" i="1"/>
  <c r="O15" i="1"/>
  <c r="T15" i="1"/>
  <c r="T51" i="1"/>
  <c r="T34" i="1"/>
  <c r="AB15" i="1"/>
  <c r="AD15" i="1" s="1"/>
  <c r="T41" i="1"/>
  <c r="Y15" i="1"/>
  <c r="Y47" i="1"/>
  <c r="AA47" i="1"/>
  <c r="AC47" i="1" s="1"/>
  <c r="AB47" i="1"/>
  <c r="AD47" i="1" s="1"/>
  <c r="N47" i="1"/>
  <c r="O47" i="1"/>
  <c r="AA37" i="1"/>
  <c r="AC37" i="1" s="1"/>
  <c r="X47" i="1"/>
  <c r="T25" i="1"/>
  <c r="AB37" i="1"/>
  <c r="AD37" i="1" s="1"/>
  <c r="AA43" i="1"/>
  <c r="AC43" i="1" s="1"/>
  <c r="AA33" i="1"/>
  <c r="AC33" i="1" s="1"/>
  <c r="X35" i="1"/>
  <c r="AH19" i="1"/>
  <c r="AH33" i="1"/>
  <c r="AB33" i="1"/>
  <c r="AD33" i="1" s="1"/>
  <c r="N33" i="1"/>
  <c r="AE33" i="1" s="1"/>
  <c r="T38" i="1"/>
  <c r="T31" i="1"/>
  <c r="T47" i="1"/>
  <c r="N43" i="1"/>
  <c r="N36" i="1"/>
  <c r="AE36" i="1" s="1"/>
  <c r="O43" i="1"/>
  <c r="O36" i="1"/>
  <c r="X43" i="1"/>
  <c r="AA22" i="1"/>
  <c r="AC22" i="1" s="1"/>
  <c r="AH43" i="1"/>
  <c r="T18" i="1"/>
  <c r="T43" i="1"/>
  <c r="Y43" i="1"/>
  <c r="AA36" i="1"/>
  <c r="AC36" i="1" s="1"/>
  <c r="X30" i="1"/>
  <c r="Z30" i="1" s="1"/>
  <c r="Y36" i="1"/>
  <c r="AH50" i="1"/>
  <c r="AH52" i="1"/>
  <c r="Y27" i="1"/>
  <c r="O50" i="1"/>
  <c r="Y52" i="1"/>
  <c r="AH27" i="1"/>
  <c r="AA52" i="1"/>
  <c r="AC52" i="1" s="1"/>
  <c r="T19" i="1"/>
  <c r="T33" i="1"/>
  <c r="N27" i="1"/>
  <c r="AE27" i="1" s="1"/>
  <c r="AA50" i="1"/>
  <c r="AC50" i="1" s="1"/>
  <c r="O52" i="1"/>
  <c r="T23" i="1"/>
  <c r="T45" i="1"/>
  <c r="AA27" i="1"/>
  <c r="AC27" i="1" s="1"/>
  <c r="X52" i="1"/>
  <c r="T36" i="1"/>
  <c r="T21" i="1"/>
  <c r="T39" i="1"/>
  <c r="T30" i="1"/>
  <c r="T24" i="1"/>
  <c r="X21" i="1"/>
  <c r="T40" i="1"/>
  <c r="O21" i="1"/>
  <c r="AA15" i="1"/>
  <c r="AC15" i="1" s="1"/>
  <c r="Y21" i="1"/>
  <c r="AA21" i="1"/>
  <c r="AC21" i="1" s="1"/>
  <c r="AB21" i="1"/>
  <c r="AD21" i="1" s="1"/>
  <c r="T22" i="1"/>
  <c r="X31" i="1"/>
  <c r="AB30" i="1"/>
  <c r="AD30" i="1" s="1"/>
  <c r="Y31" i="1"/>
  <c r="O30" i="1"/>
  <c r="T42" i="1"/>
  <c r="O31" i="1"/>
  <c r="AA30" i="1"/>
  <c r="AC30" i="1" s="1"/>
  <c r="N30" i="1"/>
  <c r="AE30" i="1" s="1"/>
  <c r="N31" i="1"/>
  <c r="AE31" i="1" s="1"/>
  <c r="T46" i="1"/>
  <c r="T37" i="1"/>
  <c r="S11" i="1"/>
  <c r="M14" i="1"/>
  <c r="T17" i="1"/>
  <c r="T35" i="1"/>
  <c r="T28" i="1"/>
  <c r="R9" i="1"/>
  <c r="Y48" i="1"/>
  <c r="AH48" i="1"/>
  <c r="X48" i="1"/>
  <c r="O48" i="1"/>
  <c r="N48" i="1"/>
  <c r="AA48" i="1"/>
  <c r="AC48" i="1" s="1"/>
  <c r="AB48" i="1"/>
  <c r="AD48" i="1" s="1"/>
  <c r="T26" i="1"/>
  <c r="Y44" i="1"/>
  <c r="AH44" i="1"/>
  <c r="X44" i="1"/>
  <c r="O44" i="1"/>
  <c r="N44" i="1"/>
  <c r="AB44" i="1"/>
  <c r="AD44" i="1" s="1"/>
  <c r="AA44" i="1"/>
  <c r="AC44" i="1" s="1"/>
  <c r="X23" i="1"/>
  <c r="N23" i="1"/>
  <c r="AE23" i="1" s="1"/>
  <c r="O23" i="1"/>
  <c r="AH23" i="1"/>
  <c r="AB23" i="1"/>
  <c r="AD23" i="1" s="1"/>
  <c r="AA23" i="1"/>
  <c r="AC23" i="1" s="1"/>
  <c r="Y23" i="1"/>
  <c r="M9" i="1"/>
  <c r="N10" i="1"/>
  <c r="R14" i="1"/>
  <c r="S10" i="1"/>
  <c r="AA20" i="1"/>
  <c r="Y20" i="1"/>
  <c r="O20" i="1"/>
  <c r="X20" i="1"/>
  <c r="N20" i="1"/>
  <c r="AE20" i="1" s="1"/>
  <c r="AB20" i="1"/>
  <c r="AD20" i="1" s="1"/>
  <c r="AH20" i="1"/>
  <c r="T27" i="1"/>
  <c r="Q9" i="1"/>
  <c r="AB34" i="1"/>
  <c r="AD34" i="1" s="1"/>
  <c r="AA34" i="1"/>
  <c r="AC34" i="1" s="1"/>
  <c r="AH34" i="1"/>
  <c r="Y34" i="1"/>
  <c r="X34" i="1"/>
  <c r="O34" i="1"/>
  <c r="N34" i="1"/>
  <c r="AE34" i="1" s="1"/>
  <c r="T50" i="1"/>
  <c r="T20" i="1"/>
  <c r="S14" i="1"/>
  <c r="T32" i="1"/>
  <c r="AB26" i="1"/>
  <c r="AD26" i="1" s="1"/>
  <c r="AA26" i="1"/>
  <c r="AC26" i="1" s="1"/>
  <c r="AH26" i="1"/>
  <c r="Y26" i="1"/>
  <c r="X26" i="1"/>
  <c r="O26" i="1"/>
  <c r="N26" i="1"/>
  <c r="AE26" i="1" s="1"/>
  <c r="Z25" i="1" l="1"/>
  <c r="Z29" i="1"/>
  <c r="Z42" i="1"/>
  <c r="Z38" i="1"/>
  <c r="Z46" i="1"/>
  <c r="Z17" i="1"/>
  <c r="Z41" i="1"/>
  <c r="Z24" i="1"/>
  <c r="Z51" i="1"/>
  <c r="Z49" i="1"/>
  <c r="Z28" i="1"/>
  <c r="Z37" i="1"/>
  <c r="Z40" i="1"/>
  <c r="Z15" i="1"/>
  <c r="Z22" i="1"/>
  <c r="Z32" i="1"/>
  <c r="Z39" i="1"/>
  <c r="Z16" i="1"/>
  <c r="Z19" i="1"/>
  <c r="Z27" i="1"/>
  <c r="Z36" i="1"/>
  <c r="Z47" i="1"/>
  <c r="Z43" i="1"/>
  <c r="Z35" i="1"/>
  <c r="Z52" i="1"/>
  <c r="Z31" i="1"/>
  <c r="S9" i="1"/>
  <c r="Z34" i="1"/>
  <c r="Z21" i="1"/>
  <c r="AE14" i="1"/>
  <c r="N12" i="1" s="1"/>
  <c r="Z20" i="1"/>
  <c r="T14" i="1"/>
  <c r="Z23" i="1"/>
  <c r="Z26" i="1"/>
  <c r="Y14" i="1"/>
  <c r="P5" i="1" s="1"/>
  <c r="R5" i="1" s="1"/>
  <c r="S5" i="1" s="1"/>
  <c r="T5" i="1" s="1"/>
  <c r="K4" i="1"/>
  <c r="Z44" i="1"/>
  <c r="Z48" i="1"/>
  <c r="K5" i="1"/>
  <c r="AC20" i="1"/>
  <c r="AC14" i="1" s="1"/>
  <c r="AA14" i="1"/>
  <c r="Q4" i="1"/>
  <c r="Q2" i="1" s="1"/>
  <c r="N9" i="1"/>
  <c r="N14" i="1"/>
  <c r="X14" i="1"/>
  <c r="P4" i="1" s="1"/>
  <c r="AB14" i="1"/>
  <c r="AD14" i="1"/>
  <c r="U4" i="1" l="1"/>
  <c r="N4" i="1" s="1"/>
  <c r="Z14" i="1"/>
  <c r="K3" i="1"/>
  <c r="R4" i="1"/>
  <c r="P2" i="1"/>
  <c r="N5" i="1" l="1"/>
  <c r="S4" i="1"/>
  <c r="T4" i="1" s="1"/>
  <c r="R2" i="1"/>
</calcChain>
</file>

<file path=xl/sharedStrings.xml><?xml version="1.0" encoding="utf-8"?>
<sst xmlns="http://schemas.openxmlformats.org/spreadsheetml/2006/main" count="21334" uniqueCount="186">
  <si>
    <t>ABS 포지션</t>
    <phoneticPr fontId="1" type="noConversion"/>
  </si>
  <si>
    <t>상품</t>
    <phoneticPr fontId="1" type="noConversion"/>
  </si>
  <si>
    <t>ETF 델타</t>
    <phoneticPr fontId="1" type="noConversion"/>
  </si>
  <si>
    <t>선물 델타</t>
    <phoneticPr fontId="1" type="noConversion"/>
  </si>
  <si>
    <t>NET 델타</t>
    <phoneticPr fontId="1" type="noConversion"/>
  </si>
  <si>
    <t>계약수 환산</t>
    <phoneticPr fontId="1" type="noConversion"/>
  </si>
  <si>
    <t>필요 계약수</t>
    <phoneticPr fontId="1" type="noConversion"/>
  </si>
  <si>
    <t>당일 손익</t>
    <phoneticPr fontId="1" type="noConversion"/>
  </si>
  <si>
    <t>NET</t>
    <phoneticPr fontId="1" type="noConversion"/>
  </si>
  <si>
    <t>매도 포지션</t>
    <phoneticPr fontId="1" type="noConversion"/>
  </si>
  <si>
    <t>KOSPI 200</t>
    <phoneticPr fontId="1" type="noConversion"/>
  </si>
  <si>
    <t>바스켓</t>
    <phoneticPr fontId="1" type="noConversion"/>
  </si>
  <si>
    <t>매수 포재션</t>
    <phoneticPr fontId="1" type="noConversion"/>
  </si>
  <si>
    <t>KOSDAQ 150</t>
    <phoneticPr fontId="1" type="noConversion"/>
  </si>
  <si>
    <t>현금</t>
    <phoneticPr fontId="1" type="noConversion"/>
  </si>
  <si>
    <t>종목코드</t>
    <phoneticPr fontId="1" type="noConversion"/>
  </si>
  <si>
    <t>종목명</t>
    <phoneticPr fontId="1" type="noConversion"/>
  </si>
  <si>
    <t>1CU</t>
    <phoneticPr fontId="1" type="noConversion"/>
  </si>
  <si>
    <t>시장 거래량</t>
    <phoneticPr fontId="1" type="noConversion"/>
  </si>
  <si>
    <t>펀드코드</t>
    <phoneticPr fontId="1" type="noConversion"/>
  </si>
  <si>
    <t>당일매도수량</t>
  </si>
  <si>
    <t>당일매도금액</t>
  </si>
  <si>
    <t>매도단가</t>
    <phoneticPr fontId="1" type="noConversion"/>
  </si>
  <si>
    <t>당일매수수량</t>
  </si>
  <si>
    <t>당일매수금액</t>
  </si>
  <si>
    <t>매수단가</t>
    <phoneticPr fontId="1" type="noConversion"/>
  </si>
  <si>
    <t>NET
포지션 수량</t>
    <phoneticPr fontId="1" type="noConversion"/>
  </si>
  <si>
    <t>NET 
포지션 금액</t>
    <phoneticPr fontId="1" type="noConversion"/>
  </si>
  <si>
    <t>CU 비중</t>
    <phoneticPr fontId="1" type="noConversion"/>
  </si>
  <si>
    <t>현재가</t>
    <phoneticPr fontId="1" type="noConversion"/>
  </si>
  <si>
    <t>매도 손익</t>
    <phoneticPr fontId="1" type="noConversion"/>
  </si>
  <si>
    <t>매수 손익</t>
    <phoneticPr fontId="1" type="noConversion"/>
  </si>
  <si>
    <t>1계약 델타</t>
    <phoneticPr fontId="1" type="noConversion"/>
  </si>
  <si>
    <t>전체 잔고 수량</t>
    <phoneticPr fontId="1" type="noConversion"/>
  </si>
  <si>
    <t>-</t>
    <phoneticPr fontId="1" type="noConversion"/>
  </si>
  <si>
    <t>A0569</t>
  </si>
  <si>
    <t>미니 코스피 200 선물</t>
    <phoneticPr fontId="1" type="noConversion"/>
  </si>
  <si>
    <t>028875</t>
    <phoneticPr fontId="1" type="noConversion"/>
  </si>
  <si>
    <t>A0669</t>
  </si>
  <si>
    <t>코스닥 150 선물</t>
    <phoneticPr fontId="1" type="noConversion"/>
  </si>
  <si>
    <t>=@IF(@KBMonitor|DATA!'019875^091220:SELL_TDY_QTY'="NO", 0, KBMonitor|DATA!'019875^091220:SELL_TDY_QTY')</t>
    <phoneticPr fontId="1" type="noConversion"/>
  </si>
  <si>
    <t>* 200과 150은 전일종가(금액)으로 계산</t>
    <phoneticPr fontId="1" type="noConversion"/>
  </si>
  <si>
    <t>유리 여부</t>
    <phoneticPr fontId="1" type="noConversion"/>
  </si>
  <si>
    <t>당일매도수량</t>
    <phoneticPr fontId="1" type="noConversion"/>
  </si>
  <si>
    <t>당일매도금액</t>
    <phoneticPr fontId="1" type="noConversion"/>
  </si>
  <si>
    <t>당일매수수량</t>
    <phoneticPr fontId="1" type="noConversion"/>
  </si>
  <si>
    <t>당일매수금액</t>
    <phoneticPr fontId="1" type="noConversion"/>
  </si>
  <si>
    <t>NET
포지션 금액</t>
    <phoneticPr fontId="1" type="noConversion"/>
  </si>
  <si>
    <t>NAV</t>
    <phoneticPr fontId="1" type="noConversion"/>
  </si>
  <si>
    <t>KS 베타</t>
    <phoneticPr fontId="1" type="noConversion"/>
  </si>
  <si>
    <t>KQ 베타</t>
    <phoneticPr fontId="1" type="noConversion"/>
  </si>
  <si>
    <t>R-Squared</t>
    <phoneticPr fontId="1" type="noConversion"/>
  </si>
  <si>
    <t>W.KOSPI200</t>
    <phoneticPr fontId="1" type="noConversion"/>
  </si>
  <si>
    <t>W.KOSDAQ150</t>
    <phoneticPr fontId="1" type="noConversion"/>
  </si>
  <si>
    <t>W.200&amp;150 외</t>
    <phoneticPr fontId="1" type="noConversion"/>
  </si>
  <si>
    <t>매도 손익
(nav 대비)</t>
    <phoneticPr fontId="1" type="noConversion"/>
  </si>
  <si>
    <t>매수 손익
(nav 대비)</t>
    <phoneticPr fontId="1" type="noConversion"/>
  </si>
  <si>
    <t>포지션
abs</t>
    <phoneticPr fontId="1" type="noConversion"/>
  </si>
  <si>
    <t>종목코드</t>
    <phoneticPr fontId="1" type="noConversion"/>
  </si>
  <si>
    <t>정리매매</t>
    <phoneticPr fontId="1" type="noConversion"/>
  </si>
  <si>
    <t>매도 bp</t>
    <phoneticPr fontId="1" type="noConversion"/>
  </si>
  <si>
    <t>매수 bp</t>
    <phoneticPr fontId="1" type="noConversion"/>
  </si>
  <si>
    <t>396500</t>
  </si>
  <si>
    <t>TIGER 반도체TOP10</t>
  </si>
  <si>
    <t>019875</t>
  </si>
  <si>
    <t>228790</t>
  </si>
  <si>
    <t>TIGER 화장품</t>
  </si>
  <si>
    <t>462010</t>
  </si>
  <si>
    <t>TIGER 2차전지소재Fn</t>
  </si>
  <si>
    <t>364980</t>
  </si>
  <si>
    <t>TIGER 2차전지TOP10</t>
  </si>
  <si>
    <t>0117V0</t>
  </si>
  <si>
    <t>TIGER 코리아AI전력기기TOP3플러스</t>
  </si>
  <si>
    <t>305540</t>
  </si>
  <si>
    <t>TIGER 2차전지테마</t>
  </si>
  <si>
    <t>494670</t>
  </si>
  <si>
    <t>TIGER 조선TOP10</t>
  </si>
  <si>
    <t>364970</t>
  </si>
  <si>
    <t>TIGER 바이오TOP10</t>
  </si>
  <si>
    <t>0091P0</t>
  </si>
  <si>
    <t>TIGER 코리아원자력</t>
  </si>
  <si>
    <t>292150</t>
  </si>
  <si>
    <t>TIGER 코리아TOP10</t>
  </si>
  <si>
    <t>139230</t>
  </si>
  <si>
    <t>TIGER 200 중공업</t>
  </si>
  <si>
    <t>364990</t>
  </si>
  <si>
    <t>TIGER 게임TOP10</t>
  </si>
  <si>
    <t>157500</t>
  </si>
  <si>
    <t>TIGER 증권</t>
  </si>
  <si>
    <t>228810</t>
  </si>
  <si>
    <t>TIGER 미디어컨텐츠</t>
  </si>
  <si>
    <t>472150</t>
  </si>
  <si>
    <t>TIGER 배당커버드콜액티브</t>
  </si>
  <si>
    <t>019870</t>
  </si>
  <si>
    <t>307520</t>
  </si>
  <si>
    <t>TIGER 지주회사</t>
  </si>
  <si>
    <t>157490</t>
  </si>
  <si>
    <t>TIGER 소프트웨어</t>
  </si>
  <si>
    <t>471760</t>
  </si>
  <si>
    <t>TIGER AI반도체핵심공정</t>
  </si>
  <si>
    <t>0052D0</t>
  </si>
  <si>
    <t>TIGER 코리아배당다우존스</t>
  </si>
  <si>
    <t>466940</t>
  </si>
  <si>
    <t>TIGER 은행고배당플러스TOP10</t>
  </si>
  <si>
    <t>139220</t>
  </si>
  <si>
    <t>TIGER 200 건설</t>
  </si>
  <si>
    <t>365000</t>
  </si>
  <si>
    <t>TIGER 인터넷TOP10</t>
  </si>
  <si>
    <t>228800</t>
  </si>
  <si>
    <t>TIGER 여행레저</t>
  </si>
  <si>
    <t>138540</t>
  </si>
  <si>
    <t>TIGER 현대차그룹플러스</t>
    <phoneticPr fontId="1" type="noConversion"/>
  </si>
  <si>
    <t>377990</t>
  </si>
  <si>
    <t>TIGER Fn신재생에너지</t>
  </si>
  <si>
    <t>395270</t>
  </si>
  <si>
    <t>HANARO Fn K-반도체</t>
  </si>
  <si>
    <t>091220</t>
  </si>
  <si>
    <t>TIGER 은행</t>
    <phoneticPr fontId="1" type="noConversion"/>
  </si>
  <si>
    <t>261070</t>
  </si>
  <si>
    <t>TIGER 코스닥150바이오테크</t>
  </si>
  <si>
    <t>261060</t>
  </si>
  <si>
    <t>TIGER 코스닥150IT</t>
  </si>
  <si>
    <t>138520</t>
  </si>
  <si>
    <t>TIGER 삼성그룹</t>
  </si>
  <si>
    <t>139250</t>
  </si>
  <si>
    <t>TIGER 200 에너지화학</t>
  </si>
  <si>
    <t>138530</t>
  </si>
  <si>
    <t>TIGER LG그룹플러스</t>
  </si>
  <si>
    <t>364960</t>
  </si>
  <si>
    <t>TIGER BBIG</t>
  </si>
  <si>
    <t>400970</t>
  </si>
  <si>
    <t>TIGER Fn메타버스</t>
  </si>
  <si>
    <t>227540</t>
  </si>
  <si>
    <t>TIGER 200 헬스케어</t>
  </si>
  <si>
    <t>150460</t>
  </si>
  <si>
    <t>TIGER 중국소비테마</t>
  </si>
  <si>
    <t>417630</t>
  </si>
  <si>
    <t>TIGER KEDI혁신기업ESG30</t>
  </si>
  <si>
    <t>0148J0</t>
    <phoneticPr fontId="1" type="noConversion"/>
  </si>
  <si>
    <t>TIGER 코리아휴머노이드로봇산업</t>
    <phoneticPr fontId="1" type="noConversion"/>
  </si>
  <si>
    <t>0148J0</t>
  </si>
  <si>
    <t xml:space="preserve"> </t>
    <phoneticPr fontId="1" type="noConversion"/>
  </si>
  <si>
    <t>No</t>
  </si>
  <si>
    <t>계좌명</t>
  </si>
  <si>
    <t>계좌번호</t>
  </si>
  <si>
    <t>종목코드</t>
  </si>
  <si>
    <t>종목명</t>
  </si>
  <si>
    <t>구분</t>
  </si>
  <si>
    <t>유형</t>
  </si>
  <si>
    <t>주문수량</t>
  </si>
  <si>
    <t>미체결</t>
  </si>
  <si>
    <t>체결수량</t>
  </si>
  <si>
    <t>주문가격</t>
  </si>
  <si>
    <t>체결가격</t>
  </si>
  <si>
    <t>주문시간</t>
  </si>
  <si>
    <t>체결시간</t>
  </si>
  <si>
    <t>상태</t>
  </si>
  <si>
    <t>에러</t>
  </si>
  <si>
    <t>주문번호</t>
  </si>
  <si>
    <t>주문Seq</t>
  </si>
  <si>
    <t>원주문Seq</t>
  </si>
  <si>
    <t>정정취소</t>
  </si>
  <si>
    <t>공매도</t>
  </si>
  <si>
    <t>거부</t>
  </si>
  <si>
    <t>가격유형</t>
  </si>
  <si>
    <t>원주문번호</t>
  </si>
  <si>
    <t>자전방지</t>
  </si>
  <si>
    <t>알고전략구분</t>
  </si>
  <si>
    <t>프로그램</t>
  </si>
  <si>
    <t>TIGER KRX바이오K-뉴</t>
  </si>
  <si>
    <t>매수</t>
  </si>
  <si>
    <t>신규</t>
  </si>
  <si>
    <t>체결</t>
  </si>
  <si>
    <t>일반</t>
  </si>
  <si>
    <t>지정가</t>
  </si>
  <si>
    <t>알고리즘</t>
  </si>
  <si>
    <t>매도</t>
  </si>
  <si>
    <t>정정</t>
  </si>
  <si>
    <t>TIGER 코리아휴머노이드로봇산업</t>
  </si>
  <si>
    <t>TIGER 현대차그룹플러스</t>
  </si>
  <si>
    <t>KBSTAR 코스닥150(LP)</t>
  </si>
  <si>
    <t>KODEX 코스닥150</t>
  </si>
  <si>
    <t>신규취소</t>
  </si>
  <si>
    <t>고속알고리즘</t>
  </si>
  <si>
    <t>커버드콜 ETF (LP)</t>
  </si>
  <si>
    <t>229200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</si>
</sst>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0"/>
    <numFmt numFmtId="177" formatCode="#,##0&quot; 원&quot;"/>
    <numFmt numFmtId="178" formatCode="#,##0&quot; bp&quot;"/>
  </numFmts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0"/>
      <color theme="10"/>
      <name val="맑은 고딕"/>
      <family val="2"/>
      <charset val="129"/>
      <scheme val="minor"/>
    </font>
    <font>
      <sz val="10"/>
      <color theme="0"/>
      <name val="맑은 고딕"/>
      <family val="2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0"/>
      <color rgb="FFCC66FF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rgb="FF3399FF"/>
      <name val="맑은 고딕"/>
      <family val="2"/>
      <charset val="129"/>
      <scheme val="minor"/>
    </font>
    <font>
      <sz val="10"/>
      <color rgb="FFFF66CC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i/>
      <sz val="8"/>
      <color theme="1"/>
      <name val="맑은 고딕"/>
      <family val="3"/>
      <charset val="129"/>
      <scheme val="minor"/>
    </font>
    <font>
      <i/>
      <sz val="8"/>
      <color rgb="FFCC66FF"/>
      <name val="맑은 고딕"/>
      <family val="3"/>
      <charset val="129"/>
      <scheme val="minor"/>
    </font>
    <font>
      <sz val="10"/>
      <color rgb="FFFFC000"/>
      <name val="맑은 고딕"/>
      <family val="2"/>
      <charset val="129"/>
      <scheme val="minor"/>
    </font>
    <font>
      <sz val="10"/>
      <color rgb="FFFFC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66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>
      <alignment vertical="center"/>
    </xf>
  </cellStyleXfs>
  <cellXfs count="151">
    <xf numFmtId="0" fontId="0" fillId="0" borderId="0" xfId="0">
      <alignment vertical="center"/>
    </xf>
    <xf numFmtId="3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3" fontId="0" fillId="0" borderId="0" xfId="0" quotePrefix="1" applyNumberFormat="1" applyAlignment="1">
      <alignment horizontal="center" vertical="center"/>
    </xf>
    <xf numFmtId="49" fontId="2" fillId="0" borderId="0" xfId="1" applyNumberFormat="1" applyBorder="1" applyAlignment="1">
      <alignment vertical="center"/>
    </xf>
    <xf numFmtId="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3" fontId="3" fillId="2" borderId="1" xfId="0" applyNumberFormat="1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center" vertical="center"/>
    </xf>
    <xf numFmtId="3" fontId="4" fillId="2" borderId="3" xfId="0" applyNumberFormat="1" applyFont="1" applyFill="1" applyBorder="1" applyAlignment="1">
      <alignment horizontal="center" vertical="center"/>
    </xf>
    <xf numFmtId="3" fontId="4" fillId="2" borderId="4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4" fontId="5" fillId="0" borderId="7" xfId="0" applyNumberFormat="1" applyFont="1" applyBorder="1" applyAlignment="1">
      <alignment horizontal="center" vertical="center"/>
    </xf>
    <xf numFmtId="3" fontId="6" fillId="3" borderId="7" xfId="0" applyNumberFormat="1" applyFont="1" applyFill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4" fontId="0" fillId="0" borderId="9" xfId="0" applyNumberFormat="1" applyBorder="1" applyAlignment="1">
      <alignment horizontal="center" vertical="center"/>
    </xf>
    <xf numFmtId="4" fontId="5" fillId="0" borderId="11" xfId="0" applyNumberFormat="1" applyFont="1" applyBorder="1" applyAlignment="1">
      <alignment horizontal="center" vertical="center"/>
    </xf>
    <xf numFmtId="3" fontId="6" fillId="3" borderId="11" xfId="0" applyNumberFormat="1" applyFont="1" applyFill="1" applyBorder="1" applyAlignment="1">
      <alignment horizontal="center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4" fillId="2" borderId="13" xfId="0" applyNumberFormat="1" applyFont="1" applyFill="1" applyBorder="1" applyAlignment="1">
      <alignment horizontal="center" vertical="center"/>
    </xf>
    <xf numFmtId="3" fontId="4" fillId="2" borderId="12" xfId="0" applyNumberFormat="1" applyFont="1" applyFill="1" applyBorder="1" applyAlignment="1">
      <alignment horizontal="center" vertical="center"/>
    </xf>
    <xf numFmtId="3" fontId="4" fillId="2" borderId="14" xfId="0" applyNumberFormat="1" applyFont="1" applyFill="1" applyBorder="1" applyAlignment="1">
      <alignment horizontal="center" vertical="center"/>
    </xf>
    <xf numFmtId="49" fontId="4" fillId="2" borderId="14" xfId="0" quotePrefix="1" applyNumberFormat="1" applyFont="1" applyFill="1" applyBorder="1" applyAlignment="1">
      <alignment horizontal="center" vertical="center"/>
    </xf>
    <xf numFmtId="3" fontId="4" fillId="2" borderId="12" xfId="2" applyNumberFormat="1" applyFont="1" applyFill="1" applyBorder="1" applyAlignment="1">
      <alignment horizontal="center" vertical="center"/>
    </xf>
    <xf numFmtId="3" fontId="4" fillId="2" borderId="14" xfId="2" applyNumberFormat="1" applyFont="1" applyFill="1" applyBorder="1" applyAlignment="1">
      <alignment horizontal="center" vertical="center"/>
    </xf>
    <xf numFmtId="3" fontId="4" fillId="2" borderId="13" xfId="2" applyNumberFormat="1" applyFont="1" applyFill="1" applyBorder="1" applyAlignment="1">
      <alignment horizontal="center" vertical="center"/>
    </xf>
    <xf numFmtId="3" fontId="4" fillId="2" borderId="12" xfId="2" applyNumberFormat="1" applyFont="1" applyFill="1" applyBorder="1" applyAlignment="1">
      <alignment horizontal="center" vertical="center" wrapText="1"/>
    </xf>
    <xf numFmtId="3" fontId="4" fillId="2" borderId="14" xfId="2" applyNumberFormat="1" applyFont="1" applyFill="1" applyBorder="1" applyAlignment="1">
      <alignment horizontal="center" vertical="center" wrapText="1"/>
    </xf>
    <xf numFmtId="3" fontId="4" fillId="2" borderId="15" xfId="0" applyNumberFormat="1" applyFont="1" applyFill="1" applyBorder="1" applyAlignment="1">
      <alignment horizontal="center" vertical="center"/>
    </xf>
    <xf numFmtId="3" fontId="4" fillId="2" borderId="13" xfId="0" applyNumberFormat="1" applyFont="1" applyFill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/>
    </xf>
    <xf numFmtId="49" fontId="4" fillId="2" borderId="11" xfId="0" applyNumberFormat="1" applyFont="1" applyFill="1" applyBorder="1" applyAlignment="1">
      <alignment horizontal="center" vertical="center"/>
    </xf>
    <xf numFmtId="3" fontId="4" fillId="2" borderId="9" xfId="0" applyNumberFormat="1" applyFont="1" applyFill="1" applyBorder="1" applyAlignment="1">
      <alignment horizontal="center" vertical="center"/>
    </xf>
    <xf numFmtId="3" fontId="4" fillId="2" borderId="10" xfId="0" applyNumberFormat="1" applyFont="1" applyFill="1" applyBorder="1" applyAlignment="1">
      <alignment horizontal="center" vertical="center"/>
    </xf>
    <xf numFmtId="49" fontId="4" fillId="2" borderId="10" xfId="0" quotePrefix="1" applyNumberFormat="1" applyFont="1" applyFill="1" applyBorder="1" applyAlignment="1">
      <alignment horizontal="center" vertical="center"/>
    </xf>
    <xf numFmtId="3" fontId="4" fillId="2" borderId="9" xfId="2" applyNumberFormat="1" applyFont="1" applyFill="1" applyBorder="1" applyAlignment="1">
      <alignment horizontal="center" vertical="center"/>
    </xf>
    <xf numFmtId="3" fontId="4" fillId="2" borderId="10" xfId="2" applyNumberFormat="1" applyFont="1" applyFill="1" applyBorder="1" applyAlignment="1">
      <alignment horizontal="center" vertical="center"/>
    </xf>
    <xf numFmtId="3" fontId="4" fillId="2" borderId="11" xfId="2" applyNumberFormat="1" applyFont="1" applyFill="1" applyBorder="1" applyAlignment="1">
      <alignment horizontal="center" vertical="center"/>
    </xf>
    <xf numFmtId="3" fontId="4" fillId="2" borderId="8" xfId="0" applyNumberFormat="1" applyFont="1" applyFill="1" applyBorder="1" applyAlignment="1">
      <alignment horizontal="center" vertical="center"/>
    </xf>
    <xf numFmtId="3" fontId="4" fillId="2" borderId="11" xfId="0" applyNumberFormat="1" applyFont="1" applyFill="1" applyBorder="1" applyAlignment="1">
      <alignment horizontal="center" vertical="center"/>
    </xf>
    <xf numFmtId="49" fontId="0" fillId="4" borderId="6" xfId="0" applyNumberFormat="1" applyFill="1" applyBorder="1" applyAlignment="1">
      <alignment horizontal="center" vertical="center"/>
    </xf>
    <xf numFmtId="49" fontId="0" fillId="4" borderId="7" xfId="0" applyNumberFormat="1" applyFill="1" applyBorder="1" applyAlignment="1">
      <alignment horizontal="left" vertical="center"/>
    </xf>
    <xf numFmtId="3" fontId="0" fillId="4" borderId="6" xfId="0" applyNumberFormat="1" applyFill="1" applyBorder="1" applyAlignment="1">
      <alignment horizontal="center" vertical="center"/>
    </xf>
    <xf numFmtId="3" fontId="0" fillId="4" borderId="0" xfId="0" applyNumberFormat="1" applyFill="1" applyAlignment="1">
      <alignment horizontal="center" vertical="center"/>
    </xf>
    <xf numFmtId="49" fontId="0" fillId="4" borderId="0" xfId="0" quotePrefix="1" applyNumberFormat="1" applyFill="1" applyAlignment="1">
      <alignment horizontal="center" vertical="center"/>
    </xf>
    <xf numFmtId="3" fontId="8" fillId="4" borderId="6" xfId="0" applyNumberFormat="1" applyFont="1" applyFill="1" applyBorder="1" applyAlignment="1">
      <alignment horizontal="center" vertical="top"/>
    </xf>
    <xf numFmtId="3" fontId="8" fillId="4" borderId="0" xfId="0" applyNumberFormat="1" applyFont="1" applyFill="1" applyAlignment="1">
      <alignment horizontal="center" vertical="top"/>
    </xf>
    <xf numFmtId="3" fontId="8" fillId="4" borderId="7" xfId="0" applyNumberFormat="1" applyFont="1" applyFill="1" applyBorder="1" applyAlignment="1">
      <alignment horizontal="center" vertical="top"/>
    </xf>
    <xf numFmtId="3" fontId="8" fillId="4" borderId="7" xfId="2" applyNumberFormat="1" applyFont="1" applyFill="1" applyBorder="1" applyAlignment="1">
      <alignment horizontal="center" vertical="center"/>
    </xf>
    <xf numFmtId="3" fontId="0" fillId="4" borderId="5" xfId="0" applyNumberFormat="1" applyFill="1" applyBorder="1" applyAlignment="1">
      <alignment horizontal="center" vertical="center"/>
    </xf>
    <xf numFmtId="3" fontId="9" fillId="5" borderId="7" xfId="0" applyNumberFormat="1" applyFon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49" fontId="0" fillId="0" borderId="12" xfId="0" quotePrefix="1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left" vertical="center"/>
    </xf>
    <xf numFmtId="3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49" fontId="0" fillId="0" borderId="14" xfId="0" quotePrefix="1" applyNumberFormat="1" applyBorder="1" applyAlignment="1">
      <alignment horizontal="center" vertical="center"/>
    </xf>
    <xf numFmtId="3" fontId="10" fillId="0" borderId="12" xfId="0" applyNumberFormat="1" applyFont="1" applyBorder="1" applyAlignment="1">
      <alignment horizontal="center"/>
    </xf>
    <xf numFmtId="3" fontId="10" fillId="0" borderId="14" xfId="0" applyNumberFormat="1" applyFont="1" applyBorder="1" applyAlignment="1">
      <alignment horizontal="center"/>
    </xf>
    <xf numFmtId="4" fontId="10" fillId="0" borderId="13" xfId="0" applyNumberFormat="1" applyFont="1" applyBorder="1" applyAlignment="1">
      <alignment horizontal="center"/>
    </xf>
    <xf numFmtId="3" fontId="11" fillId="0" borderId="12" xfId="0" applyNumberFormat="1" applyFont="1" applyBorder="1" applyAlignment="1">
      <alignment horizontal="center"/>
    </xf>
    <xf numFmtId="3" fontId="11" fillId="0" borderId="14" xfId="0" applyNumberFormat="1" applyFont="1" applyBorder="1" applyAlignment="1">
      <alignment horizontal="center"/>
    </xf>
    <xf numFmtId="4" fontId="11" fillId="0" borderId="13" xfId="0" applyNumberFormat="1" applyFont="1" applyBorder="1" applyAlignment="1">
      <alignment horizontal="center"/>
    </xf>
    <xf numFmtId="3" fontId="6" fillId="0" borderId="12" xfId="0" applyNumberFormat="1" applyFont="1" applyBorder="1" applyAlignment="1">
      <alignment horizontal="center"/>
    </xf>
    <xf numFmtId="3" fontId="12" fillId="0" borderId="14" xfId="0" applyNumberFormat="1" applyFont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4" fontId="0" fillId="0" borderId="15" xfId="0" applyNumberForma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49" fontId="0" fillId="0" borderId="9" xfId="0" quotePrefix="1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left" vertical="center"/>
    </xf>
    <xf numFmtId="49" fontId="0" fillId="0" borderId="10" xfId="0" quotePrefix="1" applyNumberFormat="1" applyBorder="1" applyAlignment="1">
      <alignment horizontal="center" vertical="center"/>
    </xf>
    <xf numFmtId="3" fontId="10" fillId="0" borderId="9" xfId="0" applyNumberFormat="1" applyFont="1" applyBorder="1" applyAlignment="1">
      <alignment horizontal="center"/>
    </xf>
    <xf numFmtId="3" fontId="10" fillId="0" borderId="10" xfId="0" applyNumberFormat="1" applyFont="1" applyBorder="1" applyAlignment="1">
      <alignment horizontal="center"/>
    </xf>
    <xf numFmtId="4" fontId="10" fillId="0" borderId="11" xfId="0" applyNumberFormat="1" applyFont="1" applyBorder="1" applyAlignment="1">
      <alignment horizontal="center"/>
    </xf>
    <xf numFmtId="3" fontId="11" fillId="0" borderId="9" xfId="0" applyNumberFormat="1" applyFont="1" applyBorder="1" applyAlignment="1">
      <alignment horizontal="center"/>
    </xf>
    <xf numFmtId="3" fontId="11" fillId="0" borderId="10" xfId="0" applyNumberFormat="1" applyFont="1" applyBorder="1" applyAlignment="1">
      <alignment horizontal="center"/>
    </xf>
    <xf numFmtId="4" fontId="11" fillId="0" borderId="11" xfId="0" applyNumberFormat="1" applyFont="1" applyBorder="1" applyAlignment="1">
      <alignment horizontal="center"/>
    </xf>
    <xf numFmtId="3" fontId="6" fillId="0" borderId="9" xfId="0" applyNumberFormat="1" applyFont="1" applyBorder="1" applyAlignment="1">
      <alignment horizontal="center"/>
    </xf>
    <xf numFmtId="3" fontId="12" fillId="0" borderId="10" xfId="0" applyNumberFormat="1" applyFon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4" fontId="0" fillId="0" borderId="8" xfId="0" applyNumberFormat="1" applyBorder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3" fontId="12" fillId="0" borderId="0" xfId="0" quotePrefix="1" applyNumberFormat="1" applyFont="1" applyAlignment="1">
      <alignment horizontal="center"/>
    </xf>
    <xf numFmtId="3" fontId="12" fillId="0" borderId="0" xfId="0" applyNumberFormat="1" applyFont="1" applyAlignment="1">
      <alignment horizontal="center"/>
    </xf>
    <xf numFmtId="4" fontId="12" fillId="0" borderId="0" xfId="0" applyNumberFormat="1" applyFont="1" applyAlignment="1">
      <alignment horizontal="center"/>
    </xf>
    <xf numFmtId="3" fontId="13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 vertical="center"/>
    </xf>
    <xf numFmtId="3" fontId="14" fillId="0" borderId="3" xfId="0" applyNumberFormat="1" applyFont="1" applyBorder="1" applyAlignment="1">
      <alignment horizontal="right"/>
    </xf>
    <xf numFmtId="3" fontId="14" fillId="0" borderId="0" xfId="0" applyNumberFormat="1" applyFont="1" applyAlignment="1">
      <alignment horizontal="right"/>
    </xf>
    <xf numFmtId="49" fontId="3" fillId="2" borderId="2" xfId="0" quotePrefix="1" applyNumberFormat="1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left" vertical="center"/>
    </xf>
    <xf numFmtId="49" fontId="4" fillId="2" borderId="4" xfId="0" quotePrefix="1" applyNumberFormat="1" applyFont="1" applyFill="1" applyBorder="1" applyAlignment="1">
      <alignment horizontal="center" vertical="center"/>
    </xf>
    <xf numFmtId="4" fontId="4" fillId="2" borderId="3" xfId="0" applyNumberFormat="1" applyFont="1" applyFill="1" applyBorder="1" applyAlignment="1">
      <alignment horizontal="center" vertical="center"/>
    </xf>
    <xf numFmtId="4" fontId="4" fillId="2" borderId="4" xfId="0" applyNumberFormat="1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center" vertical="center" wrapText="1"/>
    </xf>
    <xf numFmtId="3" fontId="4" fillId="2" borderId="4" xfId="0" applyNumberFormat="1" applyFont="1" applyFill="1" applyBorder="1" applyAlignment="1">
      <alignment horizontal="center" vertical="center" wrapText="1"/>
    </xf>
    <xf numFmtId="3" fontId="4" fillId="6" borderId="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49" fontId="0" fillId="4" borderId="2" xfId="0" applyNumberFormat="1" applyFill="1" applyBorder="1" applyAlignment="1">
      <alignment horizontal="center" vertical="center"/>
    </xf>
    <xf numFmtId="49" fontId="0" fillId="4" borderId="4" xfId="0" applyNumberFormat="1" applyFill="1" applyBorder="1" applyAlignment="1">
      <alignment horizontal="left" vertical="center"/>
    </xf>
    <xf numFmtId="3" fontId="0" fillId="4" borderId="2" xfId="0" applyNumberFormat="1" applyFill="1" applyBorder="1" applyAlignment="1">
      <alignment horizontal="center" vertical="center"/>
    </xf>
    <xf numFmtId="3" fontId="0" fillId="4" borderId="3" xfId="0" applyNumberFormat="1" applyFill="1" applyBorder="1" applyAlignment="1">
      <alignment horizontal="center" vertical="center"/>
    </xf>
    <xf numFmtId="49" fontId="0" fillId="4" borderId="4" xfId="0" quotePrefix="1" applyNumberFormat="1" applyFill="1" applyBorder="1" applyAlignment="1">
      <alignment horizontal="center" vertical="center"/>
    </xf>
    <xf numFmtId="3" fontId="8" fillId="4" borderId="4" xfId="2" applyNumberFormat="1" applyFont="1" applyFill="1" applyBorder="1" applyAlignment="1">
      <alignment horizontal="center" vertical="center"/>
    </xf>
    <xf numFmtId="3" fontId="0" fillId="4" borderId="4" xfId="0" applyNumberFormat="1" applyFill="1" applyBorder="1" applyAlignment="1">
      <alignment horizontal="center" vertical="center"/>
    </xf>
    <xf numFmtId="3" fontId="9" fillId="5" borderId="4" xfId="0" applyNumberFormat="1" applyFont="1" applyFill="1" applyBorder="1" applyAlignment="1">
      <alignment horizontal="center" vertical="center"/>
    </xf>
    <xf numFmtId="176" fontId="0" fillId="4" borderId="3" xfId="0" applyNumberFormat="1" applyFill="1" applyBorder="1" applyAlignment="1">
      <alignment horizontal="center" vertical="center"/>
    </xf>
    <xf numFmtId="176" fontId="0" fillId="4" borderId="4" xfId="0" applyNumberFormat="1" applyFill="1" applyBorder="1" applyAlignment="1">
      <alignment horizontal="center" vertical="center"/>
    </xf>
    <xf numFmtId="177" fontId="0" fillId="4" borderId="4" xfId="0" applyNumberFormat="1" applyFill="1" applyBorder="1" applyAlignment="1">
      <alignment horizontal="center" vertical="center"/>
    </xf>
    <xf numFmtId="178" fontId="0" fillId="4" borderId="4" xfId="0" applyNumberFormat="1" applyFill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left" vertical="center"/>
    </xf>
    <xf numFmtId="49" fontId="12" fillId="0" borderId="7" xfId="0" quotePrefix="1" applyNumberFormat="1" applyFont="1" applyBorder="1" applyAlignment="1">
      <alignment horizontal="center" vertical="center"/>
    </xf>
    <xf numFmtId="3" fontId="10" fillId="0" borderId="0" xfId="0" applyNumberFormat="1" applyFont="1" applyAlignment="1">
      <alignment horizontal="center"/>
    </xf>
    <xf numFmtId="3" fontId="10" fillId="0" borderId="6" xfId="0" applyNumberFormat="1" applyFont="1" applyBorder="1" applyAlignment="1">
      <alignment horizontal="center"/>
    </xf>
    <xf numFmtId="3" fontId="11" fillId="0" borderId="7" xfId="0" applyNumberFormat="1" applyFont="1" applyBorder="1" applyAlignment="1">
      <alignment horizontal="center"/>
    </xf>
    <xf numFmtId="3" fontId="12" fillId="0" borderId="6" xfId="0" applyNumberFormat="1" applyFont="1" applyBorder="1" applyAlignment="1">
      <alignment horizontal="center"/>
    </xf>
    <xf numFmtId="3" fontId="12" fillId="0" borderId="7" xfId="0" applyNumberFormat="1" applyFont="1" applyBorder="1" applyAlignment="1">
      <alignment horizontal="center"/>
    </xf>
    <xf numFmtId="9" fontId="12" fillId="0" borderId="7" xfId="0" applyNumberFormat="1" applyFont="1" applyBorder="1" applyAlignment="1">
      <alignment horizont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0" fillId="0" borderId="7" xfId="0" applyNumberFormat="1" applyBorder="1" applyAlignment="1">
      <alignment horizontal="center" vertical="center"/>
    </xf>
    <xf numFmtId="49" fontId="0" fillId="0" borderId="6" xfId="0" quotePrefix="1" applyNumberFormat="1" applyBorder="1" applyAlignment="1">
      <alignment horizontal="center" vertical="center"/>
    </xf>
    <xf numFmtId="3" fontId="0" fillId="0" borderId="0" xfId="0" applyNumberFormat="1">
      <alignment vertical="center"/>
    </xf>
    <xf numFmtId="49" fontId="0" fillId="7" borderId="6" xfId="0" applyNumberFormat="1" applyFill="1" applyBorder="1" applyAlignment="1">
      <alignment horizontal="center" vertical="center"/>
    </xf>
    <xf numFmtId="49" fontId="0" fillId="7" borderId="7" xfId="0" applyNumberFormat="1" applyFill="1" applyBorder="1" applyAlignment="1">
      <alignment horizontal="left" vertical="center"/>
    </xf>
    <xf numFmtId="3" fontId="0" fillId="7" borderId="6" xfId="0" applyNumberFormat="1" applyFill="1" applyBorder="1" applyAlignment="1">
      <alignment horizontal="center" vertical="center"/>
    </xf>
    <xf numFmtId="3" fontId="0" fillId="7" borderId="0" xfId="0" applyNumberFormat="1" applyFill="1" applyAlignment="1">
      <alignment horizontal="center" vertical="center"/>
    </xf>
    <xf numFmtId="49" fontId="12" fillId="7" borderId="7" xfId="0" quotePrefix="1" applyNumberFormat="1" applyFont="1" applyFill="1" applyBorder="1" applyAlignment="1">
      <alignment horizontal="center" vertical="center"/>
    </xf>
    <xf numFmtId="49" fontId="15" fillId="8" borderId="6" xfId="0" applyNumberFormat="1" applyFont="1" applyFill="1" applyBorder="1" applyAlignment="1">
      <alignment horizontal="center" vertical="center"/>
    </xf>
    <xf numFmtId="49" fontId="16" fillId="8" borderId="7" xfId="0" applyNumberFormat="1" applyFont="1" applyFill="1" applyBorder="1" applyAlignment="1">
      <alignment horizontal="left" vertical="center"/>
    </xf>
    <xf numFmtId="3" fontId="8" fillId="8" borderId="0" xfId="0" applyNumberFormat="1" applyFont="1" applyFill="1" applyAlignment="1">
      <alignment horizontal="center" vertical="center"/>
    </xf>
    <xf numFmtId="49" fontId="16" fillId="8" borderId="7" xfId="0" quotePrefix="1" applyNumberFormat="1" applyFont="1" applyFill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12" fillId="0" borderId="11" xfId="0" quotePrefix="1" applyNumberFormat="1" applyFont="1" applyBorder="1" applyAlignment="1">
      <alignment horizontal="center" vertical="center"/>
    </xf>
    <xf numFmtId="3" fontId="11" fillId="0" borderId="11" xfId="0" applyNumberFormat="1" applyFont="1" applyBorder="1" applyAlignment="1">
      <alignment horizontal="center"/>
    </xf>
    <xf numFmtId="3" fontId="12" fillId="0" borderId="9" xfId="0" applyNumberFormat="1" applyFont="1" applyBorder="1" applyAlignment="1">
      <alignment horizontal="center"/>
    </xf>
    <xf numFmtId="3" fontId="12" fillId="0" borderId="11" xfId="0" applyNumberFormat="1" applyFont="1" applyBorder="1" applyAlignment="1">
      <alignment horizontal="center"/>
    </xf>
    <xf numFmtId="9" fontId="12" fillId="0" borderId="11" xfId="0" applyNumberFormat="1" applyFont="1" applyBorder="1" applyAlignment="1">
      <alignment horizontal="center"/>
    </xf>
    <xf numFmtId="4" fontId="0" fillId="0" borderId="10" xfId="0" applyNumberFormat="1" applyBorder="1" applyAlignment="1">
      <alignment horizontal="center" vertical="center"/>
    </xf>
    <xf numFmtId="21" fontId="0" fillId="0" borderId="0" xfId="0" applyNumberFormat="1">
      <alignment vertical="center"/>
    </xf>
  </cellXfs>
  <cellStyles count="3">
    <cellStyle name="표준" xfId="0" builtinId="0"/>
    <cellStyle name="표준 2" xfId="2" xr:uid="{E33E7826-E9C1-4788-B275-1E4AAD9DACE7}"/>
    <cellStyle name="하이퍼링크" xfId="1" builtinId="8"/>
  </cellStyles>
  <dxfs count="1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66FF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66FF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vdiopadmin\Desktop\&#53685;&#54633;&#54756;&#51648;_Beta.xlsb" TargetMode="External"/><Relationship Id="rId1" Type="http://schemas.openxmlformats.org/officeDocument/2006/relationships/externalLinkPath" Target="&#53685;&#54633;&#54756;&#51648;_Beta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KBMonitor" ddeTopic="DATA">
    <ddeItems>
      <ddeItem name="0052D0:LAST" advise="1">
        <values>
          <value>
            <val>15405</val>
          </value>
        </values>
      </ddeItem>
      <ddeItem name="0052D0:NAV" advise="1">
        <values>
          <value>
            <val>15502.57</val>
          </value>
        </values>
      </ddeItem>
      <ddeItem name="0052D0:VOL" advise="1">
        <values>
          <value>
            <val>70523</val>
          </value>
        </values>
      </ddeItem>
      <ddeItem name="0091P0:LAST" advise="1">
        <values>
          <value>
            <val>15865</val>
          </value>
        </values>
      </ddeItem>
      <ddeItem name="0091P0:NAV" advise="1">
        <values>
          <value>
            <val>15837.74</val>
          </value>
        </values>
      </ddeItem>
      <ddeItem name="0091P0:VOL" advise="1">
        <values>
          <value>
            <val>882126</val>
          </value>
        </values>
      </ddeItem>
      <ddeItem name="0117V0:LAST" advise="1">
        <values>
          <value>
            <val>17940</val>
          </value>
        </values>
      </ddeItem>
      <ddeItem name="0117V0:NAV" advise="1">
        <values>
          <value>
            <val>17924.849999999999</val>
          </value>
        </values>
      </ddeItem>
      <ddeItem name="0117V0:VOL" advise="1">
        <values>
          <value>
            <val>1139385</val>
          </value>
        </values>
      </ddeItem>
      <ddeItem name="0148J0:LAST" advise="1">
        <values>
          <value>
            <val>8565</val>
          </value>
        </values>
      </ddeItem>
      <ddeItem name="0148J0:NAV" advise="1">
        <values>
          <value>
            <val>8572.4599999999991</val>
          </value>
        </values>
      </ddeItem>
      <ddeItem name="0148J0:VOL" advise="1">
        <values>
          <value>
            <val>1945442</val>
          </value>
        </values>
      </ddeItem>
      <ddeItem name="019870^472150:BUY_TDY_AMT" advise="1">
        <values>
          <value>
            <val>70823770</val>
          </value>
        </values>
      </ddeItem>
      <ddeItem name="019870^472150:BUY_TDY_QTY" advise="1">
        <values>
          <value>
            <val>3619</val>
          </value>
        </values>
      </ddeItem>
      <ddeItem name="019870^472150:SELL_TDY_AMT" advise="1">
        <values>
          <value>
            <val>70494880</val>
          </value>
        </values>
      </ddeItem>
      <ddeItem name="019870^472150:SELL_TDY_QTY" advise="1">
        <values>
          <value>
            <val>3619</val>
          </value>
        </values>
      </ddeItem>
      <ddeItem name="019875^0052D0:BUY_TDY_AMT" advise="1">
        <values>
          <value>
            <val>4343975</val>
          </value>
        </values>
      </ddeItem>
      <ddeItem name="019875^0052D0:BUY_TDY_QTY" advise="1">
        <values>
          <value>
            <val>280</val>
          </value>
        </values>
      </ddeItem>
      <ddeItem name="019875^0052D0:SELL_TDY_AMT" advise="1">
        <values>
          <value>
            <val>4361740</val>
          </value>
        </values>
      </ddeItem>
      <ddeItem name="019875^0052D0:SELL_TDY_QTY" advise="1">
        <values>
          <value>
            <val>280</val>
          </value>
        </values>
      </ddeItem>
      <ddeItem name="019875^0091P0:BUY_TDY_AMT" advise="1">
        <values>
          <value>
            <val>0</val>
          </value>
        </values>
      </ddeItem>
      <ddeItem name="019875^0091P0:BUY_TDY_QTY" advise="1">
        <values>
          <value>
            <val>0</val>
          </value>
        </values>
      </ddeItem>
      <ddeItem name="019875^0091P0:SELL_TDY_AMT" advise="1">
        <values>
          <value>
            <val>0</val>
          </value>
        </values>
      </ddeItem>
      <ddeItem name="019875^0091P0:SELL_TDY_QTY" advise="1">
        <values>
          <value>
            <val>0</val>
          </value>
        </values>
      </ddeItem>
      <ddeItem name="019875^0117V0:BUY_TDY_AMT" advise="1">
        <values>
          <value>
            <val>50436405</val>
          </value>
        </values>
      </ddeItem>
      <ddeItem name="019875^0117V0:BUY_TDY_QTY" advise="1">
        <values>
          <value>
            <val>2729</val>
          </value>
        </values>
      </ddeItem>
      <ddeItem name="019875^0117V0:SELL_TDY_AMT" advise="1">
        <values>
          <value>
            <val>49657675</val>
          </value>
        </values>
      </ddeItem>
      <ddeItem name="019875^0117V0:SELL_TDY_QTY" advise="1">
        <values>
          <value>
            <val>2729</val>
          </value>
        </values>
      </ddeItem>
      <ddeItem name="019875^0148J0:BUY_TDY_AMT" advise="1">
        <values>
          <value>
            <val>106624234</val>
          </value>
        </values>
      </ddeItem>
      <ddeItem name="019875^0148J0:BUY_TDY_QTY" advise="1">
        <values>
          <value>
            <val>12285</val>
          </value>
        </values>
      </ddeItem>
      <ddeItem name="019875^0148J0:SELL_TDY_AMT" advise="1">
        <values>
          <value>
            <val>106481965</val>
          </value>
        </values>
      </ddeItem>
      <ddeItem name="019875^0148J0:SELL_TDY_QTY" advise="1">
        <values>
          <value>
            <val>12285</val>
          </value>
        </values>
      </ddeItem>
      <ddeItem name="019875^091220:BUY_TDY_AMT" advise="1">
        <values>
          <value>
            <val>0</val>
          </value>
        </values>
      </ddeItem>
      <ddeItem name="019875^091220:BUY_TDY_QTY" advise="1">
        <values>
          <value>
            <val>0</val>
          </value>
        </values>
      </ddeItem>
      <ddeItem name="019875^091220:SELL_TDY_AMT" advise="1">
        <values>
          <value>
            <val>0</val>
          </value>
        </values>
      </ddeItem>
      <ddeItem name="019875^091220:SELL_TDY_QTY" advise="1">
        <values>
          <value>
            <val>0</val>
          </value>
        </values>
      </ddeItem>
      <ddeItem name="019875^138520:BUY_TDY_AMT" advise="1">
        <values>
          <value>
            <val>35321430</val>
          </value>
        </values>
      </ddeItem>
      <ddeItem name="019875^138520:BUY_TDY_QTY" advise="1">
        <values>
          <value>
            <val>980</val>
          </value>
        </values>
      </ddeItem>
      <ddeItem name="019875^138520:SELL_TDY_AMT" advise="1">
        <values>
          <value>
            <val>35319200</val>
          </value>
        </values>
      </ddeItem>
      <ddeItem name="019875^138520:SELL_TDY_QTY" advise="1">
        <values>
          <value>
            <val>980</val>
          </value>
        </values>
      </ddeItem>
      <ddeItem name="019875^138530:BUY_TDY_AMT" advise="1">
        <values>
          <value>
            <val>996400</val>
          </value>
        </values>
      </ddeItem>
      <ddeItem name="019875^138530:BUY_TDY_QTY" advise="1">
        <values>
          <value>
            <val>80</val>
          </value>
        </values>
      </ddeItem>
      <ddeItem name="019875^138530:SELL_TDY_AMT" advise="1">
        <values>
          <value>
            <val>985960</val>
          </value>
        </values>
      </ddeItem>
      <ddeItem name="019875^138530:SELL_TDY_QTY" advise="1">
        <values>
          <value>
            <val>80</val>
          </value>
        </values>
      </ddeItem>
      <ddeItem name="019875^138540:BUY_TDY_AMT" advise="1">
        <values>
          <value>
            <val>32922975</val>
          </value>
        </values>
      </ddeItem>
      <ddeItem name="019875^138540:BUY_TDY_QTY" advise="1">
        <values>
          <value>
            <val>669</val>
          </value>
        </values>
      </ddeItem>
      <ddeItem name="019875^138540:SELL_TDY_AMT" advise="1">
        <values>
          <value>
            <val>32521825</val>
          </value>
        </values>
      </ddeItem>
      <ddeItem name="019875^138540:SELL_TDY_QTY" advise="1">
        <values>
          <value>
            <val>669</val>
          </value>
        </values>
      </ddeItem>
      <ddeItem name="019875^139220:BUY_TDY_AMT" advise="1">
        <values>
          <value>
            <val>0</val>
          </value>
        </values>
      </ddeItem>
      <ddeItem name="019875^139220:BUY_TDY_QTY" advise="1">
        <values>
          <value>
            <val>0</val>
          </value>
        </values>
      </ddeItem>
      <ddeItem name="019875^139220:SELL_TDY_AMT" advise="1">
        <values>
          <value>
            <val>0</val>
          </value>
        </values>
      </ddeItem>
      <ddeItem name="019875^139220:SELL_TDY_QTY" advise="1">
        <values>
          <value>
            <val>0</val>
          </value>
        </values>
      </ddeItem>
      <ddeItem name="019875^139230:BUY_TDY_AMT" advise="1">
        <values>
          <value>
            <val>0</val>
          </value>
        </values>
      </ddeItem>
      <ddeItem name="019875^139230:BUY_TDY_QTY" advise="1">
        <values>
          <value>
            <val>0</val>
          </value>
        </values>
      </ddeItem>
      <ddeItem name="019875^139230:SELL_TDY_AMT" advise="1">
        <values>
          <value>
            <val>0</val>
          </value>
        </values>
      </ddeItem>
      <ddeItem name="019875^139230:SELL_TDY_QTY" advise="1">
        <values>
          <value>
            <val>0</val>
          </value>
        </values>
      </ddeItem>
      <ddeItem name="019875^139250:BUY_TDY_AMT" advise="1">
        <values>
          <value>
            <val>500640</val>
          </value>
        </values>
      </ddeItem>
      <ddeItem name="019875^139250:BUY_TDY_QTY" advise="1">
        <values>
          <value>
            <val>28</val>
          </value>
        </values>
      </ddeItem>
      <ddeItem name="019875^139250:SELL_TDY_AMT" advise="1">
        <values>
          <value>
            <val>490040</val>
          </value>
        </values>
      </ddeItem>
      <ddeItem name="019875^139250:SELL_TDY_QTY" advise="1">
        <values>
          <value>
            <val>28</val>
          </value>
        </values>
      </ddeItem>
      <ddeItem name="019875^150460:BUY_TDY_AMT" advise="1">
        <values>
          <value>
            <val>1659340</val>
          </value>
        </values>
      </ddeItem>
      <ddeItem name="019875^150460:BUY_TDY_QTY" advise="1">
        <values>
          <value>
            <val>209</val>
          </value>
        </values>
      </ddeItem>
      <ddeItem name="019875^150460:SELL_TDY_AMT" advise="1">
        <values>
          <value>
            <val>1468005</val>
          </value>
        </values>
      </ddeItem>
      <ddeItem name="019875^150460:SELL_TDY_QTY" advise="1">
        <values>
          <value>
            <val>185</val>
          </value>
        </values>
      </ddeItem>
      <ddeItem name="019875^157490:BUY_TDY_AMT" advise="1">
        <values>
          <value>
            <val>11265965</val>
          </value>
        </values>
      </ddeItem>
      <ddeItem name="019875^157490:BUY_TDY_QTY" advise="1">
        <values>
          <value>
            <val>1356</val>
          </value>
        </values>
      </ddeItem>
      <ddeItem name="019875^157490:SELL_TDY_AMT" advise="1">
        <values>
          <value>
            <val>11287817</val>
          </value>
        </values>
      </ddeItem>
      <ddeItem name="019875^157490:SELL_TDY_QTY" advise="1">
        <values>
          <value>
            <val>1356</val>
          </value>
        </values>
      </ddeItem>
      <ddeItem name="019875^157500:BUY_TDY_AMT" advise="1">
        <values>
          <value>
            <val>3498030</val>
          </value>
        </values>
      </ddeItem>
      <ddeItem name="019875^157500:BUY_TDY_QTY" advise="1">
        <values>
          <value>
            <val>288</val>
          </value>
        </values>
      </ddeItem>
      <ddeItem name="019875^157500:SELL_TDY_AMT" advise="1">
        <values>
          <value>
            <val>3510810</val>
          </value>
        </values>
      </ddeItem>
      <ddeItem name="019875^157500:SELL_TDY_QTY" advise="1">
        <values>
          <value>
            <val>288</val>
          </value>
        </values>
      </ddeItem>
      <ddeItem name="019875^227540:BUY_TDY_AMT" advise="1">
        <values>
          <value>
            <val>0</val>
          </value>
        </values>
      </ddeItem>
      <ddeItem name="019875^227540:BUY_TDY_QTY" advise="1">
        <values>
          <value>
            <val>0</val>
          </value>
        </values>
      </ddeItem>
      <ddeItem name="019875^227540:SELL_TDY_AMT" advise="1">
        <values>
          <value>
            <val>0</val>
          </value>
        </values>
      </ddeItem>
      <ddeItem name="019875^227540:SELL_TDY_QTY" advise="1">
        <values>
          <value>
            <val>0</val>
          </value>
        </values>
      </ddeItem>
      <ddeItem name="019875^228790:BUY_TDY_AMT" advise="1">
        <values>
          <value>
            <val>19323495</val>
          </value>
        </values>
      </ddeItem>
      <ddeItem name="019875^228790:BUY_TDY_QTY" advise="1">
        <values>
          <value>
            <val>4059</val>
          </value>
        </values>
      </ddeItem>
      <ddeItem name="019875^228790:SELL_TDY_AMT" advise="1">
        <values>
          <value>
            <val>19281855</val>
          </value>
        </values>
      </ddeItem>
      <ddeItem name="019875^228790:SELL_TDY_QTY" advise="1">
        <values>
          <value>
            <val>4059</val>
          </value>
        </values>
      </ddeItem>
      <ddeItem name="019875^228800:BUY_TDY_AMT" advise="1">
        <values>
          <value>
            <val>3195555</val>
          </value>
        </values>
      </ddeItem>
      <ddeItem name="019875^228800:BUY_TDY_QTY" advise="1">
        <values>
          <value>
            <val>1177</val>
          </value>
        </values>
      </ddeItem>
      <ddeItem name="019875^228800:SELL_TDY_AMT" advise="1">
        <values>
          <value>
            <val>3209970</val>
          </value>
        </values>
      </ddeItem>
      <ddeItem name="019875^228800:SELL_TDY_QTY" advise="1">
        <values>
          <value>
            <val>1177</val>
          </value>
        </values>
      </ddeItem>
      <ddeItem name="019875^228810:BUY_TDY_AMT" advise="1">
        <values>
          <value>
            <val>4816365</val>
          </value>
        </values>
      </ddeItem>
      <ddeItem name="019875^228810:BUY_TDY_QTY" advise="1">
        <values>
          <value>
            <val>1531</val>
          </value>
        </values>
      </ddeItem>
      <ddeItem name="019875^228810:SELL_TDY_AMT" advise="1">
        <values>
          <value>
            <val>4726290</val>
          </value>
        </values>
      </ddeItem>
      <ddeItem name="019875^228810:SELL_TDY_QTY" advise="1">
        <values>
          <value>
            <val>1531</val>
          </value>
        </values>
      </ddeItem>
      <ddeItem name="019875^261060:BUY_TDY_AMT" advise="1">
        <values>
          <value>
            <val>226850</val>
          </value>
        </values>
      </ddeItem>
      <ddeItem name="019875^261060:BUY_TDY_QTY" advise="1">
        <values>
          <value>
            <val>10</val>
          </value>
        </values>
      </ddeItem>
      <ddeItem name="019875^261060:SELL_TDY_AMT" advise="1">
        <values>
          <value>
            <val>227890</val>
          </value>
        </values>
      </ddeItem>
      <ddeItem name="019875^261060:SELL_TDY_QTY" advise="1">
        <values>
          <value>
            <val>10</val>
          </value>
        </values>
      </ddeItem>
      <ddeItem name="019875^261070:BUY_TDY_AMT" advise="1">
        <values>
          <value>
            <val>25504225</val>
          </value>
        </values>
      </ddeItem>
      <ddeItem name="019875^261070:BUY_TDY_QTY" advise="1">
        <values>
          <value>
            <val>2000</val>
          </value>
        </values>
      </ddeItem>
      <ddeItem name="019875^261070:SELL_TDY_AMT" advise="1">
        <values>
          <value>
            <val>25149875</val>
          </value>
        </values>
      </ddeItem>
      <ddeItem name="019875^261070:SELL_TDY_QTY" advise="1">
        <values>
          <value>
            <val>2000</val>
          </value>
        </values>
      </ddeItem>
      <ddeItem name="019875^292150:BUY_TDY_AMT" advise="1">
        <values>
          <value>
            <val>138696635</val>
          </value>
        </values>
      </ddeItem>
      <ddeItem name="019875^292150:BUY_TDY_QTY" advise="1">
        <values>
          <value>
            <val>3783</val>
          </value>
        </values>
      </ddeItem>
      <ddeItem name="019875^292150:SELL_TDY_AMT" advise="1">
        <values>
          <value>
            <val>137718750</val>
          </value>
        </values>
      </ddeItem>
      <ddeItem name="019875^292150:SELL_TDY_QTY" advise="1">
        <values>
          <value>
            <val>3783</val>
          </value>
        </values>
      </ddeItem>
      <ddeItem name="019875^305540:BUY_TDY_AMT" advise="1">
        <values>
          <value>
            <val>49170575</val>
          </value>
        </values>
      </ddeItem>
      <ddeItem name="019875^305540:BUY_TDY_QTY" advise="1">
        <values>
          <value>
            <val>2641</val>
          </value>
        </values>
      </ddeItem>
      <ddeItem name="019875^305540:SELL_TDY_AMT" advise="1">
        <values>
          <value>
            <val>19023575</val>
          </value>
        </values>
      </ddeItem>
      <ddeItem name="019875^305540:SELL_TDY_QTY" advise="1">
        <values>
          <value>
            <val>1001</val>
          </value>
        </values>
      </ddeItem>
      <ddeItem name="019875^307520:BUY_TDY_AMT" advise="1">
        <values>
          <value>
            <val>351560</val>
          </value>
        </values>
      </ddeItem>
      <ddeItem name="019875^307520:BUY_TDY_QTY" advise="1">
        <values>
          <value>
            <val>16</val>
          </value>
        </values>
      </ddeItem>
      <ddeItem name="019875^307520:SELL_TDY_AMT" advise="1">
        <values>
          <value>
            <val>352265</val>
          </value>
        </values>
      </ddeItem>
      <ddeItem name="019875^307520:SELL_TDY_QTY" advise="1">
        <values>
          <value>
            <val>16</val>
          </value>
        </values>
      </ddeItem>
      <ddeItem name="019875^364960:BUY_TDY_AMT" advise="1">
        <values>
          <value>
            <val>240605</val>
          </value>
        </values>
      </ddeItem>
      <ddeItem name="019875^364960:BUY_TDY_QTY" advise="1">
        <values>
          <value>
            <val>37</val>
          </value>
        </values>
      </ddeItem>
      <ddeItem name="019875^364960:SELL_TDY_AMT" advise="1">
        <values>
          <value>
            <val>240895</val>
          </value>
        </values>
      </ddeItem>
      <ddeItem name="019875^364960:SELL_TDY_QTY" advise="1">
        <values>
          <value>
            <val>37</val>
          </value>
        </values>
      </ddeItem>
      <ddeItem name="019875^364970:BUY_TDY_AMT" advise="1">
        <values>
          <value>
            <val>148868755</val>
          </value>
        </values>
      </ddeItem>
      <ddeItem name="019875^364970:BUY_TDY_QTY" advise="1">
        <values>
          <value>
            <val>20055</val>
          </value>
        </values>
      </ddeItem>
      <ddeItem name="019875^364970:SELL_TDY_AMT" advise="1">
        <values>
          <value>
            <val>149019704</val>
          </value>
        </values>
      </ddeItem>
      <ddeItem name="019875^364970:SELL_TDY_QTY" advise="1">
        <values>
          <value>
            <val>20055</val>
          </value>
        </values>
      </ddeItem>
      <ddeItem name="019875^364980:BUY_TDY_AMT" advise="1">
        <values>
          <value>
            <val>492394585</val>
          </value>
        </values>
      </ddeItem>
      <ddeItem name="019875^364980:BUY_TDY_QTY" advise="1">
        <values>
          <value>
            <val>47838</val>
          </value>
        </values>
      </ddeItem>
      <ddeItem name="019875^364980:SELL_TDY_AMT" advise="1">
        <values>
          <value>
            <val>495100400</val>
          </value>
        </values>
      </ddeItem>
      <ddeItem name="019875^364980:SELL_TDY_QTY" advise="1">
        <values>
          <value>
            <val>47838</val>
          </value>
        </values>
      </ddeItem>
      <ddeItem name="019875^364990:BUY_TDY_AMT" advise="1">
        <values>
          <value>
            <val>9435</val>
          </value>
        </values>
      </ddeItem>
      <ddeItem name="019875^364990:BUY_TDY_QTY" advise="1">
        <values>
          <value>
            <val>2</val>
          </value>
        </values>
      </ddeItem>
      <ddeItem name="019875^364990:SELL_TDY_AMT" advise="1">
        <values>
          <value>
            <val>9570</val>
          </value>
        </values>
      </ddeItem>
      <ddeItem name="019875^364990:SELL_TDY_QTY" advise="1">
        <values>
          <value>
            <val>2</val>
          </value>
        </values>
      </ddeItem>
      <ddeItem name="019875^365000:BUY_TDY_AMT" advise="1">
        <values>
          <value>
            <val>105470</val>
          </value>
        </values>
      </ddeItem>
      <ddeItem name="019875^365000:BUY_TDY_QTY" advise="1">
        <values>
          <value>
            <val>30</val>
          </value>
        </values>
      </ddeItem>
      <ddeItem name="019875^365000:SELL_TDY_AMT" advise="1">
        <values>
          <value>
            <val>106825</val>
          </value>
        </values>
      </ddeItem>
      <ddeItem name="019875^365000:SELL_TDY_QTY" advise="1">
        <values>
          <value>
            <val>30</val>
          </value>
        </values>
      </ddeItem>
      <ddeItem name="019875^377990:BUY_TDY_AMT" advise="1">
        <values>
          <value>
            <val>23360</val>
          </value>
        </values>
      </ddeItem>
      <ddeItem name="019875^377990:BUY_TDY_QTY" advise="1">
        <values>
          <value>
            <val>1</val>
          </value>
        </values>
      </ddeItem>
      <ddeItem name="019875^377990:SELL_TDY_AMT" advise="1">
        <values>
          <value>
            <val>23940</val>
          </value>
        </values>
      </ddeItem>
      <ddeItem name="019875^377990:SELL_TDY_QTY" advise="1">
        <values>
          <value>
            <val>1</val>
          </value>
        </values>
      </ddeItem>
      <ddeItem name="019875^395270:BUY_TDY_AMT" advise="1">
        <values>
          <value>
            <val>285914745</val>
          </value>
        </values>
      </ddeItem>
      <ddeItem name="019875^395270:BUY_TDY_QTY" advise="1">
        <values>
          <value>
            <val>5293</val>
          </value>
        </values>
      </ddeItem>
      <ddeItem name="019875^395270:SELL_TDY_AMT" advise="1">
        <values>
          <value>
            <val>285275550</val>
          </value>
        </values>
      </ddeItem>
      <ddeItem name="019875^395270:SELL_TDY_QTY" advise="1">
        <values>
          <value>
            <val>5293</val>
          </value>
        </values>
      </ddeItem>
      <ddeItem name="019875^396500:BUY_TDY_AMT" advise="1">
        <values>
          <value>
            <val>2686885015</val>
          </value>
        </values>
      </ddeItem>
      <ddeItem name="019875^396500:BUY_TDY_QTY" advise="1">
        <values>
          <value>
            <val>78372</val>
          </value>
        </values>
      </ddeItem>
      <ddeItem name="019875^396500:SELL_TDY_AMT" advise="1">
        <values>
          <value>
            <val>2680505060</val>
          </value>
        </values>
      </ddeItem>
      <ddeItem name="019875^396500:SELL_TDY_QTY" advise="1">
        <values>
          <value>
            <val>78372</val>
          </value>
        </values>
      </ddeItem>
      <ddeItem name="019875^400970:BUY_TDY_AMT" advise="1">
        <values>
          <value>
            <val>7395</val>
          </value>
        </values>
      </ddeItem>
      <ddeItem name="019875^400970:BUY_TDY_QTY" advise="1">
        <values>
          <value>
            <val>1</val>
          </value>
        </values>
      </ddeItem>
      <ddeItem name="019875^400970:SELL_TDY_AMT" advise="1">
        <values>
          <value>
            <val>7375</val>
          </value>
        </values>
      </ddeItem>
      <ddeItem name="019875^400970:SELL_TDY_QTY" advise="1">
        <values>
          <value>
            <val>1</val>
          </value>
        </values>
      </ddeItem>
      <ddeItem name="019875^417630:BUY_TDY_AMT" advise="1">
        <values>
          <value>
            <val>0</val>
          </value>
        </values>
      </ddeItem>
      <ddeItem name="019875^417630:BUY_TDY_QTY" advise="1">
        <values>
          <value>
            <val>0</val>
          </value>
        </values>
      </ddeItem>
      <ddeItem name="019875^417630:SELL_TDY_AMT" advise="1">
        <values>
          <value>
            <val>0</val>
          </value>
        </values>
      </ddeItem>
      <ddeItem name="019875^417630:SELL_TDY_QTY" advise="1">
        <values>
          <value>
            <val>0</val>
          </value>
        </values>
      </ddeItem>
      <ddeItem name="019875^462010:BUY_TDY_AMT" advise="1">
        <values>
          <value>
            <val>8494840</val>
          </value>
        </values>
      </ddeItem>
      <ddeItem name="019875^462010:BUY_TDY_QTY" advise="1">
        <values>
          <value>
            <val>1767</val>
          </value>
        </values>
      </ddeItem>
      <ddeItem name="019875^462010:SELL_TDY_AMT" advise="1">
        <values>
          <value>
            <val>8706400</val>
          </value>
        </values>
      </ddeItem>
      <ddeItem name="019875^462010:SELL_TDY_QTY" advise="1">
        <values>
          <value>
            <val>1767</val>
          </value>
        </values>
      </ddeItem>
      <ddeItem name="019875^466940:BUY_TDY_AMT" advise="1">
        <values>
          <value>
            <val>172349100</val>
          </value>
        </values>
      </ddeItem>
      <ddeItem name="019875^466940:BUY_TDY_QTY" advise="1">
        <values>
          <value>
            <val>6383</val>
          </value>
        </values>
      </ddeItem>
      <ddeItem name="019875^466940:SELL_TDY_AMT" advise="1">
        <values>
          <value>
            <val>173165013</val>
          </value>
        </values>
      </ddeItem>
      <ddeItem name="019875^466940:SELL_TDY_QTY" advise="1">
        <values>
          <value>
            <val>6383</val>
          </value>
        </values>
      </ddeItem>
      <ddeItem name="019875^471760:BUY_TDY_AMT" advise="1">
        <values>
          <value>
            <val>27435130</val>
          </value>
        </values>
      </ddeItem>
      <ddeItem name="019875^471760:BUY_TDY_QTY" advise="1">
        <values>
          <value>
            <val>1921</val>
          </value>
        </values>
      </ddeItem>
      <ddeItem name="019875^471760:SELL_TDY_AMT" advise="1">
        <values>
          <value>
            <val>27119665</val>
          </value>
        </values>
      </ddeItem>
      <ddeItem name="019875^471760:SELL_TDY_QTY" advise="1">
        <values>
          <value>
            <val>1921</val>
          </value>
        </values>
      </ddeItem>
      <ddeItem name="019875^494670:BUY_TDY_AMT" advise="1">
        <values>
          <value>
            <val>433007335</val>
          </value>
        </values>
      </ddeItem>
      <ddeItem name="019875^494670:BUY_TDY_QTY" advise="1">
        <values>
          <value>
            <val>20807</val>
          </value>
        </values>
      </ddeItem>
      <ddeItem name="019875^494670:SELL_TDY_AMT" advise="1">
        <values>
          <value>
            <val>436190212</val>
          </value>
        </values>
      </ddeItem>
      <ddeItem name="019875^494670:SELL_TDY_QTY" advise="1">
        <values>
          <value>
            <val>20807</val>
          </value>
        </values>
      </ddeItem>
      <ddeItem name="028875^A0569:BUY_TDY_AMT" advise="1">
        <values>
          <value>
            <val>2233695000</val>
          </value>
        </values>
      </ddeItem>
      <ddeItem name="028875^A0569:BUY_TDY_QTY" advise="1">
        <values>
          <value>
            <val>43</val>
          </value>
        </values>
      </ddeItem>
      <ddeItem name="028875^A0569:QTY" advise="1">
        <values>
          <value>
            <val>0</val>
          </value>
        </values>
      </ddeItem>
      <ddeItem name="028875^A0569:SELL_TDY_AMT" advise="1">
        <values>
          <value>
            <val>2242428000</val>
          </value>
        </values>
      </ddeItem>
      <ddeItem name="028875^A0569:SELL_TDY_QTY" advise="1">
        <values>
          <value>
            <val>43</val>
          </value>
        </values>
      </ddeItem>
      <ddeItem name="028875^A0669:BUY_TDY_AMT" advise="1">
        <values>
          <value>
            <val>695070000</val>
          </value>
        </values>
      </ddeItem>
      <ddeItem name="028875^A0669:BUY_TDY_QTY" advise="1">
        <values>
          <value>
            <val>50</val>
          </value>
        </values>
      </ddeItem>
      <ddeItem name="028875^A0669:QTY" advise="1">
        <values>
          <value>
            <val>0</val>
          </value>
        </values>
      </ddeItem>
      <ddeItem name="028875^A0669:SELL_TDY_AMT" advise="1">
        <values>
          <value>
            <val>695690000</val>
          </value>
        </values>
      </ddeItem>
      <ddeItem name="028875^A0669:SELL_TDY_QTY" advise="1">
        <values>
          <value>
            <val>50</val>
          </value>
        </values>
      </ddeItem>
      <ddeItem name="091220:LAST" advise="1">
        <values>
          <value>
            <val>17065</val>
          </value>
        </values>
      </ddeItem>
      <ddeItem name="091220:NAV" advise="1">
        <values>
          <value>
            <val>17140.77</val>
          </value>
        </values>
      </ddeItem>
      <ddeItem name="091220:VOL" advise="1">
        <values>
          <value>
            <val>94118</val>
          </value>
        </values>
      </ddeItem>
      <ddeItem name="138520:LAST" advise="1">
        <values>
          <value>
            <val>36085</val>
          </value>
        </values>
      </ddeItem>
      <ddeItem name="138520:NAV" advise="1">
        <values>
          <value>
            <val>35924.46</val>
          </value>
        </values>
      </ddeItem>
      <ddeItem name="138520:VOL" advise="1">
        <values>
          <value>
            <val>17052</val>
          </value>
        </values>
      </ddeItem>
      <ddeItem name="138530:LAST" advise="1">
        <values>
          <value>
            <val>12255</val>
          </value>
        </values>
      </ddeItem>
      <ddeItem name="138530:NAV" advise="1">
        <values>
          <value>
            <val>12299.11</val>
          </value>
        </values>
      </ddeItem>
      <ddeItem name="138530:VOL" advise="1">
        <values>
          <value>
            <val>52718</val>
          </value>
        </values>
      </ddeItem>
      <ddeItem name="138540:LAST" advise="1">
        <values>
          <value>
            <val>48310</val>
          </value>
        </values>
      </ddeItem>
      <ddeItem name="138540:NAV" advise="1">
        <values>
          <value>
            <val>48463.96</val>
          </value>
        </values>
      </ddeItem>
      <ddeItem name="138540:VOL" advise="1">
        <values>
          <value>
            <val>130510</val>
          </value>
        </values>
      </ddeItem>
      <ddeItem name="139220:LAST" advise="1">
        <values>
          <value>
            <val>7375</val>
          </value>
        </values>
      </ddeItem>
      <ddeItem name="139220:NAV" advise="1">
        <values>
          <value>
            <val>7400.53</val>
          </value>
        </values>
      </ddeItem>
      <ddeItem name="139220:VOL" advise="1">
        <values>
          <value>
            <val>343723</val>
          </value>
        </values>
      </ddeItem>
      <ddeItem name="139230:LAST" advise="1">
        <values>
          <value>
            <val>12270</val>
          </value>
        </values>
      </ddeItem>
      <ddeItem name="139230:NAV" advise="1">
        <values>
          <value>
            <val>12317.58</val>
          </value>
        </values>
      </ddeItem>
      <ddeItem name="139230:VOL" advise="1">
        <values>
          <value>
            <val>74681</val>
          </value>
        </values>
      </ddeItem>
      <ddeItem name="139250:LAST" advise="1">
        <values>
          <value>
            <val>17470</val>
          </value>
        </values>
      </ddeItem>
      <ddeItem name="139250:NAV" advise="1">
        <values>
          <value>
            <val>17462.38</val>
          </value>
        </values>
      </ddeItem>
      <ddeItem name="139250:VOL" advise="1">
        <values>
          <value>
            <val>26487</val>
          </value>
        </values>
      </ddeItem>
      <ddeItem name="150460:LAST" advise="1">
        <values>
          <value>
            <val>7900</val>
          </value>
        </values>
      </ddeItem>
      <ddeItem name="150460:NAV" advise="1">
        <values>
          <value>
            <val>7925.97</val>
          </value>
        </values>
      </ddeItem>
      <ddeItem name="150460:VOL" advise="1">
        <values>
          <value>
            <val>33139</val>
          </value>
        </values>
      </ddeItem>
      <ddeItem name="157490:LAST" advise="1">
        <values>
          <value>
            <val>8315</val>
          </value>
        </values>
      </ddeItem>
      <ddeItem name="157490:NAV" advise="1">
        <values>
          <value>
            <val>8289.43</val>
          </value>
        </values>
      </ddeItem>
      <ddeItem name="157490:VOL" advise="1">
        <values>
          <value>
            <val>119543</val>
          </value>
        </values>
      </ddeItem>
      <ddeItem name="157500:LAST" advise="1">
        <values>
          <value>
            <val>12085</val>
          </value>
        </values>
      </ddeItem>
      <ddeItem name="157500:NAV" advise="1">
        <values>
          <value>
            <val>12134.26</val>
          </value>
        </values>
      </ddeItem>
      <ddeItem name="157500:VOL" advise="1">
        <values>
          <value>
            <val>162504</val>
          </value>
        </values>
      </ddeItem>
      <ddeItem name="227540:LAST" advise="1">
        <values>
          <value>
            <val>19445</val>
          </value>
        </values>
      </ddeItem>
      <ddeItem name="227540:NAV" advise="1">
        <values>
          <value>
            <val>19424.169999999998</val>
          </value>
        </values>
      </ddeItem>
      <ddeItem name="227540:VOL" advise="1">
        <values>
          <value>
            <val>10132</val>
          </value>
        </values>
      </ddeItem>
      <ddeItem name="228790:LAST" advise="1">
        <values>
          <value>
            <val>4680</val>
          </value>
        </values>
      </ddeItem>
      <ddeItem name="228790:NAV" advise="1">
        <values>
          <value>
            <val>4707.3500000000004</val>
          </value>
        </values>
      </ddeItem>
      <ddeItem name="228790:VOL" advise="1">
        <values>
          <value>
            <val>10053039</val>
          </value>
        </values>
      </ddeItem>
      <ddeItem name="228800:LAST" advise="1">
        <values>
          <value>
            <val>2705</val>
          </value>
        </values>
      </ddeItem>
      <ddeItem name="228800:NAV" advise="1">
        <values>
          <value>
            <val>2711.55</val>
          </value>
        </values>
      </ddeItem>
      <ddeItem name="228800:VOL" advise="1">
        <values>
          <value>
            <val>146441</val>
          </value>
        </values>
      </ddeItem>
      <ddeItem name="228810:LAST" advise="1">
        <values>
          <value>
            <val>3060</val>
          </value>
        </values>
      </ddeItem>
      <ddeItem name="228810:NAV" advise="1">
        <values>
          <value>
            <val>3067.95</val>
          </value>
        </values>
      </ddeItem>
      <ddeItem name="228810:VOL" advise="1">
        <values>
          <value>
            <val>214125</val>
          </value>
        </values>
      </ddeItem>
      <ddeItem name="261060:LAST" advise="1">
        <values>
          <value>
            <val>22580</val>
          </value>
        </values>
      </ddeItem>
      <ddeItem name="261060:NAV" advise="1">
        <values>
          <value>
            <val>22704.53</val>
          </value>
        </values>
      </ddeItem>
      <ddeItem name="261060:VOL" advise="1">
        <values>
          <value>
            <val>17607</val>
          </value>
        </values>
      </ddeItem>
      <ddeItem name="261070:LAST" advise="1">
        <values>
          <value>
            <val>12340</val>
          </value>
        </values>
      </ddeItem>
      <ddeItem name="261070:NAV" advise="1">
        <values>
          <value>
            <val>12322.12</val>
          </value>
        </values>
      </ddeItem>
      <ddeItem name="261070:VOL" advise="1">
        <values>
          <value>
            <val>383818</val>
          </value>
        </values>
      </ddeItem>
      <ddeItem name="292150:LAST" advise="1">
        <values>
          <value>
            <val>36435</val>
          </value>
        </values>
      </ddeItem>
      <ddeItem name="292150:NAV" advise="1">
        <values>
          <value>
            <val>36303.57</val>
          </value>
        </values>
      </ddeItem>
      <ddeItem name="292150:VOL" advise="1">
        <values>
          <value>
            <val>311017</val>
          </value>
        </values>
      </ddeItem>
      <ddeItem name="305540:LAST" advise="1">
        <values>
          <value>
            <val>18425</val>
          </value>
        </values>
      </ddeItem>
      <ddeItem name="305540:NAV" advise="1">
        <values>
          <value>
            <val>18445.89</val>
          </value>
        </values>
      </ddeItem>
      <ddeItem name="305540:VOL" advise="1">
        <values>
          <value>
            <val>598038</val>
          </value>
        </values>
      </ddeItem>
      <ddeItem name="307520:LAST" advise="1">
        <values>
          <value>
            <val>21895</val>
          </value>
        </values>
      </ddeItem>
      <ddeItem name="307520:NAV" advise="1">
        <values>
          <value>
            <val>21955.81</val>
          </value>
        </values>
      </ddeItem>
      <ddeItem name="307520:VOL" advise="1">
        <values>
          <value>
            <val>212505</val>
          </value>
        </values>
      </ddeItem>
      <ddeItem name="364960:LAST" advise="1">
        <values>
          <value>
            <val>6465</val>
          </value>
        </values>
      </ddeItem>
      <ddeItem name="364960:NAV" advise="1">
        <values>
          <value>
            <val>6482.97</val>
          </value>
        </values>
      </ddeItem>
      <ddeItem name="364960:VOL" advise="1">
        <values>
          <value>
            <val>2677</val>
          </value>
        </values>
      </ddeItem>
      <ddeItem name="364970:LAST" advise="1">
        <values>
          <value>
            <val>7320</val>
          </value>
        </values>
      </ddeItem>
      <ddeItem name="364970:NAV" advise="1">
        <values>
          <value>
            <val>7326.31</val>
          </value>
        </values>
      </ddeItem>
      <ddeItem name="364970:VOL" advise="1">
        <values>
          <value>
            <val>1585985</val>
          </value>
        </values>
      </ddeItem>
      <ddeItem name="364980:LAST" advise="1">
        <values>
          <value>
            <val>10140</val>
          </value>
        </values>
      </ddeItem>
      <ddeItem name="364980:NAV" advise="1">
        <values>
          <value>
            <val>10202.370000000001</val>
          </value>
        </values>
      </ddeItem>
      <ddeItem name="364980:VOL" advise="1">
        <values>
          <value>
            <val>5426187</val>
          </value>
        </values>
      </ddeItem>
      <ddeItem name="364990:LAST" advise="1">
        <values>
          <value>
            <val>4720</val>
          </value>
        </values>
      </ddeItem>
      <ddeItem name="364990:NAV" advise="1">
        <values>
          <value>
            <val>4703.5</val>
          </value>
        </values>
      </ddeItem>
      <ddeItem name="364990:VOL" advise="1">
        <values>
          <value>
            <val>44650</val>
          </value>
        </values>
      </ddeItem>
      <ddeItem name="365000:LAST" advise="1">
        <values>
          <value>
            <val>3505</val>
          </value>
        </values>
      </ddeItem>
      <ddeItem name="365000:NAV" advise="1">
        <values>
          <value>
            <val>3503.91</val>
          </value>
        </values>
      </ddeItem>
      <ddeItem name="365000:VOL" advise="1">
        <values>
          <value>
            <val>134165</val>
          </value>
        </values>
      </ddeItem>
      <ddeItem name="377990:LAST" advise="1">
        <values>
          <value>
            <val>23135</val>
          </value>
        </values>
      </ddeItem>
      <ddeItem name="377990:NAV" advise="1">
        <values>
          <value>
            <val>23201.63</val>
          </value>
        </values>
      </ddeItem>
      <ddeItem name="377990:VOL" advise="1">
        <values>
          <value>
            <val>81848</val>
          </value>
        </values>
      </ddeItem>
      <ddeItem name="395270:LAST" advise="1">
        <values>
          <value>
            <val>53370</val>
          </value>
        </values>
      </ddeItem>
      <ddeItem name="395270:NAV" advise="1">
        <values>
          <value>
            <val>53452.78</val>
          </value>
        </values>
      </ddeItem>
      <ddeItem name="395270:VOL" advise="1">
        <values>
          <value>
            <val>904189</val>
          </value>
        </values>
      </ddeItem>
      <ddeItem name="396500:LAST" advise="1">
        <values>
          <value>
            <val>33765</val>
          </value>
        </values>
      </ddeItem>
      <ddeItem name="396500:NAV" advise="1">
        <values>
          <value>
            <val>33833.49</val>
          </value>
        </values>
      </ddeItem>
      <ddeItem name="396500:VOL" advise="1">
        <values>
          <value>
            <val>7983087</val>
          </value>
        </values>
      </ddeItem>
      <ddeItem name="400970:LAST" advise="1">
        <values>
          <value>
            <val>7380</val>
          </value>
        </values>
      </ddeItem>
      <ddeItem name="400970:NAV" advise="1">
        <values>
          <value>
            <val>7365.93</val>
          </value>
        </values>
      </ddeItem>
      <ddeItem name="400970:VOL" advise="1">
        <values>
          <value>
            <val>5652</val>
          </value>
        </values>
      </ddeItem>
      <ddeItem name="417630:LAST" advise="1">
        <values>
          <value>
            <val>19425</val>
          </value>
        </values>
      </ddeItem>
      <ddeItem name="417630:NAV" advise="1">
        <values>
          <value>
            <val>19501.52</val>
          </value>
        </values>
      </ddeItem>
      <ddeItem name="417630:VOL" advise="1">
        <values>
          <value>
            <val>518</val>
          </value>
        </values>
      </ddeItem>
      <ddeItem name="462010:LAST" advise="1">
        <values>
          <value>
            <val>4765</val>
          </value>
        </values>
      </ddeItem>
      <ddeItem name="462010:NAV" advise="1">
        <values>
          <value>
            <val>4775.7</val>
          </value>
        </values>
      </ddeItem>
      <ddeItem name="462010:VOL" advise="1">
        <values>
          <value>
            <val>2680571</val>
          </value>
        </values>
      </ddeItem>
      <ddeItem name="466940:LAST" advise="1">
        <values>
          <value>
            <val>26700</val>
          </value>
        </values>
      </ddeItem>
      <ddeItem name="466940:NAV" advise="1">
        <values>
          <value>
            <val>26848.59</val>
          </value>
        </values>
      </ddeItem>
      <ddeItem name="466940:VOL" advise="1">
        <values>
          <value>
            <val>848870</val>
          </value>
        </values>
      </ddeItem>
      <ddeItem name="471760:LAST" advise="1">
        <values>
          <value>
            <val>14100</val>
          </value>
        </values>
      </ddeItem>
      <ddeItem name="471760:NAV" advise="1">
        <values>
          <value>
            <val>14143.47</val>
          </value>
        </values>
      </ddeItem>
      <ddeItem name="471760:VOL" advise="1">
        <values>
          <value>
            <val>645031</val>
          </value>
        </values>
      </ddeItem>
      <ddeItem name="472150:LAST" advise="1">
        <values>
          <value>
            <val>19420</val>
          </value>
        </values>
      </ddeItem>
      <ddeItem name="472150:NAV" advise="1">
        <values>
          <value>
            <val>19416.419999999998</val>
          </value>
        </values>
      </ddeItem>
      <ddeItem name="472150:VOL" advise="1">
        <values>
          <value>
            <val>3489279</val>
          </value>
        </values>
      </ddeItem>
      <ddeItem name="494670:LAST" advise="1">
        <values>
          <value>
            <val>20700</val>
          </value>
        </values>
      </ddeItem>
      <ddeItem name="494670:NAV" advise="1">
        <values>
          <value>
            <val>20675.91</val>
          </value>
        </values>
      </ddeItem>
      <ddeItem name="494670:VOL" advise="1">
        <values>
          <value>
            <val>439147</val>
          </value>
        </values>
      </ddeItem>
      <ddeItem name="A0569:LAST" advise="1">
        <values>
          <value>
            <val>1029.46</val>
          </value>
        </values>
      </ddeItem>
      <ddeItem name="A0669:LAST" advise="1">
        <values>
          <value>
            <val>1370.6</val>
          </value>
        </values>
      </ddeItem>
      <ddeItem name="StdDocumentName" ole="1" advise="1"/>
    </ddeItems>
  </ddeLin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TF"/>
      <sheetName val="PDF"/>
      <sheetName val="200&amp;150"/>
      <sheetName val="ETF_선물 델타"/>
      <sheetName val="베타"/>
      <sheetName val="바스켓 손익"/>
    </sheetNames>
    <sheetDataSet>
      <sheetData sheetId="0">
        <row r="4">
          <cell r="A4" t="str">
            <v>A0000J0</v>
          </cell>
          <cell r="B4" t="str">
            <v>1</v>
          </cell>
          <cell r="C4" t="str">
            <v>0000J0</v>
          </cell>
          <cell r="D4" t="str">
            <v>PLUS 한화그룹주</v>
          </cell>
          <cell r="E4">
            <v>24659.16</v>
          </cell>
          <cell r="F4">
            <v>24585</v>
          </cell>
          <cell r="G4" t="str">
            <v>170 ( 0.70%)</v>
          </cell>
          <cell r="H4">
            <v>96663</v>
          </cell>
          <cell r="I4" t="str">
            <v>주식-전략</v>
          </cell>
          <cell r="J4">
            <v>11</v>
          </cell>
          <cell r="K4">
            <v>42788</v>
          </cell>
          <cell r="L4">
            <v>4228498</v>
          </cell>
          <cell r="M4">
            <v>50000</v>
          </cell>
        </row>
        <row r="5">
          <cell r="A5" t="str">
            <v>A0000Y0</v>
          </cell>
          <cell r="B5" t="str">
            <v>2</v>
          </cell>
          <cell r="C5" t="str">
            <v>0000Y0</v>
          </cell>
          <cell r="D5" t="str">
            <v>HK 26-12 회사채(AA-이상)액티브</v>
          </cell>
          <cell r="E5">
            <v>101492.26</v>
          </cell>
          <cell r="F5">
            <v>101460</v>
          </cell>
          <cell r="G5" t="str">
            <v>0 ( 0.00%)</v>
          </cell>
          <cell r="H5">
            <v>0</v>
          </cell>
          <cell r="I5" t="str">
            <v>채권-혼합</v>
          </cell>
          <cell r="J5">
            <v>10</v>
          </cell>
          <cell r="K5">
            <v>0</v>
          </cell>
          <cell r="L5">
            <v>4072517</v>
          </cell>
          <cell r="M5">
            <v>1000</v>
          </cell>
        </row>
        <row r="6">
          <cell r="A6" t="str">
            <v>A0000Z0</v>
          </cell>
          <cell r="B6" t="str">
            <v>3</v>
          </cell>
          <cell r="C6" t="str">
            <v>0000Z0</v>
          </cell>
          <cell r="D6" t="str">
            <v>RISE 바이오TOP10액티브</v>
          </cell>
          <cell r="E6">
            <v>8396.7099999999991</v>
          </cell>
          <cell r="F6">
            <v>8370</v>
          </cell>
          <cell r="G6" t="str">
            <v>125 ( 1.47%)</v>
          </cell>
          <cell r="H6">
            <v>154668</v>
          </cell>
          <cell r="I6" t="str">
            <v>주식-업종섹터</v>
          </cell>
          <cell r="J6">
            <v>23</v>
          </cell>
          <cell r="K6">
            <v>7414</v>
          </cell>
          <cell r="L6">
            <v>263005</v>
          </cell>
          <cell r="M6">
            <v>50000</v>
          </cell>
        </row>
        <row r="7">
          <cell r="A7" t="str">
            <v>A0001P0</v>
          </cell>
          <cell r="B7" t="str">
            <v>4</v>
          </cell>
          <cell r="C7" t="str">
            <v>0001P0</v>
          </cell>
          <cell r="D7" t="str">
            <v>마이티 바이오시밀러&amp;CDMO액티브</v>
          </cell>
          <cell r="E7">
            <v>8470.1299999999992</v>
          </cell>
          <cell r="F7">
            <v>8455</v>
          </cell>
          <cell r="G7" t="str">
            <v>45 ( 0.53%)</v>
          </cell>
          <cell r="H7">
            <v>1844</v>
          </cell>
          <cell r="I7" t="str">
            <v>주식-업종섹터</v>
          </cell>
          <cell r="J7">
            <v>18</v>
          </cell>
          <cell r="K7">
            <v>10796</v>
          </cell>
          <cell r="L7">
            <v>1889469</v>
          </cell>
          <cell r="M7">
            <v>40000</v>
          </cell>
        </row>
        <row r="8">
          <cell r="A8" t="str">
            <v>A0005D0</v>
          </cell>
          <cell r="B8" t="str">
            <v>5</v>
          </cell>
          <cell r="C8" t="str">
            <v>0005D0</v>
          </cell>
          <cell r="D8" t="str">
            <v>SOL 전고체배터리&amp;실리콘음극재</v>
          </cell>
          <cell r="E8">
            <v>12303.77</v>
          </cell>
          <cell r="F8">
            <v>12290</v>
          </cell>
          <cell r="G8" t="str">
            <v>160 ( 1.32%)</v>
          </cell>
          <cell r="H8">
            <v>364999</v>
          </cell>
          <cell r="I8" t="str">
            <v>주식-업종섹터</v>
          </cell>
          <cell r="J8">
            <v>10</v>
          </cell>
          <cell r="K8">
            <v>12027</v>
          </cell>
          <cell r="L8">
            <v>1553603</v>
          </cell>
          <cell r="M8">
            <v>50000</v>
          </cell>
        </row>
        <row r="9">
          <cell r="A9" t="str">
            <v>A0005G0</v>
          </cell>
          <cell r="B9" t="str">
            <v>6</v>
          </cell>
          <cell r="C9" t="str">
            <v>0005G0</v>
          </cell>
          <cell r="D9" t="str">
            <v>IBK K-AI반도체코어테크</v>
          </cell>
          <cell r="E9">
            <v>49427.74</v>
          </cell>
          <cell r="F9">
            <v>49445</v>
          </cell>
          <cell r="G9" t="str">
            <v>1,730 ( 3.63%)</v>
          </cell>
          <cell r="H9">
            <v>20238</v>
          </cell>
          <cell r="I9" t="str">
            <v>주식-업종섹터</v>
          </cell>
          <cell r="J9">
            <v>19</v>
          </cell>
          <cell r="K9">
            <v>15887</v>
          </cell>
          <cell r="L9">
            <v>20890907</v>
          </cell>
          <cell r="M9">
            <v>50000</v>
          </cell>
        </row>
        <row r="10">
          <cell r="A10" t="str">
            <v>A0007F0</v>
          </cell>
          <cell r="B10" t="str">
            <v>7</v>
          </cell>
          <cell r="C10" t="str">
            <v>0007F0</v>
          </cell>
          <cell r="D10" t="str">
            <v>KODEX 27-12 회사채(AA-이상)액티브</v>
          </cell>
          <cell r="E10">
            <v>10125.64</v>
          </cell>
          <cell r="F10">
            <v>10120</v>
          </cell>
          <cell r="G10" t="str">
            <v>5 ( 0.05%)</v>
          </cell>
          <cell r="H10">
            <v>16723</v>
          </cell>
          <cell r="I10" t="str">
            <v>채권-회사채</v>
          </cell>
          <cell r="J10">
            <v>67</v>
          </cell>
          <cell r="K10">
            <v>0</v>
          </cell>
          <cell r="L10">
            <v>-29554682</v>
          </cell>
          <cell r="M10">
            <v>10000</v>
          </cell>
        </row>
        <row r="11">
          <cell r="A11" t="str">
            <v>A0007N0</v>
          </cell>
          <cell r="B11" t="str">
            <v>8</v>
          </cell>
          <cell r="C11" t="str">
            <v>0007N0</v>
          </cell>
          <cell r="D11" t="str">
            <v>아이엠에셋 200</v>
          </cell>
          <cell r="E11">
            <v>109485.48</v>
          </cell>
          <cell r="F11">
            <v>110220</v>
          </cell>
          <cell r="G11" t="str">
            <v>5,220 ( 4.97%)</v>
          </cell>
          <cell r="H11">
            <v>146</v>
          </cell>
          <cell r="I11" t="str">
            <v>주식-시장대표</v>
          </cell>
          <cell r="J11">
            <v>199</v>
          </cell>
          <cell r="K11">
            <v>28750</v>
          </cell>
          <cell r="L11">
            <v>7353272</v>
          </cell>
          <cell r="M11">
            <v>50000</v>
          </cell>
        </row>
        <row r="12">
          <cell r="A12" t="str">
            <v>A0008T0</v>
          </cell>
          <cell r="B12" t="str">
            <v>9</v>
          </cell>
          <cell r="C12" t="str">
            <v>0008T0</v>
          </cell>
          <cell r="D12" t="str">
            <v>SOL 화장품TOP3플러스</v>
          </cell>
          <cell r="E12">
            <v>14561.88</v>
          </cell>
          <cell r="F12">
            <v>14525</v>
          </cell>
          <cell r="G12" t="str">
            <v>415 ( 2.94%)</v>
          </cell>
          <cell r="H12">
            <v>335190</v>
          </cell>
          <cell r="I12" t="str">
            <v>주식-업종섹터</v>
          </cell>
          <cell r="J12">
            <v>10</v>
          </cell>
          <cell r="K12">
            <v>8735</v>
          </cell>
          <cell r="L12">
            <v>1231298</v>
          </cell>
          <cell r="M12">
            <v>50000</v>
          </cell>
        </row>
        <row r="13">
          <cell r="A13" t="str">
            <v>A0016X0</v>
          </cell>
          <cell r="B13" t="str">
            <v>10</v>
          </cell>
          <cell r="C13" t="str">
            <v>0016X0</v>
          </cell>
          <cell r="D13" t="str">
            <v>SOL 중단기회사채(A-이상)액티브</v>
          </cell>
          <cell r="E13">
            <v>51192.72</v>
          </cell>
          <cell r="F13">
            <v>51185</v>
          </cell>
          <cell r="G13" t="str">
            <v>10 ( 0.02%)</v>
          </cell>
          <cell r="H13">
            <v>172</v>
          </cell>
          <cell r="I13" t="str">
            <v>채권-회사채</v>
          </cell>
          <cell r="J13">
            <v>53</v>
          </cell>
          <cell r="K13">
            <v>0</v>
          </cell>
          <cell r="L13">
            <v>1200228</v>
          </cell>
          <cell r="M13">
            <v>2000</v>
          </cell>
        </row>
        <row r="14">
          <cell r="A14" t="str">
            <v>A0017Y0</v>
          </cell>
          <cell r="B14" t="str">
            <v>11</v>
          </cell>
          <cell r="C14" t="str">
            <v>0017Y0</v>
          </cell>
          <cell r="D14" t="str">
            <v>1Q 종합채권(AA-이상)액티브</v>
          </cell>
          <cell r="E14">
            <v>93565.53</v>
          </cell>
          <cell r="F14">
            <v>93655</v>
          </cell>
          <cell r="G14" t="str">
            <v>45 ( 0.05%)</v>
          </cell>
          <cell r="H14">
            <v>204</v>
          </cell>
          <cell r="I14" t="str">
            <v>채권-혼합</v>
          </cell>
          <cell r="J14">
            <v>21</v>
          </cell>
          <cell r="K14">
            <v>0</v>
          </cell>
          <cell r="L14">
            <v>6162069</v>
          </cell>
          <cell r="M14">
            <v>1000</v>
          </cell>
        </row>
        <row r="15">
          <cell r="A15" t="str">
            <v>A0018C0</v>
          </cell>
          <cell r="B15" t="str">
            <v>12</v>
          </cell>
          <cell r="C15" t="str">
            <v>0018C0</v>
          </cell>
          <cell r="D15" t="str">
            <v>PLUS 고배당주위클리고정커버드콜</v>
          </cell>
          <cell r="E15">
            <v>10740.73</v>
          </cell>
          <cell r="F15">
            <v>10800</v>
          </cell>
          <cell r="G15" t="str">
            <v>65 ( 0.60%)</v>
          </cell>
          <cell r="H15">
            <v>58899</v>
          </cell>
          <cell r="I15" t="str">
            <v>주식-전략</v>
          </cell>
          <cell r="J15">
            <v>31</v>
          </cell>
          <cell r="K15">
            <v>13476</v>
          </cell>
          <cell r="L15">
            <v>27859135</v>
          </cell>
          <cell r="M15">
            <v>50000</v>
          </cell>
        </row>
        <row r="16">
          <cell r="A16" t="str">
            <v>A0043B0</v>
          </cell>
          <cell r="B16" t="str">
            <v>13</v>
          </cell>
          <cell r="C16" t="str">
            <v>0043B0</v>
          </cell>
          <cell r="D16" t="str">
            <v>TIGER 머니마켓액티브</v>
          </cell>
          <cell r="E16">
            <v>103073.89</v>
          </cell>
          <cell r="F16">
            <v>103075</v>
          </cell>
          <cell r="G16" t="str">
            <v>5 ( 0.00%)</v>
          </cell>
          <cell r="H16">
            <v>76675</v>
          </cell>
          <cell r="I16" t="str">
            <v>채권-혼합</v>
          </cell>
          <cell r="J16">
            <v>282</v>
          </cell>
          <cell r="K16">
            <v>0</v>
          </cell>
          <cell r="L16">
            <v>8368354</v>
          </cell>
          <cell r="M16">
            <v>1000</v>
          </cell>
        </row>
        <row r="17">
          <cell r="A17" t="str">
            <v>A0052D0</v>
          </cell>
          <cell r="B17" t="str">
            <v>14</v>
          </cell>
          <cell r="C17" t="str">
            <v>0052D0</v>
          </cell>
          <cell r="D17" t="str">
            <v>TIGER 코리아배당다우존스</v>
          </cell>
          <cell r="E17">
            <v>15422.05</v>
          </cell>
          <cell r="F17">
            <v>15400</v>
          </cell>
          <cell r="G17" t="str">
            <v>95 ( 0.62%)</v>
          </cell>
          <cell r="H17">
            <v>118339</v>
          </cell>
          <cell r="I17" t="str">
            <v>주식-전략</v>
          </cell>
          <cell r="J17">
            <v>30</v>
          </cell>
          <cell r="K17">
            <v>17843</v>
          </cell>
          <cell r="L17">
            <v>-1830416</v>
          </cell>
          <cell r="M17">
            <v>50000</v>
          </cell>
        </row>
        <row r="18">
          <cell r="A18" t="str">
            <v>A0052T0</v>
          </cell>
          <cell r="B18" t="str">
            <v>15</v>
          </cell>
          <cell r="C18" t="str">
            <v>0052T0</v>
          </cell>
          <cell r="D18" t="str">
            <v>1Q 중단기회사채(A-이상)액티브</v>
          </cell>
          <cell r="E18">
            <v>50470.37</v>
          </cell>
          <cell r="F18">
            <v>50480</v>
          </cell>
          <cell r="G18" t="str">
            <v>25 ( 0.05%)</v>
          </cell>
          <cell r="H18">
            <v>162</v>
          </cell>
          <cell r="I18" t="str">
            <v>채권-회사채</v>
          </cell>
          <cell r="J18">
            <v>12</v>
          </cell>
          <cell r="K18">
            <v>0</v>
          </cell>
          <cell r="L18">
            <v>8684648</v>
          </cell>
          <cell r="M18">
            <v>2000</v>
          </cell>
        </row>
        <row r="19">
          <cell r="A19" t="str">
            <v>A0053M0</v>
          </cell>
          <cell r="B19" t="str">
            <v>16</v>
          </cell>
          <cell r="C19" t="str">
            <v>0053M0</v>
          </cell>
          <cell r="D19" t="str">
            <v>더제이 중소형포커스액티브</v>
          </cell>
          <cell r="E19">
            <v>13070.44</v>
          </cell>
          <cell r="F19">
            <v>13100</v>
          </cell>
          <cell r="G19" t="str">
            <v>470 ( 3.72%)</v>
          </cell>
          <cell r="H19">
            <v>212</v>
          </cell>
          <cell r="I19" t="str">
            <v>주식-규모</v>
          </cell>
          <cell r="J19">
            <v>20</v>
          </cell>
          <cell r="K19">
            <v>5519</v>
          </cell>
          <cell r="L19">
            <v>9326279</v>
          </cell>
          <cell r="M19">
            <v>50000</v>
          </cell>
        </row>
        <row r="20">
          <cell r="A20" t="str">
            <v>A0061Z0</v>
          </cell>
          <cell r="B20" t="str">
            <v>17</v>
          </cell>
          <cell r="C20" t="str">
            <v>0061Z0</v>
          </cell>
          <cell r="D20" t="str">
            <v>RISE 단기특수은행채액티브</v>
          </cell>
          <cell r="E20">
            <v>50822.64</v>
          </cell>
          <cell r="F20">
            <v>50820</v>
          </cell>
          <cell r="G20" t="str">
            <v>5 ( 0.01%)</v>
          </cell>
          <cell r="H20">
            <v>6734</v>
          </cell>
          <cell r="I20" t="str">
            <v>채권-국공채</v>
          </cell>
          <cell r="J20">
            <v>39</v>
          </cell>
          <cell r="K20">
            <v>0</v>
          </cell>
          <cell r="L20">
            <v>17881203</v>
          </cell>
          <cell r="M20">
            <v>2000</v>
          </cell>
        </row>
        <row r="21">
          <cell r="A21" t="str">
            <v>A0072R0</v>
          </cell>
          <cell r="B21" t="str">
            <v>18</v>
          </cell>
          <cell r="C21" t="str">
            <v>0072R0</v>
          </cell>
          <cell r="D21" t="str">
            <v>TIGER KRX금현물</v>
          </cell>
          <cell r="E21">
            <v>12744.27</v>
          </cell>
          <cell r="F21">
            <v>12690</v>
          </cell>
          <cell r="G21" t="str">
            <v>115 ( 0.91%)</v>
          </cell>
          <cell r="H21">
            <v>275789</v>
          </cell>
          <cell r="I21" t="str">
            <v>원자재-금속</v>
          </cell>
          <cell r="J21">
            <v>1</v>
          </cell>
          <cell r="K21">
            <v>3335</v>
          </cell>
          <cell r="L21">
            <v>138036</v>
          </cell>
          <cell r="M21">
            <v>50000</v>
          </cell>
        </row>
        <row r="22">
          <cell r="A22" t="str">
            <v>A0074K0</v>
          </cell>
          <cell r="B22" t="str">
            <v>19</v>
          </cell>
          <cell r="C22" t="str">
            <v>0074K0</v>
          </cell>
          <cell r="D22" t="str">
            <v>KoAct K수출핵심기업TOP30액티브</v>
          </cell>
          <cell r="E22">
            <v>16182.04</v>
          </cell>
          <cell r="F22">
            <v>16160</v>
          </cell>
          <cell r="G22" t="str">
            <v>355 ( 2.25%)</v>
          </cell>
          <cell r="H22">
            <v>64655</v>
          </cell>
          <cell r="I22" t="str">
            <v>주식-업종섹터</v>
          </cell>
          <cell r="J22">
            <v>32</v>
          </cell>
          <cell r="K22">
            <v>5023</v>
          </cell>
          <cell r="L22">
            <v>7212507</v>
          </cell>
          <cell r="M22">
            <v>50000</v>
          </cell>
        </row>
        <row r="23">
          <cell r="A23" t="str">
            <v>A0080G0</v>
          </cell>
          <cell r="B23" t="str">
            <v>20</v>
          </cell>
          <cell r="C23" t="str">
            <v>0080G0</v>
          </cell>
          <cell r="D23" t="str">
            <v>KODEX 방산TOP10</v>
          </cell>
          <cell r="E23">
            <v>9995.24</v>
          </cell>
          <cell r="F23">
            <v>9975</v>
          </cell>
          <cell r="G23" t="str">
            <v>150 ( 1.53%)</v>
          </cell>
          <cell r="H23">
            <v>2252195</v>
          </cell>
          <cell r="I23" t="str">
            <v>주식-업종섹터</v>
          </cell>
          <cell r="J23">
            <v>10</v>
          </cell>
          <cell r="K23">
            <v>6544</v>
          </cell>
          <cell r="L23">
            <v>829962</v>
          </cell>
          <cell r="M23">
            <v>100000</v>
          </cell>
        </row>
        <row r="24">
          <cell r="A24" t="str">
            <v>A0080Y0</v>
          </cell>
          <cell r="B24" t="str">
            <v>21</v>
          </cell>
          <cell r="C24" t="str">
            <v>0080Y0</v>
          </cell>
          <cell r="D24" t="str">
            <v>SOL 조선TOP3플러스레버리지</v>
          </cell>
          <cell r="E24">
            <v>8694.44</v>
          </cell>
          <cell r="F24">
            <v>8705</v>
          </cell>
          <cell r="G24" t="str">
            <v>10 ( 0.11%)</v>
          </cell>
          <cell r="H24">
            <v>594581</v>
          </cell>
          <cell r="I24" t="str">
            <v>주식-업종섹터</v>
          </cell>
          <cell r="J24">
            <v>14</v>
          </cell>
          <cell r="K24">
            <v>16337</v>
          </cell>
          <cell r="L24">
            <v>7832534</v>
          </cell>
          <cell r="M24">
            <v>100000</v>
          </cell>
        </row>
        <row r="25">
          <cell r="A25" t="str">
            <v>A0086B0</v>
          </cell>
          <cell r="B25" t="str">
            <v>22</v>
          </cell>
          <cell r="C25" t="str">
            <v>0086B0</v>
          </cell>
          <cell r="D25" t="str">
            <v>TIGER 리츠부동산인프라TOP10액티브</v>
          </cell>
          <cell r="E25">
            <v>9365.5400000000009</v>
          </cell>
          <cell r="F25">
            <v>9360</v>
          </cell>
          <cell r="G25" t="str">
            <v>15 ( 0.16%)</v>
          </cell>
          <cell r="H25">
            <v>6839</v>
          </cell>
          <cell r="I25" t="str">
            <v>부동산-리츠</v>
          </cell>
          <cell r="J25">
            <v>9</v>
          </cell>
          <cell r="K25">
            <v>86042</v>
          </cell>
          <cell r="L25">
            <v>18910092</v>
          </cell>
          <cell r="M25">
            <v>50000</v>
          </cell>
        </row>
        <row r="26">
          <cell r="A26" t="str">
            <v>A0086C0</v>
          </cell>
          <cell r="B26" t="str">
            <v>23</v>
          </cell>
          <cell r="C26" t="str">
            <v>0086C0</v>
          </cell>
          <cell r="D26" t="str">
            <v>TIGER 리츠부동산인프라10채권혼합액티브</v>
          </cell>
          <cell r="E26">
            <v>9732.19</v>
          </cell>
          <cell r="F26">
            <v>9740</v>
          </cell>
          <cell r="G26" t="str">
            <v>5 ( 0.05%)</v>
          </cell>
          <cell r="H26">
            <v>3644</v>
          </cell>
          <cell r="I26" t="str">
            <v>기타</v>
          </cell>
          <cell r="J26">
            <v>10</v>
          </cell>
          <cell r="K26">
            <v>45757</v>
          </cell>
          <cell r="L26">
            <v>4856155</v>
          </cell>
          <cell r="M26">
            <v>50000</v>
          </cell>
        </row>
        <row r="27">
          <cell r="A27" t="str">
            <v>A0088N0</v>
          </cell>
          <cell r="B27" t="str">
            <v>24</v>
          </cell>
          <cell r="C27" t="str">
            <v>0088N0</v>
          </cell>
          <cell r="D27" t="str">
            <v>WON K-글로벌수급상위</v>
          </cell>
          <cell r="E27">
            <v>9983.25</v>
          </cell>
          <cell r="F27">
            <v>9995</v>
          </cell>
          <cell r="G27" t="str">
            <v>100 ( 1.01%)</v>
          </cell>
          <cell r="H27">
            <v>8807</v>
          </cell>
          <cell r="I27" t="str">
            <v>주식-전략</v>
          </cell>
          <cell r="J27">
            <v>23</v>
          </cell>
          <cell r="K27">
            <v>15717</v>
          </cell>
          <cell r="L27">
            <v>-136213</v>
          </cell>
          <cell r="M27">
            <v>50000</v>
          </cell>
        </row>
        <row r="28">
          <cell r="A28" t="str">
            <v>A0089D0</v>
          </cell>
          <cell r="B28" t="str">
            <v>25</v>
          </cell>
          <cell r="C28" t="str">
            <v>0089D0</v>
          </cell>
          <cell r="D28" t="str">
            <v>KODEX 금융고배당TOP10</v>
          </cell>
          <cell r="E28">
            <v>13393.36</v>
          </cell>
          <cell r="F28">
            <v>13365</v>
          </cell>
          <cell r="G28" t="str">
            <v>75 ( 0.56%)</v>
          </cell>
          <cell r="H28">
            <v>190380</v>
          </cell>
          <cell r="I28" t="str">
            <v>주식-업종섹터</v>
          </cell>
          <cell r="J28">
            <v>10</v>
          </cell>
          <cell r="K28">
            <v>20513</v>
          </cell>
          <cell r="L28">
            <v>1672116</v>
          </cell>
          <cell r="M28">
            <v>100000</v>
          </cell>
        </row>
        <row r="29">
          <cell r="A29" t="str">
            <v>A0090B0</v>
          </cell>
          <cell r="B29" t="str">
            <v>26</v>
          </cell>
          <cell r="C29" t="str">
            <v>0090B0</v>
          </cell>
          <cell r="D29" t="str">
            <v>PLUS K방산소부장</v>
          </cell>
          <cell r="E29">
            <v>6691.56</v>
          </cell>
          <cell r="F29">
            <v>6690</v>
          </cell>
          <cell r="G29" t="str">
            <v>5 ( 0.07%)</v>
          </cell>
          <cell r="H29">
            <v>42113</v>
          </cell>
          <cell r="I29" t="str">
            <v>주식-업종섹터</v>
          </cell>
          <cell r="J29">
            <v>10</v>
          </cell>
          <cell r="K29">
            <v>24838</v>
          </cell>
          <cell r="L29">
            <v>1579558</v>
          </cell>
          <cell r="M29">
            <v>50000</v>
          </cell>
        </row>
        <row r="30">
          <cell r="A30" t="str">
            <v>A0091M0</v>
          </cell>
          <cell r="B30" t="str">
            <v>27</v>
          </cell>
          <cell r="C30" t="str">
            <v>0091M0</v>
          </cell>
          <cell r="D30" t="str">
            <v>HANARO 27-06 회사채(AA-이상)액티브</v>
          </cell>
          <cell r="E30">
            <v>10118.08</v>
          </cell>
          <cell r="F30">
            <v>10120</v>
          </cell>
          <cell r="G30" t="str">
            <v>0 ( 0.00%)</v>
          </cell>
          <cell r="H30">
            <v>177</v>
          </cell>
          <cell r="I30" t="str">
            <v>채권-회사채</v>
          </cell>
          <cell r="J30">
            <v>11</v>
          </cell>
          <cell r="K30">
            <v>29</v>
          </cell>
          <cell r="L30">
            <v>4108788</v>
          </cell>
          <cell r="M30">
            <v>10000</v>
          </cell>
        </row>
        <row r="31">
          <cell r="A31" t="str">
            <v>A0091P0</v>
          </cell>
          <cell r="B31" t="str">
            <v>28</v>
          </cell>
          <cell r="C31" t="str">
            <v>0091P0</v>
          </cell>
          <cell r="D31" t="str">
            <v>TIGER 코리아원자력</v>
          </cell>
          <cell r="E31">
            <v>13718.88</v>
          </cell>
          <cell r="F31">
            <v>13680</v>
          </cell>
          <cell r="G31" t="str">
            <v>415 ( 3.13%)</v>
          </cell>
          <cell r="H31">
            <v>1101142</v>
          </cell>
          <cell r="I31" t="str">
            <v>주식-업종섹터</v>
          </cell>
          <cell r="J31">
            <v>16</v>
          </cell>
          <cell r="K31">
            <v>21105</v>
          </cell>
          <cell r="L31">
            <v>2919628</v>
          </cell>
          <cell r="M31">
            <v>50000</v>
          </cell>
        </row>
        <row r="32">
          <cell r="A32" t="str">
            <v>A0092B0</v>
          </cell>
          <cell r="B32" t="str">
            <v>29</v>
          </cell>
          <cell r="C32" t="str">
            <v>0092B0</v>
          </cell>
          <cell r="D32" t="str">
            <v>SOL 한국원자력SMR</v>
          </cell>
          <cell r="E32">
            <v>12872.17</v>
          </cell>
          <cell r="F32">
            <v>12850</v>
          </cell>
          <cell r="G32" t="str">
            <v>360 ( 2.88%)</v>
          </cell>
          <cell r="H32">
            <v>109714</v>
          </cell>
          <cell r="I32" t="str">
            <v>주식-업종섹터</v>
          </cell>
          <cell r="J32">
            <v>12</v>
          </cell>
          <cell r="K32">
            <v>16385</v>
          </cell>
          <cell r="L32">
            <v>485756</v>
          </cell>
          <cell r="M32">
            <v>50000</v>
          </cell>
        </row>
        <row r="33">
          <cell r="A33" t="str">
            <v>A0092C0</v>
          </cell>
          <cell r="B33" t="str">
            <v>30</v>
          </cell>
          <cell r="C33" t="str">
            <v>0092C0</v>
          </cell>
          <cell r="D33" t="str">
            <v>SOL 27-12 회사채(AA-이상)액티브</v>
          </cell>
          <cell r="E33">
            <v>50005.63</v>
          </cell>
          <cell r="F33">
            <v>50005</v>
          </cell>
          <cell r="G33" t="str">
            <v>5 ( 0.01%)</v>
          </cell>
          <cell r="H33">
            <v>137</v>
          </cell>
          <cell r="I33" t="str">
            <v>채권-회사채</v>
          </cell>
          <cell r="J33">
            <v>31</v>
          </cell>
          <cell r="K33">
            <v>0</v>
          </cell>
          <cell r="L33">
            <v>-17470093</v>
          </cell>
          <cell r="M33">
            <v>2000</v>
          </cell>
        </row>
        <row r="34">
          <cell r="A34" t="str">
            <v>A0093A0</v>
          </cell>
          <cell r="B34" t="str">
            <v>31</v>
          </cell>
          <cell r="C34" t="str">
            <v>0093A0</v>
          </cell>
          <cell r="D34" t="str">
            <v>RISE AI반도체TOP10</v>
          </cell>
          <cell r="E34">
            <v>32675.53</v>
          </cell>
          <cell r="F34">
            <v>32600</v>
          </cell>
          <cell r="G34" t="str">
            <v>1,085 ( 3.44%)</v>
          </cell>
          <cell r="H34">
            <v>224949</v>
          </cell>
          <cell r="I34" t="str">
            <v>주식-업종섹터</v>
          </cell>
          <cell r="J34">
            <v>10</v>
          </cell>
          <cell r="K34">
            <v>15300</v>
          </cell>
          <cell r="L34">
            <v>-3737117</v>
          </cell>
          <cell r="M34">
            <v>50000</v>
          </cell>
        </row>
        <row r="35">
          <cell r="A35" t="str">
            <v>A0094K0</v>
          </cell>
          <cell r="B35" t="str">
            <v>32</v>
          </cell>
          <cell r="C35" t="str">
            <v>0094K0</v>
          </cell>
          <cell r="D35" t="str">
            <v>TIGER 28-04 회사채(A+이상)액티브</v>
          </cell>
          <cell r="E35">
            <v>98958.16</v>
          </cell>
          <cell r="F35">
            <v>98950</v>
          </cell>
          <cell r="G35" t="str">
            <v>50 ( 0.05%)</v>
          </cell>
          <cell r="H35">
            <v>13565</v>
          </cell>
          <cell r="I35" t="str">
            <v>채권-회사채</v>
          </cell>
          <cell r="J35">
            <v>33</v>
          </cell>
          <cell r="K35">
            <v>0</v>
          </cell>
          <cell r="L35">
            <v>-18446214</v>
          </cell>
          <cell r="M35">
            <v>1000</v>
          </cell>
        </row>
        <row r="36">
          <cell r="A36" t="str">
            <v>A0094M0</v>
          </cell>
          <cell r="B36" t="str">
            <v>33</v>
          </cell>
          <cell r="C36" t="str">
            <v>0094M0</v>
          </cell>
          <cell r="D36" t="str">
            <v>RISE 코리아밸류업위클리고정커버드콜</v>
          </cell>
          <cell r="E36">
            <v>18364.580000000002</v>
          </cell>
          <cell r="F36">
            <v>18320</v>
          </cell>
          <cell r="G36" t="str">
            <v>435 ( 2.43%)</v>
          </cell>
          <cell r="H36">
            <v>156446</v>
          </cell>
          <cell r="I36" t="str">
            <v>주식-전략</v>
          </cell>
          <cell r="J36">
            <v>102</v>
          </cell>
          <cell r="K36">
            <v>5007</v>
          </cell>
          <cell r="L36">
            <v>49524932</v>
          </cell>
          <cell r="M36">
            <v>50000</v>
          </cell>
        </row>
        <row r="37">
          <cell r="A37" t="str">
            <v>A0098F0</v>
          </cell>
          <cell r="B37" t="str">
            <v>34</v>
          </cell>
          <cell r="C37" t="str">
            <v>0098F0</v>
          </cell>
          <cell r="D37" t="str">
            <v>KODEX 원자력SMR</v>
          </cell>
          <cell r="E37">
            <v>13206.64</v>
          </cell>
          <cell r="F37">
            <v>13205</v>
          </cell>
          <cell r="G37" t="str">
            <v>450 ( 3.53%)</v>
          </cell>
          <cell r="H37">
            <v>554284</v>
          </cell>
          <cell r="I37" t="str">
            <v>주식-업종섹터</v>
          </cell>
          <cell r="J37">
            <v>15</v>
          </cell>
          <cell r="K37">
            <v>18434</v>
          </cell>
          <cell r="L37">
            <v>-2827242</v>
          </cell>
          <cell r="M37">
            <v>50000</v>
          </cell>
        </row>
        <row r="38">
          <cell r="A38" t="str">
            <v>A0098N0</v>
          </cell>
          <cell r="B38" t="str">
            <v>35</v>
          </cell>
          <cell r="C38" t="str">
            <v>0098N0</v>
          </cell>
          <cell r="D38" t="str">
            <v>PLUS 자사주매입고배당주</v>
          </cell>
          <cell r="E38">
            <v>12736.41</v>
          </cell>
          <cell r="F38">
            <v>12710</v>
          </cell>
          <cell r="G38" t="str">
            <v>90 ( 0.71%)</v>
          </cell>
          <cell r="H38">
            <v>28017</v>
          </cell>
          <cell r="I38" t="str">
            <v>주식-전략</v>
          </cell>
          <cell r="J38">
            <v>30</v>
          </cell>
          <cell r="K38">
            <v>16159</v>
          </cell>
          <cell r="L38">
            <v>1817136</v>
          </cell>
          <cell r="M38">
            <v>50000</v>
          </cell>
        </row>
        <row r="39">
          <cell r="A39" t="str">
            <v>A0098Z0</v>
          </cell>
          <cell r="B39" t="str">
            <v>36</v>
          </cell>
          <cell r="C39" t="str">
            <v>0098Z0</v>
          </cell>
          <cell r="D39" t="str">
            <v>FOCUS 200</v>
          </cell>
          <cell r="E39">
            <v>93099.06</v>
          </cell>
          <cell r="F39">
            <v>92775</v>
          </cell>
          <cell r="G39" t="str">
            <v>3,520 ( 3.94%)</v>
          </cell>
          <cell r="H39">
            <v>549</v>
          </cell>
          <cell r="I39" t="str">
            <v>주식-시장대표</v>
          </cell>
          <cell r="J39">
            <v>199</v>
          </cell>
          <cell r="K39">
            <v>24364</v>
          </cell>
          <cell r="L39">
            <v>21405149</v>
          </cell>
          <cell r="M39">
            <v>50000</v>
          </cell>
        </row>
        <row r="40">
          <cell r="A40" t="str">
            <v>A0099L0</v>
          </cell>
          <cell r="B40" t="str">
            <v>37</v>
          </cell>
          <cell r="C40" t="str">
            <v>0099L0</v>
          </cell>
          <cell r="D40" t="str">
            <v>ACE 우량회사채(AA-이상)액티브</v>
          </cell>
          <cell r="E40">
            <v>98919.95</v>
          </cell>
          <cell r="F40">
            <v>98885</v>
          </cell>
          <cell r="G40" t="str">
            <v>45 ( 0.05%)</v>
          </cell>
          <cell r="H40">
            <v>19301</v>
          </cell>
          <cell r="I40" t="str">
            <v>채권-회사채</v>
          </cell>
          <cell r="J40">
            <v>23</v>
          </cell>
          <cell r="K40">
            <v>0</v>
          </cell>
          <cell r="L40">
            <v>-25081908</v>
          </cell>
          <cell r="M40">
            <v>1000</v>
          </cell>
        </row>
        <row r="41">
          <cell r="A41" t="str">
            <v>A0100K0</v>
          </cell>
          <cell r="B41" t="str">
            <v>38</v>
          </cell>
          <cell r="C41" t="str">
            <v>0100K0</v>
          </cell>
          <cell r="D41" t="str">
            <v>KODEX 방산TOP10레버리지</v>
          </cell>
          <cell r="E41">
            <v>6390.8</v>
          </cell>
          <cell r="F41">
            <v>6360</v>
          </cell>
          <cell r="G41" t="str">
            <v>140 ( 2.25%)</v>
          </cell>
          <cell r="H41">
            <v>392560</v>
          </cell>
          <cell r="I41" t="str">
            <v>주식-업종섹터</v>
          </cell>
          <cell r="J41">
            <v>17</v>
          </cell>
          <cell r="K41">
            <v>23214</v>
          </cell>
          <cell r="L41">
            <v>-314836910</v>
          </cell>
          <cell r="M41">
            <v>100000</v>
          </cell>
        </row>
        <row r="42">
          <cell r="A42" t="str">
            <v>A0101N0</v>
          </cell>
          <cell r="B42" t="str">
            <v>39</v>
          </cell>
          <cell r="C42" t="str">
            <v>0101N0</v>
          </cell>
          <cell r="D42" t="str">
            <v>RISE AI전력인프라</v>
          </cell>
          <cell r="E42">
            <v>17468.53</v>
          </cell>
          <cell r="F42">
            <v>17440</v>
          </cell>
          <cell r="G42" t="str">
            <v>460 ( 2.71%)</v>
          </cell>
          <cell r="H42">
            <v>483720</v>
          </cell>
          <cell r="I42" t="str">
            <v>주식-업종섹터</v>
          </cell>
          <cell r="J42">
            <v>15</v>
          </cell>
          <cell r="K42">
            <v>16578</v>
          </cell>
          <cell r="L42">
            <v>7129915</v>
          </cell>
          <cell r="M42">
            <v>50000</v>
          </cell>
        </row>
        <row r="43">
          <cell r="A43" t="str">
            <v>A0103T0</v>
          </cell>
          <cell r="B43" t="str">
            <v>40</v>
          </cell>
          <cell r="C43" t="str">
            <v>0103T0</v>
          </cell>
          <cell r="D43" t="str">
            <v>1Q K소버린AI</v>
          </cell>
          <cell r="E43">
            <v>7689.59</v>
          </cell>
          <cell r="F43">
            <v>7685</v>
          </cell>
          <cell r="G43" t="str">
            <v>220 ( 2.95%)</v>
          </cell>
          <cell r="H43">
            <v>22743</v>
          </cell>
          <cell r="I43" t="str">
            <v>주식-업종섹터</v>
          </cell>
          <cell r="J43">
            <v>15</v>
          </cell>
          <cell r="K43">
            <v>11632</v>
          </cell>
          <cell r="L43">
            <v>366216</v>
          </cell>
          <cell r="M43">
            <v>50000</v>
          </cell>
        </row>
        <row r="44">
          <cell r="A44" t="str">
            <v>A0104G0</v>
          </cell>
          <cell r="B44" t="str">
            <v>41</v>
          </cell>
          <cell r="C44" t="str">
            <v>0104G0</v>
          </cell>
          <cell r="D44" t="str">
            <v>PLUS K방산레버리지</v>
          </cell>
          <cell r="E44">
            <v>6192.04</v>
          </cell>
          <cell r="F44">
            <v>6175</v>
          </cell>
          <cell r="G44" t="str">
            <v>75 ( 1.23%)</v>
          </cell>
          <cell r="H44">
            <v>94258</v>
          </cell>
          <cell r="I44" t="str">
            <v>주식-업종섹터</v>
          </cell>
          <cell r="J44">
            <v>10</v>
          </cell>
          <cell r="K44">
            <v>4321</v>
          </cell>
          <cell r="L44">
            <v>-303338025</v>
          </cell>
          <cell r="M44">
            <v>50000</v>
          </cell>
        </row>
        <row r="45">
          <cell r="A45" t="str">
            <v>A0104N0</v>
          </cell>
          <cell r="B45" t="str">
            <v>42</v>
          </cell>
          <cell r="C45" t="str">
            <v>0104N0</v>
          </cell>
          <cell r="D45" t="str">
            <v>TIGER 200타겟위클리커버드콜</v>
          </cell>
          <cell r="E45">
            <v>21131.759999999998</v>
          </cell>
          <cell r="F45">
            <v>21075</v>
          </cell>
          <cell r="G45" t="str">
            <v>795 ( 3.92%)</v>
          </cell>
          <cell r="H45">
            <v>149525</v>
          </cell>
          <cell r="I45" t="str">
            <v>주식-전략</v>
          </cell>
          <cell r="J45">
            <v>200</v>
          </cell>
          <cell r="K45">
            <v>11228</v>
          </cell>
          <cell r="L45">
            <v>3457166</v>
          </cell>
          <cell r="M45">
            <v>100000</v>
          </cell>
        </row>
        <row r="46">
          <cell r="A46" t="str">
            <v>A0104P0</v>
          </cell>
          <cell r="B46" t="str">
            <v>43</v>
          </cell>
          <cell r="C46" t="str">
            <v>0104P0</v>
          </cell>
          <cell r="D46" t="str">
            <v>TIGER 코리아배당다우존스위클리커버드콜</v>
          </cell>
          <cell r="E46">
            <v>11144.88</v>
          </cell>
          <cell r="F46">
            <v>11135</v>
          </cell>
          <cell r="G46" t="str">
            <v>15 ( 0.13%)</v>
          </cell>
          <cell r="H46">
            <v>12432</v>
          </cell>
          <cell r="I46" t="str">
            <v>주식-전략</v>
          </cell>
          <cell r="J46">
            <v>33</v>
          </cell>
          <cell r="K46">
            <v>26617</v>
          </cell>
          <cell r="L46">
            <v>2481396</v>
          </cell>
          <cell r="M46">
            <v>100000</v>
          </cell>
        </row>
        <row r="47">
          <cell r="A47" t="str">
            <v>A0105D0</v>
          </cell>
          <cell r="B47" t="str">
            <v>44</v>
          </cell>
          <cell r="C47" t="str">
            <v>0105D0</v>
          </cell>
          <cell r="D47" t="str">
            <v>SOL 한국AI소프트웨어</v>
          </cell>
          <cell r="E47">
            <v>8709.14</v>
          </cell>
          <cell r="F47">
            <v>8685</v>
          </cell>
          <cell r="G47" t="str">
            <v>285 ( 3.39%)</v>
          </cell>
          <cell r="H47">
            <v>39829</v>
          </cell>
          <cell r="I47" t="str">
            <v>주식-업종섹터</v>
          </cell>
          <cell r="J47">
            <v>15</v>
          </cell>
          <cell r="K47">
            <v>7658</v>
          </cell>
          <cell r="L47">
            <v>1267405</v>
          </cell>
          <cell r="M47">
            <v>50000</v>
          </cell>
        </row>
        <row r="48">
          <cell r="A48" t="str">
            <v>A0105E0</v>
          </cell>
          <cell r="B48" t="str">
            <v>45</v>
          </cell>
          <cell r="C48" t="str">
            <v>0105E0</v>
          </cell>
          <cell r="D48" t="str">
            <v>SOL 코리아고배당</v>
          </cell>
          <cell r="E48">
            <v>12782.3</v>
          </cell>
          <cell r="F48">
            <v>12770</v>
          </cell>
          <cell r="G48" t="str">
            <v>115 ( 0.91%)</v>
          </cell>
          <cell r="H48">
            <v>358371</v>
          </cell>
          <cell r="I48" t="str">
            <v>주식-전략</v>
          </cell>
          <cell r="J48">
            <v>30</v>
          </cell>
          <cell r="K48">
            <v>20731</v>
          </cell>
          <cell r="L48">
            <v>937258</v>
          </cell>
          <cell r="M48">
            <v>50000</v>
          </cell>
        </row>
        <row r="49">
          <cell r="A49" t="str">
            <v>A0111J0</v>
          </cell>
          <cell r="B49" t="str">
            <v>46</v>
          </cell>
          <cell r="C49" t="str">
            <v>0111J0</v>
          </cell>
          <cell r="D49" t="str">
            <v>HANARO 증권고배당TOP3플러스</v>
          </cell>
          <cell r="E49">
            <v>14035.53</v>
          </cell>
          <cell r="F49">
            <v>14025</v>
          </cell>
          <cell r="G49" t="str">
            <v>205 ( 1.48%)</v>
          </cell>
          <cell r="H49">
            <v>65027</v>
          </cell>
          <cell r="I49" t="str">
            <v>주식-업종섹터</v>
          </cell>
          <cell r="J49">
            <v>10</v>
          </cell>
          <cell r="K49">
            <v>14247</v>
          </cell>
          <cell r="L49">
            <v>2934395</v>
          </cell>
          <cell r="M49">
            <v>50000</v>
          </cell>
        </row>
        <row r="50">
          <cell r="A50" t="str">
            <v>A0112X0</v>
          </cell>
          <cell r="B50" t="str">
            <v>47</v>
          </cell>
          <cell r="C50" t="str">
            <v>0112X0</v>
          </cell>
          <cell r="D50" t="str">
            <v>마이티 200TR</v>
          </cell>
          <cell r="E50">
            <v>40895.74</v>
          </cell>
          <cell r="F50">
            <v>41010</v>
          </cell>
          <cell r="G50" t="str">
            <v>1,880 ( 4.80%)</v>
          </cell>
          <cell r="H50">
            <v>8956</v>
          </cell>
          <cell r="I50" t="str">
            <v>주식-시장대표</v>
          </cell>
          <cell r="J50">
            <v>197</v>
          </cell>
          <cell r="K50">
            <v>10753</v>
          </cell>
          <cell r="L50">
            <v>-716911</v>
          </cell>
          <cell r="M50">
            <v>50000</v>
          </cell>
        </row>
        <row r="51">
          <cell r="A51" t="str">
            <v>A0113P0</v>
          </cell>
          <cell r="B51" t="str">
            <v>48</v>
          </cell>
          <cell r="C51" t="str">
            <v>0113P0</v>
          </cell>
          <cell r="D51" t="str">
            <v>HK 머니마켓액티브</v>
          </cell>
          <cell r="E51">
            <v>102030.15</v>
          </cell>
          <cell r="F51">
            <v>102030</v>
          </cell>
          <cell r="G51" t="str">
            <v>20 ( 0.02%)</v>
          </cell>
          <cell r="H51">
            <v>11</v>
          </cell>
          <cell r="I51" t="str">
            <v>채권-혼합</v>
          </cell>
          <cell r="J51">
            <v>38</v>
          </cell>
          <cell r="K51">
            <v>0</v>
          </cell>
          <cell r="L51">
            <v>1545539</v>
          </cell>
          <cell r="M51">
            <v>1000</v>
          </cell>
        </row>
        <row r="52">
          <cell r="A52" t="str">
            <v>A0115D0</v>
          </cell>
          <cell r="B52" t="str">
            <v>49</v>
          </cell>
          <cell r="C52" t="str">
            <v>0115D0</v>
          </cell>
          <cell r="D52" t="str">
            <v>KODEX 조선TOP10</v>
          </cell>
          <cell r="E52">
            <v>7483.89</v>
          </cell>
          <cell r="F52">
            <v>7480</v>
          </cell>
          <cell r="G52" t="str">
            <v>5 ( 0.07%)</v>
          </cell>
          <cell r="H52">
            <v>2176573</v>
          </cell>
          <cell r="I52" t="str">
            <v>주식-업종섹터</v>
          </cell>
          <cell r="J52">
            <v>10</v>
          </cell>
          <cell r="K52">
            <v>6496</v>
          </cell>
          <cell r="L52">
            <v>3149605</v>
          </cell>
          <cell r="M52">
            <v>50000</v>
          </cell>
        </row>
        <row r="53">
          <cell r="A53" t="str">
            <v>A0115E0</v>
          </cell>
          <cell r="B53" t="str">
            <v>50</v>
          </cell>
          <cell r="C53" t="str">
            <v>0115E0</v>
          </cell>
          <cell r="D53" t="str">
            <v>KODEX 코리아소버린AI</v>
          </cell>
          <cell r="E53">
            <v>13066.47</v>
          </cell>
          <cell r="F53">
            <v>13030</v>
          </cell>
          <cell r="G53" t="str">
            <v>355 ( 2.80%)</v>
          </cell>
          <cell r="H53">
            <v>17548</v>
          </cell>
          <cell r="I53" t="str">
            <v>주식-업종섹터</v>
          </cell>
          <cell r="J53">
            <v>27</v>
          </cell>
          <cell r="K53">
            <v>9909</v>
          </cell>
          <cell r="L53">
            <v>515711</v>
          </cell>
          <cell r="M53">
            <v>50000</v>
          </cell>
        </row>
        <row r="54">
          <cell r="A54" t="str">
            <v>A0117L0</v>
          </cell>
          <cell r="B54" t="str">
            <v>51</v>
          </cell>
          <cell r="C54" t="str">
            <v>0117L0</v>
          </cell>
          <cell r="D54" t="str">
            <v>KODEX 26-12 금융채(AA-이상)액티브</v>
          </cell>
          <cell r="E54">
            <v>10120.030000000001</v>
          </cell>
          <cell r="F54">
            <v>10125</v>
          </cell>
          <cell r="G54" t="str">
            <v>0 ( 0.00%)</v>
          </cell>
          <cell r="H54">
            <v>209099</v>
          </cell>
          <cell r="I54" t="str">
            <v>채권-회사채</v>
          </cell>
          <cell r="J54">
            <v>73</v>
          </cell>
          <cell r="K54">
            <v>0</v>
          </cell>
          <cell r="L54">
            <v>865863</v>
          </cell>
          <cell r="M54">
            <v>10000</v>
          </cell>
        </row>
        <row r="55">
          <cell r="A55" t="str">
            <v>A0117V0</v>
          </cell>
          <cell r="B55" t="str">
            <v>52</v>
          </cell>
          <cell r="C55" t="str">
            <v>0117V0</v>
          </cell>
          <cell r="D55" t="str">
            <v>TIGER 코리아AI전력기기TOP3플러스</v>
          </cell>
          <cell r="E55">
            <v>17665.689999999999</v>
          </cell>
          <cell r="F55">
            <v>17635</v>
          </cell>
          <cell r="G55" t="str">
            <v>665 ( 3.92%)</v>
          </cell>
          <cell r="H55">
            <v>1496992</v>
          </cell>
          <cell r="I55" t="str">
            <v>주식-업종섹터</v>
          </cell>
          <cell r="J55">
            <v>10</v>
          </cell>
          <cell r="K55">
            <v>4815</v>
          </cell>
          <cell r="L55">
            <v>7526264</v>
          </cell>
          <cell r="M55">
            <v>50000</v>
          </cell>
        </row>
        <row r="56">
          <cell r="A56" t="str">
            <v>A0119H0</v>
          </cell>
          <cell r="B56" t="str">
            <v>53</v>
          </cell>
          <cell r="C56" t="str">
            <v>0119H0</v>
          </cell>
          <cell r="D56" t="str">
            <v>KODEX 28-12 회사채(AA-이상)액티브</v>
          </cell>
          <cell r="E56">
            <v>9851.69</v>
          </cell>
          <cell r="F56">
            <v>9860</v>
          </cell>
          <cell r="G56" t="str">
            <v>0 ( 0.00%)</v>
          </cell>
          <cell r="H56">
            <v>18828</v>
          </cell>
          <cell r="I56" t="str">
            <v>채권-회사채</v>
          </cell>
          <cell r="J56">
            <v>22</v>
          </cell>
          <cell r="K56">
            <v>0</v>
          </cell>
          <cell r="L56">
            <v>-19830874</v>
          </cell>
          <cell r="M56">
            <v>10000</v>
          </cell>
        </row>
        <row r="57">
          <cell r="A57" t="str">
            <v>A0120J0</v>
          </cell>
          <cell r="B57" t="str">
            <v>54</v>
          </cell>
          <cell r="C57" t="str">
            <v>0120J0</v>
          </cell>
          <cell r="D57" t="str">
            <v>BNK 카카오그룹포커스</v>
          </cell>
          <cell r="E57">
            <v>7727.32</v>
          </cell>
          <cell r="F57">
            <v>7700</v>
          </cell>
          <cell r="G57" t="str">
            <v>50 ( 0.65%)</v>
          </cell>
          <cell r="H57">
            <v>9196</v>
          </cell>
          <cell r="I57" t="str">
            <v>주식-전략</v>
          </cell>
          <cell r="J57">
            <v>14</v>
          </cell>
          <cell r="K57">
            <v>17433</v>
          </cell>
          <cell r="L57">
            <v>4492637</v>
          </cell>
          <cell r="M57">
            <v>50000</v>
          </cell>
        </row>
        <row r="58">
          <cell r="A58" t="str">
            <v>A0122W0</v>
          </cell>
          <cell r="B58" t="str">
            <v>55</v>
          </cell>
          <cell r="C58" t="str">
            <v>0122W0</v>
          </cell>
          <cell r="D58" t="str">
            <v>RISE 26-11 회사채(AA-이상)액티브</v>
          </cell>
          <cell r="E58">
            <v>50807.72</v>
          </cell>
          <cell r="F58">
            <v>50800</v>
          </cell>
          <cell r="G58" t="str">
            <v>5 ( 0.01%)</v>
          </cell>
          <cell r="H58">
            <v>18</v>
          </cell>
          <cell r="I58" t="str">
            <v>채권-회사채</v>
          </cell>
          <cell r="J58">
            <v>21</v>
          </cell>
          <cell r="K58">
            <v>0</v>
          </cell>
          <cell r="L58">
            <v>1137837</v>
          </cell>
          <cell r="M58">
            <v>2000</v>
          </cell>
        </row>
        <row r="59">
          <cell r="A59" t="str">
            <v>A0123S0</v>
          </cell>
          <cell r="B59" t="str">
            <v>56</v>
          </cell>
          <cell r="C59" t="str">
            <v>0123S0</v>
          </cell>
          <cell r="D59" t="str">
            <v>HANARO 26-12 은행채(AA+이상)액티브</v>
          </cell>
          <cell r="E59">
            <v>10153.98</v>
          </cell>
          <cell r="F59">
            <v>10155</v>
          </cell>
          <cell r="G59" t="str">
            <v>5 ( 0.05%)</v>
          </cell>
          <cell r="H59">
            <v>3570</v>
          </cell>
          <cell r="I59" t="str">
            <v>채권-회사채</v>
          </cell>
          <cell r="J59">
            <v>6</v>
          </cell>
          <cell r="K59">
            <v>0</v>
          </cell>
          <cell r="L59">
            <v>4586020</v>
          </cell>
          <cell r="M59">
            <v>10000</v>
          </cell>
        </row>
        <row r="60">
          <cell r="A60" t="str">
            <v>A0131W0</v>
          </cell>
          <cell r="B60" t="str">
            <v>57</v>
          </cell>
          <cell r="C60" t="str">
            <v>0131W0</v>
          </cell>
          <cell r="D60" t="str">
            <v>1Q 단기특수은행채액티브</v>
          </cell>
          <cell r="E60">
            <v>101777.82</v>
          </cell>
          <cell r="F60">
            <v>101775</v>
          </cell>
          <cell r="G60" t="str">
            <v>15 ( 0.01%)</v>
          </cell>
          <cell r="H60">
            <v>2047</v>
          </cell>
          <cell r="I60" t="str">
            <v>채권-국공채</v>
          </cell>
          <cell r="J60">
            <v>13</v>
          </cell>
          <cell r="K60">
            <v>0</v>
          </cell>
          <cell r="L60">
            <v>-7612271</v>
          </cell>
          <cell r="M60">
            <v>1000</v>
          </cell>
        </row>
        <row r="61">
          <cell r="A61" t="str">
            <v>A0135Y0</v>
          </cell>
          <cell r="B61" t="str">
            <v>58</v>
          </cell>
          <cell r="C61" t="str">
            <v>0135Y0</v>
          </cell>
          <cell r="D61" t="str">
            <v>IBK 중기종합채권(AA-이상)액티브</v>
          </cell>
          <cell r="E61">
            <v>99909.39</v>
          </cell>
          <cell r="F61">
            <v>99890</v>
          </cell>
          <cell r="G61" t="str">
            <v>35 ( 0.04%)</v>
          </cell>
          <cell r="H61">
            <v>11</v>
          </cell>
          <cell r="I61" t="str">
            <v>채권-혼합</v>
          </cell>
          <cell r="J61">
            <v>18</v>
          </cell>
          <cell r="K61">
            <v>0</v>
          </cell>
          <cell r="L61">
            <v>-15460175</v>
          </cell>
          <cell r="M61">
            <v>1000</v>
          </cell>
        </row>
        <row r="62">
          <cell r="A62" t="str">
            <v>A0138D0</v>
          </cell>
          <cell r="B62" t="str">
            <v>59</v>
          </cell>
          <cell r="C62" t="str">
            <v>0138D0</v>
          </cell>
          <cell r="D62" t="str">
            <v>RISE 동학개미</v>
          </cell>
          <cell r="E62">
            <v>12009.24</v>
          </cell>
          <cell r="F62">
            <v>12000</v>
          </cell>
          <cell r="G62" t="str">
            <v>435 ( 3.76%)</v>
          </cell>
          <cell r="H62">
            <v>6218</v>
          </cell>
          <cell r="I62" t="str">
            <v>주식-전략</v>
          </cell>
          <cell r="J62">
            <v>13</v>
          </cell>
          <cell r="K62">
            <v>6403</v>
          </cell>
          <cell r="L62">
            <v>-3355719</v>
          </cell>
          <cell r="M62">
            <v>50000</v>
          </cell>
        </row>
        <row r="63">
          <cell r="A63" t="str">
            <v>A0139F0</v>
          </cell>
          <cell r="B63" t="str">
            <v>60</v>
          </cell>
          <cell r="C63" t="str">
            <v>0139F0</v>
          </cell>
          <cell r="D63" t="str">
            <v>TIGER 12월자동연장금융채(AA-이상)액티브</v>
          </cell>
          <cell r="E63">
            <v>101650.33</v>
          </cell>
          <cell r="F63">
            <v>101655</v>
          </cell>
          <cell r="G63" t="str">
            <v>30 ( 0.03%)</v>
          </cell>
          <cell r="H63">
            <v>12</v>
          </cell>
          <cell r="I63" t="str">
            <v>채권-회사채</v>
          </cell>
          <cell r="J63">
            <v>172</v>
          </cell>
          <cell r="K63">
            <v>0</v>
          </cell>
          <cell r="L63">
            <v>-20795829</v>
          </cell>
          <cell r="M63">
            <v>1000</v>
          </cell>
        </row>
        <row r="64">
          <cell r="A64" t="str">
            <v>A0139P0</v>
          </cell>
          <cell r="B64" t="str">
            <v>61</v>
          </cell>
          <cell r="C64" t="str">
            <v>0139P0</v>
          </cell>
          <cell r="D64" t="str">
            <v>ACE 고배당주</v>
          </cell>
          <cell r="E64">
            <v>13424.52</v>
          </cell>
          <cell r="F64">
            <v>13385</v>
          </cell>
          <cell r="G64" t="str">
            <v>110 ( 0.83%)</v>
          </cell>
          <cell r="H64">
            <v>13664</v>
          </cell>
          <cell r="I64" t="str">
            <v>주식-전략</v>
          </cell>
          <cell r="J64">
            <v>20</v>
          </cell>
          <cell r="K64">
            <v>22755</v>
          </cell>
          <cell r="L64">
            <v>-4411526</v>
          </cell>
          <cell r="M64">
            <v>50000</v>
          </cell>
        </row>
        <row r="65">
          <cell r="A65" t="str">
            <v>A0141S0</v>
          </cell>
          <cell r="B65" t="str">
            <v>62</v>
          </cell>
          <cell r="C65" t="str">
            <v>0141S0</v>
          </cell>
          <cell r="D65" t="str">
            <v>SOL 조선기자재</v>
          </cell>
          <cell r="E65">
            <v>8080.06</v>
          </cell>
          <cell r="F65">
            <v>8065</v>
          </cell>
          <cell r="G65" t="str">
            <v>60 ( 0.74%)</v>
          </cell>
          <cell r="H65">
            <v>95892</v>
          </cell>
          <cell r="I65" t="str">
            <v>주식-업종섹터</v>
          </cell>
          <cell r="J65">
            <v>10</v>
          </cell>
          <cell r="K65">
            <v>10983</v>
          </cell>
          <cell r="L65">
            <v>-1103428</v>
          </cell>
          <cell r="M65">
            <v>50000</v>
          </cell>
        </row>
        <row r="66">
          <cell r="A66" t="str">
            <v>A0141T0</v>
          </cell>
          <cell r="B66" t="str">
            <v>63</v>
          </cell>
          <cell r="C66" t="str">
            <v>0141T0</v>
          </cell>
          <cell r="D66" t="str">
            <v>SOL 중기종합채권(AA-이상)액티브</v>
          </cell>
          <cell r="E66">
            <v>49993.19</v>
          </cell>
          <cell r="F66">
            <v>49995</v>
          </cell>
          <cell r="G66" t="str">
            <v>25 ( 0.05%)</v>
          </cell>
          <cell r="H66">
            <v>1</v>
          </cell>
          <cell r="I66" t="str">
            <v>채권-혼합</v>
          </cell>
          <cell r="J66">
            <v>14</v>
          </cell>
          <cell r="K66">
            <v>0</v>
          </cell>
          <cell r="L66">
            <v>11798801</v>
          </cell>
          <cell r="M66">
            <v>2000</v>
          </cell>
        </row>
        <row r="67">
          <cell r="A67" t="str">
            <v>A0148J0</v>
          </cell>
          <cell r="B67" t="str">
            <v>64</v>
          </cell>
          <cell r="C67" t="str">
            <v>0148J0</v>
          </cell>
          <cell r="D67" t="str">
            <v>TIGER 코리아휴머노이드로봇산업</v>
          </cell>
          <cell r="E67">
            <v>7745.63</v>
          </cell>
          <cell r="F67">
            <v>7735</v>
          </cell>
          <cell r="G67" t="str">
            <v>415 ( 5.67%)</v>
          </cell>
          <cell r="H67">
            <v>4011949</v>
          </cell>
          <cell r="I67" t="str">
            <v>주식-업종섹터</v>
          </cell>
          <cell r="J67">
            <v>15</v>
          </cell>
          <cell r="K67">
            <v>8156</v>
          </cell>
          <cell r="L67">
            <v>1119136</v>
          </cell>
          <cell r="M67">
            <v>50000</v>
          </cell>
        </row>
        <row r="68">
          <cell r="A68" t="str">
            <v>A0150K0</v>
          </cell>
          <cell r="B68" t="str">
            <v>65</v>
          </cell>
          <cell r="C68" t="str">
            <v>0150K0</v>
          </cell>
          <cell r="D68" t="str">
            <v>KoAct 수소전력ESS인프라액티브</v>
          </cell>
          <cell r="E68">
            <v>8952.01</v>
          </cell>
          <cell r="F68">
            <v>8925</v>
          </cell>
          <cell r="G68" t="str">
            <v>90 ( 1.02%)</v>
          </cell>
          <cell r="H68">
            <v>30987</v>
          </cell>
          <cell r="I68" t="str">
            <v>주식-업종섹터</v>
          </cell>
          <cell r="J68">
            <v>49</v>
          </cell>
          <cell r="K68">
            <v>17735</v>
          </cell>
          <cell r="L68">
            <v>2284575</v>
          </cell>
          <cell r="M68">
            <v>50000</v>
          </cell>
        </row>
        <row r="69">
          <cell r="A69" t="str">
            <v>A0151P0</v>
          </cell>
          <cell r="B69" t="str">
            <v>66</v>
          </cell>
          <cell r="C69" t="str">
            <v>0151P0</v>
          </cell>
          <cell r="D69" t="str">
            <v>RISE 코리아전략산업액티브</v>
          </cell>
          <cell r="E69">
            <v>15239.56</v>
          </cell>
          <cell r="F69">
            <v>15215</v>
          </cell>
          <cell r="G69" t="str">
            <v>540 ( 3.68%)</v>
          </cell>
          <cell r="H69">
            <v>409734</v>
          </cell>
          <cell r="I69" t="str">
            <v>주식-업종섹터</v>
          </cell>
          <cell r="J69">
            <v>19</v>
          </cell>
          <cell r="K69">
            <v>2829</v>
          </cell>
          <cell r="L69">
            <v>-5302348</v>
          </cell>
          <cell r="M69">
            <v>50000</v>
          </cell>
        </row>
        <row r="70">
          <cell r="A70" t="str">
            <v>A0152E0</v>
          </cell>
          <cell r="B70" t="str">
            <v>67</v>
          </cell>
          <cell r="C70" t="str">
            <v>0152E0</v>
          </cell>
          <cell r="D70" t="str">
            <v>SOL 배당성향탑픽액티브</v>
          </cell>
          <cell r="E70">
            <v>11145.97</v>
          </cell>
          <cell r="F70">
            <v>11100</v>
          </cell>
          <cell r="G70" t="str">
            <v>65 ( 0.59%)</v>
          </cell>
          <cell r="H70">
            <v>20392</v>
          </cell>
          <cell r="I70" t="str">
            <v>주식-전략</v>
          </cell>
          <cell r="J70">
            <v>18</v>
          </cell>
          <cell r="K70">
            <v>21340</v>
          </cell>
          <cell r="L70">
            <v>5480603</v>
          </cell>
          <cell r="M70">
            <v>50000</v>
          </cell>
        </row>
        <row r="71">
          <cell r="A71" t="str">
            <v>A0153K0</v>
          </cell>
          <cell r="B71" t="str">
            <v>68</v>
          </cell>
          <cell r="C71" t="str">
            <v>0153K0</v>
          </cell>
          <cell r="D71" t="str">
            <v>KODEX 주주환원고배당주</v>
          </cell>
          <cell r="E71">
            <v>12145.56</v>
          </cell>
          <cell r="F71">
            <v>12125</v>
          </cell>
          <cell r="G71" t="str">
            <v>15 ( 0.12%)</v>
          </cell>
          <cell r="H71">
            <v>106773</v>
          </cell>
          <cell r="I71" t="str">
            <v>주식-전략</v>
          </cell>
          <cell r="J71">
            <v>30</v>
          </cell>
          <cell r="K71">
            <v>29863</v>
          </cell>
          <cell r="L71">
            <v>1850136</v>
          </cell>
          <cell r="M71">
            <v>100000</v>
          </cell>
        </row>
        <row r="72">
          <cell r="A72" t="str">
            <v>A0153P0</v>
          </cell>
          <cell r="B72" t="str">
            <v>69</v>
          </cell>
          <cell r="C72" t="str">
            <v>0153P0</v>
          </cell>
          <cell r="D72" t="str">
            <v>ACE 리츠부동산인프라액티브</v>
          </cell>
          <cell r="E72">
            <v>9360.36</v>
          </cell>
          <cell r="F72">
            <v>9360</v>
          </cell>
          <cell r="G72" t="str">
            <v>80 ( 0.85%)</v>
          </cell>
          <cell r="H72">
            <v>2428</v>
          </cell>
          <cell r="I72" t="str">
            <v>부동산-리츠</v>
          </cell>
          <cell r="J72">
            <v>13</v>
          </cell>
          <cell r="K72">
            <v>80753</v>
          </cell>
          <cell r="L72">
            <v>7656558</v>
          </cell>
          <cell r="M72">
            <v>50000</v>
          </cell>
        </row>
        <row r="73">
          <cell r="A73" t="str">
            <v>A0154F0</v>
          </cell>
          <cell r="B73" t="str">
            <v>70</v>
          </cell>
          <cell r="C73" t="str">
            <v>0154F0</v>
          </cell>
          <cell r="D73" t="str">
            <v>WON 초대형IB&amp;금융지주</v>
          </cell>
          <cell r="E73">
            <v>12591.4</v>
          </cell>
          <cell r="F73">
            <v>12595</v>
          </cell>
          <cell r="G73" t="str">
            <v>170 ( 1.37%)</v>
          </cell>
          <cell r="H73">
            <v>41783</v>
          </cell>
          <cell r="I73" t="str">
            <v>주식-전략</v>
          </cell>
          <cell r="J73">
            <v>10</v>
          </cell>
          <cell r="K73">
            <v>11581</v>
          </cell>
          <cell r="L73">
            <v>2367257</v>
          </cell>
          <cell r="M73">
            <v>50000</v>
          </cell>
        </row>
        <row r="74">
          <cell r="A74" t="str">
            <v>A0155N0</v>
          </cell>
          <cell r="B74" t="str">
            <v>71</v>
          </cell>
          <cell r="C74" t="str">
            <v>0155N0</v>
          </cell>
          <cell r="D74" t="str">
            <v>HANARO K휴머노이드테마TOP10</v>
          </cell>
          <cell r="E74">
            <v>6689.47</v>
          </cell>
          <cell r="F74">
            <v>6690</v>
          </cell>
          <cell r="G74" t="str">
            <v>300 ( 4.69%)</v>
          </cell>
          <cell r="H74">
            <v>87096</v>
          </cell>
          <cell r="I74" t="str">
            <v>주식-업종섹터</v>
          </cell>
          <cell r="J74">
            <v>10</v>
          </cell>
          <cell r="K74">
            <v>3297</v>
          </cell>
          <cell r="L74">
            <v>1443325</v>
          </cell>
          <cell r="M74">
            <v>50000</v>
          </cell>
        </row>
        <row r="75">
          <cell r="A75" t="str">
            <v>A0162M0</v>
          </cell>
          <cell r="B75" t="str">
            <v>72</v>
          </cell>
          <cell r="C75" t="str">
            <v>0162M0</v>
          </cell>
          <cell r="D75" t="str">
            <v>KODEX 금융채1~2년(AA-이상)PLUS액티브</v>
          </cell>
          <cell r="E75">
            <v>9999.0300000000007</v>
          </cell>
          <cell r="F75">
            <v>10000</v>
          </cell>
          <cell r="G75" t="str">
            <v>20 ( 0.20%)</v>
          </cell>
          <cell r="H75">
            <v>10200</v>
          </cell>
          <cell r="I75" t="str">
            <v>채권-회사채</v>
          </cell>
          <cell r="J75">
            <v>45</v>
          </cell>
          <cell r="K75">
            <v>0</v>
          </cell>
          <cell r="L75">
            <v>-49404396</v>
          </cell>
          <cell r="M75">
            <v>10000</v>
          </cell>
        </row>
        <row r="76">
          <cell r="A76" t="str">
            <v>A0162Y0</v>
          </cell>
          <cell r="B76" t="str">
            <v>73</v>
          </cell>
          <cell r="C76" t="str">
            <v>0162Y0</v>
          </cell>
          <cell r="D76" t="str">
            <v>TIME 코스닥액티브</v>
          </cell>
          <cell r="E76">
            <v>7164.19</v>
          </cell>
          <cell r="F76">
            <v>7165</v>
          </cell>
          <cell r="G76" t="str">
            <v>70 ( 0.99%)</v>
          </cell>
          <cell r="H76">
            <v>588318</v>
          </cell>
          <cell r="I76" t="str">
            <v>주식-시장대표</v>
          </cell>
          <cell r="J76">
            <v>64</v>
          </cell>
          <cell r="K76">
            <v>7401</v>
          </cell>
          <cell r="L76">
            <v>6544560</v>
          </cell>
          <cell r="M76">
            <v>50000</v>
          </cell>
        </row>
        <row r="77">
          <cell r="A77" t="str">
            <v>A0162Z0</v>
          </cell>
          <cell r="B77" t="str">
            <v>74</v>
          </cell>
          <cell r="C77" t="str">
            <v>0162Z0</v>
          </cell>
          <cell r="D77" t="str">
            <v>RISE 삼성전자SK하이닉스채권혼합50</v>
          </cell>
          <cell r="E77">
            <v>13480.93</v>
          </cell>
          <cell r="F77">
            <v>13465</v>
          </cell>
          <cell r="G77" t="str">
            <v>405 ( 3.10%)</v>
          </cell>
          <cell r="H77">
            <v>8232359</v>
          </cell>
          <cell r="I77" t="str">
            <v>혼합-주식채권</v>
          </cell>
          <cell r="J77">
            <v>10</v>
          </cell>
          <cell r="K77">
            <v>1532</v>
          </cell>
          <cell r="L77">
            <v>42834748</v>
          </cell>
          <cell r="M77">
            <v>100000</v>
          </cell>
        </row>
        <row r="78">
          <cell r="A78" t="str">
            <v>A0163Y0</v>
          </cell>
          <cell r="B78" t="str">
            <v>75</v>
          </cell>
          <cell r="C78" t="str">
            <v>0163Y0</v>
          </cell>
          <cell r="D78" t="str">
            <v>KoAct 코스닥액티브</v>
          </cell>
          <cell r="E78">
            <v>8703.06</v>
          </cell>
          <cell r="F78">
            <v>8680</v>
          </cell>
          <cell r="G78" t="str">
            <v>80 ( 0.93%)</v>
          </cell>
          <cell r="H78">
            <v>721563</v>
          </cell>
          <cell r="I78" t="str">
            <v>주식-시장대표</v>
          </cell>
          <cell r="J78">
            <v>70</v>
          </cell>
          <cell r="K78">
            <v>9749</v>
          </cell>
          <cell r="L78">
            <v>8584651</v>
          </cell>
          <cell r="M78">
            <v>50000</v>
          </cell>
        </row>
        <row r="79">
          <cell r="A79" t="str">
            <v>A0166N0</v>
          </cell>
          <cell r="B79" t="str">
            <v>76</v>
          </cell>
          <cell r="C79" t="str">
            <v>0166N0</v>
          </cell>
          <cell r="D79" t="str">
            <v>PLUS 코스닥150액티브</v>
          </cell>
          <cell r="E79">
            <v>7377.94</v>
          </cell>
          <cell r="F79">
            <v>7380</v>
          </cell>
          <cell r="G79" t="str">
            <v>40 ( 0.54%)</v>
          </cell>
          <cell r="H79">
            <v>24389</v>
          </cell>
          <cell r="I79" t="str">
            <v>주식-시장대표</v>
          </cell>
          <cell r="J79">
            <v>70</v>
          </cell>
          <cell r="K79">
            <v>16325</v>
          </cell>
          <cell r="L79">
            <v>2024975</v>
          </cell>
          <cell r="M79">
            <v>50000</v>
          </cell>
        </row>
        <row r="80">
          <cell r="A80" t="str">
            <v>A0166S0</v>
          </cell>
          <cell r="B80" t="str">
            <v>77</v>
          </cell>
          <cell r="C80" t="str">
            <v>0166S0</v>
          </cell>
          <cell r="D80" t="str">
            <v>PLUS K제조업핵심기업액티브</v>
          </cell>
          <cell r="E80">
            <v>10723.7</v>
          </cell>
          <cell r="F80">
            <v>10720</v>
          </cell>
          <cell r="G80" t="str">
            <v>415 ( 4.03%)</v>
          </cell>
          <cell r="H80">
            <v>89601</v>
          </cell>
          <cell r="I80" t="str">
            <v>주식-업종섹터</v>
          </cell>
          <cell r="J80">
            <v>30</v>
          </cell>
          <cell r="K80">
            <v>3932</v>
          </cell>
          <cell r="L80">
            <v>85676</v>
          </cell>
          <cell r="M80">
            <v>50000</v>
          </cell>
        </row>
        <row r="81">
          <cell r="A81" t="str">
            <v>A0167A0</v>
          </cell>
          <cell r="B81" t="str">
            <v>78</v>
          </cell>
          <cell r="C81" t="str">
            <v>0167A0</v>
          </cell>
          <cell r="D81" t="str">
            <v>SOL AI반도체TOP2플러스</v>
          </cell>
          <cell r="E81">
            <v>18375.240000000002</v>
          </cell>
          <cell r="F81">
            <v>18355</v>
          </cell>
          <cell r="G81" t="str">
            <v>790 ( 4.50%)</v>
          </cell>
          <cell r="H81">
            <v>17815278</v>
          </cell>
          <cell r="I81" t="str">
            <v>주식-업종섹터</v>
          </cell>
          <cell r="J81">
            <v>10</v>
          </cell>
          <cell r="K81">
            <v>2991</v>
          </cell>
          <cell r="L81">
            <v>8496077</v>
          </cell>
          <cell r="M81">
            <v>50000</v>
          </cell>
        </row>
        <row r="82">
          <cell r="A82" t="str">
            <v>A0167B0</v>
          </cell>
          <cell r="B82" t="str">
            <v>79</v>
          </cell>
          <cell r="C82" t="str">
            <v>0167B0</v>
          </cell>
          <cell r="D82" t="str">
            <v>SOL 200타겟위클리커버드콜</v>
          </cell>
          <cell r="E82">
            <v>12150.55</v>
          </cell>
          <cell r="F82">
            <v>12145</v>
          </cell>
          <cell r="G82" t="str">
            <v>515 ( 4.43%)</v>
          </cell>
          <cell r="H82">
            <v>1109705</v>
          </cell>
          <cell r="I82" t="str">
            <v>주식-전략</v>
          </cell>
          <cell r="J82">
            <v>201</v>
          </cell>
          <cell r="K82">
            <v>6351</v>
          </cell>
          <cell r="L82">
            <v>7999064</v>
          </cell>
          <cell r="M82">
            <v>100000</v>
          </cell>
        </row>
        <row r="83">
          <cell r="A83" t="str">
            <v>A0168K0</v>
          </cell>
          <cell r="B83" t="str">
            <v>80</v>
          </cell>
          <cell r="C83" t="str">
            <v>0168K0</v>
          </cell>
          <cell r="D83" t="str">
            <v>TIGER 기술이전바이오액티브</v>
          </cell>
          <cell r="E83">
            <v>5697.01</v>
          </cell>
          <cell r="F83">
            <v>5685</v>
          </cell>
          <cell r="G83" t="str">
            <v>140 ( 2.40%)</v>
          </cell>
          <cell r="H83">
            <v>2299503</v>
          </cell>
          <cell r="I83" t="str">
            <v>주식-업종섹터</v>
          </cell>
          <cell r="J83">
            <v>30</v>
          </cell>
          <cell r="K83">
            <v>1407</v>
          </cell>
          <cell r="L83">
            <v>3323165</v>
          </cell>
          <cell r="M83">
            <v>10000</v>
          </cell>
        </row>
        <row r="84">
          <cell r="A84" t="str">
            <v>A0172Y0</v>
          </cell>
          <cell r="B84" t="str">
            <v>81</v>
          </cell>
          <cell r="C84" t="str">
            <v>0172Y0</v>
          </cell>
          <cell r="D84" t="str">
            <v>ACE K수출핵심TOP10산업액티브</v>
          </cell>
          <cell r="E84">
            <v>9244.2000000000007</v>
          </cell>
          <cell r="F84">
            <v>9235</v>
          </cell>
          <cell r="G84" t="str">
            <v>420 ( 4.76%)</v>
          </cell>
          <cell r="H84">
            <v>6154</v>
          </cell>
          <cell r="I84" t="str">
            <v>주식-업종섹터</v>
          </cell>
          <cell r="J84">
            <v>16</v>
          </cell>
          <cell r="K84">
            <v>1675</v>
          </cell>
          <cell r="L84">
            <v>11463768</v>
          </cell>
          <cell r="M84">
            <v>50000</v>
          </cell>
        </row>
        <row r="85">
          <cell r="A85" t="str">
            <v>A0174J0</v>
          </cell>
          <cell r="B85" t="str">
            <v>82</v>
          </cell>
          <cell r="C85" t="str">
            <v>0174J0</v>
          </cell>
          <cell r="D85" t="str">
            <v>DAISHIN343 오피스리츠플러스</v>
          </cell>
          <cell r="E85">
            <v>8581.99</v>
          </cell>
          <cell r="F85">
            <v>8550</v>
          </cell>
          <cell r="G85" t="str">
            <v>50 ( 0.58%)</v>
          </cell>
          <cell r="H85">
            <v>13</v>
          </cell>
          <cell r="I85" t="str">
            <v>부동산-리츠</v>
          </cell>
          <cell r="J85">
            <v>11</v>
          </cell>
          <cell r="K85">
            <v>94262</v>
          </cell>
          <cell r="L85">
            <v>18018052</v>
          </cell>
          <cell r="M85">
            <v>50000</v>
          </cell>
        </row>
        <row r="86">
          <cell r="A86" t="str">
            <v>A0176P0</v>
          </cell>
          <cell r="B86" t="str">
            <v>83</v>
          </cell>
          <cell r="C86" t="str">
            <v>0176P0</v>
          </cell>
          <cell r="D86" t="str">
            <v>FOCUS AI반도체위클리고정커버드콜</v>
          </cell>
          <cell r="E86">
            <v>12900.01</v>
          </cell>
          <cell r="F86">
            <v>12920</v>
          </cell>
          <cell r="G86" t="str">
            <v>360 ( 2.87%)</v>
          </cell>
          <cell r="H86">
            <v>5844</v>
          </cell>
          <cell r="I86" t="str">
            <v>주식-전략</v>
          </cell>
          <cell r="J86">
            <v>22</v>
          </cell>
          <cell r="K86">
            <v>6801</v>
          </cell>
          <cell r="L86">
            <v>9434551</v>
          </cell>
          <cell r="M86">
            <v>50000</v>
          </cell>
        </row>
        <row r="87">
          <cell r="A87" t="str">
            <v>A0177A0</v>
          </cell>
          <cell r="B87" t="str">
            <v>84</v>
          </cell>
          <cell r="C87" t="str">
            <v>0177A0</v>
          </cell>
          <cell r="D87" t="str">
            <v>WON 두산그룹포커스</v>
          </cell>
          <cell r="E87">
            <v>7941.17</v>
          </cell>
          <cell r="F87">
            <v>7935</v>
          </cell>
          <cell r="G87" t="str">
            <v>165 ( 2.12%)</v>
          </cell>
          <cell r="H87">
            <v>87268</v>
          </cell>
          <cell r="I87" t="str">
            <v>주식-전략</v>
          </cell>
          <cell r="J87">
            <v>12</v>
          </cell>
          <cell r="K87">
            <v>6000</v>
          </cell>
          <cell r="L87">
            <v>8624080</v>
          </cell>
          <cell r="M87">
            <v>50000</v>
          </cell>
        </row>
        <row r="88">
          <cell r="A88" t="str">
            <v>A0177N0</v>
          </cell>
          <cell r="B88" t="str">
            <v>85</v>
          </cell>
          <cell r="C88" t="str">
            <v>0177N0</v>
          </cell>
          <cell r="D88" t="str">
            <v>KODEX 삼성전자SK하이닉스채권혼합50</v>
          </cell>
          <cell r="E88">
            <v>14206.97</v>
          </cell>
          <cell r="F88">
            <v>14200</v>
          </cell>
          <cell r="G88" t="str">
            <v>410 ( 2.97%)</v>
          </cell>
          <cell r="H88">
            <v>4383603</v>
          </cell>
          <cell r="I88" t="str">
            <v>혼합-주식채권</v>
          </cell>
          <cell r="J88">
            <v>5</v>
          </cell>
          <cell r="K88">
            <v>1607</v>
          </cell>
          <cell r="L88">
            <v>-2597497</v>
          </cell>
          <cell r="M88">
            <v>100000</v>
          </cell>
        </row>
        <row r="89">
          <cell r="A89" t="str">
            <v>A0177R0</v>
          </cell>
          <cell r="B89" t="str">
            <v>86</v>
          </cell>
          <cell r="C89" t="str">
            <v>0177R0</v>
          </cell>
          <cell r="D89" t="str">
            <v>TIGER 반도체TOP10커버드콜액티브</v>
          </cell>
          <cell r="E89">
            <v>11841.05</v>
          </cell>
          <cell r="F89">
            <v>11825</v>
          </cell>
          <cell r="G89" t="str">
            <v>510 ( 4.51%)</v>
          </cell>
          <cell r="H89">
            <v>1469070</v>
          </cell>
          <cell r="I89" t="str">
            <v>주식-전략</v>
          </cell>
          <cell r="J89">
            <v>22</v>
          </cell>
          <cell r="K89">
            <v>6107</v>
          </cell>
          <cell r="L89">
            <v>177015153</v>
          </cell>
          <cell r="M89">
            <v>100000</v>
          </cell>
        </row>
        <row r="90">
          <cell r="A90" t="str">
            <v>A0177X0</v>
          </cell>
          <cell r="B90" t="str">
            <v>87</v>
          </cell>
          <cell r="C90" t="str">
            <v>0177X0</v>
          </cell>
          <cell r="D90" t="str">
            <v>ACE K휴머노이드로봇산업TOP2+</v>
          </cell>
          <cell r="E90">
            <v>8210.1299999999992</v>
          </cell>
          <cell r="F90">
            <v>8200</v>
          </cell>
          <cell r="G90" t="str">
            <v>385 ( 4.93%)</v>
          </cell>
          <cell r="H90">
            <v>717728</v>
          </cell>
          <cell r="I90" t="str">
            <v>주식-업종섹터</v>
          </cell>
          <cell r="J90">
            <v>15</v>
          </cell>
          <cell r="K90">
            <v>4698</v>
          </cell>
          <cell r="L90">
            <v>560579</v>
          </cell>
          <cell r="M90">
            <v>50000</v>
          </cell>
        </row>
        <row r="91">
          <cell r="A91" t="str">
            <v>A0182R0</v>
          </cell>
          <cell r="B91" t="str">
            <v>88</v>
          </cell>
          <cell r="C91" t="str">
            <v>0182R0</v>
          </cell>
          <cell r="D91" t="str">
            <v>1Q K반도체TOP2+</v>
          </cell>
          <cell r="E91">
            <v>10891.7</v>
          </cell>
          <cell r="F91">
            <v>10885</v>
          </cell>
          <cell r="G91" t="str">
            <v>615 ( 5.99%)</v>
          </cell>
          <cell r="H91">
            <v>4307297</v>
          </cell>
          <cell r="I91" t="str">
            <v>주식-업종섹터</v>
          </cell>
          <cell r="J91">
            <v>10</v>
          </cell>
          <cell r="K91">
            <v>1088</v>
          </cell>
          <cell r="L91">
            <v>1856214</v>
          </cell>
          <cell r="M91">
            <v>50000</v>
          </cell>
        </row>
        <row r="92">
          <cell r="A92" t="str">
            <v>A0182S0</v>
          </cell>
          <cell r="B92" t="str">
            <v>89</v>
          </cell>
          <cell r="C92" t="str">
            <v>0182S0</v>
          </cell>
          <cell r="D92" t="str">
            <v>1Q K반도체TOP2채권혼합50</v>
          </cell>
          <cell r="E92">
            <v>12527.76</v>
          </cell>
          <cell r="F92">
            <v>12545</v>
          </cell>
          <cell r="G92" t="str">
            <v>380 ( 3.12%)</v>
          </cell>
          <cell r="H92">
            <v>211345</v>
          </cell>
          <cell r="I92" t="str">
            <v>혼합-주식채권</v>
          </cell>
          <cell r="J92">
            <v>9</v>
          </cell>
          <cell r="K92">
            <v>2059</v>
          </cell>
          <cell r="L92">
            <v>1946231</v>
          </cell>
          <cell r="M92">
            <v>50000</v>
          </cell>
        </row>
        <row r="93">
          <cell r="A93" t="str">
            <v>A0183V0</v>
          </cell>
          <cell r="B93" t="str">
            <v>90</v>
          </cell>
          <cell r="C93" t="str">
            <v>0183V0</v>
          </cell>
          <cell r="D93" t="str">
            <v>KIWOOM 삼성전자&amp;SK하이닉스채권혼합50</v>
          </cell>
          <cell r="E93">
            <v>11923.88</v>
          </cell>
          <cell r="F93">
            <v>11920</v>
          </cell>
          <cell r="G93" t="str">
            <v>380 ( 3.29%)</v>
          </cell>
          <cell r="H93">
            <v>1287690</v>
          </cell>
          <cell r="I93" t="str">
            <v>혼합-주식채권</v>
          </cell>
          <cell r="J93">
            <v>12</v>
          </cell>
          <cell r="K93">
            <v>1572</v>
          </cell>
          <cell r="L93">
            <v>1268366</v>
          </cell>
          <cell r="M93">
            <v>100000</v>
          </cell>
        </row>
        <row r="94">
          <cell r="A94" t="str">
            <v>A0184E0</v>
          </cell>
          <cell r="B94" t="str">
            <v>91</v>
          </cell>
          <cell r="C94" t="str">
            <v>0184E0</v>
          </cell>
          <cell r="D94" t="str">
            <v>1Q 200채권혼합50액티브</v>
          </cell>
          <cell r="E94">
            <v>10933.29</v>
          </cell>
          <cell r="F94">
            <v>10900</v>
          </cell>
          <cell r="G94" t="str">
            <v>360 ( 3.42%)</v>
          </cell>
          <cell r="H94">
            <v>90527</v>
          </cell>
          <cell r="I94" t="str">
            <v>혼합-주식채권</v>
          </cell>
          <cell r="J94">
            <v>179</v>
          </cell>
          <cell r="K94">
            <v>2507</v>
          </cell>
          <cell r="L94">
            <v>-16256687</v>
          </cell>
          <cell r="M94">
            <v>50000</v>
          </cell>
        </row>
        <row r="95">
          <cell r="A95" t="str">
            <v>A0184L0</v>
          </cell>
          <cell r="B95" t="str">
            <v>92</v>
          </cell>
          <cell r="C95" t="str">
            <v>0184L0</v>
          </cell>
          <cell r="D95" t="str">
            <v>PLUS 중기종합채권(A-이상)액티브</v>
          </cell>
          <cell r="E95">
            <v>100115.55</v>
          </cell>
          <cell r="F95">
            <v>100130</v>
          </cell>
          <cell r="G95" t="str">
            <v>70 ( 0.07%)</v>
          </cell>
          <cell r="H95">
            <v>4</v>
          </cell>
          <cell r="I95" t="str">
            <v>채권-혼합</v>
          </cell>
          <cell r="J95">
            <v>12</v>
          </cell>
          <cell r="K95">
            <v>0</v>
          </cell>
          <cell r="L95">
            <v>-6289361</v>
          </cell>
          <cell r="M95">
            <v>1000</v>
          </cell>
        </row>
        <row r="96">
          <cell r="A96" t="str">
            <v>A0184V0</v>
          </cell>
          <cell r="B96" t="str">
            <v>93</v>
          </cell>
          <cell r="C96" t="str">
            <v>0184V0</v>
          </cell>
          <cell r="D96" t="str">
            <v>UNICORN K바이오액티브</v>
          </cell>
          <cell r="E96">
            <v>5446.17</v>
          </cell>
          <cell r="F96">
            <v>5440</v>
          </cell>
          <cell r="G96" t="str">
            <v>180 ( 3.20%)</v>
          </cell>
          <cell r="H96">
            <v>55336</v>
          </cell>
          <cell r="I96" t="str">
            <v>주식-업종섹터</v>
          </cell>
          <cell r="J96">
            <v>16</v>
          </cell>
          <cell r="K96">
            <v>11331</v>
          </cell>
          <cell r="L96">
            <v>7355065</v>
          </cell>
          <cell r="M96">
            <v>50000</v>
          </cell>
        </row>
        <row r="97">
          <cell r="A97" t="str">
            <v>A0186S0</v>
          </cell>
          <cell r="B97" t="str">
            <v>94</v>
          </cell>
          <cell r="C97" t="str">
            <v>0186S0</v>
          </cell>
          <cell r="D97" t="str">
            <v>1Q 코스닥150채권혼합50액티브</v>
          </cell>
          <cell r="E97">
            <v>7930.65</v>
          </cell>
          <cell r="F97">
            <v>7925</v>
          </cell>
          <cell r="G97" t="str">
            <v>50 ( 0.63%)</v>
          </cell>
          <cell r="H97">
            <v>225406</v>
          </cell>
          <cell r="I97" t="str">
            <v>혼합-주식채권</v>
          </cell>
          <cell r="J97">
            <v>155</v>
          </cell>
          <cell r="K97">
            <v>5669</v>
          </cell>
          <cell r="L97">
            <v>-16617141</v>
          </cell>
          <cell r="M97">
            <v>50000</v>
          </cell>
        </row>
        <row r="98">
          <cell r="A98" t="str">
            <v>A0189Z0</v>
          </cell>
          <cell r="B98" t="str">
            <v>95</v>
          </cell>
          <cell r="C98" t="str">
            <v>0189Z0</v>
          </cell>
          <cell r="D98" t="str">
            <v>DAISHIN343 금융&amp;지주고배당</v>
          </cell>
          <cell r="E98">
            <v>10060.530000000001</v>
          </cell>
          <cell r="F98">
            <v>10015</v>
          </cell>
          <cell r="G98" t="str">
            <v>45 ( 0.45%)</v>
          </cell>
          <cell r="H98">
            <v>154</v>
          </cell>
          <cell r="I98" t="str">
            <v>주식-전략</v>
          </cell>
          <cell r="J98">
            <v>20</v>
          </cell>
          <cell r="K98">
            <v>24053</v>
          </cell>
          <cell r="L98">
            <v>13018176</v>
          </cell>
          <cell r="M98">
            <v>50000</v>
          </cell>
        </row>
        <row r="99">
          <cell r="A99" t="str">
            <v>A0190C0</v>
          </cell>
          <cell r="B99" t="str">
            <v>96</v>
          </cell>
          <cell r="C99" t="str">
            <v>0190C0</v>
          </cell>
          <cell r="D99" t="str">
            <v>RISE 현대차고정피지컬AI</v>
          </cell>
          <cell r="E99">
            <v>8319.48</v>
          </cell>
          <cell r="F99">
            <v>8310</v>
          </cell>
          <cell r="G99" t="str">
            <v>225 ( 2.78%)</v>
          </cell>
          <cell r="H99">
            <v>1325335</v>
          </cell>
          <cell r="I99" t="str">
            <v>주식-업종섹터</v>
          </cell>
          <cell r="J99">
            <v>14</v>
          </cell>
          <cell r="K99">
            <v>2303</v>
          </cell>
          <cell r="L99">
            <v>2271402</v>
          </cell>
          <cell r="M99">
            <v>50000</v>
          </cell>
        </row>
        <row r="100">
          <cell r="A100" t="str">
            <v>A0190G0</v>
          </cell>
          <cell r="B100" t="str">
            <v>97</v>
          </cell>
          <cell r="C100" t="str">
            <v>0190G0</v>
          </cell>
          <cell r="D100" t="str">
            <v>KODEX 반도체타겟위클리커버드콜</v>
          </cell>
          <cell r="E100">
            <v>9148.06</v>
          </cell>
          <cell r="F100">
            <v>9135</v>
          </cell>
          <cell r="G100" t="str">
            <v>320 ( 3.63%)</v>
          </cell>
          <cell r="H100">
            <v>1283471</v>
          </cell>
          <cell r="I100" t="str">
            <v>주식-전략</v>
          </cell>
          <cell r="J100">
            <v>37</v>
          </cell>
          <cell r="K100">
            <v>5608</v>
          </cell>
          <cell r="L100">
            <v>-2104588</v>
          </cell>
          <cell r="M100">
            <v>100000</v>
          </cell>
        </row>
        <row r="101">
          <cell r="A101" t="str">
            <v>A0191B0</v>
          </cell>
          <cell r="B101" t="str">
            <v>98</v>
          </cell>
          <cell r="C101" t="str">
            <v>0191B0</v>
          </cell>
          <cell r="D101" t="str">
            <v>MIDAS 코스닥액티브</v>
          </cell>
          <cell r="E101">
            <v>29458.46</v>
          </cell>
          <cell r="F101">
            <v>29540</v>
          </cell>
          <cell r="G101" t="str">
            <v>600 ( 2.07%)</v>
          </cell>
          <cell r="H101">
            <v>365</v>
          </cell>
          <cell r="I101" t="str">
            <v>주식-시장대표</v>
          </cell>
          <cell r="J101">
            <v>59</v>
          </cell>
          <cell r="K101">
            <v>17734</v>
          </cell>
          <cell r="L101">
            <v>6509840</v>
          </cell>
          <cell r="M101">
            <v>25000</v>
          </cell>
        </row>
        <row r="102">
          <cell r="A102" t="str">
            <v>A0191M0</v>
          </cell>
          <cell r="B102" t="str">
            <v>99</v>
          </cell>
          <cell r="C102" t="str">
            <v>0191M0</v>
          </cell>
          <cell r="D102" t="str">
            <v>마이티 5월만기자동연장특수채(AAA)액티브</v>
          </cell>
          <cell r="E102">
            <v>100361.21</v>
          </cell>
          <cell r="F102">
            <v>100370</v>
          </cell>
          <cell r="G102" t="str">
            <v>10 ( 0.01%)</v>
          </cell>
          <cell r="H102">
            <v>2</v>
          </cell>
          <cell r="I102" t="str">
            <v>채권-국공채</v>
          </cell>
          <cell r="J102">
            <v>4</v>
          </cell>
          <cell r="K102">
            <v>0</v>
          </cell>
          <cell r="L102">
            <v>4073264</v>
          </cell>
          <cell r="M102">
            <v>1000</v>
          </cell>
        </row>
        <row r="103">
          <cell r="A103" t="str">
            <v>A0191S0</v>
          </cell>
          <cell r="B103" t="str">
            <v>100</v>
          </cell>
          <cell r="C103" t="str">
            <v>0191S0</v>
          </cell>
          <cell r="D103" t="str">
            <v>IBK 코스닥150</v>
          </cell>
          <cell r="E103">
            <v>12830.54</v>
          </cell>
          <cell r="F103">
            <v>12850</v>
          </cell>
          <cell r="G103" t="str">
            <v>60 ( 0.47%)</v>
          </cell>
          <cell r="H103">
            <v>1749</v>
          </cell>
          <cell r="I103" t="str">
            <v>주식-시장대표</v>
          </cell>
          <cell r="J103">
            <v>150</v>
          </cell>
          <cell r="K103">
            <v>6599</v>
          </cell>
          <cell r="L103">
            <v>991924</v>
          </cell>
          <cell r="M103">
            <v>20000</v>
          </cell>
        </row>
        <row r="104">
          <cell r="A104" t="str">
            <v>A0191W0</v>
          </cell>
          <cell r="B104" t="str">
            <v>101</v>
          </cell>
          <cell r="C104" t="str">
            <v>0191W0</v>
          </cell>
          <cell r="D104" t="str">
            <v>HANARO 중기종합채권(A-이상)액티브</v>
          </cell>
          <cell r="E104">
            <v>100428.77</v>
          </cell>
          <cell r="F104">
            <v>100420</v>
          </cell>
          <cell r="G104" t="str">
            <v>45 ( 0.04%)</v>
          </cell>
          <cell r="H104">
            <v>1</v>
          </cell>
          <cell r="I104" t="str">
            <v>채권-혼합</v>
          </cell>
          <cell r="J104">
            <v>8</v>
          </cell>
          <cell r="K104">
            <v>0</v>
          </cell>
          <cell r="L104">
            <v>45130156</v>
          </cell>
          <cell r="M104">
            <v>1000</v>
          </cell>
        </row>
        <row r="105">
          <cell r="A105" t="str">
            <v>A0192L0</v>
          </cell>
          <cell r="B105" t="str">
            <v>102</v>
          </cell>
          <cell r="C105" t="str">
            <v>0192L0</v>
          </cell>
          <cell r="D105" t="str">
            <v>RISE SK하이닉스단일종목레버리지</v>
          </cell>
          <cell r="E105">
            <v>12686.31</v>
          </cell>
          <cell r="F105">
            <v>12610</v>
          </cell>
          <cell r="G105" t="str">
            <v>1,425 (12.74%)</v>
          </cell>
          <cell r="H105">
            <v>771175</v>
          </cell>
          <cell r="I105" t="str">
            <v>기타</v>
          </cell>
          <cell r="J105">
            <v>2</v>
          </cell>
          <cell r="K105">
            <v>140</v>
          </cell>
          <cell r="L105">
            <v>68602371</v>
          </cell>
          <cell r="M105">
            <v>25000</v>
          </cell>
        </row>
        <row r="106">
          <cell r="A106" t="str">
            <v>A0192M0</v>
          </cell>
          <cell r="B106" t="str">
            <v>103</v>
          </cell>
          <cell r="C106" t="str">
            <v>0192M0</v>
          </cell>
          <cell r="D106" t="str">
            <v>RISE 삼성전자단일종목레버리지</v>
          </cell>
          <cell r="E106">
            <v>12795.67</v>
          </cell>
          <cell r="F106">
            <v>12770</v>
          </cell>
          <cell r="G106" t="str">
            <v>1,565 (13.97%)</v>
          </cell>
          <cell r="H106">
            <v>407503</v>
          </cell>
          <cell r="I106" t="str">
            <v>기타</v>
          </cell>
          <cell r="J106">
            <v>2</v>
          </cell>
          <cell r="K106">
            <v>1009</v>
          </cell>
          <cell r="L106">
            <v>65079711</v>
          </cell>
          <cell r="M106">
            <v>25000</v>
          </cell>
        </row>
        <row r="107">
          <cell r="A107" t="str">
            <v>A0192S0</v>
          </cell>
          <cell r="B107" t="str">
            <v>104</v>
          </cell>
          <cell r="C107" t="str">
            <v>0192S0</v>
          </cell>
          <cell r="D107" t="str">
            <v>SOL 코스피200채권혼합50</v>
          </cell>
          <cell r="E107">
            <v>9433.7800000000007</v>
          </cell>
          <cell r="F107">
            <v>9425</v>
          </cell>
          <cell r="G107" t="str">
            <v>185 ( 2.00%)</v>
          </cell>
          <cell r="H107">
            <v>119291</v>
          </cell>
          <cell r="I107" t="str">
            <v>혼합-주식채권</v>
          </cell>
          <cell r="J107">
            <v>190</v>
          </cell>
          <cell r="K107">
            <v>3754</v>
          </cell>
          <cell r="L107">
            <v>54053715</v>
          </cell>
          <cell r="M107">
            <v>100000</v>
          </cell>
        </row>
        <row r="108">
          <cell r="A108" t="str">
            <v>A0192T0</v>
          </cell>
          <cell r="B108" t="str">
            <v>105</v>
          </cell>
          <cell r="C108" t="str">
            <v>0192T0</v>
          </cell>
          <cell r="D108" t="str">
            <v>SOL 코스닥TOP10</v>
          </cell>
          <cell r="E108">
            <v>6196.48</v>
          </cell>
          <cell r="F108">
            <v>6195</v>
          </cell>
          <cell r="G108" t="str">
            <v>135 ( 2.23%)</v>
          </cell>
          <cell r="H108">
            <v>558959</v>
          </cell>
          <cell r="I108" t="str">
            <v>주식-규모</v>
          </cell>
          <cell r="J108">
            <v>10</v>
          </cell>
          <cell r="K108">
            <v>4185</v>
          </cell>
          <cell r="L108">
            <v>1466417</v>
          </cell>
          <cell r="M108">
            <v>50000</v>
          </cell>
        </row>
        <row r="109">
          <cell r="A109" t="str">
            <v>A0192Z0</v>
          </cell>
          <cell r="B109" t="str">
            <v>106</v>
          </cell>
          <cell r="C109" t="str">
            <v>0192Z0</v>
          </cell>
          <cell r="D109" t="str">
            <v>TIGER 중기종합채권(A-이상)액티브</v>
          </cell>
          <cell r="E109">
            <v>100435.57</v>
          </cell>
          <cell r="F109">
            <v>100415</v>
          </cell>
          <cell r="G109" t="str">
            <v>55 ( 0.05%)</v>
          </cell>
          <cell r="H109">
            <v>2000</v>
          </cell>
          <cell r="I109" t="str">
            <v>채권-혼합</v>
          </cell>
          <cell r="J109">
            <v>22</v>
          </cell>
          <cell r="K109">
            <v>0</v>
          </cell>
          <cell r="L109">
            <v>-20567964</v>
          </cell>
          <cell r="M109">
            <v>1000</v>
          </cell>
        </row>
        <row r="110">
          <cell r="A110" t="str">
            <v>A0193G0</v>
          </cell>
          <cell r="B110" t="str">
            <v>107</v>
          </cell>
          <cell r="C110" t="str">
            <v>0193G0</v>
          </cell>
          <cell r="D110" t="str">
            <v>KoAct 코스피액티브</v>
          </cell>
          <cell r="E110">
            <v>8457.14</v>
          </cell>
          <cell r="F110">
            <v>8440</v>
          </cell>
          <cell r="G110" t="str">
            <v>345 ( 4.26%)</v>
          </cell>
          <cell r="H110">
            <v>250671</v>
          </cell>
          <cell r="I110" t="str">
            <v>주식-시장대표</v>
          </cell>
          <cell r="J110">
            <v>37</v>
          </cell>
          <cell r="K110">
            <v>1350</v>
          </cell>
          <cell r="L110">
            <v>399171</v>
          </cell>
          <cell r="M110">
            <v>50000</v>
          </cell>
        </row>
        <row r="111">
          <cell r="A111" t="str">
            <v>A0193K0</v>
          </cell>
          <cell r="B111" t="str">
            <v>108</v>
          </cell>
          <cell r="C111" t="str">
            <v>0193K0</v>
          </cell>
          <cell r="D111" t="str">
            <v>PLUS 삼성전자단일종목레버리지</v>
          </cell>
          <cell r="E111">
            <v>13778.44</v>
          </cell>
          <cell r="F111">
            <v>13745</v>
          </cell>
          <cell r="G111" t="str">
            <v>1,490 (12.16%)</v>
          </cell>
          <cell r="H111">
            <v>170112</v>
          </cell>
          <cell r="I111" t="str">
            <v>기타</v>
          </cell>
          <cell r="J111">
            <v>4</v>
          </cell>
          <cell r="K111">
            <v>5072</v>
          </cell>
          <cell r="L111">
            <v>547904</v>
          </cell>
          <cell r="M111">
            <v>25000</v>
          </cell>
        </row>
        <row r="112">
          <cell r="A112" t="str">
            <v>A0193L0</v>
          </cell>
          <cell r="B112" t="str">
            <v>109</v>
          </cell>
          <cell r="C112" t="str">
            <v>0193L0</v>
          </cell>
          <cell r="D112" t="str">
            <v>PLUS 삼성전자선물단일종목인버스2X</v>
          </cell>
          <cell r="E112">
            <v>16133.85</v>
          </cell>
          <cell r="F112">
            <v>16110</v>
          </cell>
          <cell r="G112" t="str">
            <v>2,680 (14.26%)</v>
          </cell>
          <cell r="H112">
            <v>14972324</v>
          </cell>
          <cell r="I112" t="str">
            <v>기타</v>
          </cell>
          <cell r="J112">
            <v>1</v>
          </cell>
          <cell r="K112">
            <v>-312</v>
          </cell>
          <cell r="L112">
            <v>385045015</v>
          </cell>
          <cell r="M112">
            <v>20000</v>
          </cell>
        </row>
        <row r="113">
          <cell r="A113" t="str">
            <v>A0193M0</v>
          </cell>
          <cell r="B113" t="str">
            <v>110</v>
          </cell>
          <cell r="C113" t="str">
            <v>0193M0</v>
          </cell>
          <cell r="D113" t="str">
            <v>BNK 27-12 특수채(AAA이상)액티브</v>
          </cell>
          <cell r="E113">
            <v>50145.1</v>
          </cell>
          <cell r="F113">
            <v>50150</v>
          </cell>
          <cell r="G113" t="str">
            <v>0 ( 0.00%)</v>
          </cell>
          <cell r="H113">
            <v>0</v>
          </cell>
          <cell r="I113" t="str">
            <v>채권-국공채</v>
          </cell>
          <cell r="J113">
            <v>8</v>
          </cell>
          <cell r="K113">
            <v>0</v>
          </cell>
          <cell r="L113">
            <v>5846747</v>
          </cell>
          <cell r="M113">
            <v>2000</v>
          </cell>
        </row>
        <row r="114">
          <cell r="A114" t="str">
            <v>A0193T0</v>
          </cell>
          <cell r="B114" t="str">
            <v>111</v>
          </cell>
          <cell r="C114" t="str">
            <v>0193T0</v>
          </cell>
          <cell r="D114" t="str">
            <v>KODEX SK하이닉스단일종목레버리지</v>
          </cell>
          <cell r="E114">
            <v>14860.91</v>
          </cell>
          <cell r="F114">
            <v>14835</v>
          </cell>
          <cell r="G114" t="str">
            <v>1,585 (11.96%)</v>
          </cell>
          <cell r="H114">
            <v>207347966</v>
          </cell>
          <cell r="I114" t="str">
            <v>기타</v>
          </cell>
          <cell r="J114">
            <v>2</v>
          </cell>
          <cell r="K114">
            <v>192</v>
          </cell>
          <cell r="L114">
            <v>25718795</v>
          </cell>
          <cell r="M114">
            <v>25000</v>
          </cell>
        </row>
        <row r="115">
          <cell r="A115" t="str">
            <v>A0193W0</v>
          </cell>
          <cell r="B115" t="str">
            <v>112</v>
          </cell>
          <cell r="C115" t="str">
            <v>0193W0</v>
          </cell>
          <cell r="D115" t="str">
            <v>KODEX 삼성전자단일종목레버리지</v>
          </cell>
          <cell r="E115">
            <v>13714.85</v>
          </cell>
          <cell r="F115">
            <v>13720</v>
          </cell>
          <cell r="G115" t="str">
            <v>1,615 (13.34%)</v>
          </cell>
          <cell r="H115">
            <v>69279140</v>
          </cell>
          <cell r="I115" t="str">
            <v>기타</v>
          </cell>
          <cell r="J115">
            <v>2</v>
          </cell>
          <cell r="K115">
            <v>1254</v>
          </cell>
          <cell r="L115">
            <v>23748183</v>
          </cell>
          <cell r="M115">
            <v>25000</v>
          </cell>
        </row>
        <row r="116">
          <cell r="A116" t="str">
            <v>A0194M0</v>
          </cell>
          <cell r="B116" t="str">
            <v>113</v>
          </cell>
          <cell r="C116" t="str">
            <v>0194M0</v>
          </cell>
          <cell r="D116" t="str">
            <v>ACE 삼성전자단일종목레버리지</v>
          </cell>
          <cell r="E116">
            <v>12679</v>
          </cell>
          <cell r="F116">
            <v>12615</v>
          </cell>
          <cell r="G116" t="str">
            <v>1,470 (13.19%)</v>
          </cell>
          <cell r="H116">
            <v>777411</v>
          </cell>
          <cell r="I116" t="str">
            <v>기타</v>
          </cell>
          <cell r="J116">
            <v>3</v>
          </cell>
          <cell r="K116">
            <v>5035</v>
          </cell>
          <cell r="L116">
            <v>-37570443</v>
          </cell>
          <cell r="M116">
            <v>25000</v>
          </cell>
        </row>
        <row r="117">
          <cell r="A117" t="str">
            <v>A0194N0</v>
          </cell>
          <cell r="B117" t="str">
            <v>114</v>
          </cell>
          <cell r="C117" t="str">
            <v>0194N0</v>
          </cell>
          <cell r="D117" t="str">
            <v>KIWOOM 삼성전자선물단일종목레버리지</v>
          </cell>
          <cell r="E117">
            <v>12486.68</v>
          </cell>
          <cell r="F117">
            <v>12500</v>
          </cell>
          <cell r="G117" t="str">
            <v>1,535 (14.00%)</v>
          </cell>
          <cell r="H117">
            <v>146392</v>
          </cell>
          <cell r="I117" t="str">
            <v>기타</v>
          </cell>
          <cell r="J117">
            <v>2</v>
          </cell>
          <cell r="K117">
            <v>458</v>
          </cell>
          <cell r="L117">
            <v>204578649</v>
          </cell>
          <cell r="M117">
            <v>25000</v>
          </cell>
        </row>
        <row r="118">
          <cell r="A118" t="str">
            <v>A0194R0</v>
          </cell>
          <cell r="B118" t="str">
            <v>115</v>
          </cell>
          <cell r="C118" t="str">
            <v>0194R0</v>
          </cell>
          <cell r="D118" t="str">
            <v>KIWOOM SK하이닉스선물단일종목레버리지</v>
          </cell>
          <cell r="E118">
            <v>12207.22</v>
          </cell>
          <cell r="F118">
            <v>12195</v>
          </cell>
          <cell r="G118" t="str">
            <v>1,300 (11.93%)</v>
          </cell>
          <cell r="H118">
            <v>314376</v>
          </cell>
          <cell r="I118" t="str">
            <v>기타</v>
          </cell>
          <cell r="J118">
            <v>2</v>
          </cell>
          <cell r="K118">
            <v>63</v>
          </cell>
          <cell r="L118">
            <v>206063870</v>
          </cell>
          <cell r="M118">
            <v>25000</v>
          </cell>
        </row>
        <row r="119">
          <cell r="A119" t="str">
            <v>A0194T0</v>
          </cell>
          <cell r="B119" t="str">
            <v>116</v>
          </cell>
          <cell r="C119" t="str">
            <v>0194T0</v>
          </cell>
          <cell r="D119" t="str">
            <v>ACE SK하이닉스단일종목레버리지</v>
          </cell>
          <cell r="E119">
            <v>12524.03</v>
          </cell>
          <cell r="F119">
            <v>12500</v>
          </cell>
          <cell r="G119" t="str">
            <v>1,430 (12.92%)</v>
          </cell>
          <cell r="H119">
            <v>1787193</v>
          </cell>
          <cell r="I119" t="str">
            <v>기타</v>
          </cell>
          <cell r="J119">
            <v>3</v>
          </cell>
          <cell r="K119">
            <v>3923</v>
          </cell>
          <cell r="L119">
            <v>-41038687</v>
          </cell>
          <cell r="M119">
            <v>25000</v>
          </cell>
        </row>
        <row r="120">
          <cell r="A120" t="str">
            <v>A0195R0</v>
          </cell>
          <cell r="B120" t="str">
            <v>117</v>
          </cell>
          <cell r="C120" t="str">
            <v>0195R0</v>
          </cell>
          <cell r="D120" t="str">
            <v>TIGER 삼성전자단일종목레버리지</v>
          </cell>
          <cell r="E120">
            <v>12606.95</v>
          </cell>
          <cell r="F120">
            <v>12625</v>
          </cell>
          <cell r="G120" t="str">
            <v>1,530 (13.79%)</v>
          </cell>
          <cell r="H120">
            <v>34617962</v>
          </cell>
          <cell r="I120" t="str">
            <v>기타</v>
          </cell>
          <cell r="J120">
            <v>2</v>
          </cell>
          <cell r="K120">
            <v>1143</v>
          </cell>
          <cell r="L120">
            <v>24414637</v>
          </cell>
          <cell r="M120">
            <v>25000</v>
          </cell>
        </row>
        <row r="121">
          <cell r="A121" t="str">
            <v>A0195S0</v>
          </cell>
          <cell r="B121" t="str">
            <v>118</v>
          </cell>
          <cell r="C121" t="str">
            <v>0195S0</v>
          </cell>
          <cell r="D121" t="str">
            <v>TIGER SK하이닉스단일종목레버리지</v>
          </cell>
          <cell r="E121">
            <v>12528.8</v>
          </cell>
          <cell r="F121">
            <v>12505</v>
          </cell>
          <cell r="G121" t="str">
            <v>1,315 (11.75%)</v>
          </cell>
          <cell r="H121">
            <v>107916844</v>
          </cell>
          <cell r="I121" t="str">
            <v>기타</v>
          </cell>
          <cell r="J121">
            <v>2</v>
          </cell>
          <cell r="K121">
            <v>163</v>
          </cell>
          <cell r="L121">
            <v>19945913</v>
          </cell>
          <cell r="M121">
            <v>25000</v>
          </cell>
        </row>
        <row r="122">
          <cell r="A122" t="str">
            <v>A0197W0</v>
          </cell>
          <cell r="B122" t="str">
            <v>119</v>
          </cell>
          <cell r="C122" t="str">
            <v>0197W0</v>
          </cell>
          <cell r="D122" t="str">
            <v>SOL SK하이닉스단일종목레버리지</v>
          </cell>
          <cell r="E122">
            <v>12395.28</v>
          </cell>
          <cell r="F122">
            <v>12350</v>
          </cell>
          <cell r="G122" t="str">
            <v>1,330 (12.07%)</v>
          </cell>
          <cell r="H122">
            <v>2925026</v>
          </cell>
          <cell r="I122" t="str">
            <v>기타</v>
          </cell>
          <cell r="J122">
            <v>2</v>
          </cell>
          <cell r="K122">
            <v>171</v>
          </cell>
          <cell r="L122">
            <v>1774437</v>
          </cell>
          <cell r="M122">
            <v>25000</v>
          </cell>
        </row>
        <row r="123">
          <cell r="A123" t="str">
            <v>A0197X0</v>
          </cell>
          <cell r="B123" t="str">
            <v>120</v>
          </cell>
          <cell r="C123" t="str">
            <v>0197X0</v>
          </cell>
          <cell r="D123" t="str">
            <v>SOL SK하이닉스선물단일종목인버스2X</v>
          </cell>
          <cell r="E123">
            <v>10754.87</v>
          </cell>
          <cell r="F123">
            <v>10760</v>
          </cell>
          <cell r="G123" t="str">
            <v>1,610 (13.02%)</v>
          </cell>
          <cell r="H123">
            <v>185674148</v>
          </cell>
          <cell r="I123" t="str">
            <v>기타</v>
          </cell>
          <cell r="J123">
            <v>1</v>
          </cell>
          <cell r="K123">
            <v>-35</v>
          </cell>
          <cell r="L123">
            <v>311015639</v>
          </cell>
          <cell r="M123">
            <v>25000</v>
          </cell>
        </row>
        <row r="124">
          <cell r="A124" t="str">
            <v>A0198A0</v>
          </cell>
          <cell r="B124" t="str">
            <v>121</v>
          </cell>
          <cell r="C124" t="str">
            <v>0198A0</v>
          </cell>
          <cell r="D124" t="str">
            <v>KIWOOM 코스닥150커버드콜액티브</v>
          </cell>
          <cell r="E124">
            <v>8466.69</v>
          </cell>
          <cell r="F124">
            <v>8470</v>
          </cell>
          <cell r="G124" t="str">
            <v>70 ( 0.83%)</v>
          </cell>
          <cell r="H124">
            <v>440574</v>
          </cell>
          <cell r="I124" t="str">
            <v>주식-전략</v>
          </cell>
          <cell r="J124">
            <v>153</v>
          </cell>
          <cell r="K124">
            <v>17595</v>
          </cell>
          <cell r="L124">
            <v>98481770</v>
          </cell>
          <cell r="M124">
            <v>50000</v>
          </cell>
        </row>
        <row r="125">
          <cell r="A125" t="str">
            <v>A0198B0</v>
          </cell>
          <cell r="B125" t="str">
            <v>122</v>
          </cell>
          <cell r="C125" t="str">
            <v>0198B0</v>
          </cell>
          <cell r="D125" t="str">
            <v>1Q 삼성전자선물단일종목레버리지</v>
          </cell>
          <cell r="E125">
            <v>13077.75</v>
          </cell>
          <cell r="F125">
            <v>13050</v>
          </cell>
          <cell r="G125" t="str">
            <v>1,575 (13.73%)</v>
          </cell>
          <cell r="H125">
            <v>147375</v>
          </cell>
          <cell r="I125" t="str">
            <v>기타</v>
          </cell>
          <cell r="J125">
            <v>2</v>
          </cell>
          <cell r="K125">
            <v>139</v>
          </cell>
          <cell r="L125">
            <v>31370737</v>
          </cell>
          <cell r="M125">
            <v>5000</v>
          </cell>
        </row>
        <row r="126">
          <cell r="A126" t="str">
            <v>A0198D0</v>
          </cell>
          <cell r="B126" t="str">
            <v>123</v>
          </cell>
          <cell r="C126" t="str">
            <v>0198D0</v>
          </cell>
          <cell r="D126" t="str">
            <v>1Q SK하이닉스선물단일종목레버리지</v>
          </cell>
          <cell r="E126">
            <v>13063.57</v>
          </cell>
          <cell r="F126">
            <v>12955</v>
          </cell>
          <cell r="G126" t="str">
            <v>1,345 (11.58%)</v>
          </cell>
          <cell r="H126">
            <v>461833</v>
          </cell>
          <cell r="I126" t="str">
            <v>기타</v>
          </cell>
          <cell r="J126">
            <v>2</v>
          </cell>
          <cell r="K126">
            <v>20</v>
          </cell>
          <cell r="L126">
            <v>31198843</v>
          </cell>
          <cell r="M126">
            <v>5000</v>
          </cell>
        </row>
        <row r="127">
          <cell r="A127" t="str">
            <v>A0199C0</v>
          </cell>
          <cell r="B127" t="str">
            <v>124</v>
          </cell>
          <cell r="C127" t="str">
            <v>0199C0</v>
          </cell>
          <cell r="D127" t="str">
            <v>ACE 고배당주Plus커버드콜액티브</v>
          </cell>
          <cell r="E127">
            <v>9726.39</v>
          </cell>
          <cell r="F127">
            <v>9725</v>
          </cell>
          <cell r="G127" t="str">
            <v>130 ( 1.35%)</v>
          </cell>
          <cell r="H127">
            <v>408111</v>
          </cell>
          <cell r="I127" t="str">
            <v>주식-전략</v>
          </cell>
          <cell r="J127">
            <v>22</v>
          </cell>
          <cell r="K127">
            <v>11726</v>
          </cell>
          <cell r="L127">
            <v>18563472</v>
          </cell>
          <cell r="M127">
            <v>50000</v>
          </cell>
        </row>
        <row r="128">
          <cell r="A128" t="str">
            <v>A0203D0</v>
          </cell>
          <cell r="B128" t="str">
            <v>125</v>
          </cell>
          <cell r="C128" t="str">
            <v>0203D0</v>
          </cell>
          <cell r="D128" t="str">
            <v>PLUS 200위클리커버드콜채권혼합</v>
          </cell>
          <cell r="E128">
            <v>9090.24</v>
          </cell>
          <cell r="F128">
            <v>9070</v>
          </cell>
          <cell r="G128" t="str">
            <v>175 ( 1.97%)</v>
          </cell>
          <cell r="H128">
            <v>49333</v>
          </cell>
          <cell r="I128" t="str">
            <v>혼합-주식채권</v>
          </cell>
          <cell r="J128">
            <v>191</v>
          </cell>
          <cell r="K128">
            <v>4920</v>
          </cell>
          <cell r="L128">
            <v>9043386</v>
          </cell>
          <cell r="M128">
            <v>100000</v>
          </cell>
        </row>
        <row r="129">
          <cell r="A129" t="str">
            <v>A0203R0</v>
          </cell>
          <cell r="B129" t="str">
            <v>126</v>
          </cell>
          <cell r="C129" t="str">
            <v>0203R0</v>
          </cell>
          <cell r="D129" t="str">
            <v>WON 중단기종합채권(A-이상)액티브</v>
          </cell>
          <cell r="E129">
            <v>50195.29</v>
          </cell>
          <cell r="F129">
            <v>50190</v>
          </cell>
          <cell r="G129" t="str">
            <v>35 ( 0.07%)</v>
          </cell>
          <cell r="H129">
            <v>1</v>
          </cell>
          <cell r="I129" t="str">
            <v>채권-혼합</v>
          </cell>
          <cell r="J129">
            <v>5</v>
          </cell>
          <cell r="K129">
            <v>0</v>
          </cell>
          <cell r="L129">
            <v>-5820725</v>
          </cell>
          <cell r="M129">
            <v>2000</v>
          </cell>
        </row>
        <row r="130">
          <cell r="A130" t="str">
            <v>A0203S0</v>
          </cell>
          <cell r="B130" t="str">
            <v>127</v>
          </cell>
          <cell r="C130" t="str">
            <v>0203S0</v>
          </cell>
          <cell r="D130" t="str">
            <v>WON 삼성전자현대차채권혼합50</v>
          </cell>
          <cell r="E130">
            <v>8568.31</v>
          </cell>
          <cell r="F130">
            <v>8565</v>
          </cell>
          <cell r="G130" t="str">
            <v>165 ( 1.96%)</v>
          </cell>
          <cell r="H130">
            <v>79922</v>
          </cell>
          <cell r="I130" t="str">
            <v>혼합-주식채권</v>
          </cell>
          <cell r="J130">
            <v>3</v>
          </cell>
          <cell r="K130">
            <v>692</v>
          </cell>
          <cell r="L130">
            <v>9688595</v>
          </cell>
          <cell r="M130">
            <v>50000</v>
          </cell>
        </row>
        <row r="131">
          <cell r="A131" t="str">
            <v>A0204S0</v>
          </cell>
          <cell r="B131" t="str">
            <v>128</v>
          </cell>
          <cell r="C131" t="str">
            <v>0204S0</v>
          </cell>
          <cell r="D131" t="str">
            <v>TIGER 코스닥액티브</v>
          </cell>
          <cell r="E131">
            <v>7010.58</v>
          </cell>
          <cell r="F131">
            <v>7000</v>
          </cell>
          <cell r="G131" t="str">
            <v>165 ( 2.41%)</v>
          </cell>
          <cell r="H131">
            <v>41254</v>
          </cell>
          <cell r="I131" t="str">
            <v>주식-시장대표</v>
          </cell>
          <cell r="J131">
            <v>51</v>
          </cell>
          <cell r="K131">
            <v>2530</v>
          </cell>
          <cell r="L131">
            <v>1870393</v>
          </cell>
          <cell r="M131">
            <v>10000</v>
          </cell>
        </row>
        <row r="132">
          <cell r="A132" t="str">
            <v>A0206G0</v>
          </cell>
          <cell r="B132" t="str">
            <v>129</v>
          </cell>
          <cell r="C132" t="str">
            <v>0206G0</v>
          </cell>
          <cell r="D132" t="str">
            <v>1Q 현대차기아채권혼합50</v>
          </cell>
          <cell r="E132">
            <v>8424.07</v>
          </cell>
          <cell r="F132">
            <v>8420</v>
          </cell>
          <cell r="G132" t="str">
            <v>75 ( 0.90%)</v>
          </cell>
          <cell r="H132">
            <v>199166</v>
          </cell>
          <cell r="I132" t="str">
            <v>혼합-주식채권</v>
          </cell>
          <cell r="J132">
            <v>6</v>
          </cell>
          <cell r="K132">
            <v>986</v>
          </cell>
          <cell r="L132">
            <v>29128907</v>
          </cell>
          <cell r="M132">
            <v>50000</v>
          </cell>
        </row>
        <row r="133">
          <cell r="A133" t="str">
            <v>A0207G0</v>
          </cell>
          <cell r="B133" t="str">
            <v>130</v>
          </cell>
          <cell r="C133" t="str">
            <v>0207G0</v>
          </cell>
          <cell r="D133" t="str">
            <v>SOL 우주항공밸류체인</v>
          </cell>
          <cell r="E133">
            <v>5692.09</v>
          </cell>
          <cell r="F133">
            <v>5700</v>
          </cell>
          <cell r="G133" t="str">
            <v>20 ( 0.35%)</v>
          </cell>
          <cell r="H133">
            <v>183058</v>
          </cell>
          <cell r="I133" t="str">
            <v>주식-업종섹터</v>
          </cell>
          <cell r="J133">
            <v>10</v>
          </cell>
          <cell r="K133">
            <v>7272</v>
          </cell>
          <cell r="L133">
            <v>968847</v>
          </cell>
          <cell r="M133">
            <v>50000</v>
          </cell>
        </row>
        <row r="134">
          <cell r="A134" t="str">
            <v>A0208N0</v>
          </cell>
          <cell r="B134" t="str">
            <v>131</v>
          </cell>
          <cell r="C134" t="str">
            <v>0208N0</v>
          </cell>
          <cell r="D134" t="str">
            <v>IBK 코스피액티브</v>
          </cell>
          <cell r="E134">
            <v>7627.21</v>
          </cell>
          <cell r="F134">
            <v>7595</v>
          </cell>
          <cell r="G134" t="str">
            <v>335 ( 4.61%)</v>
          </cell>
          <cell r="H134">
            <v>425</v>
          </cell>
          <cell r="I134" t="str">
            <v>주식-시장대표</v>
          </cell>
          <cell r="J134">
            <v>41</v>
          </cell>
          <cell r="K134">
            <v>1105</v>
          </cell>
          <cell r="L134">
            <v>3661620</v>
          </cell>
          <cell r="M134">
            <v>50000</v>
          </cell>
        </row>
        <row r="135">
          <cell r="A135" t="str">
            <v>A0209D0</v>
          </cell>
          <cell r="B135" t="str">
            <v>132</v>
          </cell>
          <cell r="C135" t="str">
            <v>0209D0</v>
          </cell>
          <cell r="D135" t="str">
            <v>KODEX 전고체배터리ESS TOP2플러스</v>
          </cell>
          <cell r="E135">
            <v>6879.12</v>
          </cell>
          <cell r="F135">
            <v>6855</v>
          </cell>
          <cell r="G135" t="str">
            <v>65 ( 0.96%)</v>
          </cell>
          <cell r="H135">
            <v>484058</v>
          </cell>
          <cell r="I135" t="str">
            <v>주식-업종섹터</v>
          </cell>
          <cell r="J135">
            <v>10</v>
          </cell>
          <cell r="K135">
            <v>4140</v>
          </cell>
          <cell r="L135">
            <v>1559646</v>
          </cell>
          <cell r="M135">
            <v>50000</v>
          </cell>
        </row>
        <row r="136">
          <cell r="A136" t="str">
            <v>A0209Z0</v>
          </cell>
          <cell r="B136" t="str">
            <v>133</v>
          </cell>
          <cell r="C136" t="str">
            <v>0209Z0</v>
          </cell>
          <cell r="D136" t="str">
            <v>ACE 코리아AI전력TOP10</v>
          </cell>
          <cell r="E136">
            <v>6543.66</v>
          </cell>
          <cell r="F136">
            <v>6530</v>
          </cell>
          <cell r="G136" t="str">
            <v>170 ( 2.67%)</v>
          </cell>
          <cell r="H136">
            <v>646474</v>
          </cell>
          <cell r="I136" t="str">
            <v>주식-업종섹터</v>
          </cell>
          <cell r="J136">
            <v>10</v>
          </cell>
          <cell r="K136">
            <v>3059</v>
          </cell>
          <cell r="L136">
            <v>422753</v>
          </cell>
          <cell r="M136">
            <v>50000</v>
          </cell>
        </row>
        <row r="137">
          <cell r="A137" t="str">
            <v>A0210A0</v>
          </cell>
          <cell r="B137" t="str">
            <v>134</v>
          </cell>
          <cell r="C137" t="str">
            <v>0210A0</v>
          </cell>
          <cell r="D137" t="str">
            <v>ACE K반도체TOP2+</v>
          </cell>
          <cell r="E137">
            <v>7473.86</v>
          </cell>
          <cell r="F137">
            <v>7465</v>
          </cell>
          <cell r="G137" t="str">
            <v>340 ( 4.77%)</v>
          </cell>
          <cell r="H137">
            <v>5732659</v>
          </cell>
          <cell r="I137" t="str">
            <v>주식-업종섹터</v>
          </cell>
          <cell r="J137">
            <v>10</v>
          </cell>
          <cell r="K137">
            <v>1078</v>
          </cell>
          <cell r="L137">
            <v>918838</v>
          </cell>
          <cell r="M137">
            <v>50000</v>
          </cell>
        </row>
        <row r="138">
          <cell r="A138" t="str">
            <v>A0210E0</v>
          </cell>
          <cell r="B138" t="str">
            <v>135</v>
          </cell>
          <cell r="C138" t="str">
            <v>0210E0</v>
          </cell>
          <cell r="D138" t="str">
            <v>PLUS 200커버드콜액티브</v>
          </cell>
          <cell r="E138">
            <v>7714.14</v>
          </cell>
          <cell r="F138">
            <v>7715</v>
          </cell>
          <cell r="G138" t="str">
            <v>330 ( 4.47%)</v>
          </cell>
          <cell r="H138">
            <v>97635</v>
          </cell>
          <cell r="I138" t="str">
            <v>주식-전략</v>
          </cell>
          <cell r="J138">
            <v>190</v>
          </cell>
          <cell r="K138">
            <v>4039</v>
          </cell>
          <cell r="L138">
            <v>936139</v>
          </cell>
          <cell r="M138">
            <v>100000</v>
          </cell>
        </row>
        <row r="139">
          <cell r="A139" t="str">
            <v>A0216Z0</v>
          </cell>
          <cell r="B139" t="str">
            <v>136</v>
          </cell>
          <cell r="C139" t="str">
            <v>0216Z0</v>
          </cell>
          <cell r="D139" t="str">
            <v>ACE K방산TOP5+</v>
          </cell>
          <cell r="E139">
            <v>8302.77</v>
          </cell>
          <cell r="F139">
            <v>8290</v>
          </cell>
          <cell r="G139" t="str">
            <v>50 ( 0.61%)</v>
          </cell>
          <cell r="H139">
            <v>393968</v>
          </cell>
          <cell r="I139" t="str">
            <v>주식-업종섹터</v>
          </cell>
          <cell r="J139">
            <v>10</v>
          </cell>
          <cell r="K139">
            <v>3589</v>
          </cell>
          <cell r="L139">
            <v>2276525</v>
          </cell>
          <cell r="M139">
            <v>50000</v>
          </cell>
        </row>
        <row r="140">
          <cell r="A140" t="str">
            <v>A0218K0</v>
          </cell>
          <cell r="B140" t="str">
            <v>137</v>
          </cell>
          <cell r="C140" t="str">
            <v>0218K0</v>
          </cell>
          <cell r="D140" t="str">
            <v>BNK 스마트카</v>
          </cell>
          <cell r="E140">
            <v>9983.17</v>
          </cell>
          <cell r="F140">
            <v>9975</v>
          </cell>
          <cell r="G140" t="str">
            <v>275 ( 2.84%)</v>
          </cell>
          <cell r="H140">
            <v>2724</v>
          </cell>
          <cell r="I140" t="str">
            <v>주식-업종섹터</v>
          </cell>
          <cell r="J140">
            <v>20</v>
          </cell>
          <cell r="K140">
            <v>10475</v>
          </cell>
          <cell r="L140">
            <v>2558214</v>
          </cell>
          <cell r="M140">
            <v>50000</v>
          </cell>
        </row>
        <row r="141">
          <cell r="A141" t="str">
            <v>A0219B0</v>
          </cell>
          <cell r="B141" t="str">
            <v>138</v>
          </cell>
          <cell r="C141" t="str">
            <v>0219B0</v>
          </cell>
          <cell r="D141" t="str">
            <v>KoAct 광통신&amp;위성네트워크액티브</v>
          </cell>
          <cell r="E141">
            <v>9555.43</v>
          </cell>
          <cell r="F141">
            <v>9575</v>
          </cell>
          <cell r="G141" t="str">
            <v>310 ( 3.35%)</v>
          </cell>
          <cell r="H141">
            <v>3457</v>
          </cell>
          <cell r="I141" t="str">
            <v>주식-업종섹터</v>
          </cell>
          <cell r="J141">
            <v>27</v>
          </cell>
          <cell r="K141">
            <v>24368</v>
          </cell>
          <cell r="L141">
            <v>8302356</v>
          </cell>
          <cell r="M141">
            <v>50000</v>
          </cell>
        </row>
        <row r="142">
          <cell r="A142" t="str">
            <v>A0219E0</v>
          </cell>
          <cell r="B142" t="str">
            <v>139</v>
          </cell>
          <cell r="C142" t="str">
            <v>0219E0</v>
          </cell>
          <cell r="D142" t="str">
            <v>KODEX 200커버드콜액티브</v>
          </cell>
          <cell r="E142">
            <v>8833.82</v>
          </cell>
          <cell r="F142">
            <v>8865</v>
          </cell>
          <cell r="G142" t="str">
            <v>365 ( 4.29%)</v>
          </cell>
          <cell r="H142">
            <v>3379274</v>
          </cell>
          <cell r="I142" t="str">
            <v>주식-전략</v>
          </cell>
          <cell r="J142">
            <v>108</v>
          </cell>
          <cell r="K142">
            <v>4997</v>
          </cell>
          <cell r="L142">
            <v>-2654338</v>
          </cell>
          <cell r="M142">
            <v>100000</v>
          </cell>
        </row>
        <row r="143">
          <cell r="A143" t="str">
            <v>A0220A0</v>
          </cell>
          <cell r="B143" t="str">
            <v>140</v>
          </cell>
          <cell r="C143" t="str">
            <v>0220A0</v>
          </cell>
          <cell r="D143" t="str">
            <v>KIWOOM 현대차그룹TOP3채권혼합50</v>
          </cell>
          <cell r="E143">
            <v>9553.09</v>
          </cell>
          <cell r="F143">
            <v>9540</v>
          </cell>
          <cell r="G143" t="str">
            <v>80 ( 0.85%)</v>
          </cell>
          <cell r="H143">
            <v>43253</v>
          </cell>
          <cell r="I143" t="str">
            <v>혼합-주식채권</v>
          </cell>
          <cell r="J143">
            <v>8</v>
          </cell>
          <cell r="K143">
            <v>1857</v>
          </cell>
          <cell r="L143">
            <v>-12992671</v>
          </cell>
          <cell r="M143">
            <v>100000</v>
          </cell>
        </row>
        <row r="144">
          <cell r="A144" t="str">
            <v>A0220B0</v>
          </cell>
          <cell r="B144" t="str">
            <v>141</v>
          </cell>
          <cell r="C144" t="str">
            <v>0220B0</v>
          </cell>
          <cell r="D144" t="str">
            <v>DS 코스닥액티브</v>
          </cell>
          <cell r="E144">
            <v>10863.45</v>
          </cell>
          <cell r="F144">
            <v>10850</v>
          </cell>
          <cell r="G144" t="str">
            <v>90 ( 0.84%)</v>
          </cell>
          <cell r="H144">
            <v>129821</v>
          </cell>
          <cell r="I144" t="str">
            <v>주식-시장대표</v>
          </cell>
          <cell r="J144">
            <v>28</v>
          </cell>
          <cell r="K144">
            <v>11141</v>
          </cell>
          <cell r="L144">
            <v>3010622</v>
          </cell>
          <cell r="M144">
            <v>50000</v>
          </cell>
        </row>
        <row r="145">
          <cell r="A145" t="str">
            <v>A0221V0</v>
          </cell>
          <cell r="B145" t="str">
            <v>142</v>
          </cell>
          <cell r="C145" t="str">
            <v>0221V0</v>
          </cell>
          <cell r="D145" t="str">
            <v>IBK 초단기채권액티브</v>
          </cell>
          <cell r="E145">
            <v>100032.44</v>
          </cell>
          <cell r="F145">
            <v>100030</v>
          </cell>
          <cell r="G145" t="str">
            <v>5 ( 0.00%)</v>
          </cell>
          <cell r="H145">
            <v>1</v>
          </cell>
          <cell r="I145" t="str">
            <v>채권-혼합</v>
          </cell>
          <cell r="J145">
            <v>11</v>
          </cell>
          <cell r="K145">
            <v>0</v>
          </cell>
          <cell r="L145">
            <v>24017656</v>
          </cell>
          <cell r="M145">
            <v>1000</v>
          </cell>
        </row>
        <row r="146">
          <cell r="A146" t="str">
            <v>A0221Z0</v>
          </cell>
          <cell r="B146" t="str">
            <v>143</v>
          </cell>
          <cell r="C146" t="str">
            <v>0221Z0</v>
          </cell>
          <cell r="D146" t="str">
            <v>ACE K바이오코스닥액티브</v>
          </cell>
          <cell r="E146">
            <v>9513.2099999999991</v>
          </cell>
          <cell r="F146">
            <v>9495</v>
          </cell>
          <cell r="G146" t="str">
            <v>170 ( 1.76%)</v>
          </cell>
          <cell r="H146">
            <v>452851</v>
          </cell>
          <cell r="I146" t="str">
            <v>주식-업종섹터</v>
          </cell>
          <cell r="J146">
            <v>20</v>
          </cell>
          <cell r="K146">
            <v>10084</v>
          </cell>
          <cell r="L146">
            <v>12274733</v>
          </cell>
          <cell r="M146">
            <v>50000</v>
          </cell>
        </row>
        <row r="147">
          <cell r="A147" t="str">
            <v>A069500</v>
          </cell>
          <cell r="B147" t="str">
            <v>144</v>
          </cell>
          <cell r="C147" t="str">
            <v>069500</v>
          </cell>
          <cell r="D147" t="str">
            <v>KODEX 200</v>
          </cell>
          <cell r="E147">
            <v>109041.74</v>
          </cell>
          <cell r="F147">
            <v>109090</v>
          </cell>
          <cell r="G147" t="str">
            <v>4,995 ( 4.80%)</v>
          </cell>
          <cell r="H147">
            <v>15395329</v>
          </cell>
          <cell r="I147" t="str">
            <v>주식-시장대표</v>
          </cell>
          <cell r="J147">
            <v>200</v>
          </cell>
          <cell r="K147">
            <v>28660</v>
          </cell>
          <cell r="L147">
            <v>2072458</v>
          </cell>
          <cell r="M147">
            <v>50000</v>
          </cell>
        </row>
        <row r="148">
          <cell r="A148" t="str">
            <v>A069660</v>
          </cell>
          <cell r="B148" t="str">
            <v>145</v>
          </cell>
          <cell r="C148" t="str">
            <v>069660</v>
          </cell>
          <cell r="D148" t="str">
            <v>KIWOOM 200</v>
          </cell>
          <cell r="E148">
            <v>108872.18</v>
          </cell>
          <cell r="F148">
            <v>108865</v>
          </cell>
          <cell r="G148" t="str">
            <v>5,145 ( 4.96%)</v>
          </cell>
          <cell r="H148">
            <v>198164</v>
          </cell>
          <cell r="I148" t="str">
            <v>주식-시장대표</v>
          </cell>
          <cell r="J148">
            <v>189</v>
          </cell>
          <cell r="K148">
            <v>28390</v>
          </cell>
          <cell r="L148">
            <v>17253786</v>
          </cell>
          <cell r="M148">
            <v>50000</v>
          </cell>
        </row>
        <row r="149">
          <cell r="A149" t="str">
            <v>A091160</v>
          </cell>
          <cell r="B149" t="str">
            <v>146</v>
          </cell>
          <cell r="C149" t="str">
            <v>091160</v>
          </cell>
          <cell r="D149" t="str">
            <v>KODEX 반도체</v>
          </cell>
          <cell r="E149">
            <v>129685.5</v>
          </cell>
          <cell r="F149">
            <v>129610</v>
          </cell>
          <cell r="G149" t="str">
            <v>5,105 ( 4.10%)</v>
          </cell>
          <cell r="H149">
            <v>1101385</v>
          </cell>
          <cell r="I149" t="str">
            <v>주식-업종섹터</v>
          </cell>
          <cell r="J149">
            <v>35</v>
          </cell>
          <cell r="K149">
            <v>40265</v>
          </cell>
          <cell r="L149">
            <v>13418973</v>
          </cell>
          <cell r="M149">
            <v>50000</v>
          </cell>
        </row>
        <row r="150">
          <cell r="A150" t="str">
            <v>A091170</v>
          </cell>
          <cell r="B150" t="str">
            <v>147</v>
          </cell>
          <cell r="C150" t="str">
            <v>091170</v>
          </cell>
          <cell r="D150" t="str">
            <v>KODEX 은행</v>
          </cell>
          <cell r="E150">
            <v>15968.37</v>
          </cell>
          <cell r="F150">
            <v>15930</v>
          </cell>
          <cell r="G150" t="str">
            <v>85 ( 0.54%)</v>
          </cell>
          <cell r="H150">
            <v>920977</v>
          </cell>
          <cell r="I150" t="str">
            <v>주식-업종섹터</v>
          </cell>
          <cell r="J150">
            <v>10</v>
          </cell>
          <cell r="K150">
            <v>15014</v>
          </cell>
          <cell r="L150">
            <v>1563468</v>
          </cell>
          <cell r="M150">
            <v>50000</v>
          </cell>
        </row>
        <row r="151">
          <cell r="A151" t="str">
            <v>A091180</v>
          </cell>
          <cell r="B151" t="str">
            <v>148</v>
          </cell>
          <cell r="C151" t="str">
            <v>091180</v>
          </cell>
          <cell r="D151" t="str">
            <v>KODEX 자동차</v>
          </cell>
          <cell r="E151">
            <v>28891.919999999998</v>
          </cell>
          <cell r="F151">
            <v>28835</v>
          </cell>
          <cell r="G151" t="str">
            <v>475 ( 1.67%)</v>
          </cell>
          <cell r="H151">
            <v>335353</v>
          </cell>
          <cell r="I151" t="str">
            <v>주식-업종섹터</v>
          </cell>
          <cell r="J151">
            <v>20</v>
          </cell>
          <cell r="K151">
            <v>35857</v>
          </cell>
          <cell r="L151">
            <v>7634286</v>
          </cell>
          <cell r="M151">
            <v>50000</v>
          </cell>
        </row>
        <row r="152">
          <cell r="A152" t="str">
            <v>A091220</v>
          </cell>
          <cell r="B152" t="str">
            <v>149</v>
          </cell>
          <cell r="C152" t="str">
            <v>091220</v>
          </cell>
          <cell r="D152" t="str">
            <v>TIGER 은행</v>
          </cell>
          <cell r="E152">
            <v>16669.580000000002</v>
          </cell>
          <cell r="F152">
            <v>16665</v>
          </cell>
          <cell r="G152" t="str">
            <v>215 ( 1.31%)</v>
          </cell>
          <cell r="H152">
            <v>61539</v>
          </cell>
          <cell r="I152" t="str">
            <v>주식-업종섹터</v>
          </cell>
          <cell r="J152">
            <v>10</v>
          </cell>
          <cell r="K152">
            <v>6237</v>
          </cell>
          <cell r="L152">
            <v>2865411</v>
          </cell>
          <cell r="M152">
            <v>20000</v>
          </cell>
        </row>
        <row r="153">
          <cell r="A153" t="str">
            <v>A091230</v>
          </cell>
          <cell r="B153" t="str">
            <v>150</v>
          </cell>
          <cell r="C153" t="str">
            <v>091230</v>
          </cell>
          <cell r="D153" t="str">
            <v>TIGER 반도체</v>
          </cell>
          <cell r="E153">
            <v>136332.41</v>
          </cell>
          <cell r="F153">
            <v>136260</v>
          </cell>
          <cell r="G153" t="str">
            <v>5,440 ( 4.16%)</v>
          </cell>
          <cell r="H153">
            <v>330592</v>
          </cell>
          <cell r="I153" t="str">
            <v>주식-업종섹터</v>
          </cell>
          <cell r="J153">
            <v>35</v>
          </cell>
          <cell r="K153">
            <v>17436</v>
          </cell>
          <cell r="L153">
            <v>-4775575</v>
          </cell>
          <cell r="M153">
            <v>20000</v>
          </cell>
        </row>
        <row r="154">
          <cell r="A154" t="str">
            <v>A100910</v>
          </cell>
          <cell r="B154" t="str">
            <v>151</v>
          </cell>
          <cell r="C154" t="str">
            <v>100910</v>
          </cell>
          <cell r="D154" t="str">
            <v>KIWOOM KRX100</v>
          </cell>
          <cell r="E154">
            <v>17190.09</v>
          </cell>
          <cell r="F154">
            <v>17200</v>
          </cell>
          <cell r="G154" t="str">
            <v>745 ( 4.53%)</v>
          </cell>
          <cell r="H154">
            <v>7928</v>
          </cell>
          <cell r="I154" t="str">
            <v>주식-시장대표</v>
          </cell>
          <cell r="J154">
            <v>101</v>
          </cell>
          <cell r="K154">
            <v>22872</v>
          </cell>
          <cell r="L154">
            <v>-701265</v>
          </cell>
          <cell r="M154">
            <v>300000</v>
          </cell>
        </row>
        <row r="155">
          <cell r="A155" t="str">
            <v>A102110</v>
          </cell>
          <cell r="B155" t="str">
            <v>152</v>
          </cell>
          <cell r="C155" t="str">
            <v>102110</v>
          </cell>
          <cell r="D155" t="str">
            <v>TIGER 200</v>
          </cell>
          <cell r="E155">
            <v>109107.24</v>
          </cell>
          <cell r="F155">
            <v>109175</v>
          </cell>
          <cell r="G155" t="str">
            <v>5,180 ( 4.98%)</v>
          </cell>
          <cell r="H155">
            <v>2902702</v>
          </cell>
          <cell r="I155" t="str">
            <v>주식-시장대표</v>
          </cell>
          <cell r="J155">
            <v>199</v>
          </cell>
          <cell r="K155">
            <v>28689</v>
          </cell>
          <cell r="L155">
            <v>1796128</v>
          </cell>
          <cell r="M155">
            <v>50000</v>
          </cell>
        </row>
        <row r="156">
          <cell r="A156" t="str">
            <v>A102780</v>
          </cell>
          <cell r="B156" t="str">
            <v>153</v>
          </cell>
          <cell r="C156" t="str">
            <v>102780</v>
          </cell>
          <cell r="D156" t="str">
            <v>KODEX 삼성그룹</v>
          </cell>
          <cell r="E156">
            <v>24858.89</v>
          </cell>
          <cell r="F156">
            <v>24815</v>
          </cell>
          <cell r="G156" t="str">
            <v>1,035 ( 4.35%)</v>
          </cell>
          <cell r="H156">
            <v>786313</v>
          </cell>
          <cell r="I156" t="str">
            <v>주식-전략</v>
          </cell>
          <cell r="J156">
            <v>16</v>
          </cell>
          <cell r="K156">
            <v>13832</v>
          </cell>
          <cell r="L156">
            <v>4406921</v>
          </cell>
          <cell r="M156">
            <v>100000</v>
          </cell>
        </row>
        <row r="157">
          <cell r="A157" t="str">
            <v>A102960</v>
          </cell>
          <cell r="B157" t="str">
            <v>154</v>
          </cell>
          <cell r="C157" t="str">
            <v>102960</v>
          </cell>
          <cell r="D157" t="str">
            <v>KODEX 기계장비</v>
          </cell>
          <cell r="E157">
            <v>12564.97</v>
          </cell>
          <cell r="F157">
            <v>12560</v>
          </cell>
          <cell r="G157" t="str">
            <v>185 ( 1.49%)</v>
          </cell>
          <cell r="H157">
            <v>9870</v>
          </cell>
          <cell r="I157" t="str">
            <v>주식-업종섹터</v>
          </cell>
          <cell r="J157">
            <v>35</v>
          </cell>
          <cell r="K157">
            <v>2779</v>
          </cell>
          <cell r="L157">
            <v>1938734</v>
          </cell>
          <cell r="M157">
            <v>20000</v>
          </cell>
        </row>
        <row r="158">
          <cell r="A158" t="str">
            <v>A102970</v>
          </cell>
          <cell r="B158" t="str">
            <v>155</v>
          </cell>
          <cell r="C158" t="str">
            <v>102970</v>
          </cell>
          <cell r="D158" t="str">
            <v>KODEX 증권</v>
          </cell>
          <cell r="E158">
            <v>20494.71</v>
          </cell>
          <cell r="F158">
            <v>20455</v>
          </cell>
          <cell r="G158" t="str">
            <v>270 ( 1.34%)</v>
          </cell>
          <cell r="H158">
            <v>645066</v>
          </cell>
          <cell r="I158" t="str">
            <v>주식-업종섹터</v>
          </cell>
          <cell r="J158">
            <v>14</v>
          </cell>
          <cell r="K158">
            <v>28781</v>
          </cell>
          <cell r="L158">
            <v>5006385</v>
          </cell>
          <cell r="M158">
            <v>50000</v>
          </cell>
        </row>
        <row r="159">
          <cell r="A159" t="str">
            <v>A104520</v>
          </cell>
          <cell r="B159" t="str">
            <v>156</v>
          </cell>
          <cell r="C159" t="str">
            <v>104520</v>
          </cell>
          <cell r="D159" t="str">
            <v>KIWOOM 블루칩</v>
          </cell>
          <cell r="E159">
            <v>14264.92</v>
          </cell>
          <cell r="F159">
            <v>14270</v>
          </cell>
          <cell r="G159" t="str">
            <v>295 ( 2.11%)</v>
          </cell>
          <cell r="H159">
            <v>44</v>
          </cell>
          <cell r="I159" t="str">
            <v>주식-규모</v>
          </cell>
          <cell r="J159">
            <v>40</v>
          </cell>
          <cell r="K159">
            <v>16843</v>
          </cell>
          <cell r="L159">
            <v>4986693</v>
          </cell>
          <cell r="M159">
            <v>100000</v>
          </cell>
        </row>
        <row r="160">
          <cell r="A160" t="str">
            <v>A104530</v>
          </cell>
          <cell r="B160" t="str">
            <v>157</v>
          </cell>
          <cell r="C160" t="str">
            <v>104530</v>
          </cell>
          <cell r="D160" t="str">
            <v>KIWOOM 코리아고배당</v>
          </cell>
          <cell r="E160">
            <v>17152.330000000002</v>
          </cell>
          <cell r="F160">
            <v>17150</v>
          </cell>
          <cell r="G160" t="str">
            <v>150 ( 0.88%)</v>
          </cell>
          <cell r="H160">
            <v>5859</v>
          </cell>
          <cell r="I160" t="str">
            <v>주식-전략</v>
          </cell>
          <cell r="J160">
            <v>20</v>
          </cell>
          <cell r="K160">
            <v>37126</v>
          </cell>
          <cell r="L160">
            <v>2180363</v>
          </cell>
          <cell r="M160">
            <v>50000</v>
          </cell>
        </row>
        <row r="161">
          <cell r="A161" t="str">
            <v>A105190</v>
          </cell>
          <cell r="B161" t="str">
            <v>158</v>
          </cell>
          <cell r="C161" t="str">
            <v>105190</v>
          </cell>
          <cell r="D161" t="str">
            <v>ACE 200</v>
          </cell>
          <cell r="E161">
            <v>109243.39</v>
          </cell>
          <cell r="F161">
            <v>109285</v>
          </cell>
          <cell r="G161" t="str">
            <v>5,265 ( 5.06%)</v>
          </cell>
          <cell r="H161">
            <v>214647</v>
          </cell>
          <cell r="I161" t="str">
            <v>주식-시장대표</v>
          </cell>
          <cell r="J161">
            <v>200</v>
          </cell>
          <cell r="K161">
            <v>27881</v>
          </cell>
          <cell r="L161">
            <v>82821539</v>
          </cell>
          <cell r="M161">
            <v>50000</v>
          </cell>
        </row>
        <row r="162">
          <cell r="A162" t="str">
            <v>A105780</v>
          </cell>
          <cell r="B162" t="str">
            <v>159</v>
          </cell>
          <cell r="C162" t="str">
            <v>105780</v>
          </cell>
          <cell r="D162" t="str">
            <v>RISE 5대그룹주</v>
          </cell>
          <cell r="E162">
            <v>16729.189999999999</v>
          </cell>
          <cell r="F162">
            <v>16715</v>
          </cell>
          <cell r="G162" t="str">
            <v>550 ( 3.40%)</v>
          </cell>
          <cell r="H162">
            <v>4618</v>
          </cell>
          <cell r="I162" t="str">
            <v>주식-전략</v>
          </cell>
          <cell r="J162">
            <v>28</v>
          </cell>
          <cell r="K162">
            <v>12089</v>
          </cell>
          <cell r="L162">
            <v>2594783</v>
          </cell>
          <cell r="M162">
            <v>200000</v>
          </cell>
        </row>
        <row r="163">
          <cell r="A163" t="str">
            <v>A108450</v>
          </cell>
          <cell r="B163" t="str">
            <v>160</v>
          </cell>
          <cell r="C163" t="str">
            <v>108450</v>
          </cell>
          <cell r="D163" t="str">
            <v>ACE 삼성그룹섹터가중</v>
          </cell>
          <cell r="E163">
            <v>37717.4</v>
          </cell>
          <cell r="F163">
            <v>37710</v>
          </cell>
          <cell r="G163" t="str">
            <v>1,200 ( 3.29%)</v>
          </cell>
          <cell r="H163">
            <v>16991</v>
          </cell>
          <cell r="I163" t="str">
            <v>주식-전략</v>
          </cell>
          <cell r="J163">
            <v>16</v>
          </cell>
          <cell r="K163">
            <v>37662</v>
          </cell>
          <cell r="L163">
            <v>8669142</v>
          </cell>
          <cell r="M163">
            <v>100000</v>
          </cell>
        </row>
        <row r="164">
          <cell r="A164" t="str">
            <v>A108590</v>
          </cell>
          <cell r="B164" t="str">
            <v>161</v>
          </cell>
          <cell r="C164" t="str">
            <v>108590</v>
          </cell>
          <cell r="D164" t="str">
            <v>TREX 200</v>
          </cell>
          <cell r="E164">
            <v>108536.89</v>
          </cell>
          <cell r="F164">
            <v>108980</v>
          </cell>
          <cell r="G164" t="str">
            <v>5,395 ( 5.21%)</v>
          </cell>
          <cell r="H164">
            <v>171</v>
          </cell>
          <cell r="I164" t="str">
            <v>주식-시장대표</v>
          </cell>
          <cell r="J164">
            <v>197</v>
          </cell>
          <cell r="K164">
            <v>28111</v>
          </cell>
          <cell r="L164">
            <v>8562708</v>
          </cell>
          <cell r="M164">
            <v>50000</v>
          </cell>
        </row>
        <row r="165">
          <cell r="A165" t="str">
            <v>A114100</v>
          </cell>
          <cell r="B165" t="str">
            <v>162</v>
          </cell>
          <cell r="C165" t="str">
            <v>114100</v>
          </cell>
          <cell r="D165" t="str">
            <v>RISE 국고채3년</v>
          </cell>
          <cell r="E165">
            <v>106084.74</v>
          </cell>
          <cell r="F165">
            <v>106070</v>
          </cell>
          <cell r="G165" t="str">
            <v>90 ( 0.08%)</v>
          </cell>
          <cell r="H165">
            <v>42</v>
          </cell>
          <cell r="I165" t="str">
            <v>채권-국공채</v>
          </cell>
          <cell r="J165">
            <v>4</v>
          </cell>
          <cell r="K165">
            <v>0</v>
          </cell>
          <cell r="L165">
            <v>2967492</v>
          </cell>
          <cell r="M165">
            <v>1000</v>
          </cell>
        </row>
        <row r="166">
          <cell r="A166" t="str">
            <v>A114260</v>
          </cell>
          <cell r="B166" t="str">
            <v>163</v>
          </cell>
          <cell r="C166" t="str">
            <v>114260</v>
          </cell>
          <cell r="D166" t="str">
            <v>KODEX 국고채3년</v>
          </cell>
          <cell r="E166">
            <v>61529.69</v>
          </cell>
          <cell r="F166">
            <v>61500</v>
          </cell>
          <cell r="G166" t="str">
            <v>85 ( 0.14%)</v>
          </cell>
          <cell r="H166">
            <v>9368</v>
          </cell>
          <cell r="I166" t="str">
            <v>채권-국공채</v>
          </cell>
          <cell r="J166">
            <v>3</v>
          </cell>
          <cell r="K166">
            <v>0</v>
          </cell>
          <cell r="L166">
            <v>72353</v>
          </cell>
          <cell r="M166">
            <v>2000</v>
          </cell>
        </row>
        <row r="167">
          <cell r="A167" t="str">
            <v>A114460</v>
          </cell>
          <cell r="B167" t="str">
            <v>164</v>
          </cell>
          <cell r="C167" t="str">
            <v>114460</v>
          </cell>
          <cell r="D167" t="str">
            <v>ACE 국고채3년</v>
          </cell>
          <cell r="E167">
            <v>100224.75</v>
          </cell>
          <cell r="F167">
            <v>100215</v>
          </cell>
          <cell r="G167" t="str">
            <v>95 ( 0.09%)</v>
          </cell>
          <cell r="H167">
            <v>234</v>
          </cell>
          <cell r="I167" t="str">
            <v>채권-국공채</v>
          </cell>
          <cell r="J167">
            <v>3</v>
          </cell>
          <cell r="K167">
            <v>0</v>
          </cell>
          <cell r="L167">
            <v>71100636</v>
          </cell>
          <cell r="M167">
            <v>30000</v>
          </cell>
        </row>
        <row r="168">
          <cell r="A168" t="str">
            <v>A114470</v>
          </cell>
          <cell r="B168" t="str">
            <v>165</v>
          </cell>
          <cell r="C168" t="str">
            <v>114470</v>
          </cell>
          <cell r="D168" t="str">
            <v>KIWOOM 국고채3년</v>
          </cell>
          <cell r="E168">
            <v>107437.75</v>
          </cell>
          <cell r="F168">
            <v>107450</v>
          </cell>
          <cell r="G168" t="str">
            <v>55 ( 0.05%)</v>
          </cell>
          <cell r="H168">
            <v>313</v>
          </cell>
          <cell r="I168" t="str">
            <v>채권-국공채</v>
          </cell>
          <cell r="J168">
            <v>3</v>
          </cell>
          <cell r="K168">
            <v>0</v>
          </cell>
          <cell r="L168">
            <v>96808705</v>
          </cell>
          <cell r="M168">
            <v>10000</v>
          </cell>
        </row>
        <row r="169">
          <cell r="A169" t="str">
            <v>A114800</v>
          </cell>
          <cell r="B169" t="str">
            <v>166</v>
          </cell>
          <cell r="C169" t="str">
            <v>114800</v>
          </cell>
          <cell r="D169" t="str">
            <v>KODEX 인버스</v>
          </cell>
          <cell r="E169">
            <v>1100.9100000000001</v>
          </cell>
          <cell r="F169">
            <v>1102</v>
          </cell>
          <cell r="G169" t="str">
            <v>56 ( 4.84%)</v>
          </cell>
          <cell r="H169">
            <v>576849255</v>
          </cell>
          <cell r="I169" t="str">
            <v>주식-시장대표</v>
          </cell>
          <cell r="J169">
            <v>1</v>
          </cell>
          <cell r="K169">
            <v>0</v>
          </cell>
          <cell r="L169">
            <v>116221786</v>
          </cell>
          <cell r="M169">
            <v>100000</v>
          </cell>
        </row>
        <row r="170">
          <cell r="A170" t="str">
            <v>A114820</v>
          </cell>
          <cell r="B170" t="str">
            <v>167</v>
          </cell>
          <cell r="C170" t="str">
            <v>114820</v>
          </cell>
          <cell r="D170" t="str">
            <v>TIGER 국채3년</v>
          </cell>
          <cell r="E170">
            <v>104562.84</v>
          </cell>
          <cell r="F170">
            <v>104575</v>
          </cell>
          <cell r="G170" t="str">
            <v>90 ( 0.09%)</v>
          </cell>
          <cell r="H170">
            <v>2116</v>
          </cell>
          <cell r="I170" t="str">
            <v>채권-국공채</v>
          </cell>
          <cell r="J170">
            <v>3</v>
          </cell>
          <cell r="K170">
            <v>0</v>
          </cell>
          <cell r="L170">
            <v>1815369</v>
          </cell>
          <cell r="M170">
            <v>1000</v>
          </cell>
        </row>
        <row r="171">
          <cell r="A171" t="str">
            <v>A117460</v>
          </cell>
          <cell r="B171" t="str">
            <v>168</v>
          </cell>
          <cell r="C171" t="str">
            <v>117460</v>
          </cell>
          <cell r="D171" t="str">
            <v>KODEX 에너지화학</v>
          </cell>
          <cell r="E171">
            <v>12625.69</v>
          </cell>
          <cell r="F171">
            <v>12605</v>
          </cell>
          <cell r="G171" t="str">
            <v>35 ( 0.28%)</v>
          </cell>
          <cell r="H171">
            <v>14974</v>
          </cell>
          <cell r="I171" t="str">
            <v>주식-업종섹터</v>
          </cell>
          <cell r="J171">
            <v>38</v>
          </cell>
          <cell r="K171">
            <v>10940</v>
          </cell>
          <cell r="L171">
            <v>2232250</v>
          </cell>
          <cell r="M171">
            <v>70000</v>
          </cell>
        </row>
        <row r="172">
          <cell r="A172" t="str">
            <v>A117680</v>
          </cell>
          <cell r="B172" t="str">
            <v>169</v>
          </cell>
          <cell r="C172" t="str">
            <v>117680</v>
          </cell>
          <cell r="D172" t="str">
            <v>KODEX 철강</v>
          </cell>
          <cell r="E172">
            <v>10284.780000000001</v>
          </cell>
          <cell r="F172">
            <v>10290</v>
          </cell>
          <cell r="G172" t="str">
            <v>25 ( 0.24%)</v>
          </cell>
          <cell r="H172">
            <v>43711</v>
          </cell>
          <cell r="I172" t="str">
            <v>주식-업종섹터</v>
          </cell>
          <cell r="J172">
            <v>20</v>
          </cell>
          <cell r="K172">
            <v>23010</v>
          </cell>
          <cell r="L172">
            <v>4363105</v>
          </cell>
          <cell r="M172">
            <v>70000</v>
          </cell>
        </row>
        <row r="173">
          <cell r="A173" t="str">
            <v>A117700</v>
          </cell>
          <cell r="B173" t="str">
            <v>170</v>
          </cell>
          <cell r="C173" t="str">
            <v>117700</v>
          </cell>
          <cell r="D173" t="str">
            <v>KODEX 건설</v>
          </cell>
          <cell r="E173">
            <v>5697.46</v>
          </cell>
          <cell r="F173">
            <v>5690</v>
          </cell>
          <cell r="G173" t="str">
            <v>200 ( 3.64%)</v>
          </cell>
          <cell r="H173">
            <v>603192</v>
          </cell>
          <cell r="I173" t="str">
            <v>주식-업종섹터</v>
          </cell>
          <cell r="J173">
            <v>21</v>
          </cell>
          <cell r="K173">
            <v>18563</v>
          </cell>
          <cell r="L173">
            <v>1667672</v>
          </cell>
          <cell r="M173">
            <v>100000</v>
          </cell>
        </row>
        <row r="174">
          <cell r="A174" t="str">
            <v>A122090</v>
          </cell>
          <cell r="B174" t="str">
            <v>171</v>
          </cell>
          <cell r="C174" t="str">
            <v>122090</v>
          </cell>
          <cell r="D174" t="str">
            <v>PLUS 코스피50</v>
          </cell>
          <cell r="E174">
            <v>82908.39</v>
          </cell>
          <cell r="F174">
            <v>82950</v>
          </cell>
          <cell r="G174" t="str">
            <v>3,685 ( 4.65%)</v>
          </cell>
          <cell r="H174">
            <v>43534</v>
          </cell>
          <cell r="I174" t="str">
            <v>주식-시장대표</v>
          </cell>
          <cell r="J174">
            <v>50</v>
          </cell>
          <cell r="K174">
            <v>9256</v>
          </cell>
          <cell r="L174">
            <v>-4137540</v>
          </cell>
          <cell r="M174">
            <v>30000</v>
          </cell>
        </row>
        <row r="175">
          <cell r="A175" t="str">
            <v>A122260</v>
          </cell>
          <cell r="B175" t="str">
            <v>172</v>
          </cell>
          <cell r="C175" t="str">
            <v>122260</v>
          </cell>
          <cell r="D175" t="str">
            <v>KIWOOM 통안채1년</v>
          </cell>
          <cell r="E175">
            <v>103835.35</v>
          </cell>
          <cell r="F175">
            <v>103835</v>
          </cell>
          <cell r="G175" t="str">
            <v>0 ( 0.00%)</v>
          </cell>
          <cell r="H175">
            <v>75</v>
          </cell>
          <cell r="I175" t="str">
            <v>채권-국공채</v>
          </cell>
          <cell r="J175">
            <v>5</v>
          </cell>
          <cell r="K175">
            <v>0</v>
          </cell>
          <cell r="L175">
            <v>43009923</v>
          </cell>
          <cell r="M175">
            <v>10000</v>
          </cell>
        </row>
        <row r="176">
          <cell r="A176" t="str">
            <v>A122630</v>
          </cell>
          <cell r="B176" t="str">
            <v>173</v>
          </cell>
          <cell r="C176" t="str">
            <v>122630</v>
          </cell>
          <cell r="D176" t="str">
            <v>KODEX 레버리지</v>
          </cell>
          <cell r="E176">
            <v>120384.1</v>
          </cell>
          <cell r="F176">
            <v>120225</v>
          </cell>
          <cell r="G176" t="str">
            <v>10,790 ( 9.86%)</v>
          </cell>
          <cell r="H176">
            <v>10485359</v>
          </cell>
          <cell r="I176" t="str">
            <v>주식-시장대표</v>
          </cell>
          <cell r="J176">
            <v>209</v>
          </cell>
          <cell r="K176">
            <v>50840</v>
          </cell>
          <cell r="L176">
            <v>-349428161</v>
          </cell>
          <cell r="M176">
            <v>50000</v>
          </cell>
        </row>
        <row r="177">
          <cell r="A177" t="str">
            <v>A123310</v>
          </cell>
          <cell r="B177" t="str">
            <v>174</v>
          </cell>
          <cell r="C177" t="str">
            <v>123310</v>
          </cell>
          <cell r="D177" t="str">
            <v>TIGER 인버스</v>
          </cell>
          <cell r="E177">
            <v>1238.7</v>
          </cell>
          <cell r="F177">
            <v>1241</v>
          </cell>
          <cell r="G177" t="str">
            <v>61 ( 4.69%)</v>
          </cell>
          <cell r="H177">
            <v>2899422</v>
          </cell>
          <cell r="I177" t="str">
            <v>주식-시장대표</v>
          </cell>
          <cell r="J177">
            <v>1</v>
          </cell>
          <cell r="K177">
            <v>-1</v>
          </cell>
          <cell r="L177">
            <v>130682874</v>
          </cell>
          <cell r="M177">
            <v>100000</v>
          </cell>
        </row>
        <row r="178">
          <cell r="A178" t="str">
            <v>A123320</v>
          </cell>
          <cell r="B178" t="str">
            <v>175</v>
          </cell>
          <cell r="C178" t="str">
            <v>123320</v>
          </cell>
          <cell r="D178" t="str">
            <v>TIGER 레버리지</v>
          </cell>
          <cell r="E178">
            <v>120447.2</v>
          </cell>
          <cell r="F178">
            <v>120115</v>
          </cell>
          <cell r="G178" t="str">
            <v>10,620 ( 9.70%)</v>
          </cell>
          <cell r="H178">
            <v>165722</v>
          </cell>
          <cell r="I178" t="str">
            <v>주식-시장대표</v>
          </cell>
          <cell r="J178">
            <v>203</v>
          </cell>
          <cell r="K178">
            <v>63044</v>
          </cell>
          <cell r="L178">
            <v>787664350</v>
          </cell>
          <cell r="M178">
            <v>100000</v>
          </cell>
        </row>
        <row r="179">
          <cell r="A179" t="str">
            <v>A130730</v>
          </cell>
          <cell r="B179" t="str">
            <v>176</v>
          </cell>
          <cell r="C179" t="str">
            <v>130730</v>
          </cell>
          <cell r="D179" t="str">
            <v>KIWOOM 단기자금</v>
          </cell>
          <cell r="E179">
            <v>102693.11</v>
          </cell>
          <cell r="F179">
            <v>102685</v>
          </cell>
          <cell r="G179" t="str">
            <v>20 ( 0.02%)</v>
          </cell>
          <cell r="H179">
            <v>1317</v>
          </cell>
          <cell r="I179" t="str">
            <v>채권-혼합</v>
          </cell>
          <cell r="J179">
            <v>12</v>
          </cell>
          <cell r="K179">
            <v>0</v>
          </cell>
          <cell r="L179">
            <v>3570651</v>
          </cell>
          <cell r="M179">
            <v>1000</v>
          </cell>
        </row>
        <row r="180">
          <cell r="A180" t="str">
            <v>A131890</v>
          </cell>
          <cell r="B180" t="str">
            <v>177</v>
          </cell>
          <cell r="C180" t="str">
            <v>131890</v>
          </cell>
          <cell r="D180" t="str">
            <v>ACE 삼성그룹동일가중</v>
          </cell>
          <cell r="E180">
            <v>38552.68</v>
          </cell>
          <cell r="F180">
            <v>38500</v>
          </cell>
          <cell r="G180" t="str">
            <v>990 ( 2.64%)</v>
          </cell>
          <cell r="H180">
            <v>793</v>
          </cell>
          <cell r="I180" t="str">
            <v>주식-전략</v>
          </cell>
          <cell r="J180">
            <v>16</v>
          </cell>
          <cell r="K180">
            <v>54433</v>
          </cell>
          <cell r="L180">
            <v>16214707</v>
          </cell>
          <cell r="M180">
            <v>100000</v>
          </cell>
        </row>
        <row r="181">
          <cell r="A181" t="str">
            <v>A136340</v>
          </cell>
          <cell r="B181" t="str">
            <v>178</v>
          </cell>
          <cell r="C181" t="str">
            <v>136340</v>
          </cell>
          <cell r="D181" t="str">
            <v>RISE 중기우량회사채</v>
          </cell>
          <cell r="E181">
            <v>103868.26</v>
          </cell>
          <cell r="F181">
            <v>103835</v>
          </cell>
          <cell r="G181" t="str">
            <v>5 ( 0.00%)</v>
          </cell>
          <cell r="H181">
            <v>180</v>
          </cell>
          <cell r="I181" t="str">
            <v>채권-회사채</v>
          </cell>
          <cell r="J181">
            <v>19</v>
          </cell>
          <cell r="K181">
            <v>0</v>
          </cell>
          <cell r="L181">
            <v>369063</v>
          </cell>
          <cell r="M181">
            <v>1000</v>
          </cell>
        </row>
        <row r="182">
          <cell r="A182" t="str">
            <v>A138230</v>
          </cell>
          <cell r="B182" t="str">
            <v>179</v>
          </cell>
          <cell r="C182" t="str">
            <v>138230</v>
          </cell>
          <cell r="D182" t="str">
            <v>KIWOOM 미국달러선물</v>
          </cell>
          <cell r="E182">
            <v>17225.66</v>
          </cell>
          <cell r="F182">
            <v>17210</v>
          </cell>
          <cell r="G182" t="str">
            <v>60 ( 0.35%)</v>
          </cell>
          <cell r="H182">
            <v>315</v>
          </cell>
          <cell r="I182" t="str">
            <v>통화-미국달러</v>
          </cell>
          <cell r="J182">
            <v>1</v>
          </cell>
          <cell r="K182">
            <v>12</v>
          </cell>
          <cell r="L182">
            <v>172723791</v>
          </cell>
          <cell r="M182">
            <v>10000</v>
          </cell>
        </row>
        <row r="183">
          <cell r="A183" t="str">
            <v>A138520</v>
          </cell>
          <cell r="B183" t="str">
            <v>180</v>
          </cell>
          <cell r="C183" t="str">
            <v>138520</v>
          </cell>
          <cell r="D183" t="str">
            <v>TIGER 삼성그룹</v>
          </cell>
          <cell r="E183">
            <v>34329.06</v>
          </cell>
          <cell r="F183">
            <v>34335</v>
          </cell>
          <cell r="G183" t="str">
            <v>1,735 ( 5.32%)</v>
          </cell>
          <cell r="H183">
            <v>40796</v>
          </cell>
          <cell r="I183" t="str">
            <v>주식-전략</v>
          </cell>
          <cell r="J183">
            <v>16</v>
          </cell>
          <cell r="K183">
            <v>5611</v>
          </cell>
          <cell r="L183">
            <v>1968813</v>
          </cell>
          <cell r="M183">
            <v>20000</v>
          </cell>
        </row>
        <row r="184">
          <cell r="A184" t="str">
            <v>A138530</v>
          </cell>
          <cell r="B184" t="str">
            <v>181</v>
          </cell>
          <cell r="C184" t="str">
            <v>138530</v>
          </cell>
          <cell r="D184" t="str">
            <v>TIGER LG그룹플러스</v>
          </cell>
          <cell r="E184">
            <v>11102.84</v>
          </cell>
          <cell r="F184">
            <v>11100</v>
          </cell>
          <cell r="G184" t="str">
            <v>115 ( 1.05%)</v>
          </cell>
          <cell r="H184">
            <v>108500</v>
          </cell>
          <cell r="I184" t="str">
            <v>주식-전략</v>
          </cell>
          <cell r="J184">
            <v>20</v>
          </cell>
          <cell r="K184">
            <v>6290</v>
          </cell>
          <cell r="L184">
            <v>913440</v>
          </cell>
          <cell r="M184">
            <v>20000</v>
          </cell>
        </row>
        <row r="185">
          <cell r="A185" t="str">
            <v>A138540</v>
          </cell>
          <cell r="B185" t="str">
            <v>182</v>
          </cell>
          <cell r="C185" t="str">
            <v>138540</v>
          </cell>
          <cell r="D185" t="str">
            <v>TIGER 현대차그룹플러스</v>
          </cell>
          <cell r="E185">
            <v>51106.67</v>
          </cell>
          <cell r="F185">
            <v>51040</v>
          </cell>
          <cell r="G185" t="str">
            <v>970 ( 1.94%)</v>
          </cell>
          <cell r="H185">
            <v>271088</v>
          </cell>
          <cell r="I185" t="str">
            <v>주식-전략</v>
          </cell>
          <cell r="J185">
            <v>20</v>
          </cell>
          <cell r="K185">
            <v>8817</v>
          </cell>
          <cell r="L185">
            <v>-679423</v>
          </cell>
          <cell r="M185">
            <v>20000</v>
          </cell>
        </row>
        <row r="186">
          <cell r="A186" t="str">
            <v>A139220</v>
          </cell>
          <cell r="B186" t="str">
            <v>183</v>
          </cell>
          <cell r="C186" t="str">
            <v>139220</v>
          </cell>
          <cell r="D186" t="str">
            <v>TIGER 200 건설</v>
          </cell>
          <cell r="E186">
            <v>6675.95</v>
          </cell>
          <cell r="F186">
            <v>6680</v>
          </cell>
          <cell r="G186" t="str">
            <v>370 ( 5.86%)</v>
          </cell>
          <cell r="H186">
            <v>844191</v>
          </cell>
          <cell r="I186" t="str">
            <v>주식-업종섹터</v>
          </cell>
          <cell r="J186">
            <v>10</v>
          </cell>
          <cell r="K186">
            <v>2506</v>
          </cell>
          <cell r="L186">
            <v>465399</v>
          </cell>
          <cell r="M186">
            <v>20000</v>
          </cell>
        </row>
        <row r="187">
          <cell r="A187" t="str">
            <v>A139230</v>
          </cell>
          <cell r="B187" t="str">
            <v>184</v>
          </cell>
          <cell r="C187" t="str">
            <v>139230</v>
          </cell>
          <cell r="D187" t="str">
            <v>TIGER 200 중공업</v>
          </cell>
          <cell r="E187">
            <v>12448.88</v>
          </cell>
          <cell r="F187">
            <v>12435</v>
          </cell>
          <cell r="G187" t="str">
            <v>255 ( 2.09%)</v>
          </cell>
          <cell r="H187">
            <v>250477</v>
          </cell>
          <cell r="I187" t="str">
            <v>주식-업종섹터</v>
          </cell>
          <cell r="J187">
            <v>17</v>
          </cell>
          <cell r="K187">
            <v>2699</v>
          </cell>
          <cell r="L187">
            <v>1627005</v>
          </cell>
          <cell r="M187">
            <v>20000</v>
          </cell>
        </row>
        <row r="188">
          <cell r="A188" t="str">
            <v>A139240</v>
          </cell>
          <cell r="B188" t="str">
            <v>185</v>
          </cell>
          <cell r="C188" t="str">
            <v>139240</v>
          </cell>
          <cell r="D188" t="str">
            <v>TIGER 200 철강소재</v>
          </cell>
          <cell r="E188">
            <v>9132.4599999999991</v>
          </cell>
          <cell r="F188">
            <v>9135</v>
          </cell>
          <cell r="G188" t="str">
            <v>5 ( 0.05%)</v>
          </cell>
          <cell r="H188">
            <v>37851</v>
          </cell>
          <cell r="I188" t="str">
            <v>주식-업종섹터</v>
          </cell>
          <cell r="J188">
            <v>10</v>
          </cell>
          <cell r="K188">
            <v>3276</v>
          </cell>
          <cell r="L188">
            <v>2497721</v>
          </cell>
          <cell r="M188">
            <v>20000</v>
          </cell>
        </row>
        <row r="189">
          <cell r="A189" t="str">
            <v>A139250</v>
          </cell>
          <cell r="B189" t="str">
            <v>186</v>
          </cell>
          <cell r="C189" t="str">
            <v>139250</v>
          </cell>
          <cell r="D189" t="str">
            <v>TIGER 200 에너지화학</v>
          </cell>
          <cell r="E189">
            <v>16599.38</v>
          </cell>
          <cell r="F189">
            <v>16565</v>
          </cell>
          <cell r="G189" t="str">
            <v>60 ( 0.36%)</v>
          </cell>
          <cell r="H189">
            <v>12923</v>
          </cell>
          <cell r="I189" t="str">
            <v>주식-업종섹터</v>
          </cell>
          <cell r="J189">
            <v>28</v>
          </cell>
          <cell r="K189">
            <v>3010</v>
          </cell>
          <cell r="L189">
            <v>-3243157</v>
          </cell>
          <cell r="M189">
            <v>20000</v>
          </cell>
        </row>
        <row r="190">
          <cell r="A190" t="str">
            <v>A139260</v>
          </cell>
          <cell r="B190" t="str">
            <v>187</v>
          </cell>
          <cell r="C190" t="str">
            <v>139260</v>
          </cell>
          <cell r="D190" t="str">
            <v>TIGER 200 IT</v>
          </cell>
          <cell r="E190">
            <v>139617.25</v>
          </cell>
          <cell r="F190">
            <v>139445</v>
          </cell>
          <cell r="G190" t="str">
            <v>7,445 ( 5.64%)</v>
          </cell>
          <cell r="H190">
            <v>411506</v>
          </cell>
          <cell r="I190" t="str">
            <v>주식-업종섹터</v>
          </cell>
          <cell r="J190">
            <v>16</v>
          </cell>
          <cell r="K190">
            <v>7365</v>
          </cell>
          <cell r="L190">
            <v>10224883</v>
          </cell>
          <cell r="M190">
            <v>20000</v>
          </cell>
        </row>
        <row r="191">
          <cell r="A191" t="str">
            <v>A139270</v>
          </cell>
          <cell r="B191" t="str">
            <v>188</v>
          </cell>
          <cell r="C191" t="str">
            <v>139270</v>
          </cell>
          <cell r="D191" t="str">
            <v>TIGER 200 금융</v>
          </cell>
          <cell r="E191">
            <v>16878.71</v>
          </cell>
          <cell r="F191">
            <v>16830</v>
          </cell>
          <cell r="G191" t="str">
            <v>255 ( 1.54%)</v>
          </cell>
          <cell r="H191">
            <v>18243</v>
          </cell>
          <cell r="I191" t="str">
            <v>주식-업종섹터</v>
          </cell>
          <cell r="J191">
            <v>22</v>
          </cell>
          <cell r="K191">
            <v>4941</v>
          </cell>
          <cell r="L191">
            <v>1034089</v>
          </cell>
          <cell r="M191">
            <v>20000</v>
          </cell>
        </row>
        <row r="192">
          <cell r="A192" t="str">
            <v>A139280</v>
          </cell>
          <cell r="B192" t="str">
            <v>189</v>
          </cell>
          <cell r="C192" t="str">
            <v>139280</v>
          </cell>
          <cell r="D192" t="str">
            <v>TIGER 경기방어</v>
          </cell>
          <cell r="E192">
            <v>11971.08</v>
          </cell>
          <cell r="F192">
            <v>11940</v>
          </cell>
          <cell r="G192" t="str">
            <v>160 ( 1.36%)</v>
          </cell>
          <cell r="H192">
            <v>24174</v>
          </cell>
          <cell r="I192" t="str">
            <v>주식-업종섹터</v>
          </cell>
          <cell r="J192">
            <v>45</v>
          </cell>
          <cell r="K192">
            <v>2934</v>
          </cell>
          <cell r="L192">
            <v>267783</v>
          </cell>
          <cell r="M192">
            <v>20000</v>
          </cell>
        </row>
        <row r="193">
          <cell r="A193" t="str">
            <v>A139290</v>
          </cell>
          <cell r="B193" t="str">
            <v>190</v>
          </cell>
          <cell r="C193" t="str">
            <v>139290</v>
          </cell>
          <cell r="D193" t="str">
            <v>TIGER 200 경기소비재</v>
          </cell>
          <cell r="E193">
            <v>26558.29</v>
          </cell>
          <cell r="F193">
            <v>26550</v>
          </cell>
          <cell r="G193" t="str">
            <v>425 ( 1.63%)</v>
          </cell>
          <cell r="H193">
            <v>11275</v>
          </cell>
          <cell r="I193" t="str">
            <v>주식-업종섹터</v>
          </cell>
          <cell r="J193">
            <v>25</v>
          </cell>
          <cell r="K193">
            <v>7496</v>
          </cell>
          <cell r="L193">
            <v>4900588</v>
          </cell>
          <cell r="M193">
            <v>20000</v>
          </cell>
        </row>
        <row r="194">
          <cell r="A194" t="str">
            <v>A139660</v>
          </cell>
          <cell r="B194" t="str">
            <v>191</v>
          </cell>
          <cell r="C194" t="str">
            <v>139660</v>
          </cell>
          <cell r="D194" t="str">
            <v>KIWOOM 미국달러선물인버스</v>
          </cell>
          <cell r="E194">
            <v>7860.93</v>
          </cell>
          <cell r="F194">
            <v>7840</v>
          </cell>
          <cell r="G194" t="str">
            <v>20 ( 0.26%)</v>
          </cell>
          <cell r="H194">
            <v>11160</v>
          </cell>
          <cell r="I194" t="str">
            <v>통화-미국달러</v>
          </cell>
          <cell r="J194">
            <v>1</v>
          </cell>
          <cell r="K194">
            <v>-5</v>
          </cell>
          <cell r="L194">
            <v>78397336</v>
          </cell>
          <cell r="M194">
            <v>10000</v>
          </cell>
        </row>
        <row r="195">
          <cell r="A195" t="str">
            <v>A140570</v>
          </cell>
          <cell r="B195" t="str">
            <v>192</v>
          </cell>
          <cell r="C195" t="str">
            <v>140570</v>
          </cell>
          <cell r="D195" t="str">
            <v>RISE 수출주</v>
          </cell>
          <cell r="E195">
            <v>24032.95</v>
          </cell>
          <cell r="F195">
            <v>24050</v>
          </cell>
          <cell r="G195" t="str">
            <v>400 ( 1.69%)</v>
          </cell>
          <cell r="H195">
            <v>341</v>
          </cell>
          <cell r="I195" t="str">
            <v>주식-업종섹터</v>
          </cell>
          <cell r="J195">
            <v>50</v>
          </cell>
          <cell r="K195">
            <v>29382</v>
          </cell>
          <cell r="L195">
            <v>1424208</v>
          </cell>
          <cell r="M195">
            <v>100000</v>
          </cell>
        </row>
        <row r="196">
          <cell r="A196" t="str">
            <v>A140580</v>
          </cell>
          <cell r="B196" t="str">
            <v>193</v>
          </cell>
          <cell r="C196" t="str">
            <v>140580</v>
          </cell>
          <cell r="D196" t="str">
            <v>RISE 우량업종대표주</v>
          </cell>
          <cell r="E196">
            <v>23853.82</v>
          </cell>
          <cell r="F196">
            <v>23850</v>
          </cell>
          <cell r="G196" t="str">
            <v>415 ( 1.77%)</v>
          </cell>
          <cell r="H196">
            <v>26</v>
          </cell>
          <cell r="I196" t="str">
            <v>주식-업종섹터</v>
          </cell>
          <cell r="J196">
            <v>46</v>
          </cell>
          <cell r="K196">
            <v>39511</v>
          </cell>
          <cell r="L196">
            <v>13933942</v>
          </cell>
          <cell r="M196">
            <v>100000</v>
          </cell>
        </row>
        <row r="197">
          <cell r="A197" t="str">
            <v>A140700</v>
          </cell>
          <cell r="B197" t="str">
            <v>194</v>
          </cell>
          <cell r="C197" t="str">
            <v>140700</v>
          </cell>
          <cell r="D197" t="str">
            <v>KODEX 보험</v>
          </cell>
          <cell r="E197">
            <v>18758.5</v>
          </cell>
          <cell r="F197">
            <v>18745</v>
          </cell>
          <cell r="G197" t="str">
            <v>400 ( 2.18%)</v>
          </cell>
          <cell r="H197">
            <v>15509</v>
          </cell>
          <cell r="I197" t="str">
            <v>주식-업종섹터</v>
          </cell>
          <cell r="J197">
            <v>12</v>
          </cell>
          <cell r="K197">
            <v>79585</v>
          </cell>
          <cell r="L197">
            <v>8360729</v>
          </cell>
          <cell r="M197">
            <v>100000</v>
          </cell>
        </row>
        <row r="198">
          <cell r="A198" t="str">
            <v>A140710</v>
          </cell>
          <cell r="B198" t="str">
            <v>195</v>
          </cell>
          <cell r="C198" t="str">
            <v>140710</v>
          </cell>
          <cell r="D198" t="str">
            <v>KODEX 운송</v>
          </cell>
          <cell r="E198">
            <v>6108.86</v>
          </cell>
          <cell r="F198">
            <v>6085</v>
          </cell>
          <cell r="G198" t="str">
            <v>30 ( 0.50%)</v>
          </cell>
          <cell r="H198">
            <v>4099</v>
          </cell>
          <cell r="I198" t="str">
            <v>주식-업종섹터</v>
          </cell>
          <cell r="J198">
            <v>13</v>
          </cell>
          <cell r="K198">
            <v>55510</v>
          </cell>
          <cell r="L198">
            <v>2165620</v>
          </cell>
          <cell r="M198">
            <v>100000</v>
          </cell>
        </row>
        <row r="199">
          <cell r="A199" t="str">
            <v>A140950</v>
          </cell>
          <cell r="B199" t="str">
            <v>196</v>
          </cell>
          <cell r="C199" t="str">
            <v>140950</v>
          </cell>
          <cell r="D199" t="str">
            <v>파워 코스피100</v>
          </cell>
          <cell r="E199">
            <v>85975.77</v>
          </cell>
          <cell r="F199">
            <v>86025</v>
          </cell>
          <cell r="G199" t="str">
            <v>4,010 ( 4.89%)</v>
          </cell>
          <cell r="H199">
            <v>1785</v>
          </cell>
          <cell r="I199" t="str">
            <v>주식-시장대표</v>
          </cell>
          <cell r="J199">
            <v>100</v>
          </cell>
          <cell r="K199">
            <v>15295</v>
          </cell>
          <cell r="L199">
            <v>528783</v>
          </cell>
          <cell r="M199">
            <v>40000</v>
          </cell>
        </row>
        <row r="200">
          <cell r="A200" t="str">
            <v>A143860</v>
          </cell>
          <cell r="B200" t="str">
            <v>197</v>
          </cell>
          <cell r="C200" t="str">
            <v>143860</v>
          </cell>
          <cell r="D200" t="str">
            <v>TIGER 헬스케어</v>
          </cell>
          <cell r="E200">
            <v>33936.370000000003</v>
          </cell>
          <cell r="F200">
            <v>33945</v>
          </cell>
          <cell r="G200" t="str">
            <v>245 ( 0.72%)</v>
          </cell>
          <cell r="H200">
            <v>10243</v>
          </cell>
          <cell r="I200" t="str">
            <v>주식-업종섹터</v>
          </cell>
          <cell r="J200">
            <v>67</v>
          </cell>
          <cell r="K200">
            <v>11846</v>
          </cell>
          <cell r="L200">
            <v>1480314</v>
          </cell>
          <cell r="M200">
            <v>20000</v>
          </cell>
        </row>
        <row r="201">
          <cell r="A201" t="str">
            <v>A145670</v>
          </cell>
          <cell r="B201" t="str">
            <v>198</v>
          </cell>
          <cell r="C201" t="str">
            <v>145670</v>
          </cell>
          <cell r="D201" t="str">
            <v>ACE 인버스</v>
          </cell>
          <cell r="E201">
            <v>1383.8</v>
          </cell>
          <cell r="F201">
            <v>1374</v>
          </cell>
          <cell r="G201" t="str">
            <v>74 ( 5.11%)</v>
          </cell>
          <cell r="H201">
            <v>159065</v>
          </cell>
          <cell r="I201" t="str">
            <v>주식-시장대표</v>
          </cell>
          <cell r="J201">
            <v>3</v>
          </cell>
          <cell r="K201">
            <v>8369</v>
          </cell>
          <cell r="L201">
            <v>136225743</v>
          </cell>
          <cell r="M201">
            <v>100000</v>
          </cell>
        </row>
        <row r="202">
          <cell r="A202" t="str">
            <v>A145850</v>
          </cell>
          <cell r="B202" t="str">
            <v>199</v>
          </cell>
          <cell r="C202" t="str">
            <v>145850</v>
          </cell>
          <cell r="D202" t="str">
            <v>TREX 펀더멘탈 200</v>
          </cell>
          <cell r="E202">
            <v>115037.06</v>
          </cell>
          <cell r="F202">
            <v>114690</v>
          </cell>
          <cell r="G202" t="str">
            <v>1,740 ( 1.54%)</v>
          </cell>
          <cell r="H202">
            <v>1</v>
          </cell>
          <cell r="I202" t="str">
            <v>주식-전략</v>
          </cell>
          <cell r="J202">
            <v>196</v>
          </cell>
          <cell r="K202">
            <v>90081</v>
          </cell>
          <cell r="L202">
            <v>172725828</v>
          </cell>
          <cell r="M202">
            <v>50000</v>
          </cell>
        </row>
        <row r="203">
          <cell r="A203" t="str">
            <v>A147970</v>
          </cell>
          <cell r="B203" t="str">
            <v>200</v>
          </cell>
          <cell r="C203" t="str">
            <v>147970</v>
          </cell>
          <cell r="D203" t="str">
            <v>TIGER 모멘텀</v>
          </cell>
          <cell r="E203">
            <v>79039.11</v>
          </cell>
          <cell r="F203">
            <v>78915</v>
          </cell>
          <cell r="G203" t="str">
            <v>1,855 ( 2.41%)</v>
          </cell>
          <cell r="H203">
            <v>979</v>
          </cell>
          <cell r="I203" t="str">
            <v>주식-전략</v>
          </cell>
          <cell r="J203">
            <v>30</v>
          </cell>
          <cell r="K203">
            <v>14010</v>
          </cell>
          <cell r="L203">
            <v>3039195</v>
          </cell>
          <cell r="M203">
            <v>20000</v>
          </cell>
        </row>
        <row r="204">
          <cell r="A204" t="str">
            <v>A148020</v>
          </cell>
          <cell r="B204" t="str">
            <v>201</v>
          </cell>
          <cell r="C204" t="str">
            <v>148020</v>
          </cell>
          <cell r="D204" t="str">
            <v>RISE 200</v>
          </cell>
          <cell r="E204">
            <v>109742.12</v>
          </cell>
          <cell r="F204">
            <v>109835</v>
          </cell>
          <cell r="G204" t="str">
            <v>5,285 ( 5.05%)</v>
          </cell>
          <cell r="H204">
            <v>1234539</v>
          </cell>
          <cell r="I204" t="str">
            <v>주식-시장대표</v>
          </cell>
          <cell r="J204">
            <v>199</v>
          </cell>
          <cell r="K204">
            <v>28863</v>
          </cell>
          <cell r="L204">
            <v>2112077</v>
          </cell>
          <cell r="M204">
            <v>50000</v>
          </cell>
        </row>
        <row r="205">
          <cell r="A205" t="str">
            <v>A148070</v>
          </cell>
          <cell r="B205" t="str">
            <v>202</v>
          </cell>
          <cell r="C205" t="str">
            <v>148070</v>
          </cell>
          <cell r="D205" t="str">
            <v>KIWOOM 국고채10년</v>
          </cell>
          <cell r="E205">
            <v>103921.07</v>
          </cell>
          <cell r="F205">
            <v>103910</v>
          </cell>
          <cell r="G205" t="str">
            <v>95 ( 0.09%)</v>
          </cell>
          <cell r="H205">
            <v>4495</v>
          </cell>
          <cell r="I205" t="str">
            <v>채권-국공채</v>
          </cell>
          <cell r="J205">
            <v>3</v>
          </cell>
          <cell r="K205">
            <v>0</v>
          </cell>
          <cell r="L205">
            <v>3561193</v>
          </cell>
          <cell r="M205">
            <v>1000</v>
          </cell>
        </row>
        <row r="206">
          <cell r="A206" t="str">
            <v>A150460</v>
          </cell>
          <cell r="B206" t="str">
            <v>203</v>
          </cell>
          <cell r="C206" t="str">
            <v>150460</v>
          </cell>
          <cell r="D206" t="str">
            <v>TIGER 중국소비테마</v>
          </cell>
          <cell r="E206">
            <v>7029.21</v>
          </cell>
          <cell r="F206">
            <v>7020</v>
          </cell>
          <cell r="G206" t="str">
            <v>80 ( 1.15%)</v>
          </cell>
          <cell r="H206">
            <v>10962</v>
          </cell>
          <cell r="I206" t="str">
            <v>주식-전략</v>
          </cell>
          <cell r="J206">
            <v>23</v>
          </cell>
          <cell r="K206">
            <v>4227</v>
          </cell>
          <cell r="L206">
            <v>480553</v>
          </cell>
          <cell r="M206">
            <v>30000</v>
          </cell>
        </row>
        <row r="207">
          <cell r="A207" t="str">
            <v>A152100</v>
          </cell>
          <cell r="B207" t="str">
            <v>204</v>
          </cell>
          <cell r="C207" t="str">
            <v>152100</v>
          </cell>
          <cell r="D207" t="str">
            <v>PLUS 200</v>
          </cell>
          <cell r="E207">
            <v>110606.26</v>
          </cell>
          <cell r="F207">
            <v>110755</v>
          </cell>
          <cell r="G207" t="str">
            <v>5,135 ( 4.86%)</v>
          </cell>
          <cell r="H207">
            <v>258567</v>
          </cell>
          <cell r="I207" t="str">
            <v>주식-시장대표</v>
          </cell>
          <cell r="J207">
            <v>199</v>
          </cell>
          <cell r="K207">
            <v>29107</v>
          </cell>
          <cell r="L207">
            <v>-5030189</v>
          </cell>
          <cell r="M207">
            <v>50000</v>
          </cell>
        </row>
        <row r="208">
          <cell r="A208" t="str">
            <v>A152380</v>
          </cell>
          <cell r="B208" t="str">
            <v>205</v>
          </cell>
          <cell r="C208" t="str">
            <v>152380</v>
          </cell>
          <cell r="D208" t="str">
            <v>KODEX 국채선물10년</v>
          </cell>
          <cell r="E208">
            <v>64477.16</v>
          </cell>
          <cell r="F208">
            <v>64455</v>
          </cell>
          <cell r="G208" t="str">
            <v>40 ( 0.06%)</v>
          </cell>
          <cell r="H208">
            <v>644</v>
          </cell>
          <cell r="I208" t="str">
            <v>채권-국공채</v>
          </cell>
          <cell r="J208">
            <v>1</v>
          </cell>
          <cell r="K208">
            <v>4</v>
          </cell>
          <cell r="L208">
            <v>386789386</v>
          </cell>
          <cell r="M208">
            <v>6000</v>
          </cell>
        </row>
        <row r="209">
          <cell r="A209" t="str">
            <v>A152500</v>
          </cell>
          <cell r="B209" t="str">
            <v>206</v>
          </cell>
          <cell r="C209" t="str">
            <v>152500</v>
          </cell>
          <cell r="D209" t="str">
            <v>ACE 레버리지</v>
          </cell>
          <cell r="E209">
            <v>49191.64</v>
          </cell>
          <cell r="F209">
            <v>49100</v>
          </cell>
          <cell r="G209" t="str">
            <v>4,295 ( 9.59%)</v>
          </cell>
          <cell r="H209">
            <v>66862</v>
          </cell>
          <cell r="I209" t="str">
            <v>주식-시장대표</v>
          </cell>
          <cell r="J209">
            <v>202</v>
          </cell>
          <cell r="K209">
            <v>24788</v>
          </cell>
          <cell r="L209">
            <v>296319486</v>
          </cell>
          <cell r="M209">
            <v>100000</v>
          </cell>
        </row>
        <row r="210">
          <cell r="A210" t="str">
            <v>A152870</v>
          </cell>
          <cell r="B210" t="str">
            <v>207</v>
          </cell>
          <cell r="C210" t="str">
            <v>152870</v>
          </cell>
          <cell r="D210" t="str">
            <v>파워 200</v>
          </cell>
          <cell r="E210">
            <v>109929.75</v>
          </cell>
          <cell r="F210">
            <v>109995</v>
          </cell>
          <cell r="G210" t="str">
            <v>5,280 ( 5.04%)</v>
          </cell>
          <cell r="H210">
            <v>45433</v>
          </cell>
          <cell r="I210" t="str">
            <v>주식-시장대표</v>
          </cell>
          <cell r="J210">
            <v>199</v>
          </cell>
          <cell r="K210">
            <v>28856</v>
          </cell>
          <cell r="L210">
            <v>10443452</v>
          </cell>
          <cell r="M210">
            <v>50000</v>
          </cell>
        </row>
        <row r="211">
          <cell r="A211" t="str">
            <v>A153130</v>
          </cell>
          <cell r="B211" t="str">
            <v>208</v>
          </cell>
          <cell r="C211" t="str">
            <v>153130</v>
          </cell>
          <cell r="D211" t="str">
            <v>KODEX 단기채권</v>
          </cell>
          <cell r="E211">
            <v>113201.16</v>
          </cell>
          <cell r="F211">
            <v>113200</v>
          </cell>
          <cell r="G211" t="str">
            <v>20 ( 0.02%)</v>
          </cell>
          <cell r="H211">
            <v>17331</v>
          </cell>
          <cell r="I211" t="str">
            <v>채권-국공채</v>
          </cell>
          <cell r="J211">
            <v>15</v>
          </cell>
          <cell r="K211">
            <v>0</v>
          </cell>
          <cell r="L211">
            <v>30835551</v>
          </cell>
          <cell r="M211">
            <v>1000</v>
          </cell>
        </row>
        <row r="212">
          <cell r="A212" t="str">
            <v>A153270</v>
          </cell>
          <cell r="B212" t="str">
            <v>209</v>
          </cell>
          <cell r="C212" t="str">
            <v>153270</v>
          </cell>
          <cell r="D212" t="str">
            <v>KIWOOM 코스피100</v>
          </cell>
          <cell r="E212">
            <v>84477.62</v>
          </cell>
          <cell r="F212">
            <v>84600</v>
          </cell>
          <cell r="G212" t="str">
            <v>4,330 ( 5.39%)</v>
          </cell>
          <cell r="H212">
            <v>1090</v>
          </cell>
          <cell r="I212" t="str">
            <v>주식-시장대표</v>
          </cell>
          <cell r="J212">
            <v>100</v>
          </cell>
          <cell r="K212">
            <v>7521</v>
          </cell>
          <cell r="L212">
            <v>598075</v>
          </cell>
          <cell r="M212">
            <v>20000</v>
          </cell>
        </row>
        <row r="213">
          <cell r="A213" t="str">
            <v>A156080</v>
          </cell>
          <cell r="B213" t="str">
            <v>210</v>
          </cell>
          <cell r="C213" t="str">
            <v>156080</v>
          </cell>
          <cell r="D213" t="str">
            <v>KODEX MSCI Korea</v>
          </cell>
          <cell r="E213">
            <v>51960.639999999999</v>
          </cell>
          <cell r="F213">
            <v>52010</v>
          </cell>
          <cell r="G213" t="str">
            <v>2,390 ( 4.82%)</v>
          </cell>
          <cell r="H213">
            <v>5034</v>
          </cell>
          <cell r="I213" t="str">
            <v>주식-시장대표</v>
          </cell>
          <cell r="J213">
            <v>77</v>
          </cell>
          <cell r="K213">
            <v>20859</v>
          </cell>
          <cell r="L213">
            <v>32615684</v>
          </cell>
          <cell r="M213">
            <v>100000</v>
          </cell>
        </row>
        <row r="214">
          <cell r="A214" t="str">
            <v>A157450</v>
          </cell>
          <cell r="B214" t="str">
            <v>211</v>
          </cell>
          <cell r="C214" t="str">
            <v>157450</v>
          </cell>
          <cell r="D214" t="str">
            <v>TIGER 단기통안채</v>
          </cell>
          <cell r="E214">
            <v>112208.86</v>
          </cell>
          <cell r="F214">
            <v>112210</v>
          </cell>
          <cell r="G214" t="str">
            <v>20 ( 0.02%)</v>
          </cell>
          <cell r="H214">
            <v>5783</v>
          </cell>
          <cell r="I214" t="str">
            <v>채권-국공채</v>
          </cell>
          <cell r="J214">
            <v>3</v>
          </cell>
          <cell r="K214">
            <v>0</v>
          </cell>
          <cell r="L214">
            <v>4173683</v>
          </cell>
          <cell r="M214">
            <v>1000</v>
          </cell>
        </row>
        <row r="215">
          <cell r="A215" t="str">
            <v>A157490</v>
          </cell>
          <cell r="B215" t="str">
            <v>212</v>
          </cell>
          <cell r="C215" t="str">
            <v>157490</v>
          </cell>
          <cell r="D215" t="str">
            <v>TIGER 소프트웨어</v>
          </cell>
          <cell r="E215">
            <v>7870.32</v>
          </cell>
          <cell r="F215">
            <v>7855</v>
          </cell>
          <cell r="G215" t="str">
            <v>240 ( 3.15%)</v>
          </cell>
          <cell r="H215">
            <v>77321</v>
          </cell>
          <cell r="I215" t="str">
            <v>주식-업종섹터</v>
          </cell>
          <cell r="J215">
            <v>23</v>
          </cell>
          <cell r="K215">
            <v>2272</v>
          </cell>
          <cell r="L215">
            <v>174365</v>
          </cell>
          <cell r="M215">
            <v>20000</v>
          </cell>
        </row>
        <row r="216">
          <cell r="A216" t="str">
            <v>A157500</v>
          </cell>
          <cell r="B216" t="str">
            <v>213</v>
          </cell>
          <cell r="C216" t="str">
            <v>157500</v>
          </cell>
          <cell r="D216" t="str">
            <v>TIGER 증권</v>
          </cell>
          <cell r="E216">
            <v>14387.28</v>
          </cell>
          <cell r="F216">
            <v>14345</v>
          </cell>
          <cell r="G216" t="str">
            <v>250 ( 1.77%)</v>
          </cell>
          <cell r="H216">
            <v>504615</v>
          </cell>
          <cell r="I216" t="str">
            <v>주식-업종섹터</v>
          </cell>
          <cell r="J216">
            <v>10</v>
          </cell>
          <cell r="K216">
            <v>7004</v>
          </cell>
          <cell r="L216">
            <v>3356654</v>
          </cell>
          <cell r="M216">
            <v>20000</v>
          </cell>
        </row>
        <row r="217">
          <cell r="A217" t="str">
            <v>A159800</v>
          </cell>
          <cell r="B217" t="str">
            <v>214</v>
          </cell>
          <cell r="C217" t="str">
            <v>159800</v>
          </cell>
          <cell r="D217" t="str">
            <v>마이티 코스피100</v>
          </cell>
          <cell r="E217">
            <v>86704.14</v>
          </cell>
          <cell r="F217">
            <v>84880</v>
          </cell>
          <cell r="G217" t="str">
            <v>2,465 ( 2.99%)</v>
          </cell>
          <cell r="H217">
            <v>263</v>
          </cell>
          <cell r="I217" t="str">
            <v>주식-시장대표</v>
          </cell>
          <cell r="J217">
            <v>100</v>
          </cell>
          <cell r="K217">
            <v>15436</v>
          </cell>
          <cell r="L217">
            <v>-2610464</v>
          </cell>
          <cell r="M217">
            <v>40000</v>
          </cell>
        </row>
        <row r="218">
          <cell r="A218" t="str">
            <v>A161510</v>
          </cell>
          <cell r="B218" t="str">
            <v>215</v>
          </cell>
          <cell r="C218" t="str">
            <v>161510</v>
          </cell>
          <cell r="D218" t="str">
            <v>PLUS 고배당주</v>
          </cell>
          <cell r="E218">
            <v>24798.720000000001</v>
          </cell>
          <cell r="F218">
            <v>24750</v>
          </cell>
          <cell r="G218" t="str">
            <v>100 ( 0.41%)</v>
          </cell>
          <cell r="H218">
            <v>479074</v>
          </cell>
          <cell r="I218" t="str">
            <v>주식-전략</v>
          </cell>
          <cell r="J218">
            <v>30</v>
          </cell>
          <cell r="K218">
            <v>19316</v>
          </cell>
          <cell r="L218">
            <v>2808277</v>
          </cell>
          <cell r="M218">
            <v>30000</v>
          </cell>
        </row>
        <row r="219">
          <cell r="A219" t="str">
            <v>A166400</v>
          </cell>
          <cell r="B219" t="str">
            <v>216</v>
          </cell>
          <cell r="C219" t="str">
            <v>166400</v>
          </cell>
          <cell r="D219" t="str">
            <v>TIGER 200커버드콜OTM</v>
          </cell>
          <cell r="E219">
            <v>23037.88</v>
          </cell>
          <cell r="F219">
            <v>22875</v>
          </cell>
          <cell r="G219" t="str">
            <v>875 ( 3.98%)</v>
          </cell>
          <cell r="H219">
            <v>3198</v>
          </cell>
          <cell r="I219" t="str">
            <v>주식-전략</v>
          </cell>
          <cell r="J219">
            <v>204</v>
          </cell>
          <cell r="K219">
            <v>11225</v>
          </cell>
          <cell r="L219">
            <v>365375922</v>
          </cell>
          <cell r="M219">
            <v>100000</v>
          </cell>
        </row>
        <row r="220">
          <cell r="A220" t="str">
            <v>A167860</v>
          </cell>
          <cell r="B220" t="str">
            <v>217</v>
          </cell>
          <cell r="C220" t="str">
            <v>167860</v>
          </cell>
          <cell r="D220" t="str">
            <v>KIWOOM 국고채10년레버리지</v>
          </cell>
          <cell r="E220">
            <v>91158.23</v>
          </cell>
          <cell r="F220">
            <v>90725</v>
          </cell>
          <cell r="G220" t="str">
            <v>335 ( 0.37%)</v>
          </cell>
          <cell r="H220">
            <v>12</v>
          </cell>
          <cell r="I220" t="str">
            <v>채권-국공채</v>
          </cell>
          <cell r="J220">
            <v>4</v>
          </cell>
          <cell r="K220">
            <v>8</v>
          </cell>
          <cell r="L220">
            <v>-46069949</v>
          </cell>
          <cell r="M220">
            <v>10000</v>
          </cell>
        </row>
        <row r="221">
          <cell r="A221" t="str">
            <v>A174350</v>
          </cell>
          <cell r="B221" t="str">
            <v>218</v>
          </cell>
          <cell r="C221" t="str">
            <v>174350</v>
          </cell>
          <cell r="D221" t="str">
            <v>TIGER 로우볼</v>
          </cell>
          <cell r="E221">
            <v>20214.740000000002</v>
          </cell>
          <cell r="F221">
            <v>20155</v>
          </cell>
          <cell r="G221" t="str">
            <v>150 ( 0.75%)</v>
          </cell>
          <cell r="H221">
            <v>46</v>
          </cell>
          <cell r="I221" t="str">
            <v>주식-전략</v>
          </cell>
          <cell r="J221">
            <v>40</v>
          </cell>
          <cell r="K221">
            <v>10585</v>
          </cell>
          <cell r="L221">
            <v>2515666</v>
          </cell>
          <cell r="M221">
            <v>20000</v>
          </cell>
        </row>
        <row r="222">
          <cell r="A222" t="str">
            <v>A176950</v>
          </cell>
          <cell r="B222" t="str">
            <v>219</v>
          </cell>
          <cell r="C222" t="str">
            <v>176950</v>
          </cell>
          <cell r="D222" t="str">
            <v>KODEX 국채선물10년인버스</v>
          </cell>
          <cell r="E222">
            <v>60528.71</v>
          </cell>
          <cell r="F222">
            <v>60500</v>
          </cell>
          <cell r="G222" t="str">
            <v>20 ( 0.03%)</v>
          </cell>
          <cell r="H222">
            <v>104</v>
          </cell>
          <cell r="I222" t="str">
            <v>채권-국공채</v>
          </cell>
          <cell r="J222">
            <v>1</v>
          </cell>
          <cell r="K222">
            <v>-3</v>
          </cell>
          <cell r="L222">
            <v>363241071</v>
          </cell>
          <cell r="M222">
            <v>6000</v>
          </cell>
        </row>
        <row r="223">
          <cell r="A223" t="str">
            <v>A183700</v>
          </cell>
          <cell r="B223" t="str">
            <v>220</v>
          </cell>
          <cell r="C223" t="str">
            <v>183700</v>
          </cell>
          <cell r="D223" t="str">
            <v>RISE 200채권혼합50</v>
          </cell>
          <cell r="E223">
            <v>95890.36</v>
          </cell>
          <cell r="F223">
            <v>95935</v>
          </cell>
          <cell r="G223" t="str">
            <v>1,735 ( 1.84%)</v>
          </cell>
          <cell r="H223">
            <v>3770</v>
          </cell>
          <cell r="I223" t="str">
            <v>혼합-주식채권</v>
          </cell>
          <cell r="J223">
            <v>205</v>
          </cell>
          <cell r="K223">
            <v>16969</v>
          </cell>
          <cell r="L223">
            <v>1686863912</v>
          </cell>
          <cell r="M223">
            <v>60000</v>
          </cell>
        </row>
        <row r="224">
          <cell r="A224" t="str">
            <v>A183710</v>
          </cell>
          <cell r="B224" t="str">
            <v>221</v>
          </cell>
          <cell r="C224" t="str">
            <v>183710</v>
          </cell>
          <cell r="D224" t="str">
            <v>RISE 주식혼합</v>
          </cell>
          <cell r="E224">
            <v>92748.18</v>
          </cell>
          <cell r="F224">
            <v>92640</v>
          </cell>
          <cell r="G224" t="str">
            <v>2,690 ( 2.99%)</v>
          </cell>
          <cell r="H224">
            <v>392</v>
          </cell>
          <cell r="I224" t="str">
            <v>혼합-주식채권</v>
          </cell>
          <cell r="J224">
            <v>206</v>
          </cell>
          <cell r="K224">
            <v>20871</v>
          </cell>
          <cell r="L224">
            <v>735592906</v>
          </cell>
          <cell r="M224">
            <v>50000</v>
          </cell>
        </row>
        <row r="225">
          <cell r="A225" t="str">
            <v>A190620</v>
          </cell>
          <cell r="B225" t="str">
            <v>222</v>
          </cell>
          <cell r="C225" t="str">
            <v>190620</v>
          </cell>
          <cell r="D225" t="str">
            <v>ACE 단기통안채</v>
          </cell>
          <cell r="E225">
            <v>101675.78</v>
          </cell>
          <cell r="F225">
            <v>101680</v>
          </cell>
          <cell r="G225" t="str">
            <v>20 ( 0.02%)</v>
          </cell>
          <cell r="H225">
            <v>953</v>
          </cell>
          <cell r="I225" t="str">
            <v>채권-국공채</v>
          </cell>
          <cell r="J225">
            <v>9</v>
          </cell>
          <cell r="K225">
            <v>0</v>
          </cell>
          <cell r="L225">
            <v>17081957</v>
          </cell>
          <cell r="M225">
            <v>1000</v>
          </cell>
        </row>
        <row r="226">
          <cell r="A226" t="str">
            <v>A192720</v>
          </cell>
          <cell r="B226" t="str">
            <v>223</v>
          </cell>
          <cell r="C226" t="str">
            <v>192720</v>
          </cell>
          <cell r="D226" t="str">
            <v>파워 고배당저변동성</v>
          </cell>
          <cell r="E226">
            <v>57133.65</v>
          </cell>
          <cell r="F226">
            <v>57100</v>
          </cell>
          <cell r="G226" t="str">
            <v>820 ( 1.46%)</v>
          </cell>
          <cell r="H226">
            <v>799</v>
          </cell>
          <cell r="I226" t="str">
            <v>주식-전략</v>
          </cell>
          <cell r="J226">
            <v>50</v>
          </cell>
          <cell r="K226">
            <v>47041</v>
          </cell>
          <cell r="L226">
            <v>4836289</v>
          </cell>
          <cell r="M226">
            <v>30000</v>
          </cell>
        </row>
        <row r="227">
          <cell r="A227" t="str">
            <v>A196230</v>
          </cell>
          <cell r="B227" t="str">
            <v>224</v>
          </cell>
          <cell r="C227" t="str">
            <v>196230</v>
          </cell>
          <cell r="D227" t="str">
            <v>RISE 단기통안채</v>
          </cell>
          <cell r="E227">
            <v>116604.05</v>
          </cell>
          <cell r="F227">
            <v>116590</v>
          </cell>
          <cell r="G227" t="str">
            <v>10 ( 0.01%)</v>
          </cell>
          <cell r="H227">
            <v>2303</v>
          </cell>
          <cell r="I227" t="str">
            <v>채권-국공채</v>
          </cell>
          <cell r="J227">
            <v>8</v>
          </cell>
          <cell r="K227">
            <v>0</v>
          </cell>
          <cell r="L227">
            <v>12776058</v>
          </cell>
          <cell r="M227">
            <v>1000</v>
          </cell>
        </row>
        <row r="228">
          <cell r="A228" t="str">
            <v>A210780</v>
          </cell>
          <cell r="B228" t="str">
            <v>225</v>
          </cell>
          <cell r="C228" t="str">
            <v>210780</v>
          </cell>
          <cell r="D228" t="str">
            <v>TIGER 코스피고배당</v>
          </cell>
          <cell r="E228">
            <v>22716.46</v>
          </cell>
          <cell r="F228">
            <v>22690</v>
          </cell>
          <cell r="G228" t="str">
            <v>75 ( 0.33%)</v>
          </cell>
          <cell r="H228">
            <v>8720</v>
          </cell>
          <cell r="I228" t="str">
            <v>주식-전략</v>
          </cell>
          <cell r="J228">
            <v>50</v>
          </cell>
          <cell r="K228">
            <v>36345</v>
          </cell>
          <cell r="L228">
            <v>7883548</v>
          </cell>
          <cell r="M228">
            <v>30000</v>
          </cell>
        </row>
        <row r="229">
          <cell r="A229" t="str">
            <v>A211560</v>
          </cell>
          <cell r="B229" t="str">
            <v>226</v>
          </cell>
          <cell r="C229" t="str">
            <v>211560</v>
          </cell>
          <cell r="D229" t="str">
            <v>TIGER 배당성장</v>
          </cell>
          <cell r="E229">
            <v>35268.74</v>
          </cell>
          <cell r="F229">
            <v>35270</v>
          </cell>
          <cell r="G229" t="str">
            <v>495 ( 1.42%)</v>
          </cell>
          <cell r="H229">
            <v>5919</v>
          </cell>
          <cell r="I229" t="str">
            <v>주식-전략</v>
          </cell>
          <cell r="J229">
            <v>50</v>
          </cell>
          <cell r="K229">
            <v>19284</v>
          </cell>
          <cell r="L229">
            <v>4242339</v>
          </cell>
          <cell r="M229">
            <v>30000</v>
          </cell>
        </row>
        <row r="230">
          <cell r="A230" t="str">
            <v>A211900</v>
          </cell>
          <cell r="B230" t="str">
            <v>227</v>
          </cell>
          <cell r="C230" t="str">
            <v>211900</v>
          </cell>
          <cell r="D230" t="str">
            <v>KODEX 코리아배당성장</v>
          </cell>
          <cell r="E230">
            <v>28153.56</v>
          </cell>
          <cell r="F230">
            <v>28160</v>
          </cell>
          <cell r="G230" t="str">
            <v>530 ( 1.92%)</v>
          </cell>
          <cell r="H230">
            <v>7227</v>
          </cell>
          <cell r="I230" t="str">
            <v>주식-전략</v>
          </cell>
          <cell r="J230">
            <v>50</v>
          </cell>
          <cell r="K230">
            <v>25723</v>
          </cell>
          <cell r="L230">
            <v>1562741</v>
          </cell>
          <cell r="M230">
            <v>50000</v>
          </cell>
        </row>
        <row r="231">
          <cell r="A231" t="str">
            <v>A213610</v>
          </cell>
          <cell r="B231" t="str">
            <v>228</v>
          </cell>
          <cell r="C231" t="str">
            <v>213610</v>
          </cell>
          <cell r="D231" t="str">
            <v>KODEX 삼성그룹밸류</v>
          </cell>
          <cell r="E231">
            <v>21535.200000000001</v>
          </cell>
          <cell r="F231">
            <v>21545</v>
          </cell>
          <cell r="G231" t="str">
            <v>780 ( 3.76%)</v>
          </cell>
          <cell r="H231">
            <v>10740</v>
          </cell>
          <cell r="I231" t="str">
            <v>주식-전략</v>
          </cell>
          <cell r="J231">
            <v>16</v>
          </cell>
          <cell r="K231">
            <v>22785</v>
          </cell>
          <cell r="L231">
            <v>1427189</v>
          </cell>
          <cell r="M231">
            <v>100000</v>
          </cell>
        </row>
        <row r="232">
          <cell r="A232" t="str">
            <v>A214980</v>
          </cell>
          <cell r="B232" t="str">
            <v>229</v>
          </cell>
          <cell r="C232" t="str">
            <v>214980</v>
          </cell>
          <cell r="D232" t="str">
            <v>KODEX 단기채권PLUS</v>
          </cell>
          <cell r="E232">
            <v>114489.65</v>
          </cell>
          <cell r="F232">
            <v>114467</v>
          </cell>
          <cell r="G232" t="str">
            <v>27 ( 0.02%)</v>
          </cell>
          <cell r="H232">
            <v>19852</v>
          </cell>
          <cell r="I232" t="str">
            <v>채권-혼합</v>
          </cell>
          <cell r="J232">
            <v>46</v>
          </cell>
          <cell r="K232">
            <v>0</v>
          </cell>
          <cell r="L232">
            <v>18649575</v>
          </cell>
          <cell r="M232">
            <v>1000</v>
          </cell>
        </row>
        <row r="233">
          <cell r="A233" t="str">
            <v>A215620</v>
          </cell>
          <cell r="B233" t="str">
            <v>230</v>
          </cell>
          <cell r="C233" t="str">
            <v>215620</v>
          </cell>
          <cell r="D233" t="str">
            <v>HK S&amp;P코리아로우볼</v>
          </cell>
          <cell r="E233">
            <v>15260.54</v>
          </cell>
          <cell r="F233">
            <v>15455</v>
          </cell>
          <cell r="G233" t="str">
            <v>0 ( 0.00%)</v>
          </cell>
          <cell r="H233">
            <v>0</v>
          </cell>
          <cell r="I233" t="str">
            <v>주식-전략</v>
          </cell>
          <cell r="J233">
            <v>50</v>
          </cell>
          <cell r="K233">
            <v>51566</v>
          </cell>
          <cell r="L233">
            <v>3775213</v>
          </cell>
          <cell r="M233">
            <v>30000</v>
          </cell>
        </row>
        <row r="234">
          <cell r="A234" t="str">
            <v>A223190</v>
          </cell>
          <cell r="B234" t="str">
            <v>231</v>
          </cell>
          <cell r="C234" t="str">
            <v>223190</v>
          </cell>
          <cell r="D234" t="str">
            <v>KODEX 200가치저변동</v>
          </cell>
          <cell r="E234">
            <v>27136.76</v>
          </cell>
          <cell r="F234">
            <v>27215</v>
          </cell>
          <cell r="G234" t="str">
            <v>960 ( 3.66%)</v>
          </cell>
          <cell r="H234">
            <v>718</v>
          </cell>
          <cell r="I234" t="str">
            <v>주식-전략</v>
          </cell>
          <cell r="J234">
            <v>193</v>
          </cell>
          <cell r="K234">
            <v>28188</v>
          </cell>
          <cell r="L234">
            <v>8831484</v>
          </cell>
          <cell r="M234">
            <v>100000</v>
          </cell>
        </row>
        <row r="235">
          <cell r="A235" t="str">
            <v>A225800</v>
          </cell>
          <cell r="B235" t="str">
            <v>232</v>
          </cell>
          <cell r="C235" t="str">
            <v>225800</v>
          </cell>
          <cell r="D235" t="str">
            <v>KIWOOM 미국달러선물레버리지</v>
          </cell>
          <cell r="E235">
            <v>17114.240000000002</v>
          </cell>
          <cell r="F235">
            <v>17090</v>
          </cell>
          <cell r="G235" t="str">
            <v>70 ( 0.41%)</v>
          </cell>
          <cell r="H235">
            <v>143</v>
          </cell>
          <cell r="I235" t="str">
            <v>통화-미국달러</v>
          </cell>
          <cell r="J235">
            <v>2</v>
          </cell>
          <cell r="K235">
            <v>2181</v>
          </cell>
          <cell r="L235">
            <v>134798352</v>
          </cell>
          <cell r="M235">
            <v>10000</v>
          </cell>
        </row>
        <row r="236">
          <cell r="A236" t="str">
            <v>A226380</v>
          </cell>
          <cell r="B236" t="str">
            <v>233</v>
          </cell>
          <cell r="C236" t="str">
            <v>226380</v>
          </cell>
          <cell r="D236" t="str">
            <v>ACE Fn성장소비주도주</v>
          </cell>
          <cell r="E236">
            <v>5428.31</v>
          </cell>
          <cell r="F236">
            <v>5405</v>
          </cell>
          <cell r="G236" t="str">
            <v>50 ( 0.93%)</v>
          </cell>
          <cell r="H236">
            <v>56</v>
          </cell>
          <cell r="I236" t="str">
            <v>주식-전략</v>
          </cell>
          <cell r="J236">
            <v>51</v>
          </cell>
          <cell r="K236">
            <v>20213</v>
          </cell>
          <cell r="L236">
            <v>7866281</v>
          </cell>
          <cell r="M236">
            <v>100000</v>
          </cell>
        </row>
        <row r="237">
          <cell r="A237" t="str">
            <v>A226490</v>
          </cell>
          <cell r="B237" t="str">
            <v>234</v>
          </cell>
          <cell r="C237" t="str">
            <v>226490</v>
          </cell>
          <cell r="D237" t="str">
            <v>KODEX 코스피</v>
          </cell>
          <cell r="E237">
            <v>70039.61</v>
          </cell>
          <cell r="F237">
            <v>69945</v>
          </cell>
          <cell r="G237" t="str">
            <v>2,515 ( 3.73%)</v>
          </cell>
          <cell r="H237">
            <v>174670</v>
          </cell>
          <cell r="I237" t="str">
            <v>주식-시장대표</v>
          </cell>
          <cell r="J237">
            <v>728</v>
          </cell>
          <cell r="K237">
            <v>34355</v>
          </cell>
          <cell r="L237">
            <v>7262849</v>
          </cell>
          <cell r="M237">
            <v>50000</v>
          </cell>
        </row>
        <row r="238">
          <cell r="A238" t="str">
            <v>A226980</v>
          </cell>
          <cell r="B238" t="str">
            <v>235</v>
          </cell>
          <cell r="C238" t="str">
            <v>226980</v>
          </cell>
          <cell r="D238" t="str">
            <v>KODEX 200 중소형</v>
          </cell>
          <cell r="E238">
            <v>21243.58</v>
          </cell>
          <cell r="F238">
            <v>21200</v>
          </cell>
          <cell r="G238" t="str">
            <v>200 ( 0.95%)</v>
          </cell>
          <cell r="H238">
            <v>77299</v>
          </cell>
          <cell r="I238" t="str">
            <v>주식-규모</v>
          </cell>
          <cell r="J238">
            <v>100</v>
          </cell>
          <cell r="K238">
            <v>60584</v>
          </cell>
          <cell r="L238">
            <v>5851595</v>
          </cell>
          <cell r="M238">
            <v>100000</v>
          </cell>
        </row>
        <row r="239">
          <cell r="A239" t="str">
            <v>A227540</v>
          </cell>
          <cell r="B239" t="str">
            <v>236</v>
          </cell>
          <cell r="C239" t="str">
            <v>227540</v>
          </cell>
          <cell r="D239" t="str">
            <v>TIGER 200 헬스케어</v>
          </cell>
          <cell r="E239">
            <v>17532.3</v>
          </cell>
          <cell r="F239">
            <v>17485</v>
          </cell>
          <cell r="G239" t="str">
            <v>170 ( 0.98%)</v>
          </cell>
          <cell r="H239">
            <v>17507</v>
          </cell>
          <cell r="I239" t="str">
            <v>주식-업종섹터</v>
          </cell>
          <cell r="J239">
            <v>14</v>
          </cell>
          <cell r="K239">
            <v>3580</v>
          </cell>
          <cell r="L239">
            <v>797593</v>
          </cell>
          <cell r="M239">
            <v>20000</v>
          </cell>
        </row>
        <row r="240">
          <cell r="A240" t="str">
            <v>A227550</v>
          </cell>
          <cell r="B240" t="str">
            <v>237</v>
          </cell>
          <cell r="C240" t="str">
            <v>227550</v>
          </cell>
          <cell r="D240" t="str">
            <v>TIGER 200 산업재</v>
          </cell>
          <cell r="E240">
            <v>11002.42</v>
          </cell>
          <cell r="F240">
            <v>10995</v>
          </cell>
          <cell r="G240" t="str">
            <v>185 ( 1.71%)</v>
          </cell>
          <cell r="H240">
            <v>5531</v>
          </cell>
          <cell r="I240" t="str">
            <v>주식-업종섹터</v>
          </cell>
          <cell r="J240">
            <v>20</v>
          </cell>
          <cell r="K240">
            <v>2700</v>
          </cell>
          <cell r="L240">
            <v>1779360</v>
          </cell>
          <cell r="M240">
            <v>20000</v>
          </cell>
        </row>
        <row r="241">
          <cell r="A241" t="str">
            <v>A227560</v>
          </cell>
          <cell r="B241" t="str">
            <v>238</v>
          </cell>
          <cell r="C241" t="str">
            <v>227560</v>
          </cell>
          <cell r="D241" t="str">
            <v>TIGER 200 생활소비재</v>
          </cell>
          <cell r="E241">
            <v>12317.87</v>
          </cell>
          <cell r="F241">
            <v>12260</v>
          </cell>
          <cell r="G241" t="str">
            <v>240 ( 2.00%)</v>
          </cell>
          <cell r="H241">
            <v>7932</v>
          </cell>
          <cell r="I241" t="str">
            <v>주식-업종섹터</v>
          </cell>
          <cell r="J241">
            <v>28</v>
          </cell>
          <cell r="K241">
            <v>3014</v>
          </cell>
          <cell r="L241">
            <v>665311</v>
          </cell>
          <cell r="M241">
            <v>20000</v>
          </cell>
        </row>
        <row r="242">
          <cell r="A242" t="str">
            <v>A227570</v>
          </cell>
          <cell r="B242" t="str">
            <v>239</v>
          </cell>
          <cell r="C242" t="str">
            <v>227570</v>
          </cell>
          <cell r="D242" t="str">
            <v>TIGER 우량가치</v>
          </cell>
          <cell r="E242">
            <v>19508.080000000002</v>
          </cell>
          <cell r="F242">
            <v>19525</v>
          </cell>
          <cell r="G242" t="str">
            <v>100 ( 0.51%)</v>
          </cell>
          <cell r="H242">
            <v>420</v>
          </cell>
          <cell r="I242" t="str">
            <v>주식-전략</v>
          </cell>
          <cell r="J242">
            <v>50</v>
          </cell>
          <cell r="K242">
            <v>33823</v>
          </cell>
          <cell r="L242">
            <v>1286551</v>
          </cell>
          <cell r="M242">
            <v>30000</v>
          </cell>
        </row>
        <row r="243">
          <cell r="A243" t="str">
            <v>A227830</v>
          </cell>
          <cell r="B243" t="str">
            <v>240</v>
          </cell>
          <cell r="C243" t="str">
            <v>227830</v>
          </cell>
          <cell r="D243" t="str">
            <v>PLUS 코스피</v>
          </cell>
          <cell r="E243">
            <v>70408.23</v>
          </cell>
          <cell r="F243">
            <v>70535</v>
          </cell>
          <cell r="G243" t="str">
            <v>2,915 ( 4.31%)</v>
          </cell>
          <cell r="H243">
            <v>115</v>
          </cell>
          <cell r="I243" t="str">
            <v>주식-시장대표</v>
          </cell>
          <cell r="J243">
            <v>708</v>
          </cell>
          <cell r="K243">
            <v>35458</v>
          </cell>
          <cell r="L243">
            <v>1574628</v>
          </cell>
          <cell r="M243">
            <v>50000</v>
          </cell>
        </row>
        <row r="244">
          <cell r="A244" t="str">
            <v>A228790</v>
          </cell>
          <cell r="B244" t="str">
            <v>241</v>
          </cell>
          <cell r="C244" t="str">
            <v>228790</v>
          </cell>
          <cell r="D244" t="str">
            <v>TIGER 화장품</v>
          </cell>
          <cell r="E244">
            <v>3694.96</v>
          </cell>
          <cell r="F244">
            <v>3685</v>
          </cell>
          <cell r="G244" t="str">
            <v>105 ( 2.93%)</v>
          </cell>
          <cell r="H244">
            <v>2718726</v>
          </cell>
          <cell r="I244" t="str">
            <v>주식-업종섹터</v>
          </cell>
          <cell r="J244">
            <v>18</v>
          </cell>
          <cell r="K244">
            <v>1849</v>
          </cell>
          <cell r="L244">
            <v>395643</v>
          </cell>
          <cell r="M244">
            <v>30000</v>
          </cell>
        </row>
        <row r="245">
          <cell r="A245" t="str">
            <v>A228800</v>
          </cell>
          <cell r="B245" t="str">
            <v>242</v>
          </cell>
          <cell r="C245" t="str">
            <v>228800</v>
          </cell>
          <cell r="D245" t="str">
            <v>TIGER 여행레저</v>
          </cell>
          <cell r="E245">
            <v>2472.4499999999998</v>
          </cell>
          <cell r="F245">
            <v>2470</v>
          </cell>
          <cell r="G245" t="str">
            <v>0 ( 0.00%)</v>
          </cell>
          <cell r="H245">
            <v>101459</v>
          </cell>
          <cell r="I245" t="str">
            <v>주식-업종섹터</v>
          </cell>
          <cell r="J245">
            <v>17</v>
          </cell>
          <cell r="K245">
            <v>8398</v>
          </cell>
          <cell r="L245">
            <v>685407</v>
          </cell>
          <cell r="M245">
            <v>30000</v>
          </cell>
        </row>
        <row r="246">
          <cell r="A246" t="str">
            <v>A228810</v>
          </cell>
          <cell r="B246" t="str">
            <v>243</v>
          </cell>
          <cell r="C246" t="str">
            <v>228810</v>
          </cell>
          <cell r="D246" t="str">
            <v>TIGER 미디어컨텐츠</v>
          </cell>
          <cell r="E246">
            <v>3146.31</v>
          </cell>
          <cell r="F246">
            <v>3140</v>
          </cell>
          <cell r="G246" t="str">
            <v>40 ( 1.29%)</v>
          </cell>
          <cell r="H246">
            <v>49534</v>
          </cell>
          <cell r="I246" t="str">
            <v>주식-업종섹터</v>
          </cell>
          <cell r="J246">
            <v>12</v>
          </cell>
          <cell r="K246">
            <v>8313</v>
          </cell>
          <cell r="L246">
            <v>487122</v>
          </cell>
          <cell r="M246">
            <v>30000</v>
          </cell>
        </row>
        <row r="247">
          <cell r="A247" t="str">
            <v>A228820</v>
          </cell>
          <cell r="B247" t="str">
            <v>244</v>
          </cell>
          <cell r="C247" t="str">
            <v>228820</v>
          </cell>
          <cell r="D247" t="str">
            <v>TIGER KTOP30</v>
          </cell>
          <cell r="E247">
            <v>18156.169999999998</v>
          </cell>
          <cell r="F247">
            <v>18160</v>
          </cell>
          <cell r="G247" t="str">
            <v>690 ( 3.95%)</v>
          </cell>
          <cell r="H247">
            <v>6850</v>
          </cell>
          <cell r="I247" t="str">
            <v>주식-시장대표</v>
          </cell>
          <cell r="J247">
            <v>30</v>
          </cell>
          <cell r="K247">
            <v>3528</v>
          </cell>
          <cell r="L247">
            <v>14184961</v>
          </cell>
          <cell r="M247">
            <v>50000</v>
          </cell>
        </row>
        <row r="248">
          <cell r="A248" t="str">
            <v>A229200</v>
          </cell>
          <cell r="B248" t="str">
            <v>245</v>
          </cell>
          <cell r="C248" t="str">
            <v>229200</v>
          </cell>
          <cell r="D248" t="str">
            <v>KODEX 코스닥150</v>
          </cell>
          <cell r="E248">
            <v>12698.26</v>
          </cell>
          <cell r="F248">
            <v>12680</v>
          </cell>
          <cell r="G248" t="str">
            <v>70 ( 0.56%)</v>
          </cell>
          <cell r="H248">
            <v>24498465</v>
          </cell>
          <cell r="I248" t="str">
            <v>주식-시장대표</v>
          </cell>
          <cell r="J248">
            <v>150</v>
          </cell>
          <cell r="K248">
            <v>16408</v>
          </cell>
          <cell r="L248">
            <v>-127275</v>
          </cell>
          <cell r="M248">
            <v>50000</v>
          </cell>
        </row>
        <row r="249">
          <cell r="A249" t="str">
            <v>A229720</v>
          </cell>
          <cell r="B249" t="str">
            <v>246</v>
          </cell>
          <cell r="C249" t="str">
            <v>229720</v>
          </cell>
          <cell r="D249" t="str">
            <v>KODEX KTOP30</v>
          </cell>
          <cell r="E249">
            <v>35985.39</v>
          </cell>
          <cell r="F249">
            <v>36055</v>
          </cell>
          <cell r="G249" t="str">
            <v>1,580 ( 4.58%)</v>
          </cell>
          <cell r="H249">
            <v>4214</v>
          </cell>
          <cell r="I249" t="str">
            <v>주식-시장대표</v>
          </cell>
          <cell r="J249">
            <v>30</v>
          </cell>
          <cell r="K249">
            <v>14246</v>
          </cell>
          <cell r="L249">
            <v>-8484571</v>
          </cell>
          <cell r="M249">
            <v>100000</v>
          </cell>
        </row>
        <row r="250">
          <cell r="A250" t="str">
            <v>A230480</v>
          </cell>
          <cell r="B250" t="str">
            <v>247</v>
          </cell>
          <cell r="C250" t="str">
            <v>230480</v>
          </cell>
          <cell r="D250" t="str">
            <v>KIWOOM 미국달러선물인버스2X</v>
          </cell>
          <cell r="E250">
            <v>4073.64</v>
          </cell>
          <cell r="F250">
            <v>4055</v>
          </cell>
          <cell r="G250" t="str">
            <v>20 ( 0.50%)</v>
          </cell>
          <cell r="H250">
            <v>2449</v>
          </cell>
          <cell r="I250" t="str">
            <v>통화-미국달러</v>
          </cell>
          <cell r="J250">
            <v>2</v>
          </cell>
          <cell r="K250">
            <v>982</v>
          </cell>
          <cell r="L250">
            <v>32797799</v>
          </cell>
          <cell r="M250">
            <v>10000</v>
          </cell>
        </row>
        <row r="251">
          <cell r="A251" t="str">
            <v>A232080</v>
          </cell>
          <cell r="B251" t="str">
            <v>248</v>
          </cell>
          <cell r="C251" t="str">
            <v>232080</v>
          </cell>
          <cell r="D251" t="str">
            <v>TIGER 코스닥150</v>
          </cell>
          <cell r="E251">
            <v>12943.55</v>
          </cell>
          <cell r="F251">
            <v>12940</v>
          </cell>
          <cell r="G251" t="str">
            <v>40 ( 0.31%)</v>
          </cell>
          <cell r="H251">
            <v>1782439</v>
          </cell>
          <cell r="I251" t="str">
            <v>주식-시장대표</v>
          </cell>
          <cell r="J251">
            <v>150</v>
          </cell>
          <cell r="K251">
            <v>6684</v>
          </cell>
          <cell r="L251">
            <v>228181</v>
          </cell>
          <cell r="M251">
            <v>20000</v>
          </cell>
        </row>
        <row r="252">
          <cell r="A252" t="str">
            <v>A233160</v>
          </cell>
          <cell r="B252" t="str">
            <v>249</v>
          </cell>
          <cell r="C252" t="str">
            <v>233160</v>
          </cell>
          <cell r="D252" t="str">
            <v>TIGER 코스닥150 레버리지</v>
          </cell>
          <cell r="E252">
            <v>6681.67</v>
          </cell>
          <cell r="F252">
            <v>6680</v>
          </cell>
          <cell r="G252" t="str">
            <v>5 ( 0.07%)</v>
          </cell>
          <cell r="H252">
            <v>1460267</v>
          </cell>
          <cell r="I252" t="str">
            <v>주식-시장대표</v>
          </cell>
          <cell r="J252">
            <v>153</v>
          </cell>
          <cell r="K252">
            <v>15012</v>
          </cell>
          <cell r="L252">
            <v>-64285113</v>
          </cell>
          <cell r="M252">
            <v>50000</v>
          </cell>
        </row>
        <row r="253">
          <cell r="A253" t="str">
            <v>A233740</v>
          </cell>
          <cell r="B253" t="str">
            <v>250</v>
          </cell>
          <cell r="C253" t="str">
            <v>233740</v>
          </cell>
          <cell r="D253" t="str">
            <v>KODEX 코스닥150레버리지</v>
          </cell>
          <cell r="E253">
            <v>6103.87</v>
          </cell>
          <cell r="F253">
            <v>6115</v>
          </cell>
          <cell r="G253" t="str">
            <v>80 ( 1.33%)</v>
          </cell>
          <cell r="H253">
            <v>76977912</v>
          </cell>
          <cell r="I253" t="str">
            <v>주식-시장대표</v>
          </cell>
          <cell r="J253">
            <v>157</v>
          </cell>
          <cell r="K253">
            <v>24817</v>
          </cell>
          <cell r="L253">
            <v>-47341230</v>
          </cell>
          <cell r="M253">
            <v>100000</v>
          </cell>
        </row>
        <row r="254">
          <cell r="A254" t="str">
            <v>A234310</v>
          </cell>
          <cell r="B254" t="str">
            <v>251</v>
          </cell>
          <cell r="C254" t="str">
            <v>234310</v>
          </cell>
          <cell r="D254" t="str">
            <v>RISE V&amp;S셀렉트밸류</v>
          </cell>
          <cell r="E254">
            <v>27759.66</v>
          </cell>
          <cell r="F254">
            <v>27715</v>
          </cell>
          <cell r="G254" t="str">
            <v>835 ( 3.11%)</v>
          </cell>
          <cell r="H254">
            <v>6</v>
          </cell>
          <cell r="I254" t="str">
            <v>주식-전략</v>
          </cell>
          <cell r="J254">
            <v>31</v>
          </cell>
          <cell r="K254">
            <v>28027</v>
          </cell>
          <cell r="L254">
            <v>89877960</v>
          </cell>
          <cell r="M254">
            <v>100000</v>
          </cell>
        </row>
        <row r="255">
          <cell r="A255" t="str">
            <v>A237350</v>
          </cell>
          <cell r="B255" t="str">
            <v>252</v>
          </cell>
          <cell r="C255" t="str">
            <v>237350</v>
          </cell>
          <cell r="D255" t="str">
            <v>KODEX 코스피100</v>
          </cell>
          <cell r="E255">
            <v>87406.95</v>
          </cell>
          <cell r="F255">
            <v>87415</v>
          </cell>
          <cell r="G255" t="str">
            <v>4,505 ( 5.43%)</v>
          </cell>
          <cell r="H255">
            <v>230580</v>
          </cell>
          <cell r="I255" t="str">
            <v>주식-시장대표</v>
          </cell>
          <cell r="J255">
            <v>100</v>
          </cell>
          <cell r="K255">
            <v>19430</v>
          </cell>
          <cell r="L255">
            <v>1906543</v>
          </cell>
          <cell r="M255">
            <v>50000</v>
          </cell>
        </row>
        <row r="256">
          <cell r="A256" t="str">
            <v>A237370</v>
          </cell>
          <cell r="B256" t="str">
            <v>253</v>
          </cell>
          <cell r="C256" t="str">
            <v>237370</v>
          </cell>
          <cell r="D256" t="str">
            <v>KODEX 코리아배당성장채권혼합</v>
          </cell>
          <cell r="E256">
            <v>15687.71</v>
          </cell>
          <cell r="F256">
            <v>15630</v>
          </cell>
          <cell r="G256" t="str">
            <v>25 ( 0.16%)</v>
          </cell>
          <cell r="H256">
            <v>30319</v>
          </cell>
          <cell r="I256" t="str">
            <v>혼합-주식채권</v>
          </cell>
          <cell r="J256">
            <v>56</v>
          </cell>
          <cell r="K256">
            <v>33140</v>
          </cell>
          <cell r="L256">
            <v>4253468</v>
          </cell>
          <cell r="M256">
            <v>200000</v>
          </cell>
        </row>
        <row r="257">
          <cell r="A257" t="str">
            <v>A237440</v>
          </cell>
          <cell r="B257" t="str">
            <v>254</v>
          </cell>
          <cell r="C257" t="str">
            <v>237440</v>
          </cell>
          <cell r="D257" t="str">
            <v>TIGER 경기방어채권혼합</v>
          </cell>
          <cell r="E257">
            <v>10051.31</v>
          </cell>
          <cell r="F257">
            <v>10035</v>
          </cell>
          <cell r="G257" t="str">
            <v>15 ( 0.15%)</v>
          </cell>
          <cell r="H257">
            <v>1034</v>
          </cell>
          <cell r="I257" t="str">
            <v>혼합-주식채권</v>
          </cell>
          <cell r="J257">
            <v>48</v>
          </cell>
          <cell r="K257">
            <v>2802</v>
          </cell>
          <cell r="L257">
            <v>188482466</v>
          </cell>
          <cell r="M257">
            <v>100000</v>
          </cell>
        </row>
        <row r="258">
          <cell r="A258" t="str">
            <v>A238670</v>
          </cell>
          <cell r="B258" t="str">
            <v>255</v>
          </cell>
          <cell r="C258" t="str">
            <v>238670</v>
          </cell>
          <cell r="D258" t="str">
            <v>PLUS 스마트베타Quality채권혼합</v>
          </cell>
          <cell r="E258">
            <v>13052.5</v>
          </cell>
          <cell r="F258">
            <v>13075</v>
          </cell>
          <cell r="G258" t="str">
            <v>40 ( 0.31%)</v>
          </cell>
          <cell r="H258">
            <v>80</v>
          </cell>
          <cell r="I258" t="str">
            <v>혼합-주식채권</v>
          </cell>
          <cell r="J258">
            <v>58</v>
          </cell>
          <cell r="K258">
            <v>14527</v>
          </cell>
          <cell r="L258">
            <v>182349141</v>
          </cell>
          <cell r="M258">
            <v>100000</v>
          </cell>
        </row>
        <row r="259">
          <cell r="A259" t="str">
            <v>A239660</v>
          </cell>
          <cell r="B259" t="str">
            <v>256</v>
          </cell>
          <cell r="C259" t="str">
            <v>239660</v>
          </cell>
          <cell r="D259" t="str">
            <v>PLUS 우량회사채50</v>
          </cell>
          <cell r="E259">
            <v>121207.91</v>
          </cell>
          <cell r="F259">
            <v>121210</v>
          </cell>
          <cell r="G259" t="str">
            <v>50 ( 0.04%)</v>
          </cell>
          <cell r="H259">
            <v>589</v>
          </cell>
          <cell r="I259" t="str">
            <v>채권-회사채</v>
          </cell>
          <cell r="J259">
            <v>15</v>
          </cell>
          <cell r="K259">
            <v>1111</v>
          </cell>
          <cell r="L259">
            <v>146436664</v>
          </cell>
          <cell r="M259">
            <v>20000</v>
          </cell>
        </row>
        <row r="260">
          <cell r="A260" t="str">
            <v>A241390</v>
          </cell>
          <cell r="B260" t="str">
            <v>257</v>
          </cell>
          <cell r="C260" t="str">
            <v>241390</v>
          </cell>
          <cell r="D260" t="str">
            <v>RISE V&amp;S셀렉트밸류채권혼합</v>
          </cell>
          <cell r="E260">
            <v>15575.53</v>
          </cell>
          <cell r="F260">
            <v>15520</v>
          </cell>
          <cell r="G260" t="str">
            <v>295 ( 1.94%)</v>
          </cell>
          <cell r="H260">
            <v>2106</v>
          </cell>
          <cell r="I260" t="str">
            <v>혼합-주식채권</v>
          </cell>
          <cell r="J260">
            <v>48</v>
          </cell>
          <cell r="K260">
            <v>22747</v>
          </cell>
          <cell r="L260">
            <v>65974876</v>
          </cell>
          <cell r="M260">
            <v>200000</v>
          </cell>
        </row>
        <row r="261">
          <cell r="A261" t="str">
            <v>A243880</v>
          </cell>
          <cell r="B261" t="str">
            <v>258</v>
          </cell>
          <cell r="C261" t="str">
            <v>243880</v>
          </cell>
          <cell r="D261" t="str">
            <v>TIGER 200IT레버리지</v>
          </cell>
          <cell r="E261">
            <v>393362.87</v>
          </cell>
          <cell r="F261">
            <v>392245</v>
          </cell>
          <cell r="G261" t="str">
            <v>36,060 (10.12%)</v>
          </cell>
          <cell r="H261">
            <v>73193</v>
          </cell>
          <cell r="I261" t="str">
            <v>주식-업종섹터</v>
          </cell>
          <cell r="J261">
            <v>17</v>
          </cell>
          <cell r="K261">
            <v>58045</v>
          </cell>
          <cell r="L261">
            <v>-8879392928</v>
          </cell>
          <cell r="M261">
            <v>25000</v>
          </cell>
        </row>
        <row r="262">
          <cell r="A262" t="str">
            <v>A243890</v>
          </cell>
          <cell r="B262" t="str">
            <v>259</v>
          </cell>
          <cell r="C262" t="str">
            <v>243890</v>
          </cell>
          <cell r="D262" t="str">
            <v>TIGER 200에너지화학레버리지</v>
          </cell>
          <cell r="E262">
            <v>7794.99</v>
          </cell>
          <cell r="F262">
            <v>7780</v>
          </cell>
          <cell r="G262" t="str">
            <v>110 ( 1.43%)</v>
          </cell>
          <cell r="H262">
            <v>38132</v>
          </cell>
          <cell r="I262" t="str">
            <v>주식-업종섹터</v>
          </cell>
          <cell r="J262">
            <v>29</v>
          </cell>
          <cell r="K262">
            <v>5285</v>
          </cell>
          <cell r="L262">
            <v>-199692466</v>
          </cell>
          <cell r="M262">
            <v>25000</v>
          </cell>
        </row>
        <row r="263">
          <cell r="A263" t="str">
            <v>A244580</v>
          </cell>
          <cell r="B263" t="str">
            <v>260</v>
          </cell>
          <cell r="C263" t="str">
            <v>244580</v>
          </cell>
          <cell r="D263" t="str">
            <v>KODEX 바이오</v>
          </cell>
          <cell r="E263">
            <v>7691.06</v>
          </cell>
          <cell r="F263">
            <v>7680</v>
          </cell>
          <cell r="G263" t="str">
            <v>170 ( 2.17%)</v>
          </cell>
          <cell r="H263">
            <v>268239</v>
          </cell>
          <cell r="I263" t="str">
            <v>주식-업종섹터</v>
          </cell>
          <cell r="J263">
            <v>50</v>
          </cell>
          <cell r="K263">
            <v>24919</v>
          </cell>
          <cell r="L263">
            <v>2334002</v>
          </cell>
          <cell r="M263">
            <v>80000</v>
          </cell>
        </row>
        <row r="264">
          <cell r="A264" t="str">
            <v>A244620</v>
          </cell>
          <cell r="B264" t="str">
            <v>261</v>
          </cell>
          <cell r="C264" t="str">
            <v>244620</v>
          </cell>
          <cell r="D264" t="str">
            <v>KODEX 모멘텀Plus</v>
          </cell>
          <cell r="E264">
            <v>20643.54</v>
          </cell>
          <cell r="F264">
            <v>20670</v>
          </cell>
          <cell r="G264" t="str">
            <v>610 ( 3.04%)</v>
          </cell>
          <cell r="H264">
            <v>1864</v>
          </cell>
          <cell r="I264" t="str">
            <v>주식-전략</v>
          </cell>
          <cell r="J264">
            <v>56</v>
          </cell>
          <cell r="K264">
            <v>21086</v>
          </cell>
          <cell r="L264">
            <v>36225127</v>
          </cell>
          <cell r="M264">
            <v>100000</v>
          </cell>
        </row>
        <row r="265">
          <cell r="A265" t="str">
            <v>A244660</v>
          </cell>
          <cell r="B265" t="str">
            <v>262</v>
          </cell>
          <cell r="C265" t="str">
            <v>244660</v>
          </cell>
          <cell r="D265" t="str">
            <v>KODEX 퀄리티Plus</v>
          </cell>
          <cell r="E265">
            <v>8996.7999999999993</v>
          </cell>
          <cell r="F265">
            <v>9010</v>
          </cell>
          <cell r="G265" t="str">
            <v>0 ( 0.00%)</v>
          </cell>
          <cell r="H265">
            <v>10</v>
          </cell>
          <cell r="I265" t="str">
            <v>주식-전략</v>
          </cell>
          <cell r="J265">
            <v>48</v>
          </cell>
          <cell r="K265">
            <v>40885</v>
          </cell>
          <cell r="L265">
            <v>4607979</v>
          </cell>
          <cell r="M265">
            <v>100000</v>
          </cell>
        </row>
        <row r="266">
          <cell r="A266" t="str">
            <v>A244670</v>
          </cell>
          <cell r="B266" t="str">
            <v>263</v>
          </cell>
          <cell r="C266" t="str">
            <v>244670</v>
          </cell>
          <cell r="D266" t="str">
            <v>KODEX 밸류Plus</v>
          </cell>
          <cell r="E266">
            <v>11057.27</v>
          </cell>
          <cell r="F266">
            <v>11030</v>
          </cell>
          <cell r="G266" t="str">
            <v>120 ( 1.10%)</v>
          </cell>
          <cell r="H266">
            <v>65</v>
          </cell>
          <cell r="I266" t="str">
            <v>주식-전략</v>
          </cell>
          <cell r="J266">
            <v>50</v>
          </cell>
          <cell r="K266">
            <v>80361</v>
          </cell>
          <cell r="L266">
            <v>6776089</v>
          </cell>
          <cell r="M266">
            <v>100000</v>
          </cell>
        </row>
        <row r="267">
          <cell r="A267" t="str">
            <v>A250780</v>
          </cell>
          <cell r="B267" t="str">
            <v>264</v>
          </cell>
          <cell r="C267" t="str">
            <v>250780</v>
          </cell>
          <cell r="D267" t="str">
            <v>TIGER 코스닥150선물인버스</v>
          </cell>
          <cell r="E267">
            <v>2845.55</v>
          </cell>
          <cell r="F267">
            <v>2845</v>
          </cell>
          <cell r="G267" t="str">
            <v>25 ( 0.87%)</v>
          </cell>
          <cell r="H267">
            <v>309915</v>
          </cell>
          <cell r="I267" t="str">
            <v>주식-시장대표</v>
          </cell>
          <cell r="J267">
            <v>1</v>
          </cell>
          <cell r="K267">
            <v>-11</v>
          </cell>
          <cell r="L267">
            <v>144077130</v>
          </cell>
          <cell r="M267">
            <v>50000</v>
          </cell>
        </row>
        <row r="268">
          <cell r="A268" t="str">
            <v>A251340</v>
          </cell>
          <cell r="B268" t="str">
            <v>265</v>
          </cell>
          <cell r="C268" t="str">
            <v>251340</v>
          </cell>
          <cell r="D268" t="str">
            <v>KODEX 코스닥150선물인버스</v>
          </cell>
          <cell r="E268">
            <v>2866.49</v>
          </cell>
          <cell r="F268">
            <v>2845</v>
          </cell>
          <cell r="G268" t="str">
            <v>10 ( 0.35%)</v>
          </cell>
          <cell r="H268">
            <v>28711399</v>
          </cell>
          <cell r="I268" t="str">
            <v>주식-시장대표</v>
          </cell>
          <cell r="J268">
            <v>1</v>
          </cell>
          <cell r="K268">
            <v>-23</v>
          </cell>
          <cell r="L268">
            <v>290227625</v>
          </cell>
          <cell r="M268">
            <v>100000</v>
          </cell>
        </row>
        <row r="269">
          <cell r="A269" t="str">
            <v>A251590</v>
          </cell>
          <cell r="B269" t="str">
            <v>266</v>
          </cell>
          <cell r="C269" t="str">
            <v>251590</v>
          </cell>
          <cell r="D269" t="str">
            <v>PLUS 고배당저변동50</v>
          </cell>
          <cell r="E269">
            <v>16616.830000000002</v>
          </cell>
          <cell r="F269">
            <v>16575</v>
          </cell>
          <cell r="G269" t="str">
            <v>105 ( 0.63%)</v>
          </cell>
          <cell r="H269">
            <v>483</v>
          </cell>
          <cell r="I269" t="str">
            <v>주식-전략</v>
          </cell>
          <cell r="J269">
            <v>50</v>
          </cell>
          <cell r="K269">
            <v>81437</v>
          </cell>
          <cell r="L269">
            <v>5285409</v>
          </cell>
          <cell r="M269">
            <v>50000</v>
          </cell>
        </row>
        <row r="270">
          <cell r="A270" t="str">
            <v>A251600</v>
          </cell>
          <cell r="B270" t="str">
            <v>267</v>
          </cell>
          <cell r="C270" t="str">
            <v>251600</v>
          </cell>
          <cell r="D270" t="str">
            <v>PLUS 고배당주채권혼합</v>
          </cell>
          <cell r="E270">
            <v>15301.22</v>
          </cell>
          <cell r="F270">
            <v>15280</v>
          </cell>
          <cell r="G270" t="str">
            <v>65 ( 0.43%)</v>
          </cell>
          <cell r="H270">
            <v>169503</v>
          </cell>
          <cell r="I270" t="str">
            <v>혼합-주식채권</v>
          </cell>
          <cell r="J270">
            <v>42</v>
          </cell>
          <cell r="K270">
            <v>25719</v>
          </cell>
          <cell r="L270">
            <v>-2946039</v>
          </cell>
          <cell r="M270">
            <v>100000</v>
          </cell>
        </row>
        <row r="271">
          <cell r="A271" t="str">
            <v>A252000</v>
          </cell>
          <cell r="B271" t="str">
            <v>268</v>
          </cell>
          <cell r="C271" t="str">
            <v>252000</v>
          </cell>
          <cell r="D271" t="str">
            <v>TIGER 200동일가중</v>
          </cell>
          <cell r="E271">
            <v>18209.349999999999</v>
          </cell>
          <cell r="F271">
            <v>18215</v>
          </cell>
          <cell r="G271" t="str">
            <v>260 ( 1.45%)</v>
          </cell>
          <cell r="H271">
            <v>126</v>
          </cell>
          <cell r="I271" t="str">
            <v>주식-시장대표</v>
          </cell>
          <cell r="J271">
            <v>200</v>
          </cell>
          <cell r="K271">
            <v>22275</v>
          </cell>
          <cell r="L271">
            <v>2482166</v>
          </cell>
          <cell r="M271">
            <v>50000</v>
          </cell>
        </row>
        <row r="272">
          <cell r="A272" t="str">
            <v>A252400</v>
          </cell>
          <cell r="B272" t="str">
            <v>269</v>
          </cell>
          <cell r="C272" t="str">
            <v>252400</v>
          </cell>
          <cell r="D272" t="str">
            <v>RISE 200선물레버리지</v>
          </cell>
          <cell r="E272">
            <v>111689.83</v>
          </cell>
          <cell r="F272">
            <v>111550</v>
          </cell>
          <cell r="G272" t="str">
            <v>10,140 (10.00%)</v>
          </cell>
          <cell r="H272">
            <v>15129</v>
          </cell>
          <cell r="I272" t="str">
            <v>주식-시장대표</v>
          </cell>
          <cell r="J272">
            <v>4</v>
          </cell>
          <cell r="K272">
            <v>40395</v>
          </cell>
          <cell r="L272">
            <v>6840954692</v>
          </cell>
          <cell r="M272">
            <v>100000</v>
          </cell>
        </row>
        <row r="273">
          <cell r="A273" t="str">
            <v>A252410</v>
          </cell>
          <cell r="B273" t="str">
            <v>270</v>
          </cell>
          <cell r="C273" t="str">
            <v>252410</v>
          </cell>
          <cell r="D273" t="str">
            <v>RISE 200선물인버스</v>
          </cell>
          <cell r="E273">
            <v>1411.91</v>
          </cell>
          <cell r="F273">
            <v>1407</v>
          </cell>
          <cell r="G273" t="str">
            <v>75 ( 5.06%)</v>
          </cell>
          <cell r="H273">
            <v>51535</v>
          </cell>
          <cell r="I273" t="str">
            <v>주식-시장대표</v>
          </cell>
          <cell r="J273">
            <v>3</v>
          </cell>
          <cell r="K273">
            <v>7894</v>
          </cell>
          <cell r="L273">
            <v>148032969</v>
          </cell>
          <cell r="M273">
            <v>100000</v>
          </cell>
        </row>
        <row r="274">
          <cell r="A274" t="str">
            <v>A252420</v>
          </cell>
          <cell r="B274" t="str">
            <v>271</v>
          </cell>
          <cell r="C274" t="str">
            <v>252420</v>
          </cell>
          <cell r="D274" t="str">
            <v>RISE 200선물인버스2X</v>
          </cell>
          <cell r="E274">
            <v>102.07</v>
          </cell>
          <cell r="F274">
            <v>103</v>
          </cell>
          <cell r="G274" t="str">
            <v>10 ( 8.85%)</v>
          </cell>
          <cell r="H274">
            <v>2251963</v>
          </cell>
          <cell r="I274" t="str">
            <v>주식-시장대표</v>
          </cell>
          <cell r="J274">
            <v>3</v>
          </cell>
          <cell r="K274">
            <v>10024</v>
          </cell>
          <cell r="L274">
            <v>8941038</v>
          </cell>
          <cell r="M274">
            <v>100000</v>
          </cell>
        </row>
        <row r="275">
          <cell r="A275" t="str">
            <v>A252650</v>
          </cell>
          <cell r="B275" t="str">
            <v>272</v>
          </cell>
          <cell r="C275" t="str">
            <v>252650</v>
          </cell>
          <cell r="D275" t="str">
            <v>KODEX 200동일가중</v>
          </cell>
          <cell r="E275">
            <v>17446.28</v>
          </cell>
          <cell r="F275">
            <v>17390</v>
          </cell>
          <cell r="G275" t="str">
            <v>165 ( 0.96%)</v>
          </cell>
          <cell r="H275">
            <v>520</v>
          </cell>
          <cell r="I275" t="str">
            <v>주식-시장대표</v>
          </cell>
          <cell r="J275">
            <v>200</v>
          </cell>
          <cell r="K275">
            <v>42694</v>
          </cell>
          <cell r="L275">
            <v>5289519</v>
          </cell>
          <cell r="M275">
            <v>100000</v>
          </cell>
        </row>
        <row r="276">
          <cell r="A276" t="str">
            <v>A252670</v>
          </cell>
          <cell r="B276" t="str">
            <v>273</v>
          </cell>
          <cell r="C276" t="str">
            <v>252670</v>
          </cell>
          <cell r="D276" t="str">
            <v>KODEX 200선물인버스2X</v>
          </cell>
          <cell r="E276">
            <v>98</v>
          </cell>
          <cell r="F276">
            <v>98</v>
          </cell>
          <cell r="G276" t="str">
            <v>11 (10.09%)</v>
          </cell>
          <cell r="H276">
            <v>7079081474</v>
          </cell>
          <cell r="I276" t="str">
            <v>주식-시장대표</v>
          </cell>
          <cell r="J276">
            <v>2</v>
          </cell>
          <cell r="K276">
            <v>2050</v>
          </cell>
          <cell r="L276">
            <v>8632596</v>
          </cell>
          <cell r="M276">
            <v>100000</v>
          </cell>
        </row>
        <row r="277">
          <cell r="A277" t="str">
            <v>A252710</v>
          </cell>
          <cell r="B277" t="str">
            <v>274</v>
          </cell>
          <cell r="C277" t="str">
            <v>252710</v>
          </cell>
          <cell r="D277" t="str">
            <v>TIGER 200선물인버스2X</v>
          </cell>
          <cell r="E277">
            <v>105.33</v>
          </cell>
          <cell r="F277">
            <v>106</v>
          </cell>
          <cell r="G277" t="str">
            <v>11 ( 9.40%)</v>
          </cell>
          <cell r="H277">
            <v>71380401</v>
          </cell>
          <cell r="I277" t="str">
            <v>주식-시장대표</v>
          </cell>
          <cell r="J277">
            <v>2</v>
          </cell>
          <cell r="K277">
            <v>2538</v>
          </cell>
          <cell r="L277">
            <v>8473246</v>
          </cell>
          <cell r="M277">
            <v>100000</v>
          </cell>
        </row>
        <row r="278">
          <cell r="A278" t="str">
            <v>A253150</v>
          </cell>
          <cell r="B278" t="str">
            <v>275</v>
          </cell>
          <cell r="C278" t="str">
            <v>253150</v>
          </cell>
          <cell r="D278" t="str">
            <v>PLUS 200선물레버리지</v>
          </cell>
          <cell r="E278">
            <v>222858.81</v>
          </cell>
          <cell r="F278">
            <v>222895</v>
          </cell>
          <cell r="G278" t="str">
            <v>20,395 (10.07%)</v>
          </cell>
          <cell r="H278">
            <v>170580</v>
          </cell>
          <cell r="I278" t="str">
            <v>주식-시장대표</v>
          </cell>
          <cell r="J278">
            <v>5</v>
          </cell>
          <cell r="K278">
            <v>24168</v>
          </cell>
          <cell r="L278">
            <v>8238483509</v>
          </cell>
          <cell r="M278">
            <v>50000</v>
          </cell>
        </row>
        <row r="279">
          <cell r="A279" t="str">
            <v>A253160</v>
          </cell>
          <cell r="B279" t="str">
            <v>276</v>
          </cell>
          <cell r="C279" t="str">
            <v>253160</v>
          </cell>
          <cell r="D279" t="str">
            <v>PLUS 200선물인버스2X</v>
          </cell>
          <cell r="E279">
            <v>200.42</v>
          </cell>
          <cell r="F279">
            <v>199</v>
          </cell>
          <cell r="G279" t="str">
            <v>21 ( 9.55%)</v>
          </cell>
          <cell r="H279">
            <v>704120</v>
          </cell>
          <cell r="I279" t="str">
            <v>주식-시장대표</v>
          </cell>
          <cell r="J279">
            <v>3</v>
          </cell>
          <cell r="K279">
            <v>14831</v>
          </cell>
          <cell r="L279">
            <v>9497368</v>
          </cell>
          <cell r="M279">
            <v>50000</v>
          </cell>
        </row>
        <row r="280">
          <cell r="A280" t="str">
            <v>A253230</v>
          </cell>
          <cell r="B280" t="str">
            <v>277</v>
          </cell>
          <cell r="C280" t="str">
            <v>253230</v>
          </cell>
          <cell r="D280" t="str">
            <v>KIWOOM 200선물인버스2X</v>
          </cell>
          <cell r="E280">
            <v>96.79</v>
          </cell>
          <cell r="F280">
            <v>96</v>
          </cell>
          <cell r="G280" t="str">
            <v>10 ( 9.43%)</v>
          </cell>
          <cell r="H280">
            <v>1120723</v>
          </cell>
          <cell r="I280" t="str">
            <v>주식-시장대표</v>
          </cell>
          <cell r="J280">
            <v>3</v>
          </cell>
          <cell r="K280">
            <v>12357</v>
          </cell>
          <cell r="L280">
            <v>9222764</v>
          </cell>
          <cell r="M280">
            <v>100000</v>
          </cell>
        </row>
        <row r="281">
          <cell r="A281" t="str">
            <v>A253240</v>
          </cell>
          <cell r="B281" t="str">
            <v>278</v>
          </cell>
          <cell r="C281" t="str">
            <v>253240</v>
          </cell>
          <cell r="D281" t="str">
            <v>KIWOOM 200선물인버스</v>
          </cell>
          <cell r="E281">
            <v>1409.52</v>
          </cell>
          <cell r="F281">
            <v>1408</v>
          </cell>
          <cell r="G281" t="str">
            <v>65 ( 4.41%)</v>
          </cell>
          <cell r="H281">
            <v>62771</v>
          </cell>
          <cell r="I281" t="str">
            <v>주식-시장대표</v>
          </cell>
          <cell r="J281">
            <v>2</v>
          </cell>
          <cell r="K281">
            <v>3450</v>
          </cell>
          <cell r="L281">
            <v>25753946</v>
          </cell>
          <cell r="M281">
            <v>20000</v>
          </cell>
        </row>
        <row r="282">
          <cell r="A282" t="str">
            <v>A253250</v>
          </cell>
          <cell r="B282" t="str">
            <v>279</v>
          </cell>
          <cell r="C282" t="str">
            <v>253250</v>
          </cell>
          <cell r="D282" t="str">
            <v>KIWOOM 200선물레버리지</v>
          </cell>
          <cell r="E282">
            <v>109047.05</v>
          </cell>
          <cell r="F282">
            <v>108865</v>
          </cell>
          <cell r="G282" t="str">
            <v>9,785 ( 9.88%)</v>
          </cell>
          <cell r="H282">
            <v>29122</v>
          </cell>
          <cell r="I282" t="str">
            <v>주식-시장대표</v>
          </cell>
          <cell r="J282">
            <v>2</v>
          </cell>
          <cell r="K282">
            <v>2501</v>
          </cell>
          <cell r="L282">
            <v>728611099</v>
          </cell>
          <cell r="M282">
            <v>10000</v>
          </cell>
        </row>
        <row r="283">
          <cell r="A283" t="str">
            <v>A253280</v>
          </cell>
          <cell r="B283" t="str">
            <v>280</v>
          </cell>
          <cell r="C283" t="str">
            <v>253280</v>
          </cell>
          <cell r="D283" t="str">
            <v>RISE 헬스케어</v>
          </cell>
          <cell r="E283">
            <v>11814.96</v>
          </cell>
          <cell r="F283">
            <v>11805</v>
          </cell>
          <cell r="G283" t="str">
            <v>95 ( 0.80%)</v>
          </cell>
          <cell r="H283">
            <v>322</v>
          </cell>
          <cell r="I283" t="str">
            <v>주식-업종섹터</v>
          </cell>
          <cell r="J283">
            <v>45</v>
          </cell>
          <cell r="K283">
            <v>10042</v>
          </cell>
          <cell r="L283">
            <v>7823225</v>
          </cell>
          <cell r="M283">
            <v>50000</v>
          </cell>
        </row>
        <row r="284">
          <cell r="A284" t="str">
            <v>A253290</v>
          </cell>
          <cell r="B284" t="str">
            <v>281</v>
          </cell>
          <cell r="C284" t="str">
            <v>253290</v>
          </cell>
          <cell r="D284" t="str">
            <v>RISE 헬스케어채권혼합</v>
          </cell>
          <cell r="E284">
            <v>11417.48</v>
          </cell>
          <cell r="F284">
            <v>11340</v>
          </cell>
          <cell r="G284" t="str">
            <v>0 ( 0.00%)</v>
          </cell>
          <cell r="H284">
            <v>7346</v>
          </cell>
          <cell r="I284" t="str">
            <v>혼합-주식채권</v>
          </cell>
          <cell r="J284">
            <v>51</v>
          </cell>
          <cell r="K284">
            <v>30031</v>
          </cell>
          <cell r="L284">
            <v>14879830</v>
          </cell>
          <cell r="M284">
            <v>200000</v>
          </cell>
        </row>
        <row r="285">
          <cell r="A285" t="str">
            <v>A261060</v>
          </cell>
          <cell r="B285" t="str">
            <v>282</v>
          </cell>
          <cell r="C285" t="str">
            <v>261060</v>
          </cell>
          <cell r="D285" t="str">
            <v>TIGER 코스닥150IT</v>
          </cell>
          <cell r="E285">
            <v>22118.76</v>
          </cell>
          <cell r="F285">
            <v>22115</v>
          </cell>
          <cell r="G285" t="str">
            <v>90 ( 0.41%)</v>
          </cell>
          <cell r="H285">
            <v>23985</v>
          </cell>
          <cell r="I285" t="str">
            <v>주식-업종섹터</v>
          </cell>
          <cell r="J285">
            <v>57</v>
          </cell>
          <cell r="K285">
            <v>9834</v>
          </cell>
          <cell r="L285">
            <v>2881245</v>
          </cell>
          <cell r="M285">
            <v>20000</v>
          </cell>
        </row>
        <row r="286">
          <cell r="A286" t="str">
            <v>A261070</v>
          </cell>
          <cell r="B286" t="str">
            <v>283</v>
          </cell>
          <cell r="C286" t="str">
            <v>261070</v>
          </cell>
          <cell r="D286" t="str">
            <v>TIGER 코스닥150바이오테크</v>
          </cell>
          <cell r="E286">
            <v>10839.02</v>
          </cell>
          <cell r="F286">
            <v>10835</v>
          </cell>
          <cell r="G286" t="str">
            <v>290 ( 2.61%)</v>
          </cell>
          <cell r="H286">
            <v>143300</v>
          </cell>
          <cell r="I286" t="str">
            <v>주식-업종섹터</v>
          </cell>
          <cell r="J286">
            <v>26</v>
          </cell>
          <cell r="K286">
            <v>3813</v>
          </cell>
          <cell r="L286">
            <v>370883</v>
          </cell>
          <cell r="M286">
            <v>20000</v>
          </cell>
        </row>
        <row r="287">
          <cell r="A287" t="str">
            <v>A261110</v>
          </cell>
          <cell r="B287" t="str">
            <v>284</v>
          </cell>
          <cell r="C287" t="str">
            <v>261110</v>
          </cell>
          <cell r="D287" t="str">
            <v>TIGER 미국달러선물레버리지</v>
          </cell>
          <cell r="E287">
            <v>18169.740000000002</v>
          </cell>
          <cell r="F287">
            <v>18130</v>
          </cell>
          <cell r="G287" t="str">
            <v>115 ( 0.63%)</v>
          </cell>
          <cell r="H287">
            <v>1202</v>
          </cell>
          <cell r="I287" t="str">
            <v>통화-미국달러</v>
          </cell>
          <cell r="J287">
            <v>3</v>
          </cell>
          <cell r="K287">
            <v>10224</v>
          </cell>
          <cell r="L287">
            <v>1587312258</v>
          </cell>
          <cell r="M287">
            <v>100000</v>
          </cell>
        </row>
        <row r="288">
          <cell r="A288" t="str">
            <v>A261120</v>
          </cell>
          <cell r="B288" t="str">
            <v>285</v>
          </cell>
          <cell r="C288" t="str">
            <v>261120</v>
          </cell>
          <cell r="D288" t="str">
            <v>TIGER 미국달러선물인버스2X</v>
          </cell>
          <cell r="E288">
            <v>4652.66</v>
          </cell>
          <cell r="F288">
            <v>4655</v>
          </cell>
          <cell r="G288" t="str">
            <v>25 ( 0.54%)</v>
          </cell>
          <cell r="H288">
            <v>14316</v>
          </cell>
          <cell r="I288" t="str">
            <v>통화-미국달러</v>
          </cell>
          <cell r="J288">
            <v>3</v>
          </cell>
          <cell r="K288">
            <v>6369</v>
          </cell>
          <cell r="L288">
            <v>432324949</v>
          </cell>
          <cell r="M288">
            <v>100000</v>
          </cell>
        </row>
        <row r="289">
          <cell r="A289" t="str">
            <v>A261140</v>
          </cell>
          <cell r="B289" t="str">
            <v>286</v>
          </cell>
          <cell r="C289" t="str">
            <v>261140</v>
          </cell>
          <cell r="D289" t="str">
            <v>TIGER 우선주</v>
          </cell>
          <cell r="E289">
            <v>23224.05</v>
          </cell>
          <cell r="F289">
            <v>23195</v>
          </cell>
          <cell r="G289" t="str">
            <v>690 ( 3.07%)</v>
          </cell>
          <cell r="H289">
            <v>6602</v>
          </cell>
          <cell r="I289" t="str">
            <v>주식-전략</v>
          </cell>
          <cell r="J289">
            <v>20</v>
          </cell>
          <cell r="K289">
            <v>7206</v>
          </cell>
          <cell r="L289">
            <v>1155496</v>
          </cell>
          <cell r="M289">
            <v>20000</v>
          </cell>
        </row>
        <row r="290">
          <cell r="A290" t="str">
            <v>A261240</v>
          </cell>
          <cell r="B290" t="str">
            <v>287</v>
          </cell>
          <cell r="C290" t="str">
            <v>261240</v>
          </cell>
          <cell r="D290" t="str">
            <v>KODEX 미국달러선물</v>
          </cell>
          <cell r="E290">
            <v>15193.7</v>
          </cell>
          <cell r="F290">
            <v>15175</v>
          </cell>
          <cell r="G290" t="str">
            <v>35 ( 0.23%)</v>
          </cell>
          <cell r="H290">
            <v>30587</v>
          </cell>
          <cell r="I290" t="str">
            <v>통화-미국달러</v>
          </cell>
          <cell r="J290">
            <v>1</v>
          </cell>
          <cell r="K290">
            <v>10</v>
          </cell>
          <cell r="L290">
            <v>152348953</v>
          </cell>
          <cell r="M290">
            <v>10000</v>
          </cell>
        </row>
        <row r="291">
          <cell r="A291" t="str">
            <v>A261250</v>
          </cell>
          <cell r="B291" t="str">
            <v>288</v>
          </cell>
          <cell r="C291" t="str">
            <v>261250</v>
          </cell>
          <cell r="D291" t="str">
            <v>KODEX 미국달러선물레버리지</v>
          </cell>
          <cell r="E291">
            <v>18122.04</v>
          </cell>
          <cell r="F291">
            <v>18085</v>
          </cell>
          <cell r="G291" t="str">
            <v>100 ( 0.55%)</v>
          </cell>
          <cell r="H291">
            <v>12643</v>
          </cell>
          <cell r="I291" t="str">
            <v>통화-미국달러</v>
          </cell>
          <cell r="J291">
            <v>5</v>
          </cell>
          <cell r="K291">
            <v>5971</v>
          </cell>
          <cell r="L291">
            <v>102895394</v>
          </cell>
          <cell r="M291">
            <v>10000</v>
          </cell>
        </row>
        <row r="292">
          <cell r="A292" t="str">
            <v>A261260</v>
          </cell>
          <cell r="B292" t="str">
            <v>289</v>
          </cell>
          <cell r="C292" t="str">
            <v>261260</v>
          </cell>
          <cell r="D292" t="str">
            <v>KODEX 미국달러선물인버스2X</v>
          </cell>
          <cell r="E292">
            <v>4689.68</v>
          </cell>
          <cell r="F292">
            <v>4685</v>
          </cell>
          <cell r="G292" t="str">
            <v>20 ( 0.43%)</v>
          </cell>
          <cell r="H292">
            <v>284857</v>
          </cell>
          <cell r="I292" t="str">
            <v>통화-미국달러</v>
          </cell>
          <cell r="J292">
            <v>6</v>
          </cell>
          <cell r="K292">
            <v>1447</v>
          </cell>
          <cell r="L292">
            <v>35464405</v>
          </cell>
          <cell r="M292">
            <v>10000</v>
          </cell>
        </row>
        <row r="293">
          <cell r="A293" t="str">
            <v>A261270</v>
          </cell>
          <cell r="B293" t="str">
            <v>290</v>
          </cell>
          <cell r="C293" t="str">
            <v>261270</v>
          </cell>
          <cell r="D293" t="str">
            <v>KODEX 미국달러선물인버스</v>
          </cell>
          <cell r="E293">
            <v>7577.78</v>
          </cell>
          <cell r="F293">
            <v>7565</v>
          </cell>
          <cell r="G293" t="str">
            <v>20 ( 0.27%)</v>
          </cell>
          <cell r="H293">
            <v>145838</v>
          </cell>
          <cell r="I293" t="str">
            <v>통화-미국달러</v>
          </cell>
          <cell r="J293">
            <v>1</v>
          </cell>
          <cell r="K293">
            <v>-5</v>
          </cell>
          <cell r="L293">
            <v>75573019</v>
          </cell>
          <cell r="M293">
            <v>10000</v>
          </cell>
        </row>
        <row r="294">
          <cell r="A294" t="str">
            <v>A266160</v>
          </cell>
          <cell r="B294" t="str">
            <v>291</v>
          </cell>
          <cell r="C294" t="str">
            <v>266160</v>
          </cell>
          <cell r="D294" t="str">
            <v>RISE 고배당</v>
          </cell>
          <cell r="E294">
            <v>33613.269999999997</v>
          </cell>
          <cell r="F294">
            <v>33605</v>
          </cell>
          <cell r="G294" t="str">
            <v>1,230 ( 3.80%)</v>
          </cell>
          <cell r="H294">
            <v>32642</v>
          </cell>
          <cell r="I294" t="str">
            <v>주식-전략</v>
          </cell>
          <cell r="J294">
            <v>79</v>
          </cell>
          <cell r="K294">
            <v>16422</v>
          </cell>
          <cell r="L294">
            <v>7169170</v>
          </cell>
          <cell r="M294">
            <v>50000</v>
          </cell>
        </row>
        <row r="295">
          <cell r="A295" t="str">
            <v>A266360</v>
          </cell>
          <cell r="B295" t="str">
            <v>292</v>
          </cell>
          <cell r="C295" t="str">
            <v>266360</v>
          </cell>
          <cell r="D295" t="str">
            <v>KODEX K콘텐츠</v>
          </cell>
          <cell r="E295">
            <v>9740.76</v>
          </cell>
          <cell r="F295">
            <v>9730</v>
          </cell>
          <cell r="G295" t="str">
            <v>310 ( 3.29%)</v>
          </cell>
          <cell r="H295">
            <v>32880</v>
          </cell>
          <cell r="I295" t="str">
            <v>주식-업종섹터</v>
          </cell>
          <cell r="J295">
            <v>20</v>
          </cell>
          <cell r="K295">
            <v>15602</v>
          </cell>
          <cell r="L295">
            <v>2591989</v>
          </cell>
          <cell r="M295">
            <v>100000</v>
          </cell>
        </row>
        <row r="296">
          <cell r="A296" t="str">
            <v>A266370</v>
          </cell>
          <cell r="B296" t="str">
            <v>293</v>
          </cell>
          <cell r="C296" t="str">
            <v>266370</v>
          </cell>
          <cell r="D296" t="str">
            <v>KODEX IT</v>
          </cell>
          <cell r="E296">
            <v>66633.539999999994</v>
          </cell>
          <cell r="F296">
            <v>66630</v>
          </cell>
          <cell r="G296" t="str">
            <v>2,745 ( 4.30%)</v>
          </cell>
          <cell r="H296">
            <v>141260</v>
          </cell>
          <cell r="I296" t="str">
            <v>주식-업종섹터</v>
          </cell>
          <cell r="J296">
            <v>45</v>
          </cell>
          <cell r="K296">
            <v>28885</v>
          </cell>
          <cell r="L296">
            <v>43169312</v>
          </cell>
          <cell r="M296">
            <v>100000</v>
          </cell>
        </row>
        <row r="297">
          <cell r="A297" t="str">
            <v>A266390</v>
          </cell>
          <cell r="B297" t="str">
            <v>294</v>
          </cell>
          <cell r="C297" t="str">
            <v>266390</v>
          </cell>
          <cell r="D297" t="str">
            <v>KODEX 경기소비재</v>
          </cell>
          <cell r="E297">
            <v>14764.81</v>
          </cell>
          <cell r="F297">
            <v>14735</v>
          </cell>
          <cell r="G297" t="str">
            <v>335 ( 2.33%)</v>
          </cell>
          <cell r="H297">
            <v>3245</v>
          </cell>
          <cell r="I297" t="str">
            <v>주식-업종섹터</v>
          </cell>
          <cell r="J297">
            <v>37</v>
          </cell>
          <cell r="K297">
            <v>33697</v>
          </cell>
          <cell r="L297">
            <v>4822399</v>
          </cell>
          <cell r="M297">
            <v>100000</v>
          </cell>
        </row>
        <row r="298">
          <cell r="A298" t="str">
            <v>A266410</v>
          </cell>
          <cell r="B298" t="str">
            <v>295</v>
          </cell>
          <cell r="C298" t="str">
            <v>266410</v>
          </cell>
          <cell r="D298" t="str">
            <v>KODEX 필수소비재</v>
          </cell>
          <cell r="E298">
            <v>9048.16</v>
          </cell>
          <cell r="F298">
            <v>8985</v>
          </cell>
          <cell r="G298" t="str">
            <v>100 ( 1.13%)</v>
          </cell>
          <cell r="H298">
            <v>5352</v>
          </cell>
          <cell r="I298" t="str">
            <v>주식-업종섹터</v>
          </cell>
          <cell r="J298">
            <v>36</v>
          </cell>
          <cell r="K298">
            <v>26127</v>
          </cell>
          <cell r="L298">
            <v>4131738</v>
          </cell>
          <cell r="M298">
            <v>200000</v>
          </cell>
        </row>
        <row r="299">
          <cell r="A299" t="str">
            <v>A266420</v>
          </cell>
          <cell r="B299" t="str">
            <v>296</v>
          </cell>
          <cell r="C299" t="str">
            <v>266420</v>
          </cell>
          <cell r="D299" t="str">
            <v>KODEX 헬스케어</v>
          </cell>
          <cell r="E299">
            <v>15403.28</v>
          </cell>
          <cell r="F299">
            <v>15370</v>
          </cell>
          <cell r="G299" t="str">
            <v>30 ( 0.19%)</v>
          </cell>
          <cell r="H299">
            <v>17325</v>
          </cell>
          <cell r="I299" t="str">
            <v>주식-업종섹터</v>
          </cell>
          <cell r="J299">
            <v>67</v>
          </cell>
          <cell r="K299">
            <v>26886</v>
          </cell>
          <cell r="L299">
            <v>2382059</v>
          </cell>
          <cell r="M299">
            <v>100000</v>
          </cell>
        </row>
        <row r="300">
          <cell r="A300" t="str">
            <v>A266550</v>
          </cell>
          <cell r="B300" t="str">
            <v>297</v>
          </cell>
          <cell r="C300" t="str">
            <v>266550</v>
          </cell>
          <cell r="D300" t="str">
            <v>PLUS 중형주저변동50</v>
          </cell>
          <cell r="E300">
            <v>17651.34</v>
          </cell>
          <cell r="F300">
            <v>17600</v>
          </cell>
          <cell r="G300" t="str">
            <v>10 ( 0.06%)</v>
          </cell>
          <cell r="H300">
            <v>98</v>
          </cell>
          <cell r="I300" t="str">
            <v>주식-규모</v>
          </cell>
          <cell r="J300">
            <v>50</v>
          </cell>
          <cell r="K300">
            <v>34252</v>
          </cell>
          <cell r="L300">
            <v>3874756</v>
          </cell>
          <cell r="M300">
            <v>50000</v>
          </cell>
        </row>
        <row r="301">
          <cell r="A301" t="str">
            <v>A267770</v>
          </cell>
          <cell r="B301" t="str">
            <v>298</v>
          </cell>
          <cell r="C301" t="str">
            <v>267770</v>
          </cell>
          <cell r="D301" t="str">
            <v>TIGER 200선물레버리지</v>
          </cell>
          <cell r="E301">
            <v>92737.83</v>
          </cell>
          <cell r="F301">
            <v>92630</v>
          </cell>
          <cell r="G301" t="str">
            <v>8,530 (10.14%)</v>
          </cell>
          <cell r="H301">
            <v>52634</v>
          </cell>
          <cell r="I301" t="str">
            <v>주식-시장대표</v>
          </cell>
          <cell r="J301">
            <v>4</v>
          </cell>
          <cell r="K301">
            <v>28274</v>
          </cell>
          <cell r="L301">
            <v>5446935799</v>
          </cell>
          <cell r="M301">
            <v>100000</v>
          </cell>
        </row>
        <row r="302">
          <cell r="A302" t="str">
            <v>A270800</v>
          </cell>
          <cell r="B302" t="str">
            <v>299</v>
          </cell>
          <cell r="C302" t="str">
            <v>270800</v>
          </cell>
          <cell r="D302" t="str">
            <v>RISE KQ고배당</v>
          </cell>
          <cell r="E302">
            <v>15001.4</v>
          </cell>
          <cell r="F302">
            <v>14745</v>
          </cell>
          <cell r="G302" t="str">
            <v>125 ( 0.85%)</v>
          </cell>
          <cell r="H302">
            <v>432</v>
          </cell>
          <cell r="I302" t="str">
            <v>주식-전략</v>
          </cell>
          <cell r="J302">
            <v>64</v>
          </cell>
          <cell r="K302">
            <v>55269</v>
          </cell>
          <cell r="L302">
            <v>12005737</v>
          </cell>
          <cell r="M302">
            <v>50000</v>
          </cell>
        </row>
        <row r="303">
          <cell r="A303" t="str">
            <v>A270810</v>
          </cell>
          <cell r="B303" t="str">
            <v>300</v>
          </cell>
          <cell r="C303" t="str">
            <v>270810</v>
          </cell>
          <cell r="D303" t="str">
            <v>RISE 코스닥150</v>
          </cell>
          <cell r="E303">
            <v>12630.08</v>
          </cell>
          <cell r="F303">
            <v>12620</v>
          </cell>
          <cell r="G303" t="str">
            <v>75 ( 0.60%)</v>
          </cell>
          <cell r="H303">
            <v>238264</v>
          </cell>
          <cell r="I303" t="str">
            <v>주식-시장대표</v>
          </cell>
          <cell r="J303">
            <v>150</v>
          </cell>
          <cell r="K303">
            <v>6520</v>
          </cell>
          <cell r="L303">
            <v>-53128</v>
          </cell>
          <cell r="M303">
            <v>20000</v>
          </cell>
        </row>
        <row r="304">
          <cell r="A304" t="str">
            <v>A272560</v>
          </cell>
          <cell r="B304" t="str">
            <v>301</v>
          </cell>
          <cell r="C304" t="str">
            <v>272560</v>
          </cell>
          <cell r="D304" t="str">
            <v>RISE 단기국공채액티브</v>
          </cell>
          <cell r="E304">
            <v>114435.52</v>
          </cell>
          <cell r="F304">
            <v>114430</v>
          </cell>
          <cell r="G304" t="str">
            <v>15 ( 0.01%)</v>
          </cell>
          <cell r="H304">
            <v>2658</v>
          </cell>
          <cell r="I304" t="str">
            <v>채권-국공채</v>
          </cell>
          <cell r="J304">
            <v>21</v>
          </cell>
          <cell r="K304">
            <v>0</v>
          </cell>
          <cell r="L304">
            <v>-32265760</v>
          </cell>
          <cell r="M304">
            <v>1000</v>
          </cell>
        </row>
        <row r="305">
          <cell r="A305" t="str">
            <v>A272570</v>
          </cell>
          <cell r="B305" t="str">
            <v>302</v>
          </cell>
          <cell r="C305" t="str">
            <v>272570</v>
          </cell>
          <cell r="D305" t="str">
            <v>RISE 중장기국공채액티브</v>
          </cell>
          <cell r="E305">
            <v>107281.25</v>
          </cell>
          <cell r="F305">
            <v>107220</v>
          </cell>
          <cell r="G305" t="str">
            <v>65 ( 0.06%)</v>
          </cell>
          <cell r="H305">
            <v>8</v>
          </cell>
          <cell r="I305" t="str">
            <v>채권-국공채</v>
          </cell>
          <cell r="J305">
            <v>6</v>
          </cell>
          <cell r="K305">
            <v>0</v>
          </cell>
          <cell r="L305">
            <v>-16984486</v>
          </cell>
          <cell r="M305">
            <v>1000</v>
          </cell>
        </row>
        <row r="306">
          <cell r="A306" t="str">
            <v>A272580</v>
          </cell>
          <cell r="B306" t="str">
            <v>303</v>
          </cell>
          <cell r="C306" t="str">
            <v>272580</v>
          </cell>
          <cell r="D306" t="str">
            <v>TIGER 단기채권액티브</v>
          </cell>
          <cell r="E306">
            <v>56879.21</v>
          </cell>
          <cell r="F306">
            <v>56880</v>
          </cell>
          <cell r="G306" t="str">
            <v>20 ( 0.04%)</v>
          </cell>
          <cell r="H306">
            <v>14922</v>
          </cell>
          <cell r="I306" t="str">
            <v>채권-혼합</v>
          </cell>
          <cell r="J306">
            <v>45</v>
          </cell>
          <cell r="K306">
            <v>0</v>
          </cell>
          <cell r="L306">
            <v>-13534996</v>
          </cell>
          <cell r="M306">
            <v>2000</v>
          </cell>
        </row>
        <row r="307">
          <cell r="A307" t="str">
            <v>A272910</v>
          </cell>
          <cell r="B307" t="str">
            <v>304</v>
          </cell>
          <cell r="C307" t="str">
            <v>272910</v>
          </cell>
          <cell r="D307" t="str">
            <v>ACE 중장기국공채액티브</v>
          </cell>
          <cell r="E307">
            <v>105501.91</v>
          </cell>
          <cell r="F307">
            <v>105520</v>
          </cell>
          <cell r="G307" t="str">
            <v>165 ( 0.16%)</v>
          </cell>
          <cell r="H307">
            <v>73</v>
          </cell>
          <cell r="I307" t="str">
            <v>채권-국공채</v>
          </cell>
          <cell r="J307">
            <v>29</v>
          </cell>
          <cell r="K307">
            <v>0</v>
          </cell>
          <cell r="L307">
            <v>-27399009</v>
          </cell>
          <cell r="M307">
            <v>1000</v>
          </cell>
        </row>
        <row r="308">
          <cell r="A308" t="str">
            <v>A273130</v>
          </cell>
          <cell r="B308" t="str">
            <v>305</v>
          </cell>
          <cell r="C308" t="str">
            <v>273130</v>
          </cell>
          <cell r="D308" t="str">
            <v>KODEX 종합채권(AA-이상)액티브</v>
          </cell>
          <cell r="E308">
            <v>109462.07</v>
          </cell>
          <cell r="F308">
            <v>109415</v>
          </cell>
          <cell r="G308" t="str">
            <v>90 ( 0.08%)</v>
          </cell>
          <cell r="H308">
            <v>43561</v>
          </cell>
          <cell r="I308" t="str">
            <v>채권-혼합</v>
          </cell>
          <cell r="J308">
            <v>383</v>
          </cell>
          <cell r="K308">
            <v>0</v>
          </cell>
          <cell r="L308">
            <v>-5302502</v>
          </cell>
          <cell r="M308">
            <v>1000</v>
          </cell>
        </row>
        <row r="309">
          <cell r="A309" t="str">
            <v>A273140</v>
          </cell>
          <cell r="B309" t="str">
            <v>306</v>
          </cell>
          <cell r="C309" t="str">
            <v>273140</v>
          </cell>
          <cell r="D309" t="str">
            <v>KODEX 단기변동금리부채권액티브</v>
          </cell>
          <cell r="E309">
            <v>114563.49</v>
          </cell>
          <cell r="F309">
            <v>114555</v>
          </cell>
          <cell r="G309" t="str">
            <v>10 ( 0.01%)</v>
          </cell>
          <cell r="H309">
            <v>5211</v>
          </cell>
          <cell r="I309" t="str">
            <v>채권-혼합</v>
          </cell>
          <cell r="J309">
            <v>13</v>
          </cell>
          <cell r="K309">
            <v>0</v>
          </cell>
          <cell r="L309">
            <v>28044190</v>
          </cell>
          <cell r="M309">
            <v>1000</v>
          </cell>
        </row>
        <row r="310">
          <cell r="A310" t="str">
            <v>A275280</v>
          </cell>
          <cell r="B310" t="str">
            <v>307</v>
          </cell>
          <cell r="C310" t="str">
            <v>275280</v>
          </cell>
          <cell r="D310" t="str">
            <v>KODEX 모멘텀주</v>
          </cell>
          <cell r="E310">
            <v>42619.98</v>
          </cell>
          <cell r="F310">
            <v>42500</v>
          </cell>
          <cell r="G310" t="str">
            <v>1,650 ( 4.04%)</v>
          </cell>
          <cell r="H310">
            <v>16684</v>
          </cell>
          <cell r="I310" t="str">
            <v>주식-전략</v>
          </cell>
          <cell r="J310">
            <v>196</v>
          </cell>
          <cell r="K310">
            <v>21432</v>
          </cell>
          <cell r="L310">
            <v>-4263449</v>
          </cell>
          <cell r="M310">
            <v>100000</v>
          </cell>
        </row>
        <row r="311">
          <cell r="A311" t="str">
            <v>A275290</v>
          </cell>
          <cell r="B311" t="str">
            <v>308</v>
          </cell>
          <cell r="C311" t="str">
            <v>275290</v>
          </cell>
          <cell r="D311" t="str">
            <v>KODEX 가치주</v>
          </cell>
          <cell r="E311">
            <v>34750.29</v>
          </cell>
          <cell r="F311">
            <v>34700</v>
          </cell>
          <cell r="G311" t="str">
            <v>1,305 ( 3.91%)</v>
          </cell>
          <cell r="H311">
            <v>2479</v>
          </cell>
          <cell r="I311" t="str">
            <v>주식-전략</v>
          </cell>
          <cell r="J311">
            <v>79</v>
          </cell>
          <cell r="K311">
            <v>55010</v>
          </cell>
          <cell r="L311">
            <v>11049684</v>
          </cell>
          <cell r="M311">
            <v>100000</v>
          </cell>
        </row>
        <row r="312">
          <cell r="A312" t="str">
            <v>A275300</v>
          </cell>
          <cell r="B312" t="str">
            <v>309</v>
          </cell>
          <cell r="C312" t="str">
            <v>275300</v>
          </cell>
          <cell r="D312" t="str">
            <v>KODEX 우량주</v>
          </cell>
          <cell r="E312">
            <v>30202.720000000001</v>
          </cell>
          <cell r="F312">
            <v>30230</v>
          </cell>
          <cell r="G312" t="str">
            <v>1,280 ( 4.42%)</v>
          </cell>
          <cell r="H312">
            <v>8698</v>
          </cell>
          <cell r="I312" t="str">
            <v>주식-전략</v>
          </cell>
          <cell r="J312">
            <v>124</v>
          </cell>
          <cell r="K312">
            <v>13118</v>
          </cell>
          <cell r="L312">
            <v>10974941</v>
          </cell>
          <cell r="M312">
            <v>100000</v>
          </cell>
        </row>
        <row r="313">
          <cell r="A313" t="str">
            <v>A275750</v>
          </cell>
          <cell r="B313" t="str">
            <v>310</v>
          </cell>
          <cell r="C313" t="str">
            <v>275750</v>
          </cell>
          <cell r="D313" t="str">
            <v>RISE 코스닥150선물인버스</v>
          </cell>
          <cell r="E313">
            <v>2883.65</v>
          </cell>
          <cell r="F313">
            <v>2860</v>
          </cell>
          <cell r="G313" t="str">
            <v>50 ( 1.72%)</v>
          </cell>
          <cell r="H313">
            <v>37038</v>
          </cell>
          <cell r="I313" t="str">
            <v>주식-시장대표</v>
          </cell>
          <cell r="J313">
            <v>1</v>
          </cell>
          <cell r="K313">
            <v>-12</v>
          </cell>
          <cell r="L313">
            <v>146011146</v>
          </cell>
          <cell r="M313">
            <v>50000</v>
          </cell>
        </row>
        <row r="314">
          <cell r="A314" t="str">
            <v>A277630</v>
          </cell>
          <cell r="B314" t="str">
            <v>311</v>
          </cell>
          <cell r="C314" t="str">
            <v>277630</v>
          </cell>
          <cell r="D314" t="str">
            <v>TIGER 코스피</v>
          </cell>
          <cell r="E314">
            <v>71003.13</v>
          </cell>
          <cell r="F314">
            <v>70850</v>
          </cell>
          <cell r="G314" t="str">
            <v>2,570 ( 3.76%)</v>
          </cell>
          <cell r="H314">
            <v>48047</v>
          </cell>
          <cell r="I314" t="str">
            <v>주식-시장대표</v>
          </cell>
          <cell r="J314">
            <v>594</v>
          </cell>
          <cell r="K314">
            <v>32172</v>
          </cell>
          <cell r="L314">
            <v>13487964</v>
          </cell>
          <cell r="M314">
            <v>50000</v>
          </cell>
        </row>
        <row r="315">
          <cell r="A315" t="str">
            <v>A277640</v>
          </cell>
          <cell r="B315" t="str">
            <v>312</v>
          </cell>
          <cell r="C315" t="str">
            <v>277640</v>
          </cell>
          <cell r="D315" t="str">
            <v>TIGER 코스피대형주</v>
          </cell>
          <cell r="E315">
            <v>37493.410000000003</v>
          </cell>
          <cell r="F315">
            <v>37500</v>
          </cell>
          <cell r="G315" t="str">
            <v>1,620 ( 4.52%)</v>
          </cell>
          <cell r="H315">
            <v>25486</v>
          </cell>
          <cell r="I315" t="str">
            <v>주식-규모</v>
          </cell>
          <cell r="J315">
            <v>100</v>
          </cell>
          <cell r="K315">
            <v>9193</v>
          </cell>
          <cell r="L315">
            <v>6135916</v>
          </cell>
          <cell r="M315">
            <v>50000</v>
          </cell>
        </row>
        <row r="316">
          <cell r="A316" t="str">
            <v>A277650</v>
          </cell>
          <cell r="B316" t="str">
            <v>313</v>
          </cell>
          <cell r="C316" t="str">
            <v>277650</v>
          </cell>
          <cell r="D316" t="str">
            <v>TIGER 코스피중형주</v>
          </cell>
          <cell r="E316">
            <v>19518.88</v>
          </cell>
          <cell r="F316">
            <v>19265</v>
          </cell>
          <cell r="G316" t="str">
            <v>130 ( 0.67%)</v>
          </cell>
          <cell r="H316">
            <v>253</v>
          </cell>
          <cell r="I316" t="str">
            <v>주식-규모</v>
          </cell>
          <cell r="J316">
            <v>196</v>
          </cell>
          <cell r="K316">
            <v>41928</v>
          </cell>
          <cell r="L316">
            <v>15574767</v>
          </cell>
          <cell r="M316">
            <v>50000</v>
          </cell>
        </row>
        <row r="317">
          <cell r="A317" t="str">
            <v>A278240</v>
          </cell>
          <cell r="B317" t="str">
            <v>314</v>
          </cell>
          <cell r="C317" t="str">
            <v>278240</v>
          </cell>
          <cell r="D317" t="str">
            <v>RISE 코스닥150선물레버리지</v>
          </cell>
          <cell r="E317">
            <v>6858.23</v>
          </cell>
          <cell r="F317">
            <v>6865</v>
          </cell>
          <cell r="G317" t="str">
            <v>100 ( 1.48%)</v>
          </cell>
          <cell r="H317">
            <v>98829</v>
          </cell>
          <cell r="I317" t="str">
            <v>주식-시장대표</v>
          </cell>
          <cell r="J317">
            <v>4</v>
          </cell>
          <cell r="K317">
            <v>2582</v>
          </cell>
          <cell r="L317">
            <v>37996314</v>
          </cell>
          <cell r="M317">
            <v>10000</v>
          </cell>
        </row>
        <row r="318">
          <cell r="A318" t="str">
            <v>A278530</v>
          </cell>
          <cell r="B318" t="str">
            <v>315</v>
          </cell>
          <cell r="C318" t="str">
            <v>278530</v>
          </cell>
          <cell r="D318" t="str">
            <v>KODEX 200TR</v>
          </cell>
          <cell r="E318">
            <v>39411.410000000003</v>
          </cell>
          <cell r="F318">
            <v>39435</v>
          </cell>
          <cell r="G318" t="str">
            <v>1,790 ( 4.75%)</v>
          </cell>
          <cell r="H318">
            <v>1157961</v>
          </cell>
          <cell r="I318" t="str">
            <v>주식-시장대표</v>
          </cell>
          <cell r="J318">
            <v>200</v>
          </cell>
          <cell r="K318">
            <v>31082</v>
          </cell>
          <cell r="L318">
            <v>2010790</v>
          </cell>
          <cell r="M318">
            <v>150000</v>
          </cell>
        </row>
        <row r="319">
          <cell r="A319" t="str">
            <v>A278540</v>
          </cell>
          <cell r="B319" t="str">
            <v>316</v>
          </cell>
          <cell r="C319" t="str">
            <v>278540</v>
          </cell>
          <cell r="D319" t="str">
            <v>KODEX MSCI Korea TR</v>
          </cell>
          <cell r="E319">
            <v>38748.89</v>
          </cell>
          <cell r="F319">
            <v>38730</v>
          </cell>
          <cell r="G319" t="str">
            <v>1,820 ( 4.93%)</v>
          </cell>
          <cell r="H319">
            <v>53651</v>
          </cell>
          <cell r="I319" t="str">
            <v>주식-시장대표</v>
          </cell>
          <cell r="J319">
            <v>77</v>
          </cell>
          <cell r="K319">
            <v>15625</v>
          </cell>
          <cell r="L319">
            <v>4335146</v>
          </cell>
          <cell r="M319">
            <v>100000</v>
          </cell>
        </row>
        <row r="320">
          <cell r="A320" t="str">
            <v>A278620</v>
          </cell>
          <cell r="B320" t="str">
            <v>317</v>
          </cell>
          <cell r="C320" t="str">
            <v>278620</v>
          </cell>
          <cell r="D320" t="str">
            <v>PLUS 단기채권액티브</v>
          </cell>
          <cell r="E320">
            <v>118429.71</v>
          </cell>
          <cell r="F320">
            <v>118425</v>
          </cell>
          <cell r="G320" t="str">
            <v>15 ( 0.01%)</v>
          </cell>
          <cell r="H320">
            <v>108</v>
          </cell>
          <cell r="I320" t="str">
            <v>채권-혼합</v>
          </cell>
          <cell r="J320">
            <v>22</v>
          </cell>
          <cell r="K320">
            <v>7</v>
          </cell>
          <cell r="L320">
            <v>6553022</v>
          </cell>
          <cell r="M320">
            <v>1000</v>
          </cell>
        </row>
        <row r="321">
          <cell r="A321" t="str">
            <v>A279530</v>
          </cell>
          <cell r="B321" t="str">
            <v>318</v>
          </cell>
          <cell r="C321" t="str">
            <v>279530</v>
          </cell>
          <cell r="D321" t="str">
            <v>KODEX 고배당주</v>
          </cell>
          <cell r="E321">
            <v>17366.21</v>
          </cell>
          <cell r="F321">
            <v>17330</v>
          </cell>
          <cell r="G321" t="str">
            <v>35 ( 0.20%)</v>
          </cell>
          <cell r="H321">
            <v>167968</v>
          </cell>
          <cell r="I321" t="str">
            <v>주식-전략</v>
          </cell>
          <cell r="J321">
            <v>20</v>
          </cell>
          <cell r="K321">
            <v>57352</v>
          </cell>
          <cell r="L321">
            <v>1987269</v>
          </cell>
          <cell r="M321">
            <v>100000</v>
          </cell>
        </row>
        <row r="322">
          <cell r="A322" t="str">
            <v>A279540</v>
          </cell>
          <cell r="B322" t="str">
            <v>319</v>
          </cell>
          <cell r="C322" t="str">
            <v>279540</v>
          </cell>
          <cell r="D322" t="str">
            <v>KODEX 최소변동성</v>
          </cell>
          <cell r="E322">
            <v>20455.46</v>
          </cell>
          <cell r="F322">
            <v>20455</v>
          </cell>
          <cell r="G322" t="str">
            <v>300 ( 1.49%)</v>
          </cell>
          <cell r="H322">
            <v>4</v>
          </cell>
          <cell r="I322" t="str">
            <v>주식-전략</v>
          </cell>
          <cell r="J322">
            <v>134</v>
          </cell>
          <cell r="K322">
            <v>39431</v>
          </cell>
          <cell r="L322">
            <v>13543670</v>
          </cell>
          <cell r="M322">
            <v>100000</v>
          </cell>
        </row>
        <row r="323">
          <cell r="A323" t="str">
            <v>A280920</v>
          </cell>
          <cell r="B323" t="str">
            <v>320</v>
          </cell>
          <cell r="C323" t="str">
            <v>280920</v>
          </cell>
          <cell r="D323" t="str">
            <v>PLUS 주도업종</v>
          </cell>
          <cell r="E323">
            <v>22434.240000000002</v>
          </cell>
          <cell r="F323">
            <v>22090</v>
          </cell>
          <cell r="G323" t="str">
            <v>600 ( 2.79%)</v>
          </cell>
          <cell r="H323">
            <v>23</v>
          </cell>
          <cell r="I323" t="str">
            <v>주식-전략</v>
          </cell>
          <cell r="J323">
            <v>30</v>
          </cell>
          <cell r="K323">
            <v>4870</v>
          </cell>
          <cell r="L323">
            <v>3890069</v>
          </cell>
          <cell r="M323">
            <v>50000</v>
          </cell>
        </row>
        <row r="324">
          <cell r="A324" t="str">
            <v>A281990</v>
          </cell>
          <cell r="B324" t="str">
            <v>321</v>
          </cell>
          <cell r="C324" t="str">
            <v>281990</v>
          </cell>
          <cell r="D324" t="str">
            <v>RISE 중소형고배당</v>
          </cell>
          <cell r="E324">
            <v>17157.12</v>
          </cell>
          <cell r="F324">
            <v>17150</v>
          </cell>
          <cell r="G324" t="str">
            <v>50 ( 0.29%)</v>
          </cell>
          <cell r="H324">
            <v>654</v>
          </cell>
          <cell r="I324" t="str">
            <v>주식-전략</v>
          </cell>
          <cell r="J324">
            <v>69</v>
          </cell>
          <cell r="K324">
            <v>33898</v>
          </cell>
          <cell r="L324">
            <v>11642764</v>
          </cell>
          <cell r="M324">
            <v>50000</v>
          </cell>
        </row>
        <row r="325">
          <cell r="A325" t="str">
            <v>A282000</v>
          </cell>
          <cell r="B325" t="str">
            <v>322</v>
          </cell>
          <cell r="C325" t="str">
            <v>282000</v>
          </cell>
          <cell r="D325" t="str">
            <v>RISE 국고채3년선물인버스</v>
          </cell>
          <cell r="E325">
            <v>114780.64</v>
          </cell>
          <cell r="F325">
            <v>114760</v>
          </cell>
          <cell r="G325" t="str">
            <v>95 ( 0.08%)</v>
          </cell>
          <cell r="H325">
            <v>2</v>
          </cell>
          <cell r="I325" t="str">
            <v>채권-국공채</v>
          </cell>
          <cell r="J325">
            <v>1</v>
          </cell>
          <cell r="K325">
            <v>-1</v>
          </cell>
          <cell r="L325">
            <v>114858341</v>
          </cell>
          <cell r="M325">
            <v>1000</v>
          </cell>
        </row>
        <row r="326">
          <cell r="A326" t="str">
            <v>A284980</v>
          </cell>
          <cell r="B326" t="str">
            <v>323</v>
          </cell>
          <cell r="C326" t="str">
            <v>284980</v>
          </cell>
          <cell r="D326" t="str">
            <v>RISE 200금융</v>
          </cell>
          <cell r="E326">
            <v>22478.799999999999</v>
          </cell>
          <cell r="F326">
            <v>22475</v>
          </cell>
          <cell r="G326" t="str">
            <v>330 ( 1.49%)</v>
          </cell>
          <cell r="H326">
            <v>7008</v>
          </cell>
          <cell r="I326" t="str">
            <v>주식-업종섹터</v>
          </cell>
          <cell r="J326">
            <v>22</v>
          </cell>
          <cell r="K326">
            <v>6596</v>
          </cell>
          <cell r="L326">
            <v>70335</v>
          </cell>
          <cell r="M326">
            <v>20000</v>
          </cell>
        </row>
        <row r="327">
          <cell r="A327" t="str">
            <v>A285690</v>
          </cell>
          <cell r="B327" t="str">
            <v>324</v>
          </cell>
          <cell r="C327" t="str">
            <v>285690</v>
          </cell>
          <cell r="D327" t="str">
            <v>FOCUS ESG리더스</v>
          </cell>
          <cell r="E327">
            <v>20613.95</v>
          </cell>
          <cell r="F327">
            <v>20035</v>
          </cell>
          <cell r="G327" t="str">
            <v>0 ( 0.00%)</v>
          </cell>
          <cell r="H327">
            <v>1</v>
          </cell>
          <cell r="I327" t="str">
            <v>주식-전략</v>
          </cell>
          <cell r="J327">
            <v>149</v>
          </cell>
          <cell r="K327">
            <v>15187</v>
          </cell>
          <cell r="L327">
            <v>12461019</v>
          </cell>
          <cell r="M327">
            <v>50000</v>
          </cell>
        </row>
        <row r="328">
          <cell r="A328" t="str">
            <v>A289040</v>
          </cell>
          <cell r="B328" t="str">
            <v>325</v>
          </cell>
          <cell r="C328" t="str">
            <v>289040</v>
          </cell>
          <cell r="D328" t="str">
            <v>KODEX MSCI KOREA ESG유니버설</v>
          </cell>
          <cell r="E328">
            <v>33173.69</v>
          </cell>
          <cell r="F328">
            <v>33130</v>
          </cell>
          <cell r="G328" t="str">
            <v>20 ( 0.06%)</v>
          </cell>
          <cell r="H328">
            <v>1231</v>
          </cell>
          <cell r="I328" t="str">
            <v>주식-전략</v>
          </cell>
          <cell r="J328">
            <v>74</v>
          </cell>
          <cell r="K328">
            <v>16759</v>
          </cell>
          <cell r="L328">
            <v>-2305236</v>
          </cell>
          <cell r="M328">
            <v>100000</v>
          </cell>
        </row>
        <row r="329">
          <cell r="A329" t="str">
            <v>A289250</v>
          </cell>
          <cell r="B329" t="str">
            <v>326</v>
          </cell>
          <cell r="C329" t="str">
            <v>289250</v>
          </cell>
          <cell r="D329" t="str">
            <v>TIGER MSCI KOREA ESG유니버설</v>
          </cell>
          <cell r="E329">
            <v>34700.33</v>
          </cell>
          <cell r="F329">
            <v>34740</v>
          </cell>
          <cell r="G329" t="str">
            <v>1,745 ( 5.29%)</v>
          </cell>
          <cell r="H329">
            <v>964</v>
          </cell>
          <cell r="I329" t="str">
            <v>주식-전략</v>
          </cell>
          <cell r="J329">
            <v>74</v>
          </cell>
          <cell r="K329">
            <v>5074</v>
          </cell>
          <cell r="L329">
            <v>2221747</v>
          </cell>
          <cell r="M329">
            <v>30000</v>
          </cell>
        </row>
        <row r="330">
          <cell r="A330" t="str">
            <v>A289260</v>
          </cell>
          <cell r="B330" t="str">
            <v>327</v>
          </cell>
          <cell r="C330" t="str">
            <v>289260</v>
          </cell>
          <cell r="D330" t="str">
            <v>TIGER MSCI KOREA ESG리더스</v>
          </cell>
          <cell r="E330">
            <v>28551.26</v>
          </cell>
          <cell r="F330">
            <v>27985</v>
          </cell>
          <cell r="G330" t="str">
            <v>725 ( 2.66%)</v>
          </cell>
          <cell r="H330">
            <v>155</v>
          </cell>
          <cell r="I330" t="str">
            <v>주식-전략</v>
          </cell>
          <cell r="J330">
            <v>32</v>
          </cell>
          <cell r="K330">
            <v>3507</v>
          </cell>
          <cell r="L330">
            <v>1637854</v>
          </cell>
          <cell r="M330">
            <v>30000</v>
          </cell>
        </row>
        <row r="331">
          <cell r="A331" t="str">
            <v>A289480</v>
          </cell>
          <cell r="B331" t="str">
            <v>328</v>
          </cell>
          <cell r="C331" t="str">
            <v>289480</v>
          </cell>
          <cell r="D331" t="str">
            <v>TIGER 200커버드콜</v>
          </cell>
          <cell r="E331">
            <v>12181.47</v>
          </cell>
          <cell r="F331">
            <v>12020</v>
          </cell>
          <cell r="G331" t="str">
            <v>270 ( 2.30%)</v>
          </cell>
          <cell r="H331">
            <v>15783</v>
          </cell>
          <cell r="I331" t="str">
            <v>주식-전략</v>
          </cell>
          <cell r="J331">
            <v>203</v>
          </cell>
          <cell r="K331">
            <v>6469</v>
          </cell>
          <cell r="L331">
            <v>154474319</v>
          </cell>
          <cell r="M331">
            <v>100000</v>
          </cell>
        </row>
        <row r="332">
          <cell r="A332" t="str">
            <v>A289670</v>
          </cell>
          <cell r="B332" t="str">
            <v>329</v>
          </cell>
          <cell r="C332" t="str">
            <v>289670</v>
          </cell>
          <cell r="D332" t="str">
            <v>PLUS 국채선물10년</v>
          </cell>
          <cell r="E332">
            <v>51688</v>
          </cell>
          <cell r="F332">
            <v>51660</v>
          </cell>
          <cell r="G332" t="str">
            <v>100 ( 0.19%)</v>
          </cell>
          <cell r="H332">
            <v>252</v>
          </cell>
          <cell r="I332" t="str">
            <v>채권-국공채</v>
          </cell>
          <cell r="J332">
            <v>1</v>
          </cell>
          <cell r="K332">
            <v>2</v>
          </cell>
          <cell r="L332">
            <v>206712805</v>
          </cell>
          <cell r="M332">
            <v>4000</v>
          </cell>
        </row>
        <row r="333">
          <cell r="A333" t="str">
            <v>A290080</v>
          </cell>
          <cell r="B333" t="str">
            <v>330</v>
          </cell>
          <cell r="C333" t="str">
            <v>290080</v>
          </cell>
          <cell r="D333" t="str">
            <v>RISE 200고배당커버드콜ATM</v>
          </cell>
          <cell r="E333">
            <v>7016.86</v>
          </cell>
          <cell r="F333">
            <v>6885</v>
          </cell>
          <cell r="G333" t="str">
            <v>95 ( 1.36%)</v>
          </cell>
          <cell r="H333">
            <v>10577</v>
          </cell>
          <cell r="I333" t="str">
            <v>주식-전략</v>
          </cell>
          <cell r="J333">
            <v>52</v>
          </cell>
          <cell r="K333">
            <v>8742</v>
          </cell>
          <cell r="L333">
            <v>34064955</v>
          </cell>
          <cell r="M333">
            <v>50000</v>
          </cell>
        </row>
        <row r="334">
          <cell r="A334" t="str">
            <v>A290130</v>
          </cell>
          <cell r="B334" t="str">
            <v>331</v>
          </cell>
          <cell r="C334" t="str">
            <v>290130</v>
          </cell>
          <cell r="D334" t="str">
            <v>RISE ESG사회책임투자</v>
          </cell>
          <cell r="E334">
            <v>47783.87</v>
          </cell>
          <cell r="F334">
            <v>47800</v>
          </cell>
          <cell r="G334" t="str">
            <v>2,370 ( 5.22%)</v>
          </cell>
          <cell r="H334">
            <v>202299</v>
          </cell>
          <cell r="I334" t="str">
            <v>주식-전략</v>
          </cell>
          <cell r="J334">
            <v>126</v>
          </cell>
          <cell r="K334">
            <v>11290</v>
          </cell>
          <cell r="L334">
            <v>2602306</v>
          </cell>
          <cell r="M334">
            <v>50000</v>
          </cell>
        </row>
        <row r="335">
          <cell r="A335" t="str">
            <v>A291620</v>
          </cell>
          <cell r="B335" t="str">
            <v>332</v>
          </cell>
          <cell r="C335" t="str">
            <v>291620</v>
          </cell>
          <cell r="D335" t="str">
            <v>KIWOOM 코스닥150선물인버스</v>
          </cell>
          <cell r="E335">
            <v>5100.33</v>
          </cell>
          <cell r="F335">
            <v>5090</v>
          </cell>
          <cell r="G335" t="str">
            <v>40 ( 0.78%)</v>
          </cell>
          <cell r="H335">
            <v>15213</v>
          </cell>
          <cell r="I335" t="str">
            <v>주식-시장대표</v>
          </cell>
          <cell r="J335">
            <v>1</v>
          </cell>
          <cell r="K335">
            <v>-4</v>
          </cell>
          <cell r="L335">
            <v>51639299</v>
          </cell>
          <cell r="M335">
            <v>10000</v>
          </cell>
        </row>
        <row r="336">
          <cell r="A336" t="str">
            <v>A291630</v>
          </cell>
          <cell r="B336" t="str">
            <v>333</v>
          </cell>
          <cell r="C336" t="str">
            <v>291630</v>
          </cell>
          <cell r="D336" t="str">
            <v>KIWOOM 코스닥150선물레버리지</v>
          </cell>
          <cell r="E336">
            <v>3087.11</v>
          </cell>
          <cell r="F336">
            <v>3065</v>
          </cell>
          <cell r="G336" t="str">
            <v>35 ( 1.13%)</v>
          </cell>
          <cell r="H336">
            <v>61952</v>
          </cell>
          <cell r="I336" t="str">
            <v>주식-시장대표</v>
          </cell>
          <cell r="J336">
            <v>2</v>
          </cell>
          <cell r="K336">
            <v>1231</v>
          </cell>
          <cell r="L336">
            <v>22436712</v>
          </cell>
          <cell r="M336">
            <v>10000</v>
          </cell>
        </row>
        <row r="337">
          <cell r="A337" t="str">
            <v>A292050</v>
          </cell>
          <cell r="B337" t="str">
            <v>334</v>
          </cell>
          <cell r="C337" t="str">
            <v>292050</v>
          </cell>
          <cell r="D337" t="str">
            <v>RISE KRX300</v>
          </cell>
          <cell r="E337">
            <v>49156.18</v>
          </cell>
          <cell r="F337">
            <v>48730</v>
          </cell>
          <cell r="G337" t="str">
            <v>1,635 ( 3.47%)</v>
          </cell>
          <cell r="H337">
            <v>96</v>
          </cell>
          <cell r="I337" t="str">
            <v>주식-시장대표</v>
          </cell>
          <cell r="J337">
            <v>299</v>
          </cell>
          <cell r="K337">
            <v>14594</v>
          </cell>
          <cell r="L337">
            <v>-1427321</v>
          </cell>
          <cell r="M337">
            <v>50000</v>
          </cell>
        </row>
        <row r="338">
          <cell r="A338" t="str">
            <v>A292150</v>
          </cell>
          <cell r="B338" t="str">
            <v>335</v>
          </cell>
          <cell r="C338" t="str">
            <v>292150</v>
          </cell>
          <cell r="D338" t="str">
            <v>TIGER 코리아TOP10</v>
          </cell>
          <cell r="E338">
            <v>38375.120000000003</v>
          </cell>
          <cell r="F338">
            <v>38340</v>
          </cell>
          <cell r="G338" t="str">
            <v>1,685 ( 4.60%)</v>
          </cell>
          <cell r="H338">
            <v>1018169</v>
          </cell>
          <cell r="I338" t="str">
            <v>주식-규모</v>
          </cell>
          <cell r="J338">
            <v>10</v>
          </cell>
          <cell r="K338">
            <v>6698</v>
          </cell>
          <cell r="L338">
            <v>8375190</v>
          </cell>
          <cell r="M338">
            <v>50000</v>
          </cell>
        </row>
        <row r="339">
          <cell r="A339" t="str">
            <v>A292160</v>
          </cell>
          <cell r="B339" t="str">
            <v>336</v>
          </cell>
          <cell r="C339" t="str">
            <v>292160</v>
          </cell>
          <cell r="D339" t="str">
            <v>TIGER KRX300</v>
          </cell>
          <cell r="E339">
            <v>48048.24</v>
          </cell>
          <cell r="F339">
            <v>48100</v>
          </cell>
          <cell r="G339" t="str">
            <v>2,485 ( 5.45%)</v>
          </cell>
          <cell r="H339">
            <v>2320</v>
          </cell>
          <cell r="I339" t="str">
            <v>주식-시장대표</v>
          </cell>
          <cell r="J339">
            <v>300</v>
          </cell>
          <cell r="K339">
            <v>28389</v>
          </cell>
          <cell r="L339">
            <v>24915574</v>
          </cell>
          <cell r="M339">
            <v>100000</v>
          </cell>
        </row>
        <row r="340">
          <cell r="A340" t="str">
            <v>A292190</v>
          </cell>
          <cell r="B340" t="str">
            <v>337</v>
          </cell>
          <cell r="C340" t="str">
            <v>292190</v>
          </cell>
          <cell r="D340" t="str">
            <v>KODEX KRX300</v>
          </cell>
          <cell r="E340">
            <v>47890.89</v>
          </cell>
          <cell r="F340">
            <v>47810</v>
          </cell>
          <cell r="G340" t="str">
            <v>2,220 ( 4.87%)</v>
          </cell>
          <cell r="H340">
            <v>13787</v>
          </cell>
          <cell r="I340" t="str">
            <v>주식-시장대표</v>
          </cell>
          <cell r="J340">
            <v>300</v>
          </cell>
          <cell r="K340">
            <v>28464</v>
          </cell>
          <cell r="L340">
            <v>7660429</v>
          </cell>
          <cell r="M340">
            <v>100000</v>
          </cell>
        </row>
        <row r="341">
          <cell r="A341" t="str">
            <v>A292500</v>
          </cell>
          <cell r="B341" t="str">
            <v>338</v>
          </cell>
          <cell r="C341" t="str">
            <v>292500</v>
          </cell>
          <cell r="D341" t="str">
            <v>SOL KRX300</v>
          </cell>
          <cell r="E341">
            <v>48948.44</v>
          </cell>
          <cell r="F341">
            <v>48375</v>
          </cell>
          <cell r="G341" t="str">
            <v>1,560 ( 3.33%)</v>
          </cell>
          <cell r="H341">
            <v>106</v>
          </cell>
          <cell r="I341" t="str">
            <v>주식-시장대표</v>
          </cell>
          <cell r="J341">
            <v>300</v>
          </cell>
          <cell r="K341">
            <v>28712</v>
          </cell>
          <cell r="L341">
            <v>57917614</v>
          </cell>
          <cell r="M341">
            <v>100000</v>
          </cell>
        </row>
        <row r="342">
          <cell r="A342" t="str">
            <v>A292560</v>
          </cell>
          <cell r="B342" t="str">
            <v>339</v>
          </cell>
          <cell r="C342" t="str">
            <v>292560</v>
          </cell>
          <cell r="D342" t="str">
            <v>TIGER 일본엔선물</v>
          </cell>
          <cell r="E342">
            <v>8397.92</v>
          </cell>
          <cell r="F342">
            <v>8395</v>
          </cell>
          <cell r="G342" t="str">
            <v>45 ( 0.53%)</v>
          </cell>
          <cell r="H342">
            <v>11934</v>
          </cell>
          <cell r="I342" t="str">
            <v>통화-일본엔</v>
          </cell>
          <cell r="J342">
            <v>1</v>
          </cell>
          <cell r="K342">
            <v>92</v>
          </cell>
          <cell r="L342">
            <v>842565030</v>
          </cell>
          <cell r="M342">
            <v>100000</v>
          </cell>
        </row>
        <row r="343">
          <cell r="A343" t="str">
            <v>A292770</v>
          </cell>
          <cell r="B343" t="str">
            <v>340</v>
          </cell>
          <cell r="C343" t="str">
            <v>292770</v>
          </cell>
          <cell r="D343" t="str">
            <v>KODEX 국채선물3년인버스</v>
          </cell>
          <cell r="E343">
            <v>57749.73</v>
          </cell>
          <cell r="F343">
            <v>57760</v>
          </cell>
          <cell r="G343" t="str">
            <v>0 ( 0.00%)</v>
          </cell>
          <cell r="H343">
            <v>0</v>
          </cell>
          <cell r="I343" t="str">
            <v>채권-국공채</v>
          </cell>
          <cell r="J343">
            <v>1</v>
          </cell>
          <cell r="K343">
            <v>-3</v>
          </cell>
          <cell r="L343">
            <v>346734302</v>
          </cell>
          <cell r="M343">
            <v>6000</v>
          </cell>
        </row>
        <row r="344">
          <cell r="A344" t="str">
            <v>A293180</v>
          </cell>
          <cell r="B344" t="str">
            <v>341</v>
          </cell>
          <cell r="C344" t="str">
            <v>293180</v>
          </cell>
          <cell r="D344" t="str">
            <v>HANARO 200</v>
          </cell>
          <cell r="E344">
            <v>109274.68</v>
          </cell>
          <cell r="F344">
            <v>109360</v>
          </cell>
          <cell r="G344" t="str">
            <v>5,130 ( 4.92%)</v>
          </cell>
          <cell r="H344">
            <v>23584</v>
          </cell>
          <cell r="I344" t="str">
            <v>주식-시장대표</v>
          </cell>
          <cell r="J344">
            <v>199</v>
          </cell>
          <cell r="K344">
            <v>28659</v>
          </cell>
          <cell r="L344">
            <v>14613375</v>
          </cell>
          <cell r="M344">
            <v>50000</v>
          </cell>
        </row>
        <row r="345">
          <cell r="A345" t="str">
            <v>A294400</v>
          </cell>
          <cell r="B345" t="str">
            <v>342</v>
          </cell>
          <cell r="C345" t="str">
            <v>294400</v>
          </cell>
          <cell r="D345" t="str">
            <v>KIWOOM 200TR</v>
          </cell>
          <cell r="E345">
            <v>142770.82999999999</v>
          </cell>
          <cell r="F345">
            <v>142765</v>
          </cell>
          <cell r="G345" t="str">
            <v>6,660 ( 4.89%)</v>
          </cell>
          <cell r="H345">
            <v>102312</v>
          </cell>
          <cell r="I345" t="str">
            <v>주식-시장대표</v>
          </cell>
          <cell r="J345">
            <v>199</v>
          </cell>
          <cell r="K345">
            <v>37435</v>
          </cell>
          <cell r="L345">
            <v>15923350</v>
          </cell>
          <cell r="M345">
            <v>50000</v>
          </cell>
        </row>
        <row r="346">
          <cell r="A346" t="str">
            <v>A295000</v>
          </cell>
          <cell r="B346" t="str">
            <v>343</v>
          </cell>
          <cell r="C346" t="str">
            <v>295000</v>
          </cell>
          <cell r="D346" t="str">
            <v>RISE 국채선물10년</v>
          </cell>
          <cell r="E346">
            <v>51043.32</v>
          </cell>
          <cell r="F346">
            <v>51020</v>
          </cell>
          <cell r="G346" t="str">
            <v>40 ( 0.08%)</v>
          </cell>
          <cell r="H346">
            <v>2</v>
          </cell>
          <cell r="I346" t="str">
            <v>채권-국공채</v>
          </cell>
          <cell r="J346">
            <v>1</v>
          </cell>
          <cell r="K346">
            <v>1</v>
          </cell>
          <cell r="L346">
            <v>102067443</v>
          </cell>
          <cell r="M346">
            <v>2000</v>
          </cell>
        </row>
        <row r="347">
          <cell r="A347" t="str">
            <v>A295020</v>
          </cell>
          <cell r="B347" t="str">
            <v>344</v>
          </cell>
          <cell r="C347" t="str">
            <v>295020</v>
          </cell>
          <cell r="D347" t="str">
            <v>RISE 국채선물10년인버스</v>
          </cell>
          <cell r="E347">
            <v>60725.85</v>
          </cell>
          <cell r="F347">
            <v>60715</v>
          </cell>
          <cell r="G347" t="str">
            <v>0 ( 0.00%)</v>
          </cell>
          <cell r="H347">
            <v>23</v>
          </cell>
          <cell r="I347" t="str">
            <v>채권-국공채</v>
          </cell>
          <cell r="J347">
            <v>1</v>
          </cell>
          <cell r="K347">
            <v>-1</v>
          </cell>
          <cell r="L347">
            <v>121474696</v>
          </cell>
          <cell r="M347">
            <v>2000</v>
          </cell>
        </row>
        <row r="348">
          <cell r="A348" t="str">
            <v>A295040</v>
          </cell>
          <cell r="B348" t="str">
            <v>345</v>
          </cell>
          <cell r="C348" t="str">
            <v>295040</v>
          </cell>
          <cell r="D348" t="str">
            <v>SOL 200TR</v>
          </cell>
          <cell r="E348">
            <v>40824.26</v>
          </cell>
          <cell r="F348">
            <v>40850</v>
          </cell>
          <cell r="G348" t="str">
            <v>1,950 ( 5.01%)</v>
          </cell>
          <cell r="H348">
            <v>210284</v>
          </cell>
          <cell r="I348" t="str">
            <v>주식-시장대표</v>
          </cell>
          <cell r="J348">
            <v>200</v>
          </cell>
          <cell r="K348">
            <v>30489</v>
          </cell>
          <cell r="L348">
            <v>311126134</v>
          </cell>
          <cell r="M348">
            <v>150000</v>
          </cell>
        </row>
        <row r="349">
          <cell r="A349" t="str">
            <v>A298340</v>
          </cell>
          <cell r="B349" t="str">
            <v>346</v>
          </cell>
          <cell r="C349" t="str">
            <v>298340</v>
          </cell>
          <cell r="D349" t="str">
            <v>PLUS 국채선물3년</v>
          </cell>
          <cell r="E349">
            <v>56159.62</v>
          </cell>
          <cell r="F349">
            <v>56185</v>
          </cell>
          <cell r="G349" t="str">
            <v>80 ( 0.14%)</v>
          </cell>
          <cell r="H349">
            <v>589</v>
          </cell>
          <cell r="I349" t="str">
            <v>채권-국공채</v>
          </cell>
          <cell r="J349">
            <v>2</v>
          </cell>
          <cell r="K349">
            <v>21</v>
          </cell>
          <cell r="L349">
            <v>222387673</v>
          </cell>
          <cell r="M349">
            <v>4000</v>
          </cell>
        </row>
        <row r="350">
          <cell r="A350" t="str">
            <v>A300610</v>
          </cell>
          <cell r="B350" t="str">
            <v>347</v>
          </cell>
          <cell r="C350" t="str">
            <v>300610</v>
          </cell>
          <cell r="D350" t="str">
            <v>TIGER K게임</v>
          </cell>
          <cell r="E350">
            <v>5188.92</v>
          </cell>
          <cell r="F350">
            <v>5170</v>
          </cell>
          <cell r="G350" t="str">
            <v>35 ( 0.67%)</v>
          </cell>
          <cell r="H350">
            <v>4410</v>
          </cell>
          <cell r="I350" t="str">
            <v>주식-업종섹터</v>
          </cell>
          <cell r="J350">
            <v>13</v>
          </cell>
          <cell r="K350">
            <v>11965</v>
          </cell>
          <cell r="L350">
            <v>467653</v>
          </cell>
          <cell r="M350">
            <v>50000</v>
          </cell>
        </row>
        <row r="351">
          <cell r="A351" t="str">
            <v>A300640</v>
          </cell>
          <cell r="B351" t="str">
            <v>348</v>
          </cell>
          <cell r="C351" t="str">
            <v>300640</v>
          </cell>
          <cell r="D351" t="str">
            <v>RISE 게임테마</v>
          </cell>
          <cell r="E351">
            <v>6191.77</v>
          </cell>
          <cell r="F351">
            <v>6200</v>
          </cell>
          <cell r="G351" t="str">
            <v>110 ( 1.81%)</v>
          </cell>
          <cell r="H351">
            <v>1518</v>
          </cell>
          <cell r="I351" t="str">
            <v>주식-업종섹터</v>
          </cell>
          <cell r="J351">
            <v>23</v>
          </cell>
          <cell r="K351">
            <v>22366</v>
          </cell>
          <cell r="L351">
            <v>5048687</v>
          </cell>
          <cell r="M351">
            <v>50000</v>
          </cell>
        </row>
        <row r="352">
          <cell r="A352" t="str">
            <v>A300950</v>
          </cell>
          <cell r="B352" t="str">
            <v>349</v>
          </cell>
          <cell r="C352" t="str">
            <v>300950</v>
          </cell>
          <cell r="D352" t="str">
            <v>KODEX 게임산업</v>
          </cell>
          <cell r="E352">
            <v>5431.36</v>
          </cell>
          <cell r="F352">
            <v>5425</v>
          </cell>
          <cell r="G352" t="str">
            <v>110 ( 2.07%)</v>
          </cell>
          <cell r="H352">
            <v>97788</v>
          </cell>
          <cell r="I352" t="str">
            <v>주식-업종섹터</v>
          </cell>
          <cell r="J352">
            <v>15</v>
          </cell>
          <cell r="K352">
            <v>16095</v>
          </cell>
          <cell r="L352">
            <v>2271565</v>
          </cell>
          <cell r="M352">
            <v>100000</v>
          </cell>
        </row>
        <row r="353">
          <cell r="A353" t="str">
            <v>A301400</v>
          </cell>
          <cell r="B353" t="str">
            <v>350</v>
          </cell>
          <cell r="C353" t="str">
            <v>301400</v>
          </cell>
          <cell r="D353" t="str">
            <v>PLUS 코스닥150</v>
          </cell>
          <cell r="E353">
            <v>12829.88</v>
          </cell>
          <cell r="F353">
            <v>12870</v>
          </cell>
          <cell r="G353" t="str">
            <v>170 ( 1.34%)</v>
          </cell>
          <cell r="H353">
            <v>7657</v>
          </cell>
          <cell r="I353" t="str">
            <v>주식-시장대표</v>
          </cell>
          <cell r="J353">
            <v>150</v>
          </cell>
          <cell r="K353">
            <v>16605</v>
          </cell>
          <cell r="L353">
            <v>-2242495</v>
          </cell>
          <cell r="M353">
            <v>50000</v>
          </cell>
        </row>
        <row r="354">
          <cell r="A354" t="str">
            <v>A302190</v>
          </cell>
          <cell r="B354" t="str">
            <v>351</v>
          </cell>
          <cell r="C354" t="str">
            <v>302190</v>
          </cell>
          <cell r="D354" t="str">
            <v>TIGER 중장기국채</v>
          </cell>
          <cell r="E354">
            <v>49804.72</v>
          </cell>
          <cell r="F354">
            <v>49810</v>
          </cell>
          <cell r="G354" t="str">
            <v>10 ( 0.02%)</v>
          </cell>
          <cell r="H354">
            <v>687</v>
          </cell>
          <cell r="I354" t="str">
            <v>채권-국공채</v>
          </cell>
          <cell r="J354">
            <v>5</v>
          </cell>
          <cell r="K354">
            <v>0</v>
          </cell>
          <cell r="L354">
            <v>77540587</v>
          </cell>
          <cell r="M354">
            <v>20000</v>
          </cell>
        </row>
        <row r="355">
          <cell r="A355" t="str">
            <v>A302450</v>
          </cell>
          <cell r="B355" t="str">
            <v>352</v>
          </cell>
          <cell r="C355" t="str">
            <v>302450</v>
          </cell>
          <cell r="D355" t="str">
            <v>RISE 코스피</v>
          </cell>
          <cell r="E355">
            <v>70513.23</v>
          </cell>
          <cell r="F355">
            <v>70640</v>
          </cell>
          <cell r="G355" t="str">
            <v>2,800 ( 4.13%)</v>
          </cell>
          <cell r="H355">
            <v>19526</v>
          </cell>
          <cell r="I355" t="str">
            <v>주식-시장대표</v>
          </cell>
          <cell r="J355">
            <v>682</v>
          </cell>
          <cell r="K355">
            <v>33358</v>
          </cell>
          <cell r="L355">
            <v>830983</v>
          </cell>
          <cell r="M355">
            <v>50000</v>
          </cell>
        </row>
        <row r="356">
          <cell r="A356" t="str">
            <v>A304760</v>
          </cell>
          <cell r="B356" t="str">
            <v>353</v>
          </cell>
          <cell r="C356" t="str">
            <v>304760</v>
          </cell>
          <cell r="D356" t="str">
            <v>HANARO KRX300</v>
          </cell>
          <cell r="E356">
            <v>47128.57</v>
          </cell>
          <cell r="F356">
            <v>47175</v>
          </cell>
          <cell r="G356" t="str">
            <v>2,445 ( 5.47%)</v>
          </cell>
          <cell r="H356">
            <v>42</v>
          </cell>
          <cell r="I356" t="str">
            <v>주식-시장대표</v>
          </cell>
          <cell r="J356">
            <v>298</v>
          </cell>
          <cell r="K356">
            <v>13912</v>
          </cell>
          <cell r="L356">
            <v>12548019</v>
          </cell>
          <cell r="M356">
            <v>50000</v>
          </cell>
        </row>
        <row r="357">
          <cell r="A357" t="str">
            <v>A304770</v>
          </cell>
          <cell r="B357" t="str">
            <v>354</v>
          </cell>
          <cell r="C357" t="str">
            <v>304770</v>
          </cell>
          <cell r="D357" t="str">
            <v>HANARO 코스닥150</v>
          </cell>
          <cell r="E357">
            <v>12723.69</v>
          </cell>
          <cell r="F357">
            <v>12755</v>
          </cell>
          <cell r="G357" t="str">
            <v>120 ( 0.95%)</v>
          </cell>
          <cell r="H357">
            <v>15805</v>
          </cell>
          <cell r="I357" t="str">
            <v>주식-시장대표</v>
          </cell>
          <cell r="J357">
            <v>150</v>
          </cell>
          <cell r="K357">
            <v>6549</v>
          </cell>
          <cell r="L357">
            <v>790044</v>
          </cell>
          <cell r="M357">
            <v>20000</v>
          </cell>
        </row>
        <row r="358">
          <cell r="A358" t="str">
            <v>A304780</v>
          </cell>
          <cell r="B358" t="str">
            <v>355</v>
          </cell>
          <cell r="C358" t="str">
            <v>304780</v>
          </cell>
          <cell r="D358" t="str">
            <v>HANARO 200선물레버리지</v>
          </cell>
          <cell r="E358">
            <v>135707.17000000001</v>
          </cell>
          <cell r="F358">
            <v>135680</v>
          </cell>
          <cell r="G358" t="str">
            <v>12,460 (10.11%)</v>
          </cell>
          <cell r="H358">
            <v>7550</v>
          </cell>
          <cell r="I358" t="str">
            <v>주식-시장대표</v>
          </cell>
          <cell r="J358">
            <v>4</v>
          </cell>
          <cell r="K358">
            <v>20726</v>
          </cell>
          <cell r="L358">
            <v>4008973884</v>
          </cell>
          <cell r="M358">
            <v>50000</v>
          </cell>
        </row>
        <row r="359">
          <cell r="A359" t="str">
            <v>A305050</v>
          </cell>
          <cell r="B359" t="str">
            <v>356</v>
          </cell>
          <cell r="C359" t="str">
            <v>305050</v>
          </cell>
          <cell r="D359" t="str">
            <v>ACE 코스피</v>
          </cell>
          <cell r="E359">
            <v>70623.95</v>
          </cell>
          <cell r="F359">
            <v>70565</v>
          </cell>
          <cell r="G359" t="str">
            <v>2,755 ( 4.06%)</v>
          </cell>
          <cell r="H359">
            <v>4006</v>
          </cell>
          <cell r="I359" t="str">
            <v>주식-시장대표</v>
          </cell>
          <cell r="J359">
            <v>748</v>
          </cell>
          <cell r="K359">
            <v>34781</v>
          </cell>
          <cell r="L359">
            <v>13410665</v>
          </cell>
          <cell r="M359">
            <v>50000</v>
          </cell>
        </row>
        <row r="360">
          <cell r="A360" t="str">
            <v>A305540</v>
          </cell>
          <cell r="B360" t="str">
            <v>357</v>
          </cell>
          <cell r="C360" t="str">
            <v>305540</v>
          </cell>
          <cell r="D360" t="str">
            <v>TIGER 2차전지테마</v>
          </cell>
          <cell r="E360">
            <v>16123.73</v>
          </cell>
          <cell r="F360">
            <v>16125</v>
          </cell>
          <cell r="G360" t="str">
            <v>215 ( 1.35%)</v>
          </cell>
          <cell r="H360">
            <v>186514</v>
          </cell>
          <cell r="I360" t="str">
            <v>주식-업종섹터</v>
          </cell>
          <cell r="J360">
            <v>29</v>
          </cell>
          <cell r="K360">
            <v>7585</v>
          </cell>
          <cell r="L360">
            <v>4145316</v>
          </cell>
          <cell r="M360">
            <v>50000</v>
          </cell>
        </row>
        <row r="361">
          <cell r="A361" t="str">
            <v>A305720</v>
          </cell>
          <cell r="B361" t="str">
            <v>358</v>
          </cell>
          <cell r="C361" t="str">
            <v>305720</v>
          </cell>
          <cell r="D361" t="str">
            <v>KODEX 2차전지산업</v>
          </cell>
          <cell r="E361">
            <v>12740.05</v>
          </cell>
          <cell r="F361">
            <v>12740</v>
          </cell>
          <cell r="G361" t="str">
            <v>25 ( 0.20%)</v>
          </cell>
          <cell r="H361">
            <v>1162059</v>
          </cell>
          <cell r="I361" t="str">
            <v>주식-업종섹터</v>
          </cell>
          <cell r="J361">
            <v>25</v>
          </cell>
          <cell r="K361">
            <v>10680</v>
          </cell>
          <cell r="L361">
            <v>2115747</v>
          </cell>
          <cell r="M361">
            <v>100000</v>
          </cell>
        </row>
        <row r="362">
          <cell r="A362" t="str">
            <v>A306520</v>
          </cell>
          <cell r="B362" t="str">
            <v>359</v>
          </cell>
          <cell r="C362" t="str">
            <v>306520</v>
          </cell>
          <cell r="D362" t="str">
            <v>HANARO 200선물인버스</v>
          </cell>
          <cell r="E362">
            <v>2584.4499999999998</v>
          </cell>
          <cell r="F362">
            <v>2570</v>
          </cell>
          <cell r="G362" t="str">
            <v>145 ( 5.34%)</v>
          </cell>
          <cell r="H362">
            <v>9168</v>
          </cell>
          <cell r="I362" t="str">
            <v>주식-시장대표</v>
          </cell>
          <cell r="J362">
            <v>1</v>
          </cell>
          <cell r="K362">
            <v>-1</v>
          </cell>
          <cell r="L362">
            <v>136034966</v>
          </cell>
          <cell r="M362">
            <v>50000</v>
          </cell>
        </row>
        <row r="363">
          <cell r="A363" t="str">
            <v>A306530</v>
          </cell>
          <cell r="B363" t="str">
            <v>360</v>
          </cell>
          <cell r="C363" t="str">
            <v>306530</v>
          </cell>
          <cell r="D363" t="str">
            <v>HANARO 코스닥150선물레버리지</v>
          </cell>
          <cell r="E363">
            <v>6143.77</v>
          </cell>
          <cell r="F363">
            <v>6130</v>
          </cell>
          <cell r="G363" t="str">
            <v>75 ( 1.24%)</v>
          </cell>
          <cell r="H363">
            <v>17481</v>
          </cell>
          <cell r="I363" t="str">
            <v>주식-시장대표</v>
          </cell>
          <cell r="J363">
            <v>3</v>
          </cell>
          <cell r="K363">
            <v>2172</v>
          </cell>
          <cell r="L363">
            <v>95318620</v>
          </cell>
          <cell r="M363">
            <v>20000</v>
          </cell>
        </row>
        <row r="364">
          <cell r="A364" t="str">
            <v>A306950</v>
          </cell>
          <cell r="B364" t="str">
            <v>361</v>
          </cell>
          <cell r="C364" t="str">
            <v>306950</v>
          </cell>
          <cell r="D364" t="str">
            <v>KODEX KRX300레버리지</v>
          </cell>
          <cell r="E364">
            <v>83670.740000000005</v>
          </cell>
          <cell r="F364">
            <v>83320</v>
          </cell>
          <cell r="G364" t="str">
            <v>6,455 ( 8.40%)</v>
          </cell>
          <cell r="H364">
            <v>7897</v>
          </cell>
          <cell r="I364" t="str">
            <v>주식-시장대표</v>
          </cell>
          <cell r="J364">
            <v>302</v>
          </cell>
          <cell r="K364">
            <v>84491</v>
          </cell>
          <cell r="L364">
            <v>-692877456</v>
          </cell>
          <cell r="M364">
            <v>100000</v>
          </cell>
        </row>
        <row r="365">
          <cell r="A365" t="str">
            <v>A307510</v>
          </cell>
          <cell r="B365" t="str">
            <v>362</v>
          </cell>
          <cell r="C365" t="str">
            <v>307510</v>
          </cell>
          <cell r="D365" t="str">
            <v>TIGER 의료기기</v>
          </cell>
          <cell r="E365">
            <v>12791.59</v>
          </cell>
          <cell r="F365">
            <v>12750</v>
          </cell>
          <cell r="G365" t="str">
            <v>85 ( 0.67%)</v>
          </cell>
          <cell r="H365">
            <v>2089</v>
          </cell>
          <cell r="I365" t="str">
            <v>주식-업종섹터</v>
          </cell>
          <cell r="J365">
            <v>49</v>
          </cell>
          <cell r="K365">
            <v>38508</v>
          </cell>
          <cell r="L365">
            <v>9973116</v>
          </cell>
          <cell r="M365">
            <v>50000</v>
          </cell>
        </row>
        <row r="366">
          <cell r="A366" t="str">
            <v>A307520</v>
          </cell>
          <cell r="B366" t="str">
            <v>363</v>
          </cell>
          <cell r="C366" t="str">
            <v>307520</v>
          </cell>
          <cell r="D366" t="str">
            <v>TIGER 지주회사</v>
          </cell>
          <cell r="E366">
            <v>19964.68</v>
          </cell>
          <cell r="F366">
            <v>19915</v>
          </cell>
          <cell r="G366" t="str">
            <v>365 ( 1.87%)</v>
          </cell>
          <cell r="H366">
            <v>530532</v>
          </cell>
          <cell r="I366" t="str">
            <v>주식-업종섹터</v>
          </cell>
          <cell r="J366">
            <v>30</v>
          </cell>
          <cell r="K366">
            <v>9849</v>
          </cell>
          <cell r="L366">
            <v>2750270</v>
          </cell>
          <cell r="M366">
            <v>50000</v>
          </cell>
        </row>
        <row r="367">
          <cell r="A367" t="str">
            <v>A310960</v>
          </cell>
          <cell r="B367" t="str">
            <v>364</v>
          </cell>
          <cell r="C367" t="str">
            <v>310960</v>
          </cell>
          <cell r="D367" t="str">
            <v>TIGER 200TR</v>
          </cell>
          <cell r="E367">
            <v>63378.71</v>
          </cell>
          <cell r="F367">
            <v>63355</v>
          </cell>
          <cell r="G367" t="str">
            <v>2,615 ( 4.31%)</v>
          </cell>
          <cell r="H367">
            <v>55880</v>
          </cell>
          <cell r="I367" t="str">
            <v>주식-시장대표</v>
          </cell>
          <cell r="J367">
            <v>200</v>
          </cell>
          <cell r="K367">
            <v>31719</v>
          </cell>
          <cell r="L367">
            <v>309382854</v>
          </cell>
          <cell r="M367">
            <v>100000</v>
          </cell>
        </row>
        <row r="368">
          <cell r="A368" t="str">
            <v>A310970</v>
          </cell>
          <cell r="B368" t="str">
            <v>365</v>
          </cell>
          <cell r="C368" t="str">
            <v>310970</v>
          </cell>
          <cell r="D368" t="str">
            <v>TIGER MSCI Korea TR</v>
          </cell>
          <cell r="E368">
            <v>48671.75</v>
          </cell>
          <cell r="F368">
            <v>48600</v>
          </cell>
          <cell r="G368" t="str">
            <v>2,270 ( 4.90%)</v>
          </cell>
          <cell r="H368">
            <v>19066</v>
          </cell>
          <cell r="I368" t="str">
            <v>주식-시장대표</v>
          </cell>
          <cell r="J368">
            <v>77</v>
          </cell>
          <cell r="K368">
            <v>19636</v>
          </cell>
          <cell r="L368">
            <v>5680564</v>
          </cell>
          <cell r="M368">
            <v>100000</v>
          </cell>
        </row>
        <row r="369">
          <cell r="A369" t="str">
            <v>A314700</v>
          </cell>
          <cell r="B369" t="str">
            <v>366</v>
          </cell>
          <cell r="C369" t="str">
            <v>314700</v>
          </cell>
          <cell r="D369" t="str">
            <v>HANARO 농업융복합산업</v>
          </cell>
          <cell r="E369">
            <v>10224.040000000001</v>
          </cell>
          <cell r="F369">
            <v>10190</v>
          </cell>
          <cell r="G369" t="str">
            <v>110 ( 1.09%)</v>
          </cell>
          <cell r="H369">
            <v>381</v>
          </cell>
          <cell r="I369" t="str">
            <v>주식-업종섹터</v>
          </cell>
          <cell r="J369">
            <v>12</v>
          </cell>
          <cell r="K369">
            <v>13800</v>
          </cell>
          <cell r="L369">
            <v>2763583</v>
          </cell>
          <cell r="M369">
            <v>50000</v>
          </cell>
        </row>
        <row r="370">
          <cell r="A370" t="str">
            <v>A315270</v>
          </cell>
          <cell r="B370" t="str">
            <v>367</v>
          </cell>
          <cell r="C370" t="str">
            <v>315270</v>
          </cell>
          <cell r="D370" t="str">
            <v>TIGER 200커뮤니케이션서비스</v>
          </cell>
          <cell r="E370">
            <v>19434.419999999998</v>
          </cell>
          <cell r="F370">
            <v>19400</v>
          </cell>
          <cell r="G370" t="str">
            <v>450 ( 2.37%)</v>
          </cell>
          <cell r="H370">
            <v>14081</v>
          </cell>
          <cell r="I370" t="str">
            <v>주식-업종섹터</v>
          </cell>
          <cell r="J370">
            <v>10</v>
          </cell>
          <cell r="K370">
            <v>6407</v>
          </cell>
          <cell r="L370">
            <v>2634965</v>
          </cell>
          <cell r="M370">
            <v>20000</v>
          </cell>
        </row>
        <row r="371">
          <cell r="A371" t="str">
            <v>A315930</v>
          </cell>
          <cell r="B371" t="str">
            <v>368</v>
          </cell>
          <cell r="C371" t="str">
            <v>315930</v>
          </cell>
          <cell r="D371" t="str">
            <v>KODEX Top5PlusTR</v>
          </cell>
          <cell r="E371">
            <v>81983.210000000006</v>
          </cell>
          <cell r="F371">
            <v>81975</v>
          </cell>
          <cell r="G371" t="str">
            <v>3,370 ( 4.29%)</v>
          </cell>
          <cell r="H371">
            <v>37290</v>
          </cell>
          <cell r="I371" t="str">
            <v>주식-전략</v>
          </cell>
          <cell r="J371">
            <v>10</v>
          </cell>
          <cell r="K371">
            <v>31456</v>
          </cell>
          <cell r="L371">
            <v>-66013982</v>
          </cell>
          <cell r="M371">
            <v>100000</v>
          </cell>
        </row>
        <row r="372">
          <cell r="A372" t="str">
            <v>A315960</v>
          </cell>
          <cell r="B372" t="str">
            <v>369</v>
          </cell>
          <cell r="C372" t="str">
            <v>315960</v>
          </cell>
          <cell r="D372" t="str">
            <v>RISE 대형고배당10TR</v>
          </cell>
          <cell r="E372">
            <v>79636.27</v>
          </cell>
          <cell r="F372">
            <v>79560</v>
          </cell>
          <cell r="G372" t="str">
            <v>3,060 ( 4.00%)</v>
          </cell>
          <cell r="H372">
            <v>163122</v>
          </cell>
          <cell r="I372" t="str">
            <v>주식-전략</v>
          </cell>
          <cell r="J372">
            <v>10</v>
          </cell>
          <cell r="K372">
            <v>17148</v>
          </cell>
          <cell r="L372">
            <v>-1396230</v>
          </cell>
          <cell r="M372">
            <v>50000</v>
          </cell>
        </row>
        <row r="373">
          <cell r="A373" t="str">
            <v>A316670</v>
          </cell>
          <cell r="B373" t="str">
            <v>370</v>
          </cell>
          <cell r="C373" t="str">
            <v>316670</v>
          </cell>
          <cell r="D373" t="str">
            <v>KIWOOM 코스닥150</v>
          </cell>
          <cell r="E373">
            <v>6337.43</v>
          </cell>
          <cell r="F373">
            <v>6335</v>
          </cell>
          <cell r="G373" t="str">
            <v>30 ( 0.48%)</v>
          </cell>
          <cell r="H373">
            <v>78211</v>
          </cell>
          <cell r="I373" t="str">
            <v>주식-시장대표</v>
          </cell>
          <cell r="J373">
            <v>150</v>
          </cell>
          <cell r="K373">
            <v>3254</v>
          </cell>
          <cell r="L373">
            <v>53387</v>
          </cell>
          <cell r="M373">
            <v>20000</v>
          </cell>
        </row>
        <row r="374">
          <cell r="A374" t="str">
            <v>A322400</v>
          </cell>
          <cell r="B374" t="str">
            <v>371</v>
          </cell>
          <cell r="C374" t="str">
            <v>322400</v>
          </cell>
          <cell r="D374" t="str">
            <v>HANARO e커머스</v>
          </cell>
          <cell r="E374">
            <v>10140.49</v>
          </cell>
          <cell r="F374">
            <v>10080</v>
          </cell>
          <cell r="G374" t="str">
            <v>220 ( 2.23%)</v>
          </cell>
          <cell r="H374">
            <v>1230</v>
          </cell>
          <cell r="I374" t="str">
            <v>주식-업종섹터</v>
          </cell>
          <cell r="J374">
            <v>16</v>
          </cell>
          <cell r="K374">
            <v>13675</v>
          </cell>
          <cell r="L374">
            <v>1826488</v>
          </cell>
          <cell r="M374">
            <v>50000</v>
          </cell>
        </row>
        <row r="375">
          <cell r="A375" t="str">
            <v>A322410</v>
          </cell>
          <cell r="B375" t="str">
            <v>372</v>
          </cell>
          <cell r="C375" t="str">
            <v>322410</v>
          </cell>
          <cell r="D375" t="str">
            <v>HANARO K고배당</v>
          </cell>
          <cell r="E375">
            <v>22292.9</v>
          </cell>
          <cell r="F375">
            <v>22305</v>
          </cell>
          <cell r="G375" t="str">
            <v>35 ( 0.16%)</v>
          </cell>
          <cell r="H375">
            <v>2944</v>
          </cell>
          <cell r="I375" t="str">
            <v>주식-전략</v>
          </cell>
          <cell r="J375">
            <v>40</v>
          </cell>
          <cell r="K375">
            <v>40986</v>
          </cell>
          <cell r="L375">
            <v>5838799</v>
          </cell>
          <cell r="M375">
            <v>50000</v>
          </cell>
        </row>
        <row r="376">
          <cell r="A376" t="str">
            <v>A325010</v>
          </cell>
          <cell r="B376" t="str">
            <v>373</v>
          </cell>
          <cell r="C376" t="str">
            <v>325010</v>
          </cell>
          <cell r="D376" t="str">
            <v>KODEX 성장주</v>
          </cell>
          <cell r="E376">
            <v>42502.91</v>
          </cell>
          <cell r="F376">
            <v>42520</v>
          </cell>
          <cell r="G376" t="str">
            <v>1,970 ( 4.86%)</v>
          </cell>
          <cell r="H376">
            <v>19145</v>
          </cell>
          <cell r="I376" t="str">
            <v>주식-전략</v>
          </cell>
          <cell r="J376">
            <v>314</v>
          </cell>
          <cell r="K376">
            <v>28462</v>
          </cell>
          <cell r="L376">
            <v>4322472</v>
          </cell>
          <cell r="M376">
            <v>100000</v>
          </cell>
        </row>
        <row r="377">
          <cell r="A377" t="str">
            <v>A325020</v>
          </cell>
          <cell r="B377" t="str">
            <v>374</v>
          </cell>
          <cell r="C377" t="str">
            <v>325020</v>
          </cell>
          <cell r="D377" t="str">
            <v>KODEX 배당가치</v>
          </cell>
          <cell r="E377">
            <v>28969.040000000001</v>
          </cell>
          <cell r="F377">
            <v>28940</v>
          </cell>
          <cell r="G377" t="str">
            <v>525 ( 1.85%)</v>
          </cell>
          <cell r="H377">
            <v>2683</v>
          </cell>
          <cell r="I377" t="str">
            <v>주식-전략</v>
          </cell>
          <cell r="J377">
            <v>149</v>
          </cell>
          <cell r="K377">
            <v>39838</v>
          </cell>
          <cell r="L377">
            <v>1711269</v>
          </cell>
          <cell r="M377">
            <v>100000</v>
          </cell>
        </row>
        <row r="378">
          <cell r="A378" t="str">
            <v>A326230</v>
          </cell>
          <cell r="B378" t="str">
            <v>375</v>
          </cell>
          <cell r="C378" t="str">
            <v>326230</v>
          </cell>
          <cell r="D378" t="str">
            <v>RISE 내수주플러스</v>
          </cell>
          <cell r="E378">
            <v>10811.92</v>
          </cell>
          <cell r="F378">
            <v>10795</v>
          </cell>
          <cell r="G378" t="str">
            <v>30 ( 0.28%)</v>
          </cell>
          <cell r="H378">
            <v>88</v>
          </cell>
          <cell r="I378" t="str">
            <v>주식-전략</v>
          </cell>
          <cell r="J378">
            <v>60</v>
          </cell>
          <cell r="K378">
            <v>3171</v>
          </cell>
          <cell r="L378">
            <v>2565753</v>
          </cell>
          <cell r="M378">
            <v>20000</v>
          </cell>
        </row>
        <row r="379">
          <cell r="A379" t="str">
            <v>A326240</v>
          </cell>
          <cell r="B379" t="str">
            <v>376</v>
          </cell>
          <cell r="C379" t="str">
            <v>326240</v>
          </cell>
          <cell r="D379" t="str">
            <v>RISE IT플러스</v>
          </cell>
          <cell r="E379">
            <v>42610.03</v>
          </cell>
          <cell r="F379">
            <v>42625</v>
          </cell>
          <cell r="G379" t="str">
            <v>1,945 ( 4.78%)</v>
          </cell>
          <cell r="H379">
            <v>8966</v>
          </cell>
          <cell r="I379" t="str">
            <v>주식-전략</v>
          </cell>
          <cell r="J379">
            <v>124</v>
          </cell>
          <cell r="K379">
            <v>6691</v>
          </cell>
          <cell r="L379">
            <v>27495</v>
          </cell>
          <cell r="M379">
            <v>20000</v>
          </cell>
        </row>
        <row r="380">
          <cell r="A380" t="str">
            <v>A328370</v>
          </cell>
          <cell r="B380" t="str">
            <v>377</v>
          </cell>
          <cell r="C380" t="str">
            <v>328370</v>
          </cell>
          <cell r="D380" t="str">
            <v>PLUS 코스피TR</v>
          </cell>
          <cell r="E380">
            <v>38245.94</v>
          </cell>
          <cell r="F380">
            <v>38245</v>
          </cell>
          <cell r="G380" t="str">
            <v>1,500 ( 4.08%)</v>
          </cell>
          <cell r="H380">
            <v>2245</v>
          </cell>
          <cell r="I380" t="str">
            <v>주식-시장대표</v>
          </cell>
          <cell r="J380">
            <v>677</v>
          </cell>
          <cell r="K380">
            <v>18200</v>
          </cell>
          <cell r="L380">
            <v>3562749</v>
          </cell>
          <cell r="M380">
            <v>50000</v>
          </cell>
        </row>
        <row r="381">
          <cell r="A381" t="str">
            <v>A329200</v>
          </cell>
          <cell r="B381" t="str">
            <v>378</v>
          </cell>
          <cell r="C381" t="str">
            <v>329200</v>
          </cell>
          <cell r="D381" t="str">
            <v>TIGER 리츠부동산인프라</v>
          </cell>
          <cell r="E381">
            <v>4001.97</v>
          </cell>
          <cell r="F381">
            <v>4010</v>
          </cell>
          <cell r="G381" t="str">
            <v>0 ( 0.00%)</v>
          </cell>
          <cell r="H381">
            <v>2225424</v>
          </cell>
          <cell r="I381" t="str">
            <v>부동산</v>
          </cell>
          <cell r="J381">
            <v>14</v>
          </cell>
          <cell r="K381">
            <v>37527</v>
          </cell>
          <cell r="L381">
            <v>6647517</v>
          </cell>
          <cell r="M381">
            <v>50000</v>
          </cell>
        </row>
        <row r="382">
          <cell r="A382" t="str">
            <v>A332500</v>
          </cell>
          <cell r="B382" t="str">
            <v>379</v>
          </cell>
          <cell r="C382" t="str">
            <v>332500</v>
          </cell>
          <cell r="D382" t="str">
            <v>ACE 200TR</v>
          </cell>
          <cell r="E382">
            <v>73177.37</v>
          </cell>
          <cell r="F382">
            <v>73175</v>
          </cell>
          <cell r="G382" t="str">
            <v>3,380 ( 4.84%)</v>
          </cell>
          <cell r="H382">
            <v>35486</v>
          </cell>
          <cell r="I382" t="str">
            <v>주식-시장대표</v>
          </cell>
          <cell r="J382">
            <v>200</v>
          </cell>
          <cell r="K382">
            <v>37713</v>
          </cell>
          <cell r="L382">
            <v>41016347</v>
          </cell>
          <cell r="M382">
            <v>100000</v>
          </cell>
        </row>
        <row r="383">
          <cell r="A383" t="str">
            <v>A332930</v>
          </cell>
          <cell r="B383" t="str">
            <v>380</v>
          </cell>
          <cell r="C383" t="str">
            <v>332930</v>
          </cell>
          <cell r="D383" t="str">
            <v>HANARO 200TR</v>
          </cell>
          <cell r="E383">
            <v>142857.82999999999</v>
          </cell>
          <cell r="F383">
            <v>142985</v>
          </cell>
          <cell r="G383" t="str">
            <v>7,100 ( 5.23%)</v>
          </cell>
          <cell r="H383">
            <v>3158</v>
          </cell>
          <cell r="I383" t="str">
            <v>주식-시장대표</v>
          </cell>
          <cell r="J383">
            <v>199</v>
          </cell>
          <cell r="K383">
            <v>37467</v>
          </cell>
          <cell r="L383">
            <v>17230102</v>
          </cell>
          <cell r="M383">
            <v>50000</v>
          </cell>
        </row>
        <row r="384">
          <cell r="A384" t="str">
            <v>A332940</v>
          </cell>
          <cell r="B384" t="str">
            <v>381</v>
          </cell>
          <cell r="C384" t="str">
            <v>332940</v>
          </cell>
          <cell r="D384" t="str">
            <v>HANARO MSCI Korea TR</v>
          </cell>
          <cell r="E384">
            <v>48500.42</v>
          </cell>
          <cell r="F384">
            <v>48535</v>
          </cell>
          <cell r="G384" t="str">
            <v>2,460 ( 5.34%)</v>
          </cell>
          <cell r="H384">
            <v>483</v>
          </cell>
          <cell r="I384" t="str">
            <v>주식-시장대표</v>
          </cell>
          <cell r="J384">
            <v>77</v>
          </cell>
          <cell r="K384">
            <v>19554</v>
          </cell>
          <cell r="L384">
            <v>8704015</v>
          </cell>
          <cell r="M384">
            <v>100000</v>
          </cell>
        </row>
        <row r="385">
          <cell r="A385" t="str">
            <v>A336160</v>
          </cell>
          <cell r="B385" t="str">
            <v>382</v>
          </cell>
          <cell r="C385" t="str">
            <v>336160</v>
          </cell>
          <cell r="D385" t="str">
            <v>RISE 금융채액티브</v>
          </cell>
          <cell r="E385">
            <v>100084.11</v>
          </cell>
          <cell r="F385">
            <v>100060</v>
          </cell>
          <cell r="G385" t="str">
            <v>15 ( 0.01%)</v>
          </cell>
          <cell r="H385">
            <v>60</v>
          </cell>
          <cell r="I385" t="str">
            <v>채권-회사채</v>
          </cell>
          <cell r="J385">
            <v>10</v>
          </cell>
          <cell r="K385">
            <v>0</v>
          </cell>
          <cell r="L385">
            <v>1022410</v>
          </cell>
          <cell r="M385">
            <v>1000</v>
          </cell>
        </row>
        <row r="386">
          <cell r="A386" t="str">
            <v>A337120</v>
          </cell>
          <cell r="B386" t="str">
            <v>383</v>
          </cell>
          <cell r="C386" t="str">
            <v>337120</v>
          </cell>
          <cell r="D386" t="str">
            <v>KODEX 멀티팩터</v>
          </cell>
          <cell r="E386">
            <v>34656.839999999997</v>
          </cell>
          <cell r="F386">
            <v>33525</v>
          </cell>
          <cell r="G386" t="str">
            <v>360 ( 1.09%)</v>
          </cell>
          <cell r="H386">
            <v>6</v>
          </cell>
          <cell r="I386" t="str">
            <v>주식-전략</v>
          </cell>
          <cell r="J386">
            <v>239</v>
          </cell>
          <cell r="K386">
            <v>47656</v>
          </cell>
          <cell r="L386">
            <v>6831639</v>
          </cell>
          <cell r="M386">
            <v>100000</v>
          </cell>
        </row>
        <row r="387">
          <cell r="A387" t="str">
            <v>A337140</v>
          </cell>
          <cell r="B387" t="str">
            <v>384</v>
          </cell>
          <cell r="C387" t="str">
            <v>337140</v>
          </cell>
          <cell r="D387" t="str">
            <v>KODEX 코스피대형주</v>
          </cell>
          <cell r="E387">
            <v>36287.89</v>
          </cell>
          <cell r="F387">
            <v>36255</v>
          </cell>
          <cell r="G387" t="str">
            <v>1,485 ( 4.27%)</v>
          </cell>
          <cell r="H387">
            <v>143656</v>
          </cell>
          <cell r="I387" t="str">
            <v>주식-규모</v>
          </cell>
          <cell r="J387">
            <v>100</v>
          </cell>
          <cell r="K387">
            <v>17784</v>
          </cell>
          <cell r="L387">
            <v>2391839</v>
          </cell>
          <cell r="M387">
            <v>100000</v>
          </cell>
        </row>
        <row r="388">
          <cell r="A388" t="str">
            <v>A337150</v>
          </cell>
          <cell r="B388" t="str">
            <v>385</v>
          </cell>
          <cell r="C388" t="str">
            <v>337150</v>
          </cell>
          <cell r="D388" t="str">
            <v>KODEX 200exTOP</v>
          </cell>
          <cell r="E388">
            <v>24540.5</v>
          </cell>
          <cell r="F388">
            <v>24510</v>
          </cell>
          <cell r="G388" t="str">
            <v>555 ( 2.32%)</v>
          </cell>
          <cell r="H388">
            <v>77</v>
          </cell>
          <cell r="I388" t="str">
            <v>주식-규모</v>
          </cell>
          <cell r="J388">
            <v>197</v>
          </cell>
          <cell r="K388">
            <v>24554</v>
          </cell>
          <cell r="L388">
            <v>7667050</v>
          </cell>
          <cell r="M388">
            <v>100000</v>
          </cell>
        </row>
        <row r="389">
          <cell r="A389" t="str">
            <v>A337160</v>
          </cell>
          <cell r="B389" t="str">
            <v>386</v>
          </cell>
          <cell r="C389" t="str">
            <v>337160</v>
          </cell>
          <cell r="D389" t="str">
            <v>KODEX 200ESG</v>
          </cell>
          <cell r="E389">
            <v>47995.199999999997</v>
          </cell>
          <cell r="F389">
            <v>48020</v>
          </cell>
          <cell r="G389" t="str">
            <v>2,085 ( 4.54%)</v>
          </cell>
          <cell r="H389">
            <v>23534</v>
          </cell>
          <cell r="I389" t="str">
            <v>주식-전략</v>
          </cell>
          <cell r="J389">
            <v>112</v>
          </cell>
          <cell r="K389">
            <v>26211</v>
          </cell>
          <cell r="L389">
            <v>7187612</v>
          </cell>
          <cell r="M389">
            <v>100000</v>
          </cell>
        </row>
        <row r="390">
          <cell r="A390" t="str">
            <v>A341850</v>
          </cell>
          <cell r="B390" t="str">
            <v>387</v>
          </cell>
          <cell r="C390" t="str">
            <v>341850</v>
          </cell>
          <cell r="D390" t="str">
            <v>TIGER 리츠부동산인프라채권</v>
          </cell>
          <cell r="E390">
            <v>4519.7</v>
          </cell>
          <cell r="F390">
            <v>4520</v>
          </cell>
          <cell r="G390" t="str">
            <v>10 ( 0.22%)</v>
          </cell>
          <cell r="H390">
            <v>3555</v>
          </cell>
          <cell r="I390" t="str">
            <v>혼합-주식채권</v>
          </cell>
          <cell r="J390">
            <v>15</v>
          </cell>
          <cell r="K390">
            <v>32301</v>
          </cell>
          <cell r="L390">
            <v>10302060</v>
          </cell>
          <cell r="M390">
            <v>50000</v>
          </cell>
        </row>
        <row r="391">
          <cell r="A391" t="str">
            <v>A354500</v>
          </cell>
          <cell r="B391" t="str">
            <v>388</v>
          </cell>
          <cell r="C391" t="str">
            <v>354500</v>
          </cell>
          <cell r="D391" t="str">
            <v>ACE 코스닥150</v>
          </cell>
          <cell r="E391">
            <v>12830.51</v>
          </cell>
          <cell r="F391">
            <v>12820</v>
          </cell>
          <cell r="G391" t="str">
            <v>45 ( 0.35%)</v>
          </cell>
          <cell r="H391">
            <v>153789</v>
          </cell>
          <cell r="I391" t="str">
            <v>주식-시장대표</v>
          </cell>
          <cell r="J391">
            <v>152</v>
          </cell>
          <cell r="K391">
            <v>33407</v>
          </cell>
          <cell r="L391">
            <v>5588244</v>
          </cell>
          <cell r="M391">
            <v>100000</v>
          </cell>
        </row>
        <row r="392">
          <cell r="A392" t="str">
            <v>A356540</v>
          </cell>
          <cell r="B392" t="str">
            <v>389</v>
          </cell>
          <cell r="C392" t="str">
            <v>356540</v>
          </cell>
          <cell r="D392" t="str">
            <v>ACE 종합채권(AA-이상)액티브</v>
          </cell>
          <cell r="E392">
            <v>100809.95</v>
          </cell>
          <cell r="F392">
            <v>100810</v>
          </cell>
          <cell r="G392" t="str">
            <v>10 ( 0.01%)</v>
          </cell>
          <cell r="H392">
            <v>273</v>
          </cell>
          <cell r="I392" t="str">
            <v>채권-혼합</v>
          </cell>
          <cell r="J392">
            <v>114</v>
          </cell>
          <cell r="K392">
            <v>0</v>
          </cell>
          <cell r="L392">
            <v>5056171</v>
          </cell>
          <cell r="M392">
            <v>1000</v>
          </cell>
        </row>
        <row r="393">
          <cell r="A393" t="str">
            <v>A357870</v>
          </cell>
          <cell r="B393" t="str">
            <v>390</v>
          </cell>
          <cell r="C393" t="str">
            <v>357870</v>
          </cell>
          <cell r="D393" t="str">
            <v>TIGER CD금리투자KIS(합성)</v>
          </cell>
          <cell r="E393">
            <v>57784.95</v>
          </cell>
          <cell r="F393">
            <v>57780</v>
          </cell>
          <cell r="G393" t="str">
            <v>5 ( 0.01%)</v>
          </cell>
          <cell r="H393">
            <v>134166</v>
          </cell>
          <cell r="I393" t="str">
            <v>기타</v>
          </cell>
          <cell r="J393">
            <v>6</v>
          </cell>
          <cell r="K393">
            <v>66539988</v>
          </cell>
          <cell r="L393">
            <v>49011499</v>
          </cell>
          <cell r="M393">
            <v>2000</v>
          </cell>
        </row>
        <row r="394">
          <cell r="A394" t="str">
            <v>A359210</v>
          </cell>
          <cell r="B394" t="str">
            <v>391</v>
          </cell>
          <cell r="C394" t="str">
            <v>359210</v>
          </cell>
          <cell r="D394" t="str">
            <v>KODEX 코스피TR</v>
          </cell>
          <cell r="E394">
            <v>35275.19</v>
          </cell>
          <cell r="F394">
            <v>35250</v>
          </cell>
          <cell r="G394" t="str">
            <v>1,350 ( 3.98%)</v>
          </cell>
          <cell r="H394">
            <v>10777</v>
          </cell>
          <cell r="I394" t="str">
            <v>주식-시장대표</v>
          </cell>
          <cell r="J394">
            <v>782</v>
          </cell>
          <cell r="K394">
            <v>36586</v>
          </cell>
          <cell r="L394">
            <v>-833895</v>
          </cell>
          <cell r="M394">
            <v>100000</v>
          </cell>
        </row>
        <row r="395">
          <cell r="A395" t="str">
            <v>A360140</v>
          </cell>
          <cell r="B395" t="str">
            <v>392</v>
          </cell>
          <cell r="C395" t="str">
            <v>360140</v>
          </cell>
          <cell r="D395" t="str">
            <v>KODEX 200롱코스닥150숏선물</v>
          </cell>
          <cell r="E395">
            <v>25498.99</v>
          </cell>
          <cell r="F395">
            <v>25525</v>
          </cell>
          <cell r="G395" t="str">
            <v>1,080 ( 4.42%)</v>
          </cell>
          <cell r="H395">
            <v>183511</v>
          </cell>
          <cell r="I395" t="str">
            <v>주식-전략</v>
          </cell>
          <cell r="J395">
            <v>206</v>
          </cell>
          <cell r="K395">
            <v>90163</v>
          </cell>
          <cell r="L395">
            <v>898474637</v>
          </cell>
          <cell r="M395">
            <v>100000</v>
          </cell>
        </row>
        <row r="396">
          <cell r="A396" t="str">
            <v>A360150</v>
          </cell>
          <cell r="B396" t="str">
            <v>393</v>
          </cell>
          <cell r="C396" t="str">
            <v>360150</v>
          </cell>
          <cell r="D396" t="str">
            <v>KODEX 코스닥150롱코스피200숏선물</v>
          </cell>
          <cell r="E396">
            <v>2878.15</v>
          </cell>
          <cell r="F396">
            <v>2880</v>
          </cell>
          <cell r="G396" t="str">
            <v>130 ( 4.32%)</v>
          </cell>
          <cell r="H396">
            <v>23732</v>
          </cell>
          <cell r="I396" t="str">
            <v>주식-전략</v>
          </cell>
          <cell r="J396">
            <v>4</v>
          </cell>
          <cell r="K396">
            <v>31114</v>
          </cell>
          <cell r="L396">
            <v>215386857</v>
          </cell>
          <cell r="M396">
            <v>100000</v>
          </cell>
        </row>
        <row r="397">
          <cell r="A397" t="str">
            <v>A361580</v>
          </cell>
          <cell r="B397" t="str">
            <v>394</v>
          </cell>
          <cell r="C397" t="str">
            <v>361580</v>
          </cell>
          <cell r="D397" t="str">
            <v>RISE 200TR</v>
          </cell>
          <cell r="E397">
            <v>61830.41</v>
          </cell>
          <cell r="F397">
            <v>61950</v>
          </cell>
          <cell r="G397" t="str">
            <v>2,975 ( 5.04%)</v>
          </cell>
          <cell r="H397">
            <v>121141</v>
          </cell>
          <cell r="I397" t="str">
            <v>주식-시장대표</v>
          </cell>
          <cell r="J397">
            <v>199</v>
          </cell>
          <cell r="K397">
            <v>16262</v>
          </cell>
          <cell r="L397">
            <v>-1182313</v>
          </cell>
          <cell r="M397">
            <v>50000</v>
          </cell>
        </row>
        <row r="398">
          <cell r="A398" t="str">
            <v>A363510</v>
          </cell>
          <cell r="B398" t="str">
            <v>395</v>
          </cell>
          <cell r="C398" t="str">
            <v>363510</v>
          </cell>
          <cell r="D398" t="str">
            <v>SOL KIS단기통안채</v>
          </cell>
          <cell r="E398">
            <v>111840.73</v>
          </cell>
          <cell r="F398">
            <v>111820</v>
          </cell>
          <cell r="G398" t="str">
            <v>0 ( 0.00%)</v>
          </cell>
          <cell r="H398">
            <v>0</v>
          </cell>
          <cell r="I398" t="str">
            <v>채권-국공채</v>
          </cell>
          <cell r="J398">
            <v>1</v>
          </cell>
          <cell r="K398">
            <v>0</v>
          </cell>
          <cell r="L398">
            <v>21869107</v>
          </cell>
          <cell r="M398">
            <v>1000</v>
          </cell>
        </row>
        <row r="399">
          <cell r="A399" t="str">
            <v>A363570</v>
          </cell>
          <cell r="B399" t="str">
            <v>396</v>
          </cell>
          <cell r="C399" t="str">
            <v>363570</v>
          </cell>
          <cell r="D399" t="str">
            <v>KODEX 장기종합채권(AA-이상)액티브</v>
          </cell>
          <cell r="E399">
            <v>86155.93</v>
          </cell>
          <cell r="F399">
            <v>86050</v>
          </cell>
          <cell r="G399" t="str">
            <v>360 ( 0.42%)</v>
          </cell>
          <cell r="H399">
            <v>54</v>
          </cell>
          <cell r="I399" t="str">
            <v>채권-혼합</v>
          </cell>
          <cell r="J399">
            <v>39</v>
          </cell>
          <cell r="K399">
            <v>0</v>
          </cell>
          <cell r="L399">
            <v>-18921571</v>
          </cell>
          <cell r="M399">
            <v>1000</v>
          </cell>
        </row>
        <row r="400">
          <cell r="A400" t="str">
            <v>A363580</v>
          </cell>
          <cell r="B400" t="str">
            <v>397</v>
          </cell>
          <cell r="C400" t="str">
            <v>363580</v>
          </cell>
          <cell r="D400" t="str">
            <v>KODEX 200IT TR</v>
          </cell>
          <cell r="E400">
            <v>55910</v>
          </cell>
          <cell r="F400">
            <v>55890</v>
          </cell>
          <cell r="G400" t="str">
            <v>2,645 ( 4.97%)</v>
          </cell>
          <cell r="H400">
            <v>173325</v>
          </cell>
          <cell r="I400" t="str">
            <v>주식-업종섹터</v>
          </cell>
          <cell r="J400">
            <v>16</v>
          </cell>
          <cell r="K400">
            <v>16342</v>
          </cell>
          <cell r="L400">
            <v>4764550</v>
          </cell>
          <cell r="M400">
            <v>100000</v>
          </cell>
        </row>
        <row r="401">
          <cell r="A401" t="str">
            <v>A364690</v>
          </cell>
          <cell r="B401" t="str">
            <v>398</v>
          </cell>
          <cell r="C401" t="str">
            <v>364690</v>
          </cell>
          <cell r="D401" t="str">
            <v>KODEX 혁신기술테마액티브</v>
          </cell>
          <cell r="E401">
            <v>38831.18</v>
          </cell>
          <cell r="F401">
            <v>38775</v>
          </cell>
          <cell r="G401" t="str">
            <v>1,745 ( 4.71%)</v>
          </cell>
          <cell r="H401">
            <v>2633</v>
          </cell>
          <cell r="I401" t="str">
            <v>주식-시장대표</v>
          </cell>
          <cell r="J401">
            <v>187</v>
          </cell>
          <cell r="K401">
            <v>22187</v>
          </cell>
          <cell r="L401">
            <v>43620317</v>
          </cell>
          <cell r="M401">
            <v>100000</v>
          </cell>
        </row>
        <row r="402">
          <cell r="A402" t="str">
            <v>A364960</v>
          </cell>
          <cell r="B402" t="str">
            <v>399</v>
          </cell>
          <cell r="C402" t="str">
            <v>364960</v>
          </cell>
          <cell r="D402" t="str">
            <v>TIGER BBIG</v>
          </cell>
          <cell r="E402">
            <v>5929.82</v>
          </cell>
          <cell r="F402">
            <v>5915</v>
          </cell>
          <cell r="G402" t="str">
            <v>95 ( 1.63%)</v>
          </cell>
          <cell r="H402">
            <v>26675</v>
          </cell>
          <cell r="I402" t="str">
            <v>주식-업종섹터</v>
          </cell>
          <cell r="J402">
            <v>12</v>
          </cell>
          <cell r="K402">
            <v>2417</v>
          </cell>
          <cell r="L402">
            <v>89643</v>
          </cell>
          <cell r="M402">
            <v>50000</v>
          </cell>
        </row>
        <row r="403">
          <cell r="A403" t="str">
            <v>A364970</v>
          </cell>
          <cell r="B403" t="str">
            <v>400</v>
          </cell>
          <cell r="C403" t="str">
            <v>364970</v>
          </cell>
          <cell r="D403" t="str">
            <v>TIGER 바이오TOP10</v>
          </cell>
          <cell r="E403">
            <v>6311.69</v>
          </cell>
          <cell r="F403">
            <v>6295</v>
          </cell>
          <cell r="G403" t="str">
            <v>80 ( 1.29%)</v>
          </cell>
          <cell r="H403">
            <v>556330</v>
          </cell>
          <cell r="I403" t="str">
            <v>주식-업종섹터</v>
          </cell>
          <cell r="J403">
            <v>10</v>
          </cell>
          <cell r="K403">
            <v>1737</v>
          </cell>
          <cell r="L403">
            <v>686515</v>
          </cell>
          <cell r="M403">
            <v>50000</v>
          </cell>
        </row>
        <row r="404">
          <cell r="A404" t="str">
            <v>A364980</v>
          </cell>
          <cell r="B404" t="str">
            <v>401</v>
          </cell>
          <cell r="C404" t="str">
            <v>364980</v>
          </cell>
          <cell r="D404" t="str">
            <v>TIGER 2차전지TOP10</v>
          </cell>
          <cell r="E404">
            <v>8772.0400000000009</v>
          </cell>
          <cell r="F404">
            <v>8780</v>
          </cell>
          <cell r="G404" t="str">
            <v>105 ( 1.21%)</v>
          </cell>
          <cell r="H404">
            <v>1062767</v>
          </cell>
          <cell r="I404" t="str">
            <v>주식-업종섹터</v>
          </cell>
          <cell r="J404">
            <v>10</v>
          </cell>
          <cell r="K404">
            <v>1790</v>
          </cell>
          <cell r="L404">
            <v>-500646</v>
          </cell>
          <cell r="M404">
            <v>50000</v>
          </cell>
        </row>
        <row r="405">
          <cell r="A405" t="str">
            <v>A364990</v>
          </cell>
          <cell r="B405" t="str">
            <v>402</v>
          </cell>
          <cell r="C405" t="str">
            <v>364990</v>
          </cell>
          <cell r="D405" t="str">
            <v>TIGER 게임TOP10</v>
          </cell>
          <cell r="E405">
            <v>4607.01</v>
          </cell>
          <cell r="F405">
            <v>4595</v>
          </cell>
          <cell r="G405" t="str">
            <v>65 ( 1.43%)</v>
          </cell>
          <cell r="H405">
            <v>73844</v>
          </cell>
          <cell r="I405" t="str">
            <v>주식-업종섹터</v>
          </cell>
          <cell r="J405">
            <v>10</v>
          </cell>
          <cell r="K405">
            <v>3948</v>
          </cell>
          <cell r="L405">
            <v>487992</v>
          </cell>
          <cell r="M405">
            <v>50000</v>
          </cell>
        </row>
        <row r="406">
          <cell r="A406" t="str">
            <v>A365000</v>
          </cell>
          <cell r="B406" t="str">
            <v>403</v>
          </cell>
          <cell r="C406" t="str">
            <v>365000</v>
          </cell>
          <cell r="D406" t="str">
            <v>TIGER 인터넷TOP10</v>
          </cell>
          <cell r="E406">
            <v>3476.2</v>
          </cell>
          <cell r="F406">
            <v>3475</v>
          </cell>
          <cell r="G406" t="str">
            <v>60 ( 1.76%)</v>
          </cell>
          <cell r="H406">
            <v>121098</v>
          </cell>
          <cell r="I406" t="str">
            <v>주식-업종섹터</v>
          </cell>
          <cell r="J406">
            <v>10</v>
          </cell>
          <cell r="K406">
            <v>4249</v>
          </cell>
          <cell r="L406">
            <v>923306</v>
          </cell>
          <cell r="M406">
            <v>50000</v>
          </cell>
        </row>
        <row r="407">
          <cell r="A407" t="str">
            <v>A365040</v>
          </cell>
          <cell r="B407" t="str">
            <v>404</v>
          </cell>
          <cell r="C407" t="str">
            <v>365040</v>
          </cell>
          <cell r="D407" t="str">
            <v>TIGER AI코리아그로스액티브</v>
          </cell>
          <cell r="E407">
            <v>35597.9</v>
          </cell>
          <cell r="F407">
            <v>35605</v>
          </cell>
          <cell r="G407" t="str">
            <v>1,405 ( 4.11%)</v>
          </cell>
          <cell r="H407">
            <v>7473</v>
          </cell>
          <cell r="I407" t="str">
            <v>주식-시장대표</v>
          </cell>
          <cell r="J407">
            <v>182</v>
          </cell>
          <cell r="K407">
            <v>29222</v>
          </cell>
          <cell r="L407">
            <v>-11850830</v>
          </cell>
          <cell r="M407">
            <v>100000</v>
          </cell>
        </row>
        <row r="408">
          <cell r="A408" t="str">
            <v>A365780</v>
          </cell>
          <cell r="B408" t="str">
            <v>405</v>
          </cell>
          <cell r="C408" t="str">
            <v>365780</v>
          </cell>
          <cell r="D408" t="str">
            <v>ACE 국고채10년</v>
          </cell>
          <cell r="E408">
            <v>81993.63</v>
          </cell>
          <cell r="F408">
            <v>82000</v>
          </cell>
          <cell r="G408" t="str">
            <v>45 ( 0.05%)</v>
          </cell>
          <cell r="H408">
            <v>5072</v>
          </cell>
          <cell r="I408" t="str">
            <v>채권-국공채</v>
          </cell>
          <cell r="J408">
            <v>3</v>
          </cell>
          <cell r="K408">
            <v>0</v>
          </cell>
          <cell r="L408">
            <v>2931795</v>
          </cell>
          <cell r="M408">
            <v>1000</v>
          </cell>
        </row>
        <row r="409">
          <cell r="A409" t="str">
            <v>A367740</v>
          </cell>
          <cell r="B409" t="str">
            <v>406</v>
          </cell>
          <cell r="C409" t="str">
            <v>367740</v>
          </cell>
          <cell r="D409" t="str">
            <v>HANARO Fn5G산업</v>
          </cell>
          <cell r="E409">
            <v>40186.44</v>
          </cell>
          <cell r="F409">
            <v>40125</v>
          </cell>
          <cell r="G409" t="str">
            <v>770 ( 1.96%)</v>
          </cell>
          <cell r="H409">
            <v>1517</v>
          </cell>
          <cell r="I409" t="str">
            <v>주식-업종섹터</v>
          </cell>
          <cell r="J409">
            <v>30</v>
          </cell>
          <cell r="K409">
            <v>30885</v>
          </cell>
          <cell r="L409">
            <v>10087333</v>
          </cell>
          <cell r="M409">
            <v>50000</v>
          </cell>
        </row>
        <row r="410">
          <cell r="A410" t="str">
            <v>A367760</v>
          </cell>
          <cell r="B410" t="str">
            <v>407</v>
          </cell>
          <cell r="C410" t="str">
            <v>367760</v>
          </cell>
          <cell r="D410" t="str">
            <v>RISE 네트워크인프라</v>
          </cell>
          <cell r="E410">
            <v>57601.96</v>
          </cell>
          <cell r="F410">
            <v>57555</v>
          </cell>
          <cell r="G410" t="str">
            <v>2,350 ( 4.26%)</v>
          </cell>
          <cell r="H410">
            <v>257353</v>
          </cell>
          <cell r="I410" t="str">
            <v>주식-업종섹터</v>
          </cell>
          <cell r="J410">
            <v>23</v>
          </cell>
          <cell r="K410">
            <v>26107</v>
          </cell>
          <cell r="L410">
            <v>4449600</v>
          </cell>
          <cell r="M410">
            <v>50000</v>
          </cell>
        </row>
        <row r="411">
          <cell r="A411" t="str">
            <v>A367770</v>
          </cell>
          <cell r="B411" t="str">
            <v>408</v>
          </cell>
          <cell r="C411" t="str">
            <v>367770</v>
          </cell>
          <cell r="D411" t="str">
            <v>RISE 수소경제테마</v>
          </cell>
          <cell r="E411">
            <v>20688.59</v>
          </cell>
          <cell r="F411">
            <v>20635</v>
          </cell>
          <cell r="G411" t="str">
            <v>340 ( 1.68%)</v>
          </cell>
          <cell r="H411">
            <v>100337</v>
          </cell>
          <cell r="I411" t="str">
            <v>주식-업종섹터</v>
          </cell>
          <cell r="J411">
            <v>32</v>
          </cell>
          <cell r="K411">
            <v>9984</v>
          </cell>
          <cell r="L411">
            <v>7438008</v>
          </cell>
          <cell r="M411">
            <v>50000</v>
          </cell>
        </row>
        <row r="412">
          <cell r="A412" t="str">
            <v>A368190</v>
          </cell>
          <cell r="B412" t="str">
            <v>409</v>
          </cell>
          <cell r="C412" t="str">
            <v>368190</v>
          </cell>
          <cell r="D412" t="str">
            <v>HANARO Fn K-뉴딜디지털플러스</v>
          </cell>
          <cell r="E412">
            <v>7098.15</v>
          </cell>
          <cell r="F412">
            <v>6910</v>
          </cell>
          <cell r="G412" t="str">
            <v>75 ( 1.07%)</v>
          </cell>
          <cell r="H412">
            <v>983</v>
          </cell>
          <cell r="I412" t="str">
            <v>주식-업종섹터</v>
          </cell>
          <cell r="J412">
            <v>20</v>
          </cell>
          <cell r="K412">
            <v>2537</v>
          </cell>
          <cell r="L412">
            <v>1882771</v>
          </cell>
          <cell r="M412">
            <v>50000</v>
          </cell>
        </row>
        <row r="413">
          <cell r="A413" t="str">
            <v>A368680</v>
          </cell>
          <cell r="B413" t="str">
            <v>410</v>
          </cell>
          <cell r="C413" t="str">
            <v>368680</v>
          </cell>
          <cell r="D413" t="str">
            <v>KODEX K-뉴딜디지털플러스</v>
          </cell>
          <cell r="E413">
            <v>7155.37</v>
          </cell>
          <cell r="F413">
            <v>7115</v>
          </cell>
          <cell r="G413" t="str">
            <v>120 ( 1.72%)</v>
          </cell>
          <cell r="H413">
            <v>229</v>
          </cell>
          <cell r="I413" t="str">
            <v>주식-업종섹터</v>
          </cell>
          <cell r="J413">
            <v>20</v>
          </cell>
          <cell r="K413">
            <v>5141</v>
          </cell>
          <cell r="L413">
            <v>26363</v>
          </cell>
          <cell r="M413">
            <v>100000</v>
          </cell>
        </row>
        <row r="414">
          <cell r="A414" t="str">
            <v>A373490</v>
          </cell>
          <cell r="B414" t="str">
            <v>411</v>
          </cell>
          <cell r="C414" t="str">
            <v>373490</v>
          </cell>
          <cell r="D414" t="str">
            <v>KODEX 코리아혁신성장액티브</v>
          </cell>
          <cell r="E414">
            <v>24070.35</v>
          </cell>
          <cell r="F414">
            <v>24065</v>
          </cell>
          <cell r="G414" t="str">
            <v>910 ( 3.93%)</v>
          </cell>
          <cell r="H414">
            <v>558</v>
          </cell>
          <cell r="I414" t="str">
            <v>주식-전략</v>
          </cell>
          <cell r="J414">
            <v>51</v>
          </cell>
          <cell r="K414">
            <v>19489</v>
          </cell>
          <cell r="L414">
            <v>24330187</v>
          </cell>
          <cell r="M414">
            <v>50000</v>
          </cell>
        </row>
        <row r="415">
          <cell r="A415" t="str">
            <v>A375760</v>
          </cell>
          <cell r="B415" t="str">
            <v>412</v>
          </cell>
          <cell r="C415" t="str">
            <v>375760</v>
          </cell>
          <cell r="D415" t="str">
            <v>HANARO 탄소효율그린뉴딜</v>
          </cell>
          <cell r="E415">
            <v>24103.06</v>
          </cell>
          <cell r="F415">
            <v>24140</v>
          </cell>
          <cell r="G415" t="str">
            <v>1,165 ( 5.07%)</v>
          </cell>
          <cell r="H415">
            <v>263</v>
          </cell>
          <cell r="I415" t="str">
            <v>주식-전략</v>
          </cell>
          <cell r="J415">
            <v>330</v>
          </cell>
          <cell r="K415">
            <v>17571</v>
          </cell>
          <cell r="L415">
            <v>19378766</v>
          </cell>
          <cell r="M415">
            <v>100000</v>
          </cell>
        </row>
        <row r="416">
          <cell r="A416" t="str">
            <v>A375770</v>
          </cell>
          <cell r="B416" t="str">
            <v>413</v>
          </cell>
          <cell r="C416" t="str">
            <v>375770</v>
          </cell>
          <cell r="D416" t="str">
            <v>KODEX 탄소효율그린뉴딜</v>
          </cell>
          <cell r="E416">
            <v>24413.13</v>
          </cell>
          <cell r="F416">
            <v>24460</v>
          </cell>
          <cell r="G416" t="str">
            <v>1,055 ( 4.51%)</v>
          </cell>
          <cell r="H416">
            <v>814</v>
          </cell>
          <cell r="I416" t="str">
            <v>주식-전략</v>
          </cell>
          <cell r="J416">
            <v>514</v>
          </cell>
          <cell r="K416">
            <v>21425</v>
          </cell>
          <cell r="L416">
            <v>1801529</v>
          </cell>
          <cell r="M416">
            <v>100000</v>
          </cell>
        </row>
        <row r="417">
          <cell r="A417" t="str">
            <v>A376410</v>
          </cell>
          <cell r="B417" t="str">
            <v>414</v>
          </cell>
          <cell r="C417" t="str">
            <v>376410</v>
          </cell>
          <cell r="D417" t="str">
            <v>TIGER 탄소효율그린뉴딜</v>
          </cell>
          <cell r="E417">
            <v>24156.95</v>
          </cell>
          <cell r="F417">
            <v>24145</v>
          </cell>
          <cell r="G417" t="str">
            <v>1,005 ( 4.34%)</v>
          </cell>
          <cell r="H417">
            <v>1500</v>
          </cell>
          <cell r="I417" t="str">
            <v>주식-전략</v>
          </cell>
          <cell r="J417">
            <v>633</v>
          </cell>
          <cell r="K417">
            <v>22631</v>
          </cell>
          <cell r="L417">
            <v>10168806</v>
          </cell>
          <cell r="M417">
            <v>100000</v>
          </cell>
        </row>
        <row r="418">
          <cell r="A418" t="str">
            <v>A377990</v>
          </cell>
          <cell r="B418" t="str">
            <v>415</v>
          </cell>
          <cell r="C418" t="str">
            <v>377990</v>
          </cell>
          <cell r="D418" t="str">
            <v>TIGER Fn신재생에너지</v>
          </cell>
          <cell r="E418">
            <v>21851.5</v>
          </cell>
          <cell r="F418">
            <v>21810</v>
          </cell>
          <cell r="G418" t="str">
            <v>350 ( 1.63%)</v>
          </cell>
          <cell r="H418">
            <v>95986</v>
          </cell>
          <cell r="I418" t="str">
            <v>주식-업종섹터</v>
          </cell>
          <cell r="J418">
            <v>21</v>
          </cell>
          <cell r="K418">
            <v>19091</v>
          </cell>
          <cell r="L418">
            <v>7229535</v>
          </cell>
          <cell r="M418">
            <v>50000</v>
          </cell>
        </row>
        <row r="419">
          <cell r="A419" t="str">
            <v>A380340</v>
          </cell>
          <cell r="B419" t="str">
            <v>416</v>
          </cell>
          <cell r="C419" t="str">
            <v>380340</v>
          </cell>
          <cell r="D419" t="str">
            <v>ACE 코리아AI테크핵심산업</v>
          </cell>
          <cell r="E419">
            <v>26417.14</v>
          </cell>
          <cell r="F419">
            <v>26335</v>
          </cell>
          <cell r="G419" t="str">
            <v>1,015 ( 4.01%)</v>
          </cell>
          <cell r="H419">
            <v>74164</v>
          </cell>
          <cell r="I419" t="str">
            <v>주식-업종섹터</v>
          </cell>
          <cell r="J419">
            <v>15</v>
          </cell>
          <cell r="K419">
            <v>16330</v>
          </cell>
          <cell r="L419">
            <v>19684728</v>
          </cell>
          <cell r="M419">
            <v>100000</v>
          </cell>
        </row>
        <row r="420">
          <cell r="A420" t="str">
            <v>A381560</v>
          </cell>
          <cell r="B420" t="str">
            <v>417</v>
          </cell>
          <cell r="C420" t="str">
            <v>381560</v>
          </cell>
          <cell r="D420" t="str">
            <v>HANARO Fn전기&amp;수소차</v>
          </cell>
          <cell r="E420">
            <v>16668.88</v>
          </cell>
          <cell r="F420">
            <v>16650</v>
          </cell>
          <cell r="G420" t="str">
            <v>225 ( 1.37%)</v>
          </cell>
          <cell r="H420">
            <v>12022</v>
          </cell>
          <cell r="I420" t="str">
            <v>주식-업종섹터</v>
          </cell>
          <cell r="J420">
            <v>30</v>
          </cell>
          <cell r="K420">
            <v>5351</v>
          </cell>
          <cell r="L420">
            <v>3972540</v>
          </cell>
          <cell r="M420">
            <v>50000</v>
          </cell>
        </row>
        <row r="421">
          <cell r="A421" t="str">
            <v>A381570</v>
          </cell>
          <cell r="B421" t="str">
            <v>418</v>
          </cell>
          <cell r="C421" t="str">
            <v>381570</v>
          </cell>
          <cell r="D421" t="str">
            <v>HANARO Fn친환경에너지</v>
          </cell>
          <cell r="E421">
            <v>8969.56</v>
          </cell>
          <cell r="F421">
            <v>8960</v>
          </cell>
          <cell r="G421" t="str">
            <v>20 ( 0.22%)</v>
          </cell>
          <cell r="H421">
            <v>2259</v>
          </cell>
          <cell r="I421" t="str">
            <v>주식-업종섹터</v>
          </cell>
          <cell r="J421">
            <v>20</v>
          </cell>
          <cell r="K421">
            <v>7389</v>
          </cell>
          <cell r="L421">
            <v>3732740</v>
          </cell>
          <cell r="M421">
            <v>50000</v>
          </cell>
        </row>
        <row r="422">
          <cell r="A422" t="str">
            <v>A385510</v>
          </cell>
          <cell r="B422" t="str">
            <v>419</v>
          </cell>
          <cell r="C422" t="str">
            <v>385510</v>
          </cell>
          <cell r="D422" t="str">
            <v>KODEX 신재생에너지액티브</v>
          </cell>
          <cell r="E422">
            <v>33486.86</v>
          </cell>
          <cell r="F422">
            <v>33550</v>
          </cell>
          <cell r="G422" t="str">
            <v>715 ( 2.18%)</v>
          </cell>
          <cell r="H422">
            <v>51016</v>
          </cell>
          <cell r="I422" t="str">
            <v>주식-전략</v>
          </cell>
          <cell r="J422">
            <v>79</v>
          </cell>
          <cell r="K422">
            <v>47438</v>
          </cell>
          <cell r="L422">
            <v>19185976</v>
          </cell>
          <cell r="M422">
            <v>50000</v>
          </cell>
        </row>
        <row r="423">
          <cell r="A423" t="str">
            <v>A385520</v>
          </cell>
          <cell r="B423" t="str">
            <v>420</v>
          </cell>
          <cell r="C423" t="str">
            <v>385520</v>
          </cell>
          <cell r="D423" t="str">
            <v>KODEX 자율주행액티브</v>
          </cell>
          <cell r="E423">
            <v>15320.85</v>
          </cell>
          <cell r="F423">
            <v>15290</v>
          </cell>
          <cell r="G423" t="str">
            <v>305 ( 2.04%)</v>
          </cell>
          <cell r="H423">
            <v>4389</v>
          </cell>
          <cell r="I423" t="str">
            <v>주식-전략</v>
          </cell>
          <cell r="J423">
            <v>41</v>
          </cell>
          <cell r="K423">
            <v>9852</v>
          </cell>
          <cell r="L423">
            <v>49852931</v>
          </cell>
          <cell r="M423">
            <v>50000</v>
          </cell>
        </row>
        <row r="424">
          <cell r="A424" t="str">
            <v>A385540</v>
          </cell>
          <cell r="B424" t="str">
            <v>421</v>
          </cell>
          <cell r="C424" t="str">
            <v>385540</v>
          </cell>
          <cell r="D424" t="str">
            <v>RISE 종합채권(A-이상)액티브</v>
          </cell>
          <cell r="E424">
            <v>102482.79</v>
          </cell>
          <cell r="F424">
            <v>102435</v>
          </cell>
          <cell r="G424" t="str">
            <v>110 ( 0.11%)</v>
          </cell>
          <cell r="H424">
            <v>888</v>
          </cell>
          <cell r="I424" t="str">
            <v>채권-혼합</v>
          </cell>
          <cell r="J424">
            <v>296</v>
          </cell>
          <cell r="K424">
            <v>0</v>
          </cell>
          <cell r="L424">
            <v>-19761000</v>
          </cell>
          <cell r="M424">
            <v>1000</v>
          </cell>
        </row>
        <row r="425">
          <cell r="A425" t="str">
            <v>A385550</v>
          </cell>
          <cell r="B425" t="str">
            <v>422</v>
          </cell>
          <cell r="C425" t="str">
            <v>385550</v>
          </cell>
          <cell r="D425" t="str">
            <v>RISE 단기채권알파액티브</v>
          </cell>
          <cell r="E425">
            <v>113649.72</v>
          </cell>
          <cell r="F425">
            <v>113650</v>
          </cell>
          <cell r="G425" t="str">
            <v>25 ( 0.02%)</v>
          </cell>
          <cell r="H425">
            <v>926</v>
          </cell>
          <cell r="I425" t="str">
            <v>채권-혼합</v>
          </cell>
          <cell r="J425">
            <v>47</v>
          </cell>
          <cell r="K425">
            <v>0</v>
          </cell>
          <cell r="L425">
            <v>-17750554</v>
          </cell>
          <cell r="M425">
            <v>1000</v>
          </cell>
        </row>
        <row r="426">
          <cell r="A426" t="str">
            <v>A385560</v>
          </cell>
          <cell r="B426" t="str">
            <v>423</v>
          </cell>
          <cell r="C426" t="str">
            <v>385560</v>
          </cell>
          <cell r="D426" t="str">
            <v>RISE KIS국고채30년Enhanced</v>
          </cell>
          <cell r="E426">
            <v>51859.85</v>
          </cell>
          <cell r="F426">
            <v>51830</v>
          </cell>
          <cell r="G426" t="str">
            <v>330 ( 0.63%)</v>
          </cell>
          <cell r="H426">
            <v>25258</v>
          </cell>
          <cell r="I426" t="str">
            <v>채권-국공채</v>
          </cell>
          <cell r="J426">
            <v>4</v>
          </cell>
          <cell r="K426">
            <v>0</v>
          </cell>
          <cell r="L426">
            <v>-16385581</v>
          </cell>
          <cell r="M426">
            <v>1000</v>
          </cell>
        </row>
        <row r="427">
          <cell r="A427" t="str">
            <v>A385590</v>
          </cell>
          <cell r="B427" t="str">
            <v>424</v>
          </cell>
          <cell r="C427" t="str">
            <v>385590</v>
          </cell>
          <cell r="D427" t="str">
            <v>ACE ESG액티브</v>
          </cell>
          <cell r="E427">
            <v>23506.18</v>
          </cell>
          <cell r="F427">
            <v>23495</v>
          </cell>
          <cell r="G427" t="str">
            <v>1,105 ( 4.94%)</v>
          </cell>
          <cell r="H427">
            <v>194</v>
          </cell>
          <cell r="I427" t="str">
            <v>주식-전략</v>
          </cell>
          <cell r="J427">
            <v>25</v>
          </cell>
          <cell r="K427">
            <v>8723</v>
          </cell>
          <cell r="L427">
            <v>70057936</v>
          </cell>
          <cell r="M427">
            <v>100000</v>
          </cell>
        </row>
        <row r="428">
          <cell r="A428" t="str">
            <v>A385600</v>
          </cell>
          <cell r="B428" t="str">
            <v>425</v>
          </cell>
          <cell r="C428" t="str">
            <v>385600</v>
          </cell>
          <cell r="D428" t="str">
            <v>ACE 2차전지&amp;친환경차액티브</v>
          </cell>
          <cell r="E428">
            <v>11087.75</v>
          </cell>
          <cell r="F428">
            <v>11080</v>
          </cell>
          <cell r="G428" t="str">
            <v>105 ( 0.96%)</v>
          </cell>
          <cell r="H428">
            <v>9811</v>
          </cell>
          <cell r="I428" t="str">
            <v>주식-전략</v>
          </cell>
          <cell r="J428">
            <v>50</v>
          </cell>
          <cell r="K428">
            <v>10839</v>
          </cell>
          <cell r="L428">
            <v>14572881</v>
          </cell>
          <cell r="M428">
            <v>100000</v>
          </cell>
        </row>
        <row r="429">
          <cell r="A429" t="str">
            <v>A385710</v>
          </cell>
          <cell r="B429" t="str">
            <v>426</v>
          </cell>
          <cell r="C429" t="str">
            <v>385710</v>
          </cell>
          <cell r="D429" t="str">
            <v>TIME K이노베이션액티브</v>
          </cell>
          <cell r="E429">
            <v>10345.49</v>
          </cell>
          <cell r="F429">
            <v>10320</v>
          </cell>
          <cell r="G429" t="str">
            <v>215 ( 2.13%)</v>
          </cell>
          <cell r="H429">
            <v>658</v>
          </cell>
          <cell r="I429" t="str">
            <v>주식-업종섹터</v>
          </cell>
          <cell r="J429">
            <v>28</v>
          </cell>
          <cell r="K429">
            <v>6013</v>
          </cell>
          <cell r="L429">
            <v>16593268</v>
          </cell>
          <cell r="M429">
            <v>100000</v>
          </cell>
        </row>
        <row r="430">
          <cell r="A430" t="str">
            <v>A385720</v>
          </cell>
          <cell r="B430" t="str">
            <v>427</v>
          </cell>
          <cell r="C430" t="str">
            <v>385720</v>
          </cell>
          <cell r="D430" t="str">
            <v>TIME 코스피액티브</v>
          </cell>
          <cell r="E430">
            <v>25722.03</v>
          </cell>
          <cell r="F430">
            <v>25700</v>
          </cell>
          <cell r="G430" t="str">
            <v>1,085 ( 4.41%)</v>
          </cell>
          <cell r="H430">
            <v>214965</v>
          </cell>
          <cell r="I430" t="str">
            <v>주식-시장대표</v>
          </cell>
          <cell r="J430">
            <v>33</v>
          </cell>
          <cell r="K430">
            <v>8202</v>
          </cell>
          <cell r="L430">
            <v>15223243</v>
          </cell>
          <cell r="M430">
            <v>100000</v>
          </cell>
        </row>
        <row r="431">
          <cell r="A431" t="str">
            <v>A387280</v>
          </cell>
          <cell r="B431" t="str">
            <v>428</v>
          </cell>
          <cell r="C431" t="str">
            <v>387280</v>
          </cell>
          <cell r="D431" t="str">
            <v>TIGER 퓨처모빌리티액티브</v>
          </cell>
          <cell r="E431">
            <v>10577.61</v>
          </cell>
          <cell r="F431">
            <v>10560</v>
          </cell>
          <cell r="G431" t="str">
            <v>280 ( 2.72%)</v>
          </cell>
          <cell r="H431">
            <v>1162</v>
          </cell>
          <cell r="I431" t="str">
            <v>주식-업종섹터</v>
          </cell>
          <cell r="J431">
            <v>43</v>
          </cell>
          <cell r="K431">
            <v>818</v>
          </cell>
          <cell r="L431">
            <v>492336</v>
          </cell>
          <cell r="M431">
            <v>10000</v>
          </cell>
        </row>
        <row r="432">
          <cell r="A432" t="str">
            <v>A388280</v>
          </cell>
          <cell r="B432" t="str">
            <v>429</v>
          </cell>
          <cell r="C432" t="str">
            <v>388280</v>
          </cell>
          <cell r="D432" t="str">
            <v>RISE K엔터&amp;여행레저</v>
          </cell>
          <cell r="E432">
            <v>7548.91</v>
          </cell>
          <cell r="F432">
            <v>7540</v>
          </cell>
          <cell r="G432" t="str">
            <v>65 ( 0.87%)</v>
          </cell>
          <cell r="H432">
            <v>1403</v>
          </cell>
          <cell r="I432" t="str">
            <v>주식-업종섹터</v>
          </cell>
          <cell r="J432">
            <v>25</v>
          </cell>
          <cell r="K432">
            <v>4502</v>
          </cell>
          <cell r="L432">
            <v>1079851</v>
          </cell>
          <cell r="M432">
            <v>20000</v>
          </cell>
        </row>
        <row r="433">
          <cell r="A433" t="str">
            <v>A388420</v>
          </cell>
          <cell r="B433" t="str">
            <v>430</v>
          </cell>
          <cell r="C433" t="str">
            <v>388420</v>
          </cell>
          <cell r="D433" t="str">
            <v>RISE 비메모리반도체액티브</v>
          </cell>
          <cell r="E433">
            <v>28664.99</v>
          </cell>
          <cell r="F433">
            <v>28690</v>
          </cell>
          <cell r="G433" t="str">
            <v>1,070 ( 3.87%)</v>
          </cell>
          <cell r="H433">
            <v>417088</v>
          </cell>
          <cell r="I433" t="str">
            <v>주식-업종섹터</v>
          </cell>
          <cell r="J433">
            <v>16</v>
          </cell>
          <cell r="K433">
            <v>4875</v>
          </cell>
          <cell r="L433">
            <v>-6663084</v>
          </cell>
          <cell r="M433">
            <v>20000</v>
          </cell>
        </row>
        <row r="434">
          <cell r="A434" t="str">
            <v>A391670</v>
          </cell>
          <cell r="B434" t="str">
            <v>431</v>
          </cell>
          <cell r="C434" t="str">
            <v>391670</v>
          </cell>
          <cell r="D434" t="str">
            <v>HK 베스트일레븐액티브</v>
          </cell>
          <cell r="E434">
            <v>28280.9</v>
          </cell>
          <cell r="F434">
            <v>28195</v>
          </cell>
          <cell r="G434" t="str">
            <v>1,055 ( 3.89%)</v>
          </cell>
          <cell r="H434">
            <v>654</v>
          </cell>
          <cell r="I434" t="str">
            <v>주식-시장대표</v>
          </cell>
          <cell r="J434">
            <v>11</v>
          </cell>
          <cell r="K434">
            <v>7974</v>
          </cell>
          <cell r="L434">
            <v>69262971</v>
          </cell>
          <cell r="M434">
            <v>50000</v>
          </cell>
        </row>
        <row r="435">
          <cell r="A435" t="str">
            <v>A395150</v>
          </cell>
          <cell r="B435" t="str">
            <v>432</v>
          </cell>
          <cell r="C435" t="str">
            <v>395150</v>
          </cell>
          <cell r="D435" t="str">
            <v>KODEX 웹툰&amp;드라마</v>
          </cell>
          <cell r="E435">
            <v>1747.58</v>
          </cell>
          <cell r="F435">
            <v>1743</v>
          </cell>
          <cell r="G435" t="str">
            <v>24 ( 1.40%)</v>
          </cell>
          <cell r="H435">
            <v>32433</v>
          </cell>
          <cell r="I435" t="str">
            <v>주식-업종섹터</v>
          </cell>
          <cell r="J435">
            <v>16</v>
          </cell>
          <cell r="K435">
            <v>18499</v>
          </cell>
          <cell r="L435">
            <v>623035</v>
          </cell>
          <cell r="M435">
            <v>100000</v>
          </cell>
        </row>
        <row r="436">
          <cell r="A436" t="str">
            <v>A395160</v>
          </cell>
          <cell r="B436" t="str">
            <v>433</v>
          </cell>
          <cell r="C436" t="str">
            <v>395160</v>
          </cell>
          <cell r="D436" t="str">
            <v>KODEX AI반도체TOP2플러스</v>
          </cell>
          <cell r="E436">
            <v>41383.379999999997</v>
          </cell>
          <cell r="F436">
            <v>41325</v>
          </cell>
          <cell r="G436" t="str">
            <v>1,975 ( 5.02%)</v>
          </cell>
          <cell r="H436">
            <v>5299038</v>
          </cell>
          <cell r="I436" t="str">
            <v>주식-업종섹터</v>
          </cell>
          <cell r="J436">
            <v>15</v>
          </cell>
          <cell r="K436">
            <v>9523</v>
          </cell>
          <cell r="L436">
            <v>16173869</v>
          </cell>
          <cell r="M436">
            <v>100000</v>
          </cell>
        </row>
        <row r="437">
          <cell r="A437" t="str">
            <v>A395170</v>
          </cell>
          <cell r="B437" t="str">
            <v>434</v>
          </cell>
          <cell r="C437" t="str">
            <v>395170</v>
          </cell>
          <cell r="D437" t="str">
            <v>KODEX Top10동일가중</v>
          </cell>
          <cell r="E437">
            <v>15667.59</v>
          </cell>
          <cell r="F437">
            <v>15650</v>
          </cell>
          <cell r="G437" t="str">
            <v>485 ( 3.20%)</v>
          </cell>
          <cell r="H437">
            <v>10433</v>
          </cell>
          <cell r="I437" t="str">
            <v>주식-규모</v>
          </cell>
          <cell r="J437">
            <v>10</v>
          </cell>
          <cell r="K437">
            <v>3397</v>
          </cell>
          <cell r="L437">
            <v>7084222</v>
          </cell>
          <cell r="M437">
            <v>100000</v>
          </cell>
        </row>
        <row r="438">
          <cell r="A438" t="str">
            <v>A395270</v>
          </cell>
          <cell r="B438" t="str">
            <v>435</v>
          </cell>
          <cell r="C438" t="str">
            <v>395270</v>
          </cell>
          <cell r="D438" t="str">
            <v>HANARO Fn K-반도체</v>
          </cell>
          <cell r="E438">
            <v>58498.5</v>
          </cell>
          <cell r="F438">
            <v>58405</v>
          </cell>
          <cell r="G438" t="str">
            <v>2,675 ( 4.80%)</v>
          </cell>
          <cell r="H438">
            <v>1808030</v>
          </cell>
          <cell r="I438" t="str">
            <v>주식-업종섹터</v>
          </cell>
          <cell r="J438">
            <v>20</v>
          </cell>
          <cell r="K438">
            <v>6829</v>
          </cell>
          <cell r="L438">
            <v>23593240</v>
          </cell>
          <cell r="M438">
            <v>50000</v>
          </cell>
        </row>
        <row r="439">
          <cell r="A439" t="str">
            <v>A395280</v>
          </cell>
          <cell r="B439" t="str">
            <v>436</v>
          </cell>
          <cell r="C439" t="str">
            <v>395280</v>
          </cell>
          <cell r="D439" t="str">
            <v>HANARO Fn K-게임</v>
          </cell>
          <cell r="E439">
            <v>3416.7</v>
          </cell>
          <cell r="F439">
            <v>3410</v>
          </cell>
          <cell r="G439" t="str">
            <v>75 ( 2.25%)</v>
          </cell>
          <cell r="H439">
            <v>139</v>
          </cell>
          <cell r="I439" t="str">
            <v>주식-업종섹터</v>
          </cell>
          <cell r="J439">
            <v>13</v>
          </cell>
          <cell r="K439">
            <v>3529</v>
          </cell>
          <cell r="L439">
            <v>593243</v>
          </cell>
          <cell r="M439">
            <v>50000</v>
          </cell>
        </row>
        <row r="440">
          <cell r="A440" t="str">
            <v>A395290</v>
          </cell>
          <cell r="B440" t="str">
            <v>437</v>
          </cell>
          <cell r="C440" t="str">
            <v>395290</v>
          </cell>
          <cell r="D440" t="str">
            <v>HANARO Fn K-POP&amp;미디어</v>
          </cell>
          <cell r="E440">
            <v>5049.3</v>
          </cell>
          <cell r="F440">
            <v>5050</v>
          </cell>
          <cell r="G440" t="str">
            <v>5 ( 0.10%)</v>
          </cell>
          <cell r="H440">
            <v>46614</v>
          </cell>
          <cell r="I440" t="str">
            <v>주식-업종섹터</v>
          </cell>
          <cell r="J440">
            <v>12</v>
          </cell>
          <cell r="K440">
            <v>8987</v>
          </cell>
          <cell r="L440">
            <v>1841092</v>
          </cell>
          <cell r="M440">
            <v>50000</v>
          </cell>
        </row>
        <row r="441">
          <cell r="A441" t="str">
            <v>A395750</v>
          </cell>
          <cell r="B441" t="str">
            <v>438</v>
          </cell>
          <cell r="C441" t="str">
            <v>395750</v>
          </cell>
          <cell r="D441" t="str">
            <v>PLUS ESG가치주액티브</v>
          </cell>
          <cell r="E441">
            <v>20451.97</v>
          </cell>
          <cell r="F441">
            <v>20450</v>
          </cell>
          <cell r="G441" t="str">
            <v>795 ( 4.04%)</v>
          </cell>
          <cell r="H441">
            <v>1</v>
          </cell>
          <cell r="I441" t="str">
            <v>주식-전략</v>
          </cell>
          <cell r="J441">
            <v>193</v>
          </cell>
          <cell r="K441">
            <v>7700</v>
          </cell>
          <cell r="L441">
            <v>602703</v>
          </cell>
          <cell r="M441">
            <v>50000</v>
          </cell>
        </row>
        <row r="442">
          <cell r="A442" t="str">
            <v>A395760</v>
          </cell>
          <cell r="B442" t="str">
            <v>439</v>
          </cell>
          <cell r="C442" t="str">
            <v>395760</v>
          </cell>
          <cell r="D442" t="str">
            <v>PLUS ESG성장주액티브</v>
          </cell>
          <cell r="E442">
            <v>20869.57</v>
          </cell>
          <cell r="F442">
            <v>20720</v>
          </cell>
          <cell r="G442" t="str">
            <v>690 ( 3.44%)</v>
          </cell>
          <cell r="H442">
            <v>221</v>
          </cell>
          <cell r="I442" t="str">
            <v>주식-전략</v>
          </cell>
          <cell r="J442">
            <v>163</v>
          </cell>
          <cell r="K442">
            <v>7070</v>
          </cell>
          <cell r="L442">
            <v>1755189</v>
          </cell>
          <cell r="M442">
            <v>50000</v>
          </cell>
        </row>
        <row r="443">
          <cell r="A443" t="str">
            <v>A396500</v>
          </cell>
          <cell r="B443" t="str">
            <v>440</v>
          </cell>
          <cell r="C443" t="str">
            <v>396500</v>
          </cell>
          <cell r="D443" t="str">
            <v>TIGER 반도체TOP10</v>
          </cell>
          <cell r="E443">
            <v>37227.32</v>
          </cell>
          <cell r="F443">
            <v>37205</v>
          </cell>
          <cell r="G443" t="str">
            <v>1,920 ( 5.44%)</v>
          </cell>
          <cell r="H443">
            <v>11630933</v>
          </cell>
          <cell r="I443" t="str">
            <v>주식-업종섹터</v>
          </cell>
          <cell r="J443">
            <v>10</v>
          </cell>
          <cell r="K443">
            <v>5814</v>
          </cell>
          <cell r="L443">
            <v>1215195</v>
          </cell>
          <cell r="M443">
            <v>50000</v>
          </cell>
        </row>
        <row r="444">
          <cell r="A444" t="str">
            <v>A397420</v>
          </cell>
          <cell r="B444" t="str">
            <v>441</v>
          </cell>
          <cell r="C444" t="str">
            <v>397420</v>
          </cell>
          <cell r="D444" t="str">
            <v>RISE 국채선물5년추종</v>
          </cell>
          <cell r="E444">
            <v>50317.22</v>
          </cell>
          <cell r="F444">
            <v>50315</v>
          </cell>
          <cell r="G444" t="str">
            <v>0 ( 0.00%)</v>
          </cell>
          <cell r="H444">
            <v>0</v>
          </cell>
          <cell r="I444" t="str">
            <v>채권-국공채</v>
          </cell>
          <cell r="J444">
            <v>2</v>
          </cell>
          <cell r="K444">
            <v>3</v>
          </cell>
          <cell r="L444">
            <v>301746147</v>
          </cell>
          <cell r="M444">
            <v>6000</v>
          </cell>
        </row>
        <row r="445">
          <cell r="A445" t="str">
            <v>A400970</v>
          </cell>
          <cell r="B445" t="str">
            <v>442</v>
          </cell>
          <cell r="C445" t="str">
            <v>400970</v>
          </cell>
          <cell r="D445" t="str">
            <v>TIGER Fn메타버스</v>
          </cell>
          <cell r="E445">
            <v>7492.02</v>
          </cell>
          <cell r="F445">
            <v>7500</v>
          </cell>
          <cell r="G445" t="str">
            <v>145 ( 1.97%)</v>
          </cell>
          <cell r="H445">
            <v>19401</v>
          </cell>
          <cell r="I445" t="str">
            <v>주식-업종섹터</v>
          </cell>
          <cell r="J445">
            <v>20</v>
          </cell>
          <cell r="K445">
            <v>10533</v>
          </cell>
          <cell r="L445">
            <v>1432224</v>
          </cell>
          <cell r="M445">
            <v>50000</v>
          </cell>
        </row>
        <row r="446">
          <cell r="A446" t="str">
            <v>A401170</v>
          </cell>
          <cell r="B446" t="str">
            <v>443</v>
          </cell>
          <cell r="C446" t="str">
            <v>401170</v>
          </cell>
          <cell r="D446" t="str">
            <v>RISE 메타버스</v>
          </cell>
          <cell r="E446">
            <v>11001.28</v>
          </cell>
          <cell r="F446">
            <v>10990</v>
          </cell>
          <cell r="G446" t="str">
            <v>165 ( 1.52%)</v>
          </cell>
          <cell r="H446">
            <v>5087</v>
          </cell>
          <cell r="I446" t="str">
            <v>주식-업종섹터</v>
          </cell>
          <cell r="J446">
            <v>20</v>
          </cell>
          <cell r="K446">
            <v>4556</v>
          </cell>
          <cell r="L446">
            <v>1072852</v>
          </cell>
          <cell r="M446">
            <v>20000</v>
          </cell>
        </row>
        <row r="447">
          <cell r="A447" t="str">
            <v>A401470</v>
          </cell>
          <cell r="B447" t="str">
            <v>444</v>
          </cell>
          <cell r="C447" t="str">
            <v>401470</v>
          </cell>
          <cell r="D447" t="str">
            <v>KODEX 메타버스액티브</v>
          </cell>
          <cell r="E447">
            <v>9169.7999999999993</v>
          </cell>
          <cell r="F447">
            <v>9160</v>
          </cell>
          <cell r="G447" t="str">
            <v>125 ( 1.38%)</v>
          </cell>
          <cell r="H447">
            <v>6488</v>
          </cell>
          <cell r="I447" t="str">
            <v>주식-업종섹터</v>
          </cell>
          <cell r="J447">
            <v>29</v>
          </cell>
          <cell r="K447">
            <v>14917</v>
          </cell>
          <cell r="L447">
            <v>15784318</v>
          </cell>
          <cell r="M447">
            <v>50000</v>
          </cell>
        </row>
        <row r="448">
          <cell r="A448" t="str">
            <v>A402460</v>
          </cell>
          <cell r="B448" t="str">
            <v>445</v>
          </cell>
          <cell r="C448" t="str">
            <v>402460</v>
          </cell>
          <cell r="D448" t="str">
            <v>HANARO Fn K-메타버스MZ</v>
          </cell>
          <cell r="E448">
            <v>14243.88</v>
          </cell>
          <cell r="F448">
            <v>14195</v>
          </cell>
          <cell r="G448" t="str">
            <v>185 ( 1.32%)</v>
          </cell>
          <cell r="H448">
            <v>411</v>
          </cell>
          <cell r="I448" t="str">
            <v>주식-업종섹터</v>
          </cell>
          <cell r="J448">
            <v>30</v>
          </cell>
          <cell r="K448">
            <v>14070</v>
          </cell>
          <cell r="L448">
            <v>5350542</v>
          </cell>
          <cell r="M448">
            <v>50000</v>
          </cell>
        </row>
        <row r="449">
          <cell r="A449" t="str">
            <v>A403790</v>
          </cell>
          <cell r="B449" t="str">
            <v>446</v>
          </cell>
          <cell r="C449" t="str">
            <v>403790</v>
          </cell>
          <cell r="D449" t="str">
            <v>MIDAS 코스피액티브</v>
          </cell>
          <cell r="E449">
            <v>57443.56</v>
          </cell>
          <cell r="F449">
            <v>57490</v>
          </cell>
          <cell r="G449" t="str">
            <v>2,475 ( 4.50%)</v>
          </cell>
          <cell r="H449">
            <v>3948</v>
          </cell>
          <cell r="I449" t="str">
            <v>주식-시장대표</v>
          </cell>
          <cell r="J449">
            <v>333</v>
          </cell>
          <cell r="K449">
            <v>63553</v>
          </cell>
          <cell r="L449">
            <v>65032719</v>
          </cell>
          <cell r="M449">
            <v>75000</v>
          </cell>
        </row>
        <row r="450">
          <cell r="A450" t="str">
            <v>A404120</v>
          </cell>
          <cell r="B450" t="str">
            <v>447</v>
          </cell>
          <cell r="C450" t="str">
            <v>404120</v>
          </cell>
          <cell r="D450" t="str">
            <v>TIME K신재생에너지액티브</v>
          </cell>
          <cell r="E450">
            <v>23251.64</v>
          </cell>
          <cell r="F450">
            <v>23180</v>
          </cell>
          <cell r="G450" t="str">
            <v>410 ( 1.80%)</v>
          </cell>
          <cell r="H450">
            <v>2884</v>
          </cell>
          <cell r="I450" t="str">
            <v>주식-전략</v>
          </cell>
          <cell r="J450">
            <v>24</v>
          </cell>
          <cell r="K450">
            <v>31966</v>
          </cell>
          <cell r="L450">
            <v>16869473</v>
          </cell>
          <cell r="M450">
            <v>100000</v>
          </cell>
        </row>
        <row r="451">
          <cell r="A451" t="str">
            <v>A404260</v>
          </cell>
          <cell r="B451" t="str">
            <v>448</v>
          </cell>
          <cell r="C451" t="str">
            <v>404260</v>
          </cell>
          <cell r="D451" t="str">
            <v>KODEX 기후변화솔루션</v>
          </cell>
          <cell r="E451">
            <v>22015.38</v>
          </cell>
          <cell r="F451">
            <v>22060</v>
          </cell>
          <cell r="G451" t="str">
            <v>435 ( 2.01%)</v>
          </cell>
          <cell r="H451">
            <v>391</v>
          </cell>
          <cell r="I451" t="str">
            <v>주식-전략</v>
          </cell>
          <cell r="J451">
            <v>27</v>
          </cell>
          <cell r="K451">
            <v>39324</v>
          </cell>
          <cell r="L451">
            <v>16710179</v>
          </cell>
          <cell r="M451">
            <v>100000</v>
          </cell>
        </row>
        <row r="452">
          <cell r="A452" t="str">
            <v>A404540</v>
          </cell>
          <cell r="B452" t="str">
            <v>449</v>
          </cell>
          <cell r="C452" t="str">
            <v>404540</v>
          </cell>
          <cell r="D452" t="str">
            <v>TIGER KRX기후변화솔루션</v>
          </cell>
          <cell r="E452">
            <v>22180.57</v>
          </cell>
          <cell r="F452">
            <v>22155</v>
          </cell>
          <cell r="G452" t="str">
            <v>600 ( 2.78%)</v>
          </cell>
          <cell r="H452">
            <v>6544</v>
          </cell>
          <cell r="I452" t="str">
            <v>주식-전략</v>
          </cell>
          <cell r="J452">
            <v>27</v>
          </cell>
          <cell r="K452">
            <v>19812</v>
          </cell>
          <cell r="L452">
            <v>5719717</v>
          </cell>
          <cell r="M452">
            <v>50000</v>
          </cell>
        </row>
        <row r="453">
          <cell r="A453" t="str">
            <v>A404650</v>
          </cell>
          <cell r="B453" t="str">
            <v>450</v>
          </cell>
          <cell r="C453" t="str">
            <v>404650</v>
          </cell>
          <cell r="D453" t="str">
            <v>SOL KRX기후변화솔루션</v>
          </cell>
          <cell r="E453">
            <v>22077.29</v>
          </cell>
          <cell r="F453">
            <v>22110</v>
          </cell>
          <cell r="G453" t="str">
            <v>515 ( 2.38%)</v>
          </cell>
          <cell r="H453">
            <v>36</v>
          </cell>
          <cell r="I453" t="str">
            <v>주식-전략</v>
          </cell>
          <cell r="J453">
            <v>27</v>
          </cell>
          <cell r="K453">
            <v>39420</v>
          </cell>
          <cell r="L453">
            <v>16805895</v>
          </cell>
          <cell r="M453">
            <v>100000</v>
          </cell>
        </row>
        <row r="454">
          <cell r="A454" t="str">
            <v>A407300</v>
          </cell>
          <cell r="B454" t="str">
            <v>451</v>
          </cell>
          <cell r="C454" t="str">
            <v>407300</v>
          </cell>
          <cell r="D454" t="str">
            <v>HANARO Fn골프테마</v>
          </cell>
          <cell r="E454">
            <v>10746.27</v>
          </cell>
          <cell r="F454">
            <v>10395</v>
          </cell>
          <cell r="G454" t="str">
            <v>70 ( 0.67%)</v>
          </cell>
          <cell r="H454">
            <v>2</v>
          </cell>
          <cell r="I454" t="str">
            <v>주식-업종섹터</v>
          </cell>
          <cell r="J454">
            <v>15</v>
          </cell>
          <cell r="K454">
            <v>11647</v>
          </cell>
          <cell r="L454">
            <v>1637855</v>
          </cell>
          <cell r="M454">
            <v>50000</v>
          </cell>
        </row>
        <row r="455">
          <cell r="A455" t="str">
            <v>A407310</v>
          </cell>
          <cell r="B455" t="str">
            <v>452</v>
          </cell>
          <cell r="C455" t="str">
            <v>407310</v>
          </cell>
          <cell r="D455" t="str">
            <v>HANARO 200 TOP10</v>
          </cell>
          <cell r="E455">
            <v>16368.46</v>
          </cell>
          <cell r="F455">
            <v>16385</v>
          </cell>
          <cell r="G455" t="str">
            <v>550 ( 3.47%)</v>
          </cell>
          <cell r="H455">
            <v>2339</v>
          </cell>
          <cell r="I455" t="str">
            <v>주식-규모</v>
          </cell>
          <cell r="J455">
            <v>10</v>
          </cell>
          <cell r="K455">
            <v>2823</v>
          </cell>
          <cell r="L455">
            <v>3462263</v>
          </cell>
          <cell r="M455">
            <v>50000</v>
          </cell>
        </row>
        <row r="456">
          <cell r="A456" t="str">
            <v>A407820</v>
          </cell>
          <cell r="B456" t="str">
            <v>453</v>
          </cell>
          <cell r="C456" t="str">
            <v>407820</v>
          </cell>
          <cell r="D456" t="str">
            <v>에셋플러스 코리아플랫폼액티브</v>
          </cell>
          <cell r="E456">
            <v>6264.19</v>
          </cell>
          <cell r="F456">
            <v>6265</v>
          </cell>
          <cell r="G456" t="str">
            <v>125 ( 2.04%)</v>
          </cell>
          <cell r="H456">
            <v>61</v>
          </cell>
          <cell r="I456" t="str">
            <v>주식-전략</v>
          </cell>
          <cell r="J456">
            <v>25</v>
          </cell>
          <cell r="K456">
            <v>8259</v>
          </cell>
          <cell r="L456">
            <v>36177231</v>
          </cell>
          <cell r="M456">
            <v>100000</v>
          </cell>
        </row>
        <row r="457">
          <cell r="A457" t="str">
            <v>A410870</v>
          </cell>
          <cell r="B457" t="str">
            <v>454</v>
          </cell>
          <cell r="C457" t="str">
            <v>410870</v>
          </cell>
          <cell r="D457" t="str">
            <v>TIME K컬처액티브</v>
          </cell>
          <cell r="E457">
            <v>9483.2099999999991</v>
          </cell>
          <cell r="F457">
            <v>9455</v>
          </cell>
          <cell r="G457" t="str">
            <v>240 ( 2.60%)</v>
          </cell>
          <cell r="H457">
            <v>1840</v>
          </cell>
          <cell r="I457" t="str">
            <v>주식-전략</v>
          </cell>
          <cell r="J457">
            <v>25</v>
          </cell>
          <cell r="K457">
            <v>13140</v>
          </cell>
          <cell r="L457">
            <v>19383589</v>
          </cell>
          <cell r="M457">
            <v>100000</v>
          </cell>
        </row>
        <row r="458">
          <cell r="A458" t="str">
            <v>A411060</v>
          </cell>
          <cell r="B458" t="str">
            <v>455</v>
          </cell>
          <cell r="C458" t="str">
            <v>411060</v>
          </cell>
          <cell r="D458" t="str">
            <v>ACE KRX금현물</v>
          </cell>
          <cell r="E458">
            <v>26670.15</v>
          </cell>
          <cell r="F458">
            <v>26430</v>
          </cell>
          <cell r="G458" t="str">
            <v>140 ( 0.53%)</v>
          </cell>
          <cell r="H458">
            <v>401322</v>
          </cell>
          <cell r="I458" t="str">
            <v>원자재-금속</v>
          </cell>
          <cell r="J458">
            <v>1</v>
          </cell>
          <cell r="K458">
            <v>13960</v>
          </cell>
          <cell r="L458">
            <v>236031</v>
          </cell>
          <cell r="M458">
            <v>100000</v>
          </cell>
        </row>
        <row r="459">
          <cell r="A459" t="str">
            <v>A411540</v>
          </cell>
          <cell r="B459" t="str">
            <v>456</v>
          </cell>
          <cell r="C459" t="str">
            <v>411540</v>
          </cell>
          <cell r="D459" t="str">
            <v>SOL 200 Top10</v>
          </cell>
          <cell r="E459">
            <v>16726.13</v>
          </cell>
          <cell r="F459">
            <v>16700</v>
          </cell>
          <cell r="G459" t="str">
            <v>520 ( 3.21%)</v>
          </cell>
          <cell r="H459">
            <v>6196</v>
          </cell>
          <cell r="I459" t="str">
            <v>주식-규모</v>
          </cell>
          <cell r="J459">
            <v>10</v>
          </cell>
          <cell r="K459">
            <v>5789</v>
          </cell>
          <cell r="L459">
            <v>1019531</v>
          </cell>
          <cell r="M459">
            <v>100000</v>
          </cell>
        </row>
        <row r="460">
          <cell r="A460" t="str">
            <v>A412560</v>
          </cell>
          <cell r="B460" t="str">
            <v>457</v>
          </cell>
          <cell r="C460" t="str">
            <v>412560</v>
          </cell>
          <cell r="D460" t="str">
            <v>TIGER BBIG레버리지</v>
          </cell>
          <cell r="E460">
            <v>1498.31</v>
          </cell>
          <cell r="F460">
            <v>1500</v>
          </cell>
          <cell r="G460" t="str">
            <v>39 ( 2.67%)</v>
          </cell>
          <cell r="H460">
            <v>20441</v>
          </cell>
          <cell r="I460" t="str">
            <v>주식-업종섹터</v>
          </cell>
          <cell r="J460">
            <v>14</v>
          </cell>
          <cell r="K460">
            <v>1283</v>
          </cell>
          <cell r="L460">
            <v>8833039</v>
          </cell>
          <cell r="M460">
            <v>50000</v>
          </cell>
        </row>
        <row r="461">
          <cell r="A461" t="str">
            <v>A412570</v>
          </cell>
          <cell r="B461" t="str">
            <v>458</v>
          </cell>
          <cell r="C461" t="str">
            <v>412570</v>
          </cell>
          <cell r="D461" t="str">
            <v>TIGER 2차전지TOP10레버리지</v>
          </cell>
          <cell r="E461">
            <v>963.3</v>
          </cell>
          <cell r="F461">
            <v>967</v>
          </cell>
          <cell r="G461" t="str">
            <v>3 ( 0.31%)</v>
          </cell>
          <cell r="H461">
            <v>3871474</v>
          </cell>
          <cell r="I461" t="str">
            <v>주식-업종섹터</v>
          </cell>
          <cell r="J461">
            <v>12</v>
          </cell>
          <cell r="K461">
            <v>1276</v>
          </cell>
          <cell r="L461">
            <v>9403323</v>
          </cell>
          <cell r="M461">
            <v>50000</v>
          </cell>
        </row>
        <row r="462">
          <cell r="A462" t="str">
            <v>A413930</v>
          </cell>
          <cell r="B462" t="str">
            <v>459</v>
          </cell>
          <cell r="C462" t="str">
            <v>413930</v>
          </cell>
          <cell r="D462" t="str">
            <v>WON AI ESG액티브</v>
          </cell>
          <cell r="E462">
            <v>27876.19</v>
          </cell>
          <cell r="F462">
            <v>27835</v>
          </cell>
          <cell r="G462" t="str">
            <v>1,220 ( 4.58%)</v>
          </cell>
          <cell r="H462">
            <v>1112</v>
          </cell>
          <cell r="I462" t="str">
            <v>주식-전략</v>
          </cell>
          <cell r="J462">
            <v>61</v>
          </cell>
          <cell r="K462">
            <v>6851</v>
          </cell>
          <cell r="L462">
            <v>59121820</v>
          </cell>
          <cell r="M462">
            <v>50000</v>
          </cell>
        </row>
        <row r="463">
          <cell r="A463" t="str">
            <v>A417630</v>
          </cell>
          <cell r="B463" t="str">
            <v>460</v>
          </cell>
          <cell r="C463" t="str">
            <v>417630</v>
          </cell>
          <cell r="D463" t="str">
            <v>TIGER KEDI혁신기업ESG30</v>
          </cell>
          <cell r="E463">
            <v>17782.48</v>
          </cell>
          <cell r="F463">
            <v>17765</v>
          </cell>
          <cell r="G463" t="str">
            <v>445 ( 2.57%)</v>
          </cell>
          <cell r="H463">
            <v>1462</v>
          </cell>
          <cell r="I463" t="str">
            <v>주식-업종섹터</v>
          </cell>
          <cell r="J463">
            <v>30</v>
          </cell>
          <cell r="K463">
            <v>7409</v>
          </cell>
          <cell r="L463">
            <v>1957579</v>
          </cell>
          <cell r="M463">
            <v>50000</v>
          </cell>
        </row>
        <row r="464">
          <cell r="A464" t="str">
            <v>A419890</v>
          </cell>
          <cell r="B464" t="str">
            <v>461</v>
          </cell>
          <cell r="C464" t="str">
            <v>419890</v>
          </cell>
          <cell r="D464" t="str">
            <v>KIWOOM 단기채권ESG액티브</v>
          </cell>
          <cell r="E464">
            <v>107042.1</v>
          </cell>
          <cell r="F464">
            <v>107025</v>
          </cell>
          <cell r="G464" t="str">
            <v>65 ( 0.06%)</v>
          </cell>
          <cell r="H464">
            <v>2001</v>
          </cell>
          <cell r="I464" t="str">
            <v>채권-혼합</v>
          </cell>
          <cell r="J464">
            <v>8</v>
          </cell>
          <cell r="K464">
            <v>0</v>
          </cell>
          <cell r="L464">
            <v>-54540772</v>
          </cell>
          <cell r="M464">
            <v>10000</v>
          </cell>
        </row>
        <row r="465">
          <cell r="A465" t="str">
            <v>A421320</v>
          </cell>
          <cell r="B465" t="str">
            <v>462</v>
          </cell>
          <cell r="C465" t="str">
            <v>421320</v>
          </cell>
          <cell r="D465" t="str">
            <v>PLUS 우주항공</v>
          </cell>
          <cell r="E465">
            <v>24920.62</v>
          </cell>
          <cell r="F465">
            <v>24890</v>
          </cell>
          <cell r="G465" t="str">
            <v>55 ( 0.22%)</v>
          </cell>
          <cell r="H465">
            <v>60366</v>
          </cell>
          <cell r="I465" t="str">
            <v>주식-업종섹터</v>
          </cell>
          <cell r="J465">
            <v>15</v>
          </cell>
          <cell r="K465">
            <v>40763</v>
          </cell>
          <cell r="L465">
            <v>1834525</v>
          </cell>
          <cell r="M465">
            <v>50000</v>
          </cell>
        </row>
        <row r="466">
          <cell r="A466" t="str">
            <v>A422420</v>
          </cell>
          <cell r="B466" t="str">
            <v>463</v>
          </cell>
          <cell r="C466" t="str">
            <v>422420</v>
          </cell>
          <cell r="D466" t="str">
            <v>RISE 2차전지액티브</v>
          </cell>
          <cell r="E466">
            <v>5724.24</v>
          </cell>
          <cell r="F466">
            <v>5710</v>
          </cell>
          <cell r="G466" t="str">
            <v>25 ( 0.44%)</v>
          </cell>
          <cell r="H466">
            <v>113518</v>
          </cell>
          <cell r="I466" t="str">
            <v>주식-업종섹터</v>
          </cell>
          <cell r="J466">
            <v>17</v>
          </cell>
          <cell r="K466">
            <v>1401</v>
          </cell>
          <cell r="L466">
            <v>-613500</v>
          </cell>
          <cell r="M466">
            <v>20000</v>
          </cell>
        </row>
        <row r="467">
          <cell r="A467" t="str">
            <v>A423160</v>
          </cell>
          <cell r="B467" t="str">
            <v>464</v>
          </cell>
          <cell r="C467" t="str">
            <v>423160</v>
          </cell>
          <cell r="D467" t="str">
            <v>KODEX KOFR금리액티브(합성)</v>
          </cell>
          <cell r="E467">
            <v>110804.61</v>
          </cell>
          <cell r="F467">
            <v>110815</v>
          </cell>
          <cell r="G467" t="str">
            <v>5 ( 0.00%)</v>
          </cell>
          <cell r="H467">
            <v>44157</v>
          </cell>
          <cell r="I467" t="str">
            <v>기타</v>
          </cell>
          <cell r="J467">
            <v>8</v>
          </cell>
          <cell r="K467">
            <v>72848235</v>
          </cell>
          <cell r="L467">
            <v>37945604</v>
          </cell>
          <cell r="M467">
            <v>1000</v>
          </cell>
        </row>
        <row r="468">
          <cell r="A468" t="str">
            <v>A426150</v>
          </cell>
          <cell r="B468" t="str">
            <v>465</v>
          </cell>
          <cell r="C468" t="str">
            <v>426150</v>
          </cell>
          <cell r="D468" t="str">
            <v>WON 대한민국국고채액티브</v>
          </cell>
          <cell r="E468">
            <v>51061.7</v>
          </cell>
          <cell r="F468">
            <v>50990</v>
          </cell>
          <cell r="G468" t="str">
            <v>150 ( 0.29%)</v>
          </cell>
          <cell r="H468">
            <v>134</v>
          </cell>
          <cell r="I468" t="str">
            <v>채권-국공채</v>
          </cell>
          <cell r="J468">
            <v>23</v>
          </cell>
          <cell r="K468">
            <v>0</v>
          </cell>
          <cell r="L468">
            <v>-17950552</v>
          </cell>
          <cell r="M468">
            <v>2000</v>
          </cell>
        </row>
        <row r="469">
          <cell r="A469" t="str">
            <v>A427120</v>
          </cell>
          <cell r="B469" t="str">
            <v>466</v>
          </cell>
          <cell r="C469" t="str">
            <v>427120</v>
          </cell>
          <cell r="D469" t="str">
            <v>RISE AI플랫폼</v>
          </cell>
          <cell r="E469">
            <v>4635.55</v>
          </cell>
          <cell r="F469">
            <v>4635</v>
          </cell>
          <cell r="G469" t="str">
            <v>90 ( 1.98%)</v>
          </cell>
          <cell r="H469">
            <v>1372</v>
          </cell>
          <cell r="I469" t="str">
            <v>주식-전략</v>
          </cell>
          <cell r="J469">
            <v>21</v>
          </cell>
          <cell r="K469">
            <v>6586</v>
          </cell>
          <cell r="L469">
            <v>1118119</v>
          </cell>
          <cell r="M469">
            <v>20000</v>
          </cell>
        </row>
        <row r="470">
          <cell r="A470" t="str">
            <v>A429740</v>
          </cell>
          <cell r="B470" t="str">
            <v>467</v>
          </cell>
          <cell r="C470" t="str">
            <v>429740</v>
          </cell>
          <cell r="D470" t="str">
            <v>PLUS K리츠</v>
          </cell>
          <cell r="E470">
            <v>5937.66</v>
          </cell>
          <cell r="F470">
            <v>5920</v>
          </cell>
          <cell r="G470" t="str">
            <v>5 ( 0.08%)</v>
          </cell>
          <cell r="H470">
            <v>3595</v>
          </cell>
          <cell r="I470" t="str">
            <v>부동산-리츠</v>
          </cell>
          <cell r="J470">
            <v>14</v>
          </cell>
          <cell r="K470">
            <v>79611</v>
          </cell>
          <cell r="L470">
            <v>-482189</v>
          </cell>
          <cell r="M470">
            <v>50000</v>
          </cell>
        </row>
        <row r="471">
          <cell r="A471" t="str">
            <v>A430500</v>
          </cell>
          <cell r="B471" t="str">
            <v>468</v>
          </cell>
          <cell r="C471" t="str">
            <v>430500</v>
          </cell>
          <cell r="D471" t="str">
            <v>KIWOOM 물가채KIS</v>
          </cell>
          <cell r="E471">
            <v>112103.71</v>
          </cell>
          <cell r="F471">
            <v>112120</v>
          </cell>
          <cell r="G471" t="str">
            <v>100 ( 0.09%)</v>
          </cell>
          <cell r="H471">
            <v>364</v>
          </cell>
          <cell r="I471" t="str">
            <v>채권-국공채</v>
          </cell>
          <cell r="J471">
            <v>3</v>
          </cell>
          <cell r="K471">
            <v>0</v>
          </cell>
          <cell r="L471">
            <v>83487338</v>
          </cell>
          <cell r="M471">
            <v>10000</v>
          </cell>
        </row>
        <row r="472">
          <cell r="A472" t="str">
            <v>A432600</v>
          </cell>
          <cell r="B472" t="str">
            <v>469</v>
          </cell>
          <cell r="C472" t="str">
            <v>432600</v>
          </cell>
          <cell r="D472" t="str">
            <v>RISE 국채선물3년</v>
          </cell>
          <cell r="E472">
            <v>55004.3</v>
          </cell>
          <cell r="F472">
            <v>54990</v>
          </cell>
          <cell r="G472" t="str">
            <v>5 ( 0.01%)</v>
          </cell>
          <cell r="H472">
            <v>2</v>
          </cell>
          <cell r="I472" t="str">
            <v>채권-국공채</v>
          </cell>
          <cell r="J472">
            <v>1</v>
          </cell>
          <cell r="K472">
            <v>1</v>
          </cell>
          <cell r="L472">
            <v>109934390</v>
          </cell>
          <cell r="M472">
            <v>2000</v>
          </cell>
        </row>
        <row r="473">
          <cell r="A473" t="str">
            <v>A433250</v>
          </cell>
          <cell r="B473" t="str">
            <v>470</v>
          </cell>
          <cell r="C473" t="str">
            <v>433250</v>
          </cell>
          <cell r="D473" t="str">
            <v>UNICORN R&amp;D 액티브</v>
          </cell>
          <cell r="E473">
            <v>22833.26</v>
          </cell>
          <cell r="F473">
            <v>22290</v>
          </cell>
          <cell r="G473" t="str">
            <v>180 ( 0.81%)</v>
          </cell>
          <cell r="H473">
            <v>46</v>
          </cell>
          <cell r="I473" t="str">
            <v>주식-시장대표</v>
          </cell>
          <cell r="J473">
            <v>39</v>
          </cell>
          <cell r="K473">
            <v>6993</v>
          </cell>
          <cell r="L473">
            <v>89721965</v>
          </cell>
          <cell r="M473">
            <v>50000</v>
          </cell>
        </row>
        <row r="474">
          <cell r="A474" t="str">
            <v>A433500</v>
          </cell>
          <cell r="B474" t="str">
            <v>471</v>
          </cell>
          <cell r="C474" t="str">
            <v>433500</v>
          </cell>
          <cell r="D474" t="str">
            <v>ACE 원자력TOP10</v>
          </cell>
          <cell r="E474">
            <v>46159.76</v>
          </cell>
          <cell r="F474">
            <v>46070</v>
          </cell>
          <cell r="G474" t="str">
            <v>1,470 ( 3.30%)</v>
          </cell>
          <cell r="H474">
            <v>101184</v>
          </cell>
          <cell r="I474" t="str">
            <v>주식-업종섹터</v>
          </cell>
          <cell r="J474">
            <v>10</v>
          </cell>
          <cell r="K474">
            <v>113486</v>
          </cell>
          <cell r="L474">
            <v>44680549</v>
          </cell>
          <cell r="M474">
            <v>100000</v>
          </cell>
        </row>
        <row r="475">
          <cell r="A475" t="str">
            <v>A434730</v>
          </cell>
          <cell r="B475" t="str">
            <v>472</v>
          </cell>
          <cell r="C475" t="str">
            <v>434730</v>
          </cell>
          <cell r="D475" t="str">
            <v>HANARO 원자력iSelect</v>
          </cell>
          <cell r="E475">
            <v>52936.480000000003</v>
          </cell>
          <cell r="F475">
            <v>52860</v>
          </cell>
          <cell r="G475" t="str">
            <v>1,960 ( 3.85%)</v>
          </cell>
          <cell r="H475">
            <v>191975</v>
          </cell>
          <cell r="I475" t="str">
            <v>주식-업종섹터</v>
          </cell>
          <cell r="J475">
            <v>15</v>
          </cell>
          <cell r="K475">
            <v>35319</v>
          </cell>
          <cell r="L475">
            <v>13982987</v>
          </cell>
          <cell r="M475">
            <v>50000</v>
          </cell>
        </row>
        <row r="476">
          <cell r="A476" t="str">
            <v>A434960</v>
          </cell>
          <cell r="B476" t="str">
            <v>473</v>
          </cell>
          <cell r="C476" t="str">
            <v>434960</v>
          </cell>
          <cell r="D476" t="str">
            <v>DAISHIN343 K200</v>
          </cell>
          <cell r="E476">
            <v>109648.43</v>
          </cell>
          <cell r="F476">
            <v>109935</v>
          </cell>
          <cell r="G476" t="str">
            <v>5,295 ( 5.06%)</v>
          </cell>
          <cell r="H476">
            <v>1802</v>
          </cell>
          <cell r="I476" t="str">
            <v>주식-시장대표</v>
          </cell>
          <cell r="J476">
            <v>199</v>
          </cell>
          <cell r="K476">
            <v>28810</v>
          </cell>
          <cell r="L476">
            <v>-3100971</v>
          </cell>
          <cell r="M476">
            <v>50000</v>
          </cell>
        </row>
        <row r="477">
          <cell r="A477" t="str">
            <v>A436140</v>
          </cell>
          <cell r="B477" t="str">
            <v>474</v>
          </cell>
          <cell r="C477" t="str">
            <v>436140</v>
          </cell>
          <cell r="D477" t="str">
            <v>SOL 종합채권(AA-이상)액티브</v>
          </cell>
          <cell r="E477">
            <v>105780.05</v>
          </cell>
          <cell r="F477">
            <v>105780</v>
          </cell>
          <cell r="G477" t="str">
            <v>15 ( 0.01%)</v>
          </cell>
          <cell r="H477">
            <v>31</v>
          </cell>
          <cell r="I477" t="str">
            <v>채권-혼합</v>
          </cell>
          <cell r="J477">
            <v>272</v>
          </cell>
          <cell r="K477">
            <v>0</v>
          </cell>
          <cell r="L477">
            <v>-13092163</v>
          </cell>
          <cell r="M477">
            <v>1000</v>
          </cell>
        </row>
        <row r="478">
          <cell r="A478" t="str">
            <v>A438330</v>
          </cell>
          <cell r="B478" t="str">
            <v>475</v>
          </cell>
          <cell r="C478" t="str">
            <v>438330</v>
          </cell>
          <cell r="D478" t="str">
            <v>TIGER 우량회사채액티브</v>
          </cell>
          <cell r="E478">
            <v>114874.59</v>
          </cell>
          <cell r="F478">
            <v>114815</v>
          </cell>
          <cell r="G478" t="str">
            <v>95 ( 0.08%)</v>
          </cell>
          <cell r="H478">
            <v>4471</v>
          </cell>
          <cell r="I478" t="str">
            <v>채권-회사채</v>
          </cell>
          <cell r="J478">
            <v>77</v>
          </cell>
          <cell r="K478">
            <v>85</v>
          </cell>
          <cell r="L478">
            <v>-46245011</v>
          </cell>
          <cell r="M478">
            <v>1000</v>
          </cell>
        </row>
        <row r="479">
          <cell r="A479" t="str">
            <v>A438560</v>
          </cell>
          <cell r="B479" t="str">
            <v>476</v>
          </cell>
          <cell r="C479" t="str">
            <v>438560</v>
          </cell>
          <cell r="D479" t="str">
            <v>SOL 국고채3년</v>
          </cell>
          <cell r="E479">
            <v>99899.05</v>
          </cell>
          <cell r="F479">
            <v>99875</v>
          </cell>
          <cell r="G479" t="str">
            <v>115 ( 0.12%)</v>
          </cell>
          <cell r="H479">
            <v>566</v>
          </cell>
          <cell r="I479" t="str">
            <v>채권-국공채</v>
          </cell>
          <cell r="J479">
            <v>6</v>
          </cell>
          <cell r="K479">
            <v>0</v>
          </cell>
          <cell r="L479">
            <v>5106075</v>
          </cell>
          <cell r="M479">
            <v>1000</v>
          </cell>
        </row>
        <row r="480">
          <cell r="A480" t="str">
            <v>A438570</v>
          </cell>
          <cell r="B480" t="str">
            <v>477</v>
          </cell>
          <cell r="C480" t="str">
            <v>438570</v>
          </cell>
          <cell r="D480" t="str">
            <v>SOL 국고채10년</v>
          </cell>
          <cell r="E480">
            <v>97656.27</v>
          </cell>
          <cell r="F480">
            <v>97435</v>
          </cell>
          <cell r="G480" t="str">
            <v>320 ( 0.33%)</v>
          </cell>
          <cell r="H480">
            <v>17</v>
          </cell>
          <cell r="I480" t="str">
            <v>채권-국공채</v>
          </cell>
          <cell r="J480">
            <v>8</v>
          </cell>
          <cell r="K480">
            <v>0</v>
          </cell>
          <cell r="L480">
            <v>849252</v>
          </cell>
          <cell r="M480">
            <v>1000</v>
          </cell>
        </row>
        <row r="481">
          <cell r="A481" t="str">
            <v>A438740</v>
          </cell>
          <cell r="B481" t="str">
            <v>478</v>
          </cell>
          <cell r="C481" t="str">
            <v>438740</v>
          </cell>
          <cell r="D481" t="str">
            <v>MIDAS 중소형액티브</v>
          </cell>
          <cell r="E481">
            <v>32638.52</v>
          </cell>
          <cell r="F481">
            <v>32375</v>
          </cell>
          <cell r="G481" t="str">
            <v>205 ( 0.64%)</v>
          </cell>
          <cell r="H481">
            <v>16</v>
          </cell>
          <cell r="I481" t="str">
            <v>주식-규모</v>
          </cell>
          <cell r="J481">
            <v>177</v>
          </cell>
          <cell r="K481">
            <v>61754</v>
          </cell>
          <cell r="L481">
            <v>228097837</v>
          </cell>
          <cell r="M481">
            <v>75000</v>
          </cell>
        </row>
        <row r="482">
          <cell r="A482" t="str">
            <v>A438900</v>
          </cell>
          <cell r="B482" t="str">
            <v>479</v>
          </cell>
          <cell r="C482" t="str">
            <v>438900</v>
          </cell>
          <cell r="D482" t="str">
            <v>HANARO Fn K-푸드</v>
          </cell>
          <cell r="E482">
            <v>10484.469999999999</v>
          </cell>
          <cell r="F482">
            <v>10445</v>
          </cell>
          <cell r="G482" t="str">
            <v>80 ( 0.77%)</v>
          </cell>
          <cell r="H482">
            <v>6579</v>
          </cell>
          <cell r="I482" t="str">
            <v>주식-업종섹터</v>
          </cell>
          <cell r="J482">
            <v>15</v>
          </cell>
          <cell r="K482">
            <v>9647</v>
          </cell>
          <cell r="L482">
            <v>3164919</v>
          </cell>
          <cell r="M482">
            <v>50000</v>
          </cell>
        </row>
        <row r="483">
          <cell r="A483" t="str">
            <v>A439860</v>
          </cell>
          <cell r="B483" t="str">
            <v>480</v>
          </cell>
          <cell r="C483" t="str">
            <v>439860</v>
          </cell>
          <cell r="D483" t="str">
            <v>KODEX ESG종합채권(A-이상)액티브</v>
          </cell>
          <cell r="E483">
            <v>112919.81</v>
          </cell>
          <cell r="F483">
            <v>112935</v>
          </cell>
          <cell r="G483" t="str">
            <v>45 ( 0.04%)</v>
          </cell>
          <cell r="H483">
            <v>1</v>
          </cell>
          <cell r="I483" t="str">
            <v>채권-혼합</v>
          </cell>
          <cell r="J483">
            <v>51</v>
          </cell>
          <cell r="K483">
            <v>0</v>
          </cell>
          <cell r="L483">
            <v>-29479780</v>
          </cell>
          <cell r="M483">
            <v>1000</v>
          </cell>
        </row>
        <row r="484">
          <cell r="A484" t="str">
            <v>A439870</v>
          </cell>
          <cell r="B484" t="str">
            <v>481</v>
          </cell>
          <cell r="C484" t="str">
            <v>439870</v>
          </cell>
          <cell r="D484" t="str">
            <v>KODEX 국고채30년액티브</v>
          </cell>
          <cell r="E484">
            <v>87407.82</v>
          </cell>
          <cell r="F484">
            <v>87180</v>
          </cell>
          <cell r="G484" t="str">
            <v>645 ( 0.73%)</v>
          </cell>
          <cell r="H484">
            <v>5657</v>
          </cell>
          <cell r="I484" t="str">
            <v>채권-국공채</v>
          </cell>
          <cell r="J484">
            <v>20</v>
          </cell>
          <cell r="K484">
            <v>0</v>
          </cell>
          <cell r="L484">
            <v>-21363051</v>
          </cell>
          <cell r="M484">
            <v>1000</v>
          </cell>
        </row>
        <row r="485">
          <cell r="A485" t="str">
            <v>A440640</v>
          </cell>
          <cell r="B485" t="str">
            <v>482</v>
          </cell>
          <cell r="C485" t="str">
            <v>440640</v>
          </cell>
          <cell r="D485" t="str">
            <v>ACE 단기채권알파액티브</v>
          </cell>
          <cell r="E485">
            <v>112232.07</v>
          </cell>
          <cell r="F485">
            <v>112230</v>
          </cell>
          <cell r="G485" t="str">
            <v>30 ( 0.03%)</v>
          </cell>
          <cell r="H485">
            <v>1954</v>
          </cell>
          <cell r="I485" t="str">
            <v>채권-혼합</v>
          </cell>
          <cell r="J485">
            <v>7</v>
          </cell>
          <cell r="K485">
            <v>0</v>
          </cell>
          <cell r="L485">
            <v>31378402</v>
          </cell>
          <cell r="M485">
            <v>1000</v>
          </cell>
        </row>
        <row r="486">
          <cell r="A486" t="str">
            <v>A441540</v>
          </cell>
          <cell r="B486" t="str">
            <v>483</v>
          </cell>
          <cell r="C486" t="str">
            <v>441540</v>
          </cell>
          <cell r="D486" t="str">
            <v>HANARO Fn조선해운</v>
          </cell>
          <cell r="E486">
            <v>25520.880000000001</v>
          </cell>
          <cell r="F486">
            <v>25510</v>
          </cell>
          <cell r="G486" t="str">
            <v>140 ( 0.55%)</v>
          </cell>
          <cell r="H486">
            <v>10511</v>
          </cell>
          <cell r="I486" t="str">
            <v>주식-업종섹터</v>
          </cell>
          <cell r="J486">
            <v>15</v>
          </cell>
          <cell r="K486">
            <v>41357</v>
          </cell>
          <cell r="L486">
            <v>8020957</v>
          </cell>
          <cell r="M486">
            <v>50000</v>
          </cell>
        </row>
        <row r="487">
          <cell r="A487" t="str">
            <v>A441800</v>
          </cell>
          <cell r="B487" t="str">
            <v>484</v>
          </cell>
          <cell r="C487" t="str">
            <v>441800</v>
          </cell>
          <cell r="D487" t="str">
            <v>TIME Korea플러스배당액티브</v>
          </cell>
          <cell r="E487">
            <v>29608.65</v>
          </cell>
          <cell r="F487">
            <v>29525</v>
          </cell>
          <cell r="G487" t="str">
            <v>820 ( 2.86%)</v>
          </cell>
          <cell r="H487">
            <v>209780</v>
          </cell>
          <cell r="I487" t="str">
            <v>주식-시장대표</v>
          </cell>
          <cell r="J487">
            <v>34</v>
          </cell>
          <cell r="K487">
            <v>8164</v>
          </cell>
          <cell r="L487">
            <v>8035990</v>
          </cell>
          <cell r="M487">
            <v>20000</v>
          </cell>
        </row>
        <row r="488">
          <cell r="A488" t="str">
            <v>A442090</v>
          </cell>
          <cell r="B488" t="str">
            <v>485</v>
          </cell>
          <cell r="C488" t="str">
            <v>442090</v>
          </cell>
          <cell r="D488" t="str">
            <v>에셋플러스 코리아대장장이액티브</v>
          </cell>
          <cell r="E488">
            <v>28371.31</v>
          </cell>
          <cell r="F488">
            <v>28350</v>
          </cell>
          <cell r="G488" t="str">
            <v>300 ( 1.07%)</v>
          </cell>
          <cell r="H488">
            <v>826</v>
          </cell>
          <cell r="I488" t="str">
            <v>주식-전략</v>
          </cell>
          <cell r="J488">
            <v>29</v>
          </cell>
          <cell r="K488">
            <v>36099</v>
          </cell>
          <cell r="L488">
            <v>224521408</v>
          </cell>
          <cell r="M488">
            <v>100000</v>
          </cell>
        </row>
        <row r="489">
          <cell r="A489" t="str">
            <v>A442260</v>
          </cell>
          <cell r="B489" t="str">
            <v>486</v>
          </cell>
          <cell r="C489" t="str">
            <v>442260</v>
          </cell>
          <cell r="D489" t="str">
            <v>마이티 다이나믹퀀트액티브</v>
          </cell>
          <cell r="E489">
            <v>38189.360000000001</v>
          </cell>
          <cell r="F489">
            <v>38170</v>
          </cell>
          <cell r="G489" t="str">
            <v>1,655 ( 4.53%)</v>
          </cell>
          <cell r="H489">
            <v>7281</v>
          </cell>
          <cell r="I489" t="str">
            <v>주식-시장대표</v>
          </cell>
          <cell r="J489">
            <v>71</v>
          </cell>
          <cell r="K489">
            <v>13613</v>
          </cell>
          <cell r="L489">
            <v>886620</v>
          </cell>
          <cell r="M489">
            <v>40000</v>
          </cell>
        </row>
        <row r="490">
          <cell r="A490" t="str">
            <v>A444200</v>
          </cell>
          <cell r="B490" t="str">
            <v>487</v>
          </cell>
          <cell r="C490" t="str">
            <v>444200</v>
          </cell>
          <cell r="D490" t="str">
            <v>SOL 코리아메가테크액티브</v>
          </cell>
          <cell r="E490">
            <v>44968.91</v>
          </cell>
          <cell r="F490">
            <v>44930</v>
          </cell>
          <cell r="G490" t="str">
            <v>1,680 ( 3.88%)</v>
          </cell>
          <cell r="H490">
            <v>309572</v>
          </cell>
          <cell r="I490" t="str">
            <v>주식-업종섹터</v>
          </cell>
          <cell r="J490">
            <v>31</v>
          </cell>
          <cell r="K490">
            <v>11780</v>
          </cell>
          <cell r="L490">
            <v>-8905821</v>
          </cell>
          <cell r="M490">
            <v>50000</v>
          </cell>
        </row>
        <row r="491">
          <cell r="A491" t="str">
            <v>A445150</v>
          </cell>
          <cell r="B491" t="str">
            <v>488</v>
          </cell>
          <cell r="C491" t="str">
            <v>445150</v>
          </cell>
          <cell r="D491" t="str">
            <v>KODEX 친환경조선해운액티브</v>
          </cell>
          <cell r="E491">
            <v>26784.639999999999</v>
          </cell>
          <cell r="F491">
            <v>26750</v>
          </cell>
          <cell r="G491" t="str">
            <v>130 ( 0.49%)</v>
          </cell>
          <cell r="H491">
            <v>5387</v>
          </cell>
          <cell r="I491" t="str">
            <v>주식-업종섹터</v>
          </cell>
          <cell r="J491">
            <v>23</v>
          </cell>
          <cell r="K491">
            <v>70708</v>
          </cell>
          <cell r="L491">
            <v>10561172</v>
          </cell>
          <cell r="M491">
            <v>50000</v>
          </cell>
        </row>
        <row r="492">
          <cell r="A492" t="str">
            <v>A445290</v>
          </cell>
          <cell r="B492" t="str">
            <v>489</v>
          </cell>
          <cell r="C492" t="str">
            <v>445290</v>
          </cell>
          <cell r="D492" t="str">
            <v>KODEX 로봇액티브</v>
          </cell>
          <cell r="E492">
            <v>28371.35</v>
          </cell>
          <cell r="F492">
            <v>28320</v>
          </cell>
          <cell r="G492" t="str">
            <v>1,160 ( 4.27%)</v>
          </cell>
          <cell r="H492">
            <v>311240</v>
          </cell>
          <cell r="I492" t="str">
            <v>주식-업종섹터</v>
          </cell>
          <cell r="J492">
            <v>32</v>
          </cell>
          <cell r="K492">
            <v>16751</v>
          </cell>
          <cell r="L492">
            <v>43884803</v>
          </cell>
          <cell r="M492">
            <v>50000</v>
          </cell>
        </row>
        <row r="493">
          <cell r="A493" t="str">
            <v>A445690</v>
          </cell>
          <cell r="B493" t="str">
            <v>490</v>
          </cell>
          <cell r="C493" t="str">
            <v>445690</v>
          </cell>
          <cell r="D493" t="str">
            <v>BNK 주주가치액티브</v>
          </cell>
          <cell r="E493">
            <v>30053.200000000001</v>
          </cell>
          <cell r="F493">
            <v>30140</v>
          </cell>
          <cell r="G493" t="str">
            <v>945 ( 3.24%)</v>
          </cell>
          <cell r="H493">
            <v>46</v>
          </cell>
          <cell r="I493" t="str">
            <v>주식-전략</v>
          </cell>
          <cell r="J493">
            <v>52</v>
          </cell>
          <cell r="K493">
            <v>35942</v>
          </cell>
          <cell r="L493">
            <v>38890634</v>
          </cell>
          <cell r="M493">
            <v>50000</v>
          </cell>
        </row>
        <row r="494">
          <cell r="A494" t="str">
            <v>A445910</v>
          </cell>
          <cell r="B494" t="str">
            <v>491</v>
          </cell>
          <cell r="C494" t="str">
            <v>445910</v>
          </cell>
          <cell r="D494" t="str">
            <v>TIGER MKF배당귀족</v>
          </cell>
          <cell r="E494">
            <v>19935.38</v>
          </cell>
          <cell r="F494">
            <v>19855</v>
          </cell>
          <cell r="G494" t="str">
            <v>355 ( 1.82%)</v>
          </cell>
          <cell r="H494">
            <v>2305</v>
          </cell>
          <cell r="I494" t="str">
            <v>주식-전략</v>
          </cell>
          <cell r="J494">
            <v>30</v>
          </cell>
          <cell r="K494">
            <v>21321</v>
          </cell>
          <cell r="L494">
            <v>2929486</v>
          </cell>
          <cell r="M494">
            <v>50000</v>
          </cell>
        </row>
        <row r="495">
          <cell r="A495" t="str">
            <v>A446700</v>
          </cell>
          <cell r="B495" t="str">
            <v>492</v>
          </cell>
          <cell r="C495" t="str">
            <v>446700</v>
          </cell>
          <cell r="D495" t="str">
            <v>RISE 배터리 리사이클링</v>
          </cell>
          <cell r="E495">
            <v>8937</v>
          </cell>
          <cell r="F495">
            <v>8915</v>
          </cell>
          <cell r="G495" t="str">
            <v>30 ( 0.34%)</v>
          </cell>
          <cell r="H495">
            <v>5721</v>
          </cell>
          <cell r="I495" t="str">
            <v>주식-업종섹터</v>
          </cell>
          <cell r="J495">
            <v>21</v>
          </cell>
          <cell r="K495">
            <v>10236</v>
          </cell>
          <cell r="L495">
            <v>5303614</v>
          </cell>
          <cell r="M495">
            <v>20000</v>
          </cell>
        </row>
        <row r="496">
          <cell r="A496" t="str">
            <v>A447430</v>
          </cell>
          <cell r="B496" t="str">
            <v>493</v>
          </cell>
          <cell r="C496" t="str">
            <v>447430</v>
          </cell>
          <cell r="D496" t="str">
            <v>ACE 주주환원가치주액티브</v>
          </cell>
          <cell r="E496">
            <v>15722.08</v>
          </cell>
          <cell r="F496">
            <v>15695</v>
          </cell>
          <cell r="G496" t="str">
            <v>40 ( 0.26%)</v>
          </cell>
          <cell r="H496">
            <v>72402</v>
          </cell>
          <cell r="I496" t="str">
            <v>주식-전략</v>
          </cell>
          <cell r="J496">
            <v>27</v>
          </cell>
          <cell r="K496">
            <v>59065</v>
          </cell>
          <cell r="L496">
            <v>103175138</v>
          </cell>
          <cell r="M496">
            <v>50000</v>
          </cell>
        </row>
        <row r="497">
          <cell r="A497" t="str">
            <v>A448100</v>
          </cell>
          <cell r="B497" t="str">
            <v>494</v>
          </cell>
          <cell r="C497" t="str">
            <v>448100</v>
          </cell>
          <cell r="D497" t="str">
            <v>WON 200</v>
          </cell>
          <cell r="E497">
            <v>112065.19</v>
          </cell>
          <cell r="F497">
            <v>112310</v>
          </cell>
          <cell r="G497" t="str">
            <v>5,380 ( 5.03%)</v>
          </cell>
          <cell r="H497">
            <v>26866</v>
          </cell>
          <cell r="I497" t="str">
            <v>주식-시장대표</v>
          </cell>
          <cell r="J497">
            <v>196</v>
          </cell>
          <cell r="K497">
            <v>14674</v>
          </cell>
          <cell r="L497">
            <v>11241794</v>
          </cell>
          <cell r="M497">
            <v>25000</v>
          </cell>
        </row>
        <row r="498">
          <cell r="A498" t="str">
            <v>A448330</v>
          </cell>
          <cell r="B498" t="str">
            <v>495</v>
          </cell>
          <cell r="C498" t="str">
            <v>448330</v>
          </cell>
          <cell r="D498" t="str">
            <v>KODEX 삼성전자채권혼합</v>
          </cell>
          <cell r="E498">
            <v>17139.439999999999</v>
          </cell>
          <cell r="F498">
            <v>17010</v>
          </cell>
          <cell r="G498" t="str">
            <v>325 ( 1.95%)</v>
          </cell>
          <cell r="H498">
            <v>519081</v>
          </cell>
          <cell r="I498" t="str">
            <v>혼합-주식채권</v>
          </cell>
          <cell r="J498">
            <v>10</v>
          </cell>
          <cell r="K498">
            <v>6252</v>
          </cell>
          <cell r="L498">
            <v>39983332</v>
          </cell>
          <cell r="M498">
            <v>100000</v>
          </cell>
        </row>
        <row r="499">
          <cell r="A499" t="str">
            <v>A448490</v>
          </cell>
          <cell r="B499" t="str">
            <v>496</v>
          </cell>
          <cell r="C499" t="str">
            <v>448490</v>
          </cell>
          <cell r="D499" t="str">
            <v>HANARO 32-10 국고채액티브</v>
          </cell>
          <cell r="E499">
            <v>52550.17</v>
          </cell>
          <cell r="F499">
            <v>52470</v>
          </cell>
          <cell r="G499" t="str">
            <v>145 ( 0.28%)</v>
          </cell>
          <cell r="H499">
            <v>373</v>
          </cell>
          <cell r="I499" t="str">
            <v>채권-국공채</v>
          </cell>
          <cell r="J499">
            <v>4</v>
          </cell>
          <cell r="K499">
            <v>0</v>
          </cell>
          <cell r="L499">
            <v>11200760</v>
          </cell>
          <cell r="M499">
            <v>2000</v>
          </cell>
        </row>
        <row r="500">
          <cell r="A500" t="str">
            <v>A448570</v>
          </cell>
          <cell r="B500" t="str">
            <v>497</v>
          </cell>
          <cell r="C500" t="str">
            <v>448570</v>
          </cell>
          <cell r="D500" t="str">
            <v>FOCUS AI코리아액티브</v>
          </cell>
          <cell r="E500">
            <v>29781.4</v>
          </cell>
          <cell r="F500">
            <v>29750</v>
          </cell>
          <cell r="G500" t="str">
            <v>970 ( 3.37%)</v>
          </cell>
          <cell r="H500">
            <v>166</v>
          </cell>
          <cell r="I500" t="str">
            <v>주식-시장대표</v>
          </cell>
          <cell r="J500">
            <v>19</v>
          </cell>
          <cell r="K500">
            <v>9142</v>
          </cell>
          <cell r="L500">
            <v>61214541</v>
          </cell>
          <cell r="M500">
            <v>50000</v>
          </cell>
        </row>
        <row r="501">
          <cell r="A501" t="str">
            <v>A448630</v>
          </cell>
          <cell r="B501" t="str">
            <v>498</v>
          </cell>
          <cell r="C501" t="str">
            <v>448630</v>
          </cell>
          <cell r="D501" t="str">
            <v>RISE 삼성그룹Top3채권혼합</v>
          </cell>
          <cell r="E501">
            <v>14700.7</v>
          </cell>
          <cell r="F501">
            <v>14670</v>
          </cell>
          <cell r="G501" t="str">
            <v>250 ( 1.73%)</v>
          </cell>
          <cell r="H501">
            <v>116892</v>
          </cell>
          <cell r="I501" t="str">
            <v>혼합-주식채권</v>
          </cell>
          <cell r="J501">
            <v>12</v>
          </cell>
          <cell r="K501">
            <v>1201</v>
          </cell>
          <cell r="L501">
            <v>286840790</v>
          </cell>
          <cell r="M501">
            <v>100000</v>
          </cell>
        </row>
        <row r="502">
          <cell r="A502" t="str">
            <v>A449170</v>
          </cell>
          <cell r="B502" t="str">
            <v>499</v>
          </cell>
          <cell r="C502" t="str">
            <v>449170</v>
          </cell>
          <cell r="D502" t="str">
            <v>TIGER KOFR금리액티브(합성)</v>
          </cell>
          <cell r="E502">
            <v>111388.7</v>
          </cell>
          <cell r="F502">
            <v>111390</v>
          </cell>
          <cell r="G502" t="str">
            <v>10 ( 0.01%)</v>
          </cell>
          <cell r="H502">
            <v>50141</v>
          </cell>
          <cell r="I502" t="str">
            <v>기타</v>
          </cell>
          <cell r="J502">
            <v>3</v>
          </cell>
          <cell r="K502">
            <v>2405024</v>
          </cell>
          <cell r="L502">
            <v>108967201</v>
          </cell>
          <cell r="M502">
            <v>1000</v>
          </cell>
        </row>
        <row r="503">
          <cell r="A503" t="str">
            <v>A449450</v>
          </cell>
          <cell r="B503" t="str">
            <v>500</v>
          </cell>
          <cell r="C503" t="str">
            <v>449450</v>
          </cell>
          <cell r="D503" t="str">
            <v>PLUS K방산</v>
          </cell>
          <cell r="E503">
            <v>51321.49</v>
          </cell>
          <cell r="F503">
            <v>51260</v>
          </cell>
          <cell r="G503" t="str">
            <v>260 ( 0.51%)</v>
          </cell>
          <cell r="H503">
            <v>278311</v>
          </cell>
          <cell r="I503" t="str">
            <v>주식-업종섹터</v>
          </cell>
          <cell r="J503">
            <v>10</v>
          </cell>
          <cell r="K503">
            <v>7243</v>
          </cell>
          <cell r="L503">
            <v>792549</v>
          </cell>
          <cell r="M503">
            <v>20000</v>
          </cell>
        </row>
        <row r="504">
          <cell r="A504" t="str">
            <v>A450910</v>
          </cell>
          <cell r="B504" t="str">
            <v>501</v>
          </cell>
          <cell r="C504" t="str">
            <v>450910</v>
          </cell>
          <cell r="D504" t="str">
            <v>SOL 코스닥150</v>
          </cell>
          <cell r="E504">
            <v>12438.37</v>
          </cell>
          <cell r="F504">
            <v>12420</v>
          </cell>
          <cell r="G504" t="str">
            <v>80 ( 0.65%)</v>
          </cell>
          <cell r="H504">
            <v>23847</v>
          </cell>
          <cell r="I504" t="str">
            <v>주식-시장대표</v>
          </cell>
          <cell r="J504">
            <v>150</v>
          </cell>
          <cell r="K504">
            <v>6417</v>
          </cell>
          <cell r="L504">
            <v>8321</v>
          </cell>
          <cell r="M504">
            <v>20000</v>
          </cell>
        </row>
        <row r="505">
          <cell r="A505" t="str">
            <v>A451000</v>
          </cell>
          <cell r="B505" t="str">
            <v>502</v>
          </cell>
          <cell r="C505" t="str">
            <v>451000</v>
          </cell>
          <cell r="D505" t="str">
            <v>PLUS 종합채권(AA-이상)액티브</v>
          </cell>
          <cell r="E505">
            <v>106793.83</v>
          </cell>
          <cell r="F505">
            <v>106825</v>
          </cell>
          <cell r="G505" t="str">
            <v>115 ( 0.11%)</v>
          </cell>
          <cell r="H505">
            <v>5</v>
          </cell>
          <cell r="I505" t="str">
            <v>채권-혼합</v>
          </cell>
          <cell r="J505">
            <v>99</v>
          </cell>
          <cell r="K505">
            <v>61</v>
          </cell>
          <cell r="L505">
            <v>-28939796</v>
          </cell>
          <cell r="M505">
            <v>1000</v>
          </cell>
        </row>
        <row r="506">
          <cell r="A506" t="str">
            <v>A451060</v>
          </cell>
          <cell r="B506" t="str">
            <v>503</v>
          </cell>
          <cell r="C506" t="str">
            <v>451060</v>
          </cell>
          <cell r="D506" t="str">
            <v>1Q 200액티브</v>
          </cell>
          <cell r="E506">
            <v>34876.22</v>
          </cell>
          <cell r="F506">
            <v>34875</v>
          </cell>
          <cell r="G506" t="str">
            <v>1,585 ( 4.76%)</v>
          </cell>
          <cell r="H506">
            <v>107044</v>
          </cell>
          <cell r="I506" t="str">
            <v>주식-시장대표</v>
          </cell>
          <cell r="J506">
            <v>199</v>
          </cell>
          <cell r="K506">
            <v>27551</v>
          </cell>
          <cell r="L506">
            <v>-6256673</v>
          </cell>
          <cell r="M506">
            <v>150000</v>
          </cell>
        </row>
        <row r="507">
          <cell r="A507" t="str">
            <v>A451530</v>
          </cell>
          <cell r="B507" t="str">
            <v>504</v>
          </cell>
          <cell r="C507" t="str">
            <v>451530</v>
          </cell>
          <cell r="D507" t="str">
            <v>TIGER 국고채30년스트립액티브</v>
          </cell>
          <cell r="E507">
            <v>35451.17</v>
          </cell>
          <cell r="F507">
            <v>35340</v>
          </cell>
          <cell r="G507" t="str">
            <v>400 ( 1.12%)</v>
          </cell>
          <cell r="H507">
            <v>23144</v>
          </cell>
          <cell r="I507" t="str">
            <v>채권-국공채</v>
          </cell>
          <cell r="J507">
            <v>3</v>
          </cell>
          <cell r="K507">
            <v>0</v>
          </cell>
          <cell r="L507">
            <v>1732448</v>
          </cell>
          <cell r="M507">
            <v>2000</v>
          </cell>
        </row>
        <row r="508">
          <cell r="A508" t="str">
            <v>A451540</v>
          </cell>
          <cell r="B508" t="str">
            <v>505</v>
          </cell>
          <cell r="C508" t="str">
            <v>451540</v>
          </cell>
          <cell r="D508" t="str">
            <v>TIGER 종합채권(AA-이상)액티브</v>
          </cell>
          <cell r="E508">
            <v>52611.98</v>
          </cell>
          <cell r="F508">
            <v>52575</v>
          </cell>
          <cell r="G508" t="str">
            <v>60 ( 0.11%)</v>
          </cell>
          <cell r="H508">
            <v>10632</v>
          </cell>
          <cell r="I508" t="str">
            <v>채권-혼합</v>
          </cell>
          <cell r="J508">
            <v>156</v>
          </cell>
          <cell r="K508">
            <v>0</v>
          </cell>
          <cell r="L508">
            <v>-19444421</v>
          </cell>
          <cell r="M508">
            <v>2000</v>
          </cell>
        </row>
        <row r="509">
          <cell r="A509" t="str">
            <v>A451600</v>
          </cell>
          <cell r="B509" t="str">
            <v>506</v>
          </cell>
          <cell r="C509" t="str">
            <v>451600</v>
          </cell>
          <cell r="D509" t="str">
            <v>PLUS 국고채30년액티브</v>
          </cell>
          <cell r="E509">
            <v>84269.38</v>
          </cell>
          <cell r="F509">
            <v>84285</v>
          </cell>
          <cell r="G509" t="str">
            <v>380 ( 0.45%)</v>
          </cell>
          <cell r="H509">
            <v>28</v>
          </cell>
          <cell r="I509" t="str">
            <v>채권-국공채</v>
          </cell>
          <cell r="J509">
            <v>4</v>
          </cell>
          <cell r="K509">
            <v>0</v>
          </cell>
          <cell r="L509">
            <v>980509</v>
          </cell>
          <cell r="M509">
            <v>1000</v>
          </cell>
        </row>
        <row r="510">
          <cell r="A510" t="str">
            <v>A451670</v>
          </cell>
          <cell r="B510" t="str">
            <v>507</v>
          </cell>
          <cell r="C510" t="str">
            <v>451670</v>
          </cell>
          <cell r="D510" t="str">
            <v>RISE 국채30년레버리지(합성)</v>
          </cell>
          <cell r="E510">
            <v>12295.21</v>
          </cell>
          <cell r="F510">
            <v>12220</v>
          </cell>
          <cell r="G510" t="str">
            <v>155 ( 1.25%)</v>
          </cell>
          <cell r="H510">
            <v>263</v>
          </cell>
          <cell r="I510" t="str">
            <v>채권-국공채</v>
          </cell>
          <cell r="J510">
            <v>1</v>
          </cell>
          <cell r="K510">
            <v>-42243966</v>
          </cell>
          <cell r="L510">
            <v>349909118</v>
          </cell>
          <cell r="M510">
            <v>25000</v>
          </cell>
        </row>
        <row r="511">
          <cell r="A511" t="str">
            <v>A453010</v>
          </cell>
          <cell r="B511" t="str">
            <v>508</v>
          </cell>
          <cell r="C511" t="str">
            <v>453010</v>
          </cell>
          <cell r="D511" t="str">
            <v>PLUS KOFR금리</v>
          </cell>
          <cell r="E511">
            <v>109514.03</v>
          </cell>
          <cell r="F511">
            <v>109510</v>
          </cell>
          <cell r="G511" t="str">
            <v>10 ( 0.01%)</v>
          </cell>
          <cell r="H511">
            <v>911</v>
          </cell>
          <cell r="I511" t="str">
            <v>기타</v>
          </cell>
          <cell r="J511">
            <v>1</v>
          </cell>
          <cell r="K511">
            <v>103896103</v>
          </cell>
          <cell r="L511">
            <v>5617928</v>
          </cell>
          <cell r="M511">
            <v>1000</v>
          </cell>
        </row>
        <row r="512">
          <cell r="A512" t="str">
            <v>A453060</v>
          </cell>
          <cell r="B512" t="str">
            <v>509</v>
          </cell>
          <cell r="C512" t="str">
            <v>453060</v>
          </cell>
          <cell r="D512" t="str">
            <v>HANARO KOFR금리액티브(합성)</v>
          </cell>
          <cell r="E512">
            <v>111053.91</v>
          </cell>
          <cell r="F512">
            <v>111045</v>
          </cell>
          <cell r="G512" t="str">
            <v>10 ( 0.01%)</v>
          </cell>
          <cell r="H512">
            <v>144</v>
          </cell>
          <cell r="I512" t="str">
            <v>기타</v>
          </cell>
          <cell r="J512">
            <v>2</v>
          </cell>
          <cell r="K512">
            <v>110865065</v>
          </cell>
          <cell r="L512">
            <v>180651</v>
          </cell>
          <cell r="M512">
            <v>1000</v>
          </cell>
        </row>
        <row r="513">
          <cell r="A513" t="str">
            <v>A454320</v>
          </cell>
          <cell r="B513" t="str">
            <v>510</v>
          </cell>
          <cell r="C513" t="str">
            <v>454320</v>
          </cell>
          <cell r="D513" t="str">
            <v>HANARO CAPEX설비투자iSelect</v>
          </cell>
          <cell r="E513">
            <v>38067.660000000003</v>
          </cell>
          <cell r="F513">
            <v>38000</v>
          </cell>
          <cell r="G513" t="str">
            <v>940 ( 2.54%)</v>
          </cell>
          <cell r="H513">
            <v>2497</v>
          </cell>
          <cell r="I513" t="str">
            <v>주식-업종섹터</v>
          </cell>
          <cell r="J513">
            <v>19</v>
          </cell>
          <cell r="K513">
            <v>25427</v>
          </cell>
          <cell r="L513">
            <v>10147533</v>
          </cell>
          <cell r="M513">
            <v>50000</v>
          </cell>
        </row>
        <row r="514">
          <cell r="A514" t="str">
            <v>A454780</v>
          </cell>
          <cell r="B514" t="str">
            <v>511</v>
          </cell>
          <cell r="C514" t="str">
            <v>454780</v>
          </cell>
          <cell r="D514" t="str">
            <v>KIWOOM 종합채권(AA-이상)액티브</v>
          </cell>
          <cell r="E514">
            <v>99100.54</v>
          </cell>
          <cell r="F514">
            <v>99070</v>
          </cell>
          <cell r="G514" t="str">
            <v>120 ( 0.12%)</v>
          </cell>
          <cell r="H514">
            <v>1</v>
          </cell>
          <cell r="I514" t="str">
            <v>채권-혼합</v>
          </cell>
          <cell r="J514">
            <v>55</v>
          </cell>
          <cell r="K514">
            <v>138</v>
          </cell>
          <cell r="L514">
            <v>-42838396</v>
          </cell>
          <cell r="M514">
            <v>1000</v>
          </cell>
        </row>
        <row r="515">
          <cell r="A515" t="str">
            <v>A455850</v>
          </cell>
          <cell r="B515" t="str">
            <v>512</v>
          </cell>
          <cell r="C515" t="str">
            <v>455850</v>
          </cell>
          <cell r="D515" t="str">
            <v>SOL AI반도체소부장</v>
          </cell>
          <cell r="E515">
            <v>23645.29</v>
          </cell>
          <cell r="F515">
            <v>23585</v>
          </cell>
          <cell r="G515" t="str">
            <v>0 ( 0.00%)</v>
          </cell>
          <cell r="H515">
            <v>1703654</v>
          </cell>
          <cell r="I515" t="str">
            <v>주식-업종섹터</v>
          </cell>
          <cell r="J515">
            <v>20</v>
          </cell>
          <cell r="K515">
            <v>11113</v>
          </cell>
          <cell r="L515">
            <v>6523379</v>
          </cell>
          <cell r="M515">
            <v>50000</v>
          </cell>
        </row>
        <row r="516">
          <cell r="A516" t="str">
            <v>A455860</v>
          </cell>
          <cell r="B516" t="str">
            <v>513</v>
          </cell>
          <cell r="C516" t="str">
            <v>455860</v>
          </cell>
          <cell r="D516" t="str">
            <v>SOL 2차전지소부장Fn</v>
          </cell>
          <cell r="E516">
            <v>3988.58</v>
          </cell>
          <cell r="F516">
            <v>3980</v>
          </cell>
          <cell r="G516" t="str">
            <v>5 ( 0.13%)</v>
          </cell>
          <cell r="H516">
            <v>561295</v>
          </cell>
          <cell r="I516" t="str">
            <v>주식-업종섹터</v>
          </cell>
          <cell r="J516">
            <v>20</v>
          </cell>
          <cell r="K516">
            <v>2304</v>
          </cell>
          <cell r="L516">
            <v>562383</v>
          </cell>
          <cell r="M516">
            <v>50000</v>
          </cell>
        </row>
        <row r="517">
          <cell r="A517" t="str">
            <v>A455890</v>
          </cell>
          <cell r="B517" t="str">
            <v>514</v>
          </cell>
          <cell r="C517" t="str">
            <v>455890</v>
          </cell>
          <cell r="D517" t="str">
            <v>RISE 머니마켓액티브</v>
          </cell>
          <cell r="E517">
            <v>55256.19</v>
          </cell>
          <cell r="F517">
            <v>55255</v>
          </cell>
          <cell r="G517" t="str">
            <v>0 ( 0.00%)</v>
          </cell>
          <cell r="H517">
            <v>110379</v>
          </cell>
          <cell r="I517" t="str">
            <v>채권-혼합</v>
          </cell>
          <cell r="J517">
            <v>368</v>
          </cell>
          <cell r="K517">
            <v>0</v>
          </cell>
          <cell r="L517">
            <v>-1007</v>
          </cell>
          <cell r="M517">
            <v>2000</v>
          </cell>
        </row>
        <row r="518">
          <cell r="A518" t="str">
            <v>A457690</v>
          </cell>
          <cell r="B518" t="str">
            <v>515</v>
          </cell>
          <cell r="C518" t="str">
            <v>457690</v>
          </cell>
          <cell r="D518" t="str">
            <v>KODEX 33-06 국고채액티브</v>
          </cell>
          <cell r="E518">
            <v>10420.219999999999</v>
          </cell>
          <cell r="F518">
            <v>10425</v>
          </cell>
          <cell r="G518" t="str">
            <v>5 ( 0.05%)</v>
          </cell>
          <cell r="H518">
            <v>70521</v>
          </cell>
          <cell r="I518" t="str">
            <v>채권-국공채</v>
          </cell>
          <cell r="J518">
            <v>2</v>
          </cell>
          <cell r="K518">
            <v>0</v>
          </cell>
          <cell r="L518">
            <v>363087</v>
          </cell>
          <cell r="M518">
            <v>10000</v>
          </cell>
        </row>
        <row r="519">
          <cell r="A519" t="str">
            <v>A457700</v>
          </cell>
          <cell r="B519" t="str">
            <v>516</v>
          </cell>
          <cell r="C519" t="str">
            <v>457700</v>
          </cell>
          <cell r="D519" t="str">
            <v>KODEX 53-09 국고채액티브</v>
          </cell>
          <cell r="E519">
            <v>9149.1299999999992</v>
          </cell>
          <cell r="F519">
            <v>9120</v>
          </cell>
          <cell r="G519" t="str">
            <v>55 ( 0.60%)</v>
          </cell>
          <cell r="H519">
            <v>409</v>
          </cell>
          <cell r="I519" t="str">
            <v>채권-국공채</v>
          </cell>
          <cell r="J519">
            <v>1</v>
          </cell>
          <cell r="K519">
            <v>0</v>
          </cell>
          <cell r="L519">
            <v>824128</v>
          </cell>
          <cell r="M519">
            <v>10000</v>
          </cell>
        </row>
        <row r="520">
          <cell r="A520" t="str">
            <v>A457930</v>
          </cell>
          <cell r="B520" t="str">
            <v>517</v>
          </cell>
          <cell r="C520" t="str">
            <v>457930</v>
          </cell>
          <cell r="D520" t="str">
            <v>BNK 미래전략기술액티브</v>
          </cell>
          <cell r="E520">
            <v>25858.43</v>
          </cell>
          <cell r="F520">
            <v>25685</v>
          </cell>
          <cell r="G520" t="str">
            <v>560 ( 2.23%)</v>
          </cell>
          <cell r="H520">
            <v>278</v>
          </cell>
          <cell r="I520" t="str">
            <v>주식-업종섹터</v>
          </cell>
          <cell r="J520">
            <v>42</v>
          </cell>
          <cell r="K520">
            <v>19208</v>
          </cell>
          <cell r="L520">
            <v>5327224</v>
          </cell>
          <cell r="M520">
            <v>50000</v>
          </cell>
        </row>
        <row r="521">
          <cell r="A521" t="str">
            <v>A457990</v>
          </cell>
          <cell r="B521" t="str">
            <v>518</v>
          </cell>
          <cell r="C521" t="str">
            <v>457990</v>
          </cell>
          <cell r="D521" t="str">
            <v>PLUS 태양광&amp;ESS</v>
          </cell>
          <cell r="E521">
            <v>32204.52</v>
          </cell>
          <cell r="F521">
            <v>32175</v>
          </cell>
          <cell r="G521" t="str">
            <v>790 ( 2.52%)</v>
          </cell>
          <cell r="H521">
            <v>112844</v>
          </cell>
          <cell r="I521" t="str">
            <v>주식-업종섹터</v>
          </cell>
          <cell r="J521">
            <v>10</v>
          </cell>
          <cell r="K521">
            <v>27616</v>
          </cell>
          <cell r="L521">
            <v>454491</v>
          </cell>
          <cell r="M521">
            <v>50000</v>
          </cell>
        </row>
        <row r="522">
          <cell r="A522" t="str">
            <v>A458030</v>
          </cell>
          <cell r="B522" t="str">
            <v>519</v>
          </cell>
          <cell r="C522" t="str">
            <v>458030</v>
          </cell>
          <cell r="D522" t="str">
            <v>WON 국공채머니마켓액티브</v>
          </cell>
          <cell r="E522">
            <v>54852.17</v>
          </cell>
          <cell r="F522">
            <v>54850</v>
          </cell>
          <cell r="G522" t="str">
            <v>10 ( 0.02%)</v>
          </cell>
          <cell r="H522">
            <v>413</v>
          </cell>
          <cell r="I522" t="str">
            <v>채권-국공채</v>
          </cell>
          <cell r="J522">
            <v>43</v>
          </cell>
          <cell r="K522">
            <v>0</v>
          </cell>
          <cell r="L522">
            <v>-5840327</v>
          </cell>
          <cell r="M522">
            <v>2000</v>
          </cell>
        </row>
        <row r="523">
          <cell r="A523" t="str">
            <v>A458210</v>
          </cell>
          <cell r="B523" t="str">
            <v>520</v>
          </cell>
          <cell r="C523" t="str">
            <v>458210</v>
          </cell>
          <cell r="D523" t="str">
            <v>KIWOOM CD금리액티브(합성)</v>
          </cell>
          <cell r="E523">
            <v>110210.48</v>
          </cell>
          <cell r="F523">
            <v>110230</v>
          </cell>
          <cell r="G523" t="str">
            <v>30 ( 0.03%)</v>
          </cell>
          <cell r="H523">
            <v>859</v>
          </cell>
          <cell r="I523" t="str">
            <v>기타</v>
          </cell>
          <cell r="J523">
            <v>3</v>
          </cell>
          <cell r="K523">
            <v>106372193</v>
          </cell>
          <cell r="L523">
            <v>3838292</v>
          </cell>
          <cell r="M523">
            <v>1000</v>
          </cell>
        </row>
        <row r="524">
          <cell r="A524" t="str">
            <v>A459580</v>
          </cell>
          <cell r="B524" t="str">
            <v>521</v>
          </cell>
          <cell r="C524" t="str">
            <v>459580</v>
          </cell>
          <cell r="D524" t="str">
            <v>KODEX CD금리액티브(합성)</v>
          </cell>
          <cell r="E524">
            <v>1075204.3799999999</v>
          </cell>
          <cell r="F524">
            <v>1075180</v>
          </cell>
          <cell r="G524" t="str">
            <v>80 ( 0.01%)</v>
          </cell>
          <cell r="H524">
            <v>287562</v>
          </cell>
          <cell r="I524" t="str">
            <v>기타</v>
          </cell>
          <cell r="J524">
            <v>29</v>
          </cell>
          <cell r="K524">
            <v>29039220</v>
          </cell>
          <cell r="L524">
            <v>50401708</v>
          </cell>
          <cell r="M524">
            <v>100</v>
          </cell>
        </row>
        <row r="525">
          <cell r="A525" t="str">
            <v>A461450</v>
          </cell>
          <cell r="B525" t="str">
            <v>522</v>
          </cell>
          <cell r="C525" t="str">
            <v>461450</v>
          </cell>
          <cell r="D525" t="str">
            <v>KODEX 코스닥글로벌</v>
          </cell>
          <cell r="E525">
            <v>13884.97</v>
          </cell>
          <cell r="F525">
            <v>13895</v>
          </cell>
          <cell r="G525" t="str">
            <v>135 ( 0.98%)</v>
          </cell>
          <cell r="H525">
            <v>11021</v>
          </cell>
          <cell r="I525" t="str">
            <v>주식-시장대표</v>
          </cell>
          <cell r="J525">
            <v>50</v>
          </cell>
          <cell r="K525">
            <v>22424</v>
          </cell>
          <cell r="L525">
            <v>1675791</v>
          </cell>
          <cell r="M525">
            <v>100000</v>
          </cell>
        </row>
        <row r="526">
          <cell r="A526" t="str">
            <v>A461460</v>
          </cell>
          <cell r="B526" t="str">
            <v>523</v>
          </cell>
          <cell r="C526" t="str">
            <v>461460</v>
          </cell>
          <cell r="D526" t="str">
            <v>PLUS 국고채10년액티브</v>
          </cell>
          <cell r="E526">
            <v>51048.37</v>
          </cell>
          <cell r="F526">
            <v>51045</v>
          </cell>
          <cell r="G526" t="str">
            <v>35 ( 0.07%)</v>
          </cell>
          <cell r="H526">
            <v>538</v>
          </cell>
          <cell r="I526" t="str">
            <v>채권-국공채</v>
          </cell>
          <cell r="J526">
            <v>5</v>
          </cell>
          <cell r="K526">
            <v>39</v>
          </cell>
          <cell r="L526">
            <v>-1422517</v>
          </cell>
          <cell r="M526">
            <v>2000</v>
          </cell>
        </row>
        <row r="527">
          <cell r="A527" t="str">
            <v>A461500</v>
          </cell>
          <cell r="B527" t="str">
            <v>524</v>
          </cell>
          <cell r="C527" t="str">
            <v>461500</v>
          </cell>
          <cell r="D527" t="str">
            <v>HANARO 종합채권(AA-이상)액티브</v>
          </cell>
          <cell r="E527">
            <v>104656.8</v>
          </cell>
          <cell r="F527">
            <v>104620</v>
          </cell>
          <cell r="G527" t="str">
            <v>60 ( 0.06%)</v>
          </cell>
          <cell r="H527">
            <v>12</v>
          </cell>
          <cell r="I527" t="str">
            <v>채권-혼합</v>
          </cell>
          <cell r="J527">
            <v>60</v>
          </cell>
          <cell r="K527">
            <v>0</v>
          </cell>
          <cell r="L527">
            <v>-15594552</v>
          </cell>
          <cell r="M527">
            <v>1000</v>
          </cell>
        </row>
        <row r="528">
          <cell r="A528" t="str">
            <v>A461580</v>
          </cell>
          <cell r="B528" t="str">
            <v>525</v>
          </cell>
          <cell r="C528" t="str">
            <v>461580</v>
          </cell>
          <cell r="D528" t="str">
            <v>TIGER 코스닥글로벌</v>
          </cell>
          <cell r="E528">
            <v>14186.73</v>
          </cell>
          <cell r="F528">
            <v>14180</v>
          </cell>
          <cell r="G528" t="str">
            <v>185 ( 1.32%)</v>
          </cell>
          <cell r="H528">
            <v>1007</v>
          </cell>
          <cell r="I528" t="str">
            <v>주식-시장대표</v>
          </cell>
          <cell r="J528">
            <v>50</v>
          </cell>
          <cell r="K528">
            <v>11307</v>
          </cell>
          <cell r="L528">
            <v>6231858</v>
          </cell>
          <cell r="M528">
            <v>50000</v>
          </cell>
        </row>
        <row r="529">
          <cell r="A529" t="str">
            <v>A461950</v>
          </cell>
          <cell r="B529" t="str">
            <v>526</v>
          </cell>
          <cell r="C529" t="str">
            <v>461950</v>
          </cell>
          <cell r="D529" t="str">
            <v>KODEX 2차전지핵심소재10</v>
          </cell>
          <cell r="E529">
            <v>4277.87</v>
          </cell>
          <cell r="F529">
            <v>4265</v>
          </cell>
          <cell r="G529" t="str">
            <v>5 ( 0.12%)</v>
          </cell>
          <cell r="H529">
            <v>277393</v>
          </cell>
          <cell r="I529" t="str">
            <v>주식-업종섹터</v>
          </cell>
          <cell r="J529">
            <v>10</v>
          </cell>
          <cell r="K529">
            <v>1938</v>
          </cell>
          <cell r="L529">
            <v>-381533</v>
          </cell>
          <cell r="M529">
            <v>50000</v>
          </cell>
        </row>
        <row r="530">
          <cell r="A530" t="str">
            <v>A462010</v>
          </cell>
          <cell r="B530" t="str">
            <v>527</v>
          </cell>
          <cell r="C530" t="str">
            <v>462010</v>
          </cell>
          <cell r="D530" t="str">
            <v>TIGER 2차전지소재Fn</v>
          </cell>
          <cell r="E530">
            <v>4259.16</v>
          </cell>
          <cell r="F530">
            <v>4255</v>
          </cell>
          <cell r="G530" t="str">
            <v>45 ( 1.07%)</v>
          </cell>
          <cell r="H530">
            <v>2339599</v>
          </cell>
          <cell r="I530" t="str">
            <v>주식-업종섹터</v>
          </cell>
          <cell r="J530">
            <v>20</v>
          </cell>
          <cell r="K530">
            <v>2208</v>
          </cell>
          <cell r="L530">
            <v>1007597</v>
          </cell>
          <cell r="M530">
            <v>50000</v>
          </cell>
        </row>
        <row r="531">
          <cell r="A531" t="str">
            <v>A462330</v>
          </cell>
          <cell r="B531" t="str">
            <v>528</v>
          </cell>
          <cell r="C531" t="str">
            <v>462330</v>
          </cell>
          <cell r="D531" t="str">
            <v>KODEX 2차전지산업레버리지</v>
          </cell>
          <cell r="E531">
            <v>830.36</v>
          </cell>
          <cell r="F531">
            <v>831</v>
          </cell>
          <cell r="G531" t="str">
            <v>8 ( 0.97%)</v>
          </cell>
          <cell r="H531">
            <v>35480563</v>
          </cell>
          <cell r="I531" t="str">
            <v>주식-업종섹터</v>
          </cell>
          <cell r="J531">
            <v>38</v>
          </cell>
          <cell r="K531">
            <v>2666</v>
          </cell>
          <cell r="L531">
            <v>-24047919</v>
          </cell>
          <cell r="M531">
            <v>100000</v>
          </cell>
        </row>
        <row r="532">
          <cell r="A532" t="str">
            <v>A462900</v>
          </cell>
          <cell r="B532" t="str">
            <v>529</v>
          </cell>
          <cell r="C532" t="str">
            <v>462900</v>
          </cell>
          <cell r="D532" t="str">
            <v>KoAct 바이오헬스케어액티브</v>
          </cell>
          <cell r="E532">
            <v>12952.31</v>
          </cell>
          <cell r="F532">
            <v>12925</v>
          </cell>
          <cell r="G532" t="str">
            <v>315 ( 2.38%)</v>
          </cell>
          <cell r="H532">
            <v>4138109</v>
          </cell>
          <cell r="I532" t="str">
            <v>주식-업종섹터</v>
          </cell>
          <cell r="J532">
            <v>24</v>
          </cell>
          <cell r="K532">
            <v>11599</v>
          </cell>
          <cell r="L532">
            <v>1855896</v>
          </cell>
          <cell r="M532">
            <v>50000</v>
          </cell>
        </row>
        <row r="533">
          <cell r="A533" t="str">
            <v>A463050</v>
          </cell>
          <cell r="B533" t="str">
            <v>530</v>
          </cell>
          <cell r="C533" t="str">
            <v>463050</v>
          </cell>
          <cell r="D533" t="str">
            <v>TIME K바이오액티브</v>
          </cell>
          <cell r="E533">
            <v>11711.01</v>
          </cell>
          <cell r="F533">
            <v>11670</v>
          </cell>
          <cell r="G533" t="str">
            <v>135 ( 1.14%)</v>
          </cell>
          <cell r="H533">
            <v>726359</v>
          </cell>
          <cell r="I533" t="str">
            <v>주식-업종섹터</v>
          </cell>
          <cell r="J533">
            <v>35</v>
          </cell>
          <cell r="K533">
            <v>7681</v>
          </cell>
          <cell r="L533">
            <v>6580091</v>
          </cell>
          <cell r="M533">
            <v>50000</v>
          </cell>
        </row>
        <row r="534">
          <cell r="A534" t="str">
            <v>A463250</v>
          </cell>
          <cell r="B534" t="str">
            <v>531</v>
          </cell>
          <cell r="C534" t="str">
            <v>463250</v>
          </cell>
          <cell r="D534" t="str">
            <v>TIGER K방산&amp;우주</v>
          </cell>
          <cell r="E534">
            <v>32910.9</v>
          </cell>
          <cell r="F534">
            <v>32845</v>
          </cell>
          <cell r="G534" t="str">
            <v>395 ( 1.22%)</v>
          </cell>
          <cell r="H534">
            <v>1271167</v>
          </cell>
          <cell r="I534" t="str">
            <v>주식-업종섹터</v>
          </cell>
          <cell r="J534">
            <v>10</v>
          </cell>
          <cell r="K534">
            <v>11116</v>
          </cell>
          <cell r="L534">
            <v>9512512</v>
          </cell>
          <cell r="M534">
            <v>50000</v>
          </cell>
        </row>
        <row r="535">
          <cell r="A535" t="str">
            <v>A463290</v>
          </cell>
          <cell r="B535" t="str">
            <v>532</v>
          </cell>
          <cell r="C535" t="str">
            <v>463290</v>
          </cell>
          <cell r="D535" t="str">
            <v>1Q 단기금융채액티브</v>
          </cell>
          <cell r="E535">
            <v>108837.07</v>
          </cell>
          <cell r="F535">
            <v>108840</v>
          </cell>
          <cell r="G535" t="str">
            <v>20 ( 0.02%)</v>
          </cell>
          <cell r="H535">
            <v>8328</v>
          </cell>
          <cell r="I535" t="str">
            <v>채권-혼합</v>
          </cell>
          <cell r="J535">
            <v>10</v>
          </cell>
          <cell r="K535">
            <v>0</v>
          </cell>
          <cell r="L535">
            <v>53359857</v>
          </cell>
          <cell r="M535">
            <v>1000</v>
          </cell>
        </row>
        <row r="536">
          <cell r="A536" t="str">
            <v>A464240</v>
          </cell>
          <cell r="B536" t="str">
            <v>533</v>
          </cell>
          <cell r="C536" t="str">
            <v>464240</v>
          </cell>
          <cell r="D536" t="str">
            <v>KIWOOM 26-09회사채(AA-이상)액티브</v>
          </cell>
          <cell r="E536">
            <v>52242.03</v>
          </cell>
          <cell r="F536">
            <v>52225</v>
          </cell>
          <cell r="G536" t="str">
            <v>10 ( 0.02%)</v>
          </cell>
          <cell r="H536">
            <v>16</v>
          </cell>
          <cell r="I536" t="str">
            <v>채권-회사채</v>
          </cell>
          <cell r="J536">
            <v>16</v>
          </cell>
          <cell r="K536">
            <v>0</v>
          </cell>
          <cell r="L536">
            <v>18578044</v>
          </cell>
          <cell r="M536">
            <v>10000</v>
          </cell>
        </row>
        <row r="537">
          <cell r="A537" t="str">
            <v>A464600</v>
          </cell>
          <cell r="B537" t="str">
            <v>534</v>
          </cell>
          <cell r="C537" t="str">
            <v>464600</v>
          </cell>
          <cell r="D537" t="str">
            <v>SOL 자동차소부장Fn</v>
          </cell>
          <cell r="E537">
            <v>21602.33</v>
          </cell>
          <cell r="F537">
            <v>21650</v>
          </cell>
          <cell r="G537" t="str">
            <v>745 ( 3.56%)</v>
          </cell>
          <cell r="H537">
            <v>18265</v>
          </cell>
          <cell r="I537" t="str">
            <v>주식-업종섹터</v>
          </cell>
          <cell r="J537">
            <v>20</v>
          </cell>
          <cell r="K537">
            <v>37157</v>
          </cell>
          <cell r="L537">
            <v>9778891</v>
          </cell>
          <cell r="M537">
            <v>50000</v>
          </cell>
        </row>
        <row r="538">
          <cell r="A538" t="str">
            <v>A464610</v>
          </cell>
          <cell r="B538" t="str">
            <v>535</v>
          </cell>
          <cell r="C538" t="str">
            <v>464610</v>
          </cell>
          <cell r="D538" t="str">
            <v>SOL 의료기기소부장Fn</v>
          </cell>
          <cell r="E538">
            <v>7518.93</v>
          </cell>
          <cell r="F538">
            <v>7505</v>
          </cell>
          <cell r="G538" t="str">
            <v>135 ( 1.83%)</v>
          </cell>
          <cell r="H538">
            <v>9157</v>
          </cell>
          <cell r="I538" t="str">
            <v>주식-업종섹터</v>
          </cell>
          <cell r="J538">
            <v>14</v>
          </cell>
          <cell r="K538">
            <v>16324</v>
          </cell>
          <cell r="L538">
            <v>167441</v>
          </cell>
          <cell r="M538">
            <v>50000</v>
          </cell>
        </row>
        <row r="539">
          <cell r="A539" t="str">
            <v>A465330</v>
          </cell>
          <cell r="B539" t="str">
            <v>536</v>
          </cell>
          <cell r="C539" t="str">
            <v>465330</v>
          </cell>
          <cell r="D539" t="str">
            <v>RISE 2차전지TOP10</v>
          </cell>
          <cell r="E539">
            <v>9730.42</v>
          </cell>
          <cell r="F539">
            <v>9710</v>
          </cell>
          <cell r="G539" t="str">
            <v>40 ( 0.41%)</v>
          </cell>
          <cell r="H539">
            <v>110261</v>
          </cell>
          <cell r="I539" t="str">
            <v>주식-업종섹터</v>
          </cell>
          <cell r="J539">
            <v>10</v>
          </cell>
          <cell r="K539">
            <v>1683</v>
          </cell>
          <cell r="L539">
            <v>3608310</v>
          </cell>
          <cell r="M539">
            <v>25000</v>
          </cell>
        </row>
        <row r="540">
          <cell r="A540" t="str">
            <v>A465350</v>
          </cell>
          <cell r="B540" t="str">
            <v>537</v>
          </cell>
          <cell r="C540" t="str">
            <v>465350</v>
          </cell>
          <cell r="D540" t="str">
            <v>RISE 2차전지TOP10인버스(합성)</v>
          </cell>
          <cell r="E540">
            <v>20281.830000000002</v>
          </cell>
          <cell r="F540">
            <v>20075</v>
          </cell>
          <cell r="G540" t="str">
            <v>225 ( 1.11%)</v>
          </cell>
          <cell r="H540">
            <v>44965</v>
          </cell>
          <cell r="I540" t="str">
            <v>주식-업종섹터</v>
          </cell>
          <cell r="J540">
            <v>3</v>
          </cell>
          <cell r="K540">
            <v>-624276</v>
          </cell>
          <cell r="L540">
            <v>511947534</v>
          </cell>
          <cell r="M540">
            <v>25000</v>
          </cell>
        </row>
        <row r="541">
          <cell r="A541" t="str">
            <v>A465780</v>
          </cell>
          <cell r="B541" t="str">
            <v>538</v>
          </cell>
          <cell r="C541" t="str">
            <v>465780</v>
          </cell>
          <cell r="D541" t="str">
            <v>마이티 26-09 특수채(AAA)액티브</v>
          </cell>
          <cell r="E541">
            <v>106058.39</v>
          </cell>
          <cell r="F541">
            <v>106050</v>
          </cell>
          <cell r="G541" t="str">
            <v>0 ( 0.00%)</v>
          </cell>
          <cell r="H541">
            <v>0</v>
          </cell>
          <cell r="I541" t="str">
            <v>채권-국공채</v>
          </cell>
          <cell r="J541">
            <v>10</v>
          </cell>
          <cell r="K541">
            <v>0</v>
          </cell>
          <cell r="L541">
            <v>4015622</v>
          </cell>
          <cell r="M541">
            <v>1000</v>
          </cell>
        </row>
        <row r="542">
          <cell r="A542" t="str">
            <v>A466810</v>
          </cell>
          <cell r="B542" t="str">
            <v>539</v>
          </cell>
          <cell r="C542" t="str">
            <v>466810</v>
          </cell>
          <cell r="D542" t="str">
            <v>BNK 2차전지양극재</v>
          </cell>
          <cell r="E542">
            <v>5031.74</v>
          </cell>
          <cell r="F542">
            <v>5035</v>
          </cell>
          <cell r="G542" t="str">
            <v>5 ( 0.10%)</v>
          </cell>
          <cell r="H542">
            <v>1199</v>
          </cell>
          <cell r="I542" t="str">
            <v>주식-업종섹터</v>
          </cell>
          <cell r="J542">
            <v>12</v>
          </cell>
          <cell r="K542">
            <v>4622</v>
          </cell>
          <cell r="L542">
            <v>2222853</v>
          </cell>
          <cell r="M542">
            <v>50000</v>
          </cell>
        </row>
        <row r="543">
          <cell r="A543" t="str">
            <v>A466920</v>
          </cell>
          <cell r="B543" t="str">
            <v>540</v>
          </cell>
          <cell r="C543" t="str">
            <v>466920</v>
          </cell>
          <cell r="D543" t="str">
            <v>SOL 조선TOP3플러스</v>
          </cell>
          <cell r="E543">
            <v>26987.63</v>
          </cell>
          <cell r="F543">
            <v>26975</v>
          </cell>
          <cell r="G543" t="str">
            <v>15 ( 0.06%)</v>
          </cell>
          <cell r="H543">
            <v>825353</v>
          </cell>
          <cell r="I543" t="str">
            <v>주식-업종섹터</v>
          </cell>
          <cell r="J543">
            <v>13</v>
          </cell>
          <cell r="K543">
            <v>24559</v>
          </cell>
          <cell r="L543">
            <v>10391596</v>
          </cell>
          <cell r="M543">
            <v>50000</v>
          </cell>
        </row>
        <row r="544">
          <cell r="A544" t="str">
            <v>A466930</v>
          </cell>
          <cell r="B544" t="str">
            <v>541</v>
          </cell>
          <cell r="C544" t="str">
            <v>466930</v>
          </cell>
          <cell r="D544" t="str">
            <v>SOL 자동차TOP3플러스</v>
          </cell>
          <cell r="E544">
            <v>26491.77</v>
          </cell>
          <cell r="F544">
            <v>26410</v>
          </cell>
          <cell r="G544" t="str">
            <v>635 ( 2.46%)</v>
          </cell>
          <cell r="H544">
            <v>514225</v>
          </cell>
          <cell r="I544" t="str">
            <v>주식-업종섹터</v>
          </cell>
          <cell r="J544">
            <v>13</v>
          </cell>
          <cell r="K544">
            <v>6718</v>
          </cell>
          <cell r="L544">
            <v>2066664</v>
          </cell>
          <cell r="M544">
            <v>50000</v>
          </cell>
        </row>
        <row r="545">
          <cell r="A545" t="str">
            <v>A466940</v>
          </cell>
          <cell r="B545" t="str">
            <v>542</v>
          </cell>
          <cell r="C545" t="str">
            <v>466940</v>
          </cell>
          <cell r="D545" t="str">
            <v>TIGER 은행고배당플러스TOP10</v>
          </cell>
          <cell r="E545">
            <v>26286.41</v>
          </cell>
          <cell r="F545">
            <v>26255</v>
          </cell>
          <cell r="G545" t="str">
            <v>125 ( 0.48%)</v>
          </cell>
          <cell r="H545">
            <v>372957</v>
          </cell>
          <cell r="I545" t="str">
            <v>주식-전략</v>
          </cell>
          <cell r="J545">
            <v>10</v>
          </cell>
          <cell r="K545">
            <v>29418</v>
          </cell>
          <cell r="L545">
            <v>10094493</v>
          </cell>
          <cell r="M545">
            <v>50000</v>
          </cell>
        </row>
        <row r="546">
          <cell r="A546" t="str">
            <v>A469070</v>
          </cell>
          <cell r="B546" t="str">
            <v>543</v>
          </cell>
          <cell r="C546" t="str">
            <v>469070</v>
          </cell>
          <cell r="D546" t="str">
            <v>RISE AI&amp;로봇</v>
          </cell>
          <cell r="E546">
            <v>9651.84</v>
          </cell>
          <cell r="F546">
            <v>9670</v>
          </cell>
          <cell r="G546" t="str">
            <v>490 ( 5.34%)</v>
          </cell>
          <cell r="H546">
            <v>174723</v>
          </cell>
          <cell r="I546" t="str">
            <v>주식-업종섹터</v>
          </cell>
          <cell r="J546">
            <v>35</v>
          </cell>
          <cell r="K546">
            <v>20160</v>
          </cell>
          <cell r="L546">
            <v>3529779</v>
          </cell>
          <cell r="M546">
            <v>50000</v>
          </cell>
        </row>
        <row r="547">
          <cell r="A547" t="str">
            <v>A469150</v>
          </cell>
          <cell r="B547" t="str">
            <v>544</v>
          </cell>
          <cell r="C547" t="str">
            <v>469150</v>
          </cell>
          <cell r="D547" t="str">
            <v>ACE AI반도체TOP3+</v>
          </cell>
          <cell r="E547">
            <v>58673.55</v>
          </cell>
          <cell r="F547">
            <v>58505</v>
          </cell>
          <cell r="G547" t="str">
            <v>2,185 ( 3.88%)</v>
          </cell>
          <cell r="H547">
            <v>905563</v>
          </cell>
          <cell r="I547" t="str">
            <v>주식-업종섹터</v>
          </cell>
          <cell r="J547">
            <v>20</v>
          </cell>
          <cell r="K547">
            <v>13773</v>
          </cell>
          <cell r="L547">
            <v>1941048</v>
          </cell>
          <cell r="M547">
            <v>50000</v>
          </cell>
        </row>
        <row r="548">
          <cell r="A548" t="str">
            <v>A469170</v>
          </cell>
          <cell r="B548" t="str">
            <v>545</v>
          </cell>
          <cell r="C548" t="str">
            <v>469170</v>
          </cell>
          <cell r="D548" t="str">
            <v>ACE 포스코그룹포커스</v>
          </cell>
          <cell r="E548">
            <v>5108.72</v>
          </cell>
          <cell r="F548">
            <v>5095</v>
          </cell>
          <cell r="G548" t="str">
            <v>85 ( 1.70%)</v>
          </cell>
          <cell r="H548">
            <v>652472</v>
          </cell>
          <cell r="I548" t="str">
            <v>주식-전략</v>
          </cell>
          <cell r="J548">
            <v>10</v>
          </cell>
          <cell r="K548">
            <v>5777</v>
          </cell>
          <cell r="L548">
            <v>466186</v>
          </cell>
          <cell r="M548">
            <v>50000</v>
          </cell>
        </row>
        <row r="549">
          <cell r="A549" t="str">
            <v>A469530</v>
          </cell>
          <cell r="B549" t="str">
            <v>546</v>
          </cell>
          <cell r="C549" t="str">
            <v>469530</v>
          </cell>
          <cell r="D549" t="str">
            <v>RISE 미국달러선물인버스</v>
          </cell>
          <cell r="E549">
            <v>8795.0400000000009</v>
          </cell>
          <cell r="F549">
            <v>8820</v>
          </cell>
          <cell r="G549" t="str">
            <v>30 ( 0.34%)</v>
          </cell>
          <cell r="H549">
            <v>147</v>
          </cell>
          <cell r="I549" t="str">
            <v>통화-미국달러</v>
          </cell>
          <cell r="J549">
            <v>1</v>
          </cell>
          <cell r="K549">
            <v>-6</v>
          </cell>
          <cell r="L549">
            <v>87712840</v>
          </cell>
          <cell r="M549">
            <v>10000</v>
          </cell>
        </row>
        <row r="550">
          <cell r="A550" t="str">
            <v>A469790</v>
          </cell>
          <cell r="B550" t="str">
            <v>547</v>
          </cell>
          <cell r="C550" t="str">
            <v>469790</v>
          </cell>
          <cell r="D550" t="str">
            <v>KIWOOM 코리아테크TOP10</v>
          </cell>
          <cell r="E550">
            <v>42950.09</v>
          </cell>
          <cell r="F550">
            <v>42850</v>
          </cell>
          <cell r="G550" t="str">
            <v>2,255 ( 5.55%)</v>
          </cell>
          <cell r="H550">
            <v>3425</v>
          </cell>
          <cell r="I550" t="str">
            <v>주식-업종섹터</v>
          </cell>
          <cell r="J550">
            <v>10</v>
          </cell>
          <cell r="K550">
            <v>17758</v>
          </cell>
          <cell r="L550">
            <v>5175665</v>
          </cell>
          <cell r="M550">
            <v>100000</v>
          </cell>
        </row>
        <row r="551">
          <cell r="A551" t="str">
            <v>A469830</v>
          </cell>
          <cell r="B551" t="str">
            <v>548</v>
          </cell>
          <cell r="C551" t="str">
            <v>469830</v>
          </cell>
          <cell r="D551" t="str">
            <v>SOL 초단기채권액티브</v>
          </cell>
          <cell r="E551">
            <v>54153.29</v>
          </cell>
          <cell r="F551">
            <v>54155</v>
          </cell>
          <cell r="G551" t="str">
            <v>5 ( 0.01%)</v>
          </cell>
          <cell r="H551">
            <v>126100</v>
          </cell>
          <cell r="I551" t="str">
            <v>채권-혼합</v>
          </cell>
          <cell r="J551">
            <v>149</v>
          </cell>
          <cell r="K551">
            <v>0</v>
          </cell>
          <cell r="L551">
            <v>-11892386</v>
          </cell>
          <cell r="M551">
            <v>2000</v>
          </cell>
        </row>
        <row r="552">
          <cell r="A552" t="str">
            <v>A470310</v>
          </cell>
          <cell r="B552" t="str">
            <v>549</v>
          </cell>
          <cell r="C552" t="str">
            <v>470310</v>
          </cell>
          <cell r="D552" t="str">
            <v>UNICORN 생성형AI강소기업액티브</v>
          </cell>
          <cell r="E552">
            <v>15610.69</v>
          </cell>
          <cell r="F552">
            <v>15450</v>
          </cell>
          <cell r="G552" t="str">
            <v>275 ( 1.81%)</v>
          </cell>
          <cell r="H552">
            <v>31</v>
          </cell>
          <cell r="I552" t="str">
            <v>주식-업종섹터</v>
          </cell>
          <cell r="J552">
            <v>18</v>
          </cell>
          <cell r="K552">
            <v>27542</v>
          </cell>
          <cell r="L552">
            <v>86230097</v>
          </cell>
          <cell r="M552">
            <v>50000</v>
          </cell>
        </row>
        <row r="553">
          <cell r="A553" t="str">
            <v>A471230</v>
          </cell>
          <cell r="B553" t="str">
            <v>550</v>
          </cell>
          <cell r="C553" t="str">
            <v>471230</v>
          </cell>
          <cell r="D553" t="str">
            <v>KODEX 국고채10년액티브</v>
          </cell>
          <cell r="E553">
            <v>103239.92</v>
          </cell>
          <cell r="F553">
            <v>103225</v>
          </cell>
          <cell r="G553" t="str">
            <v>40 ( 0.04%)</v>
          </cell>
          <cell r="H553">
            <v>4022</v>
          </cell>
          <cell r="I553" t="str">
            <v>채권-국공채</v>
          </cell>
          <cell r="J553">
            <v>2</v>
          </cell>
          <cell r="K553">
            <v>0</v>
          </cell>
          <cell r="L553">
            <v>6445</v>
          </cell>
          <cell r="M553">
            <v>1000</v>
          </cell>
        </row>
        <row r="554">
          <cell r="A554" t="str">
            <v>A471460</v>
          </cell>
          <cell r="B554" t="str">
            <v>551</v>
          </cell>
          <cell r="C554" t="str">
            <v>471460</v>
          </cell>
          <cell r="D554" t="str">
            <v>KIWOOM 국고채30년액티브</v>
          </cell>
          <cell r="E554">
            <v>45668.74</v>
          </cell>
          <cell r="F554">
            <v>45630</v>
          </cell>
          <cell r="G554" t="str">
            <v>345 ( 0.75%)</v>
          </cell>
          <cell r="H554">
            <v>3754</v>
          </cell>
          <cell r="I554" t="str">
            <v>채권-국공채</v>
          </cell>
          <cell r="J554">
            <v>4</v>
          </cell>
          <cell r="K554">
            <v>1200</v>
          </cell>
          <cell r="L554">
            <v>-245595324</v>
          </cell>
          <cell r="M554">
            <v>20000</v>
          </cell>
        </row>
        <row r="555">
          <cell r="A555" t="str">
            <v>A471760</v>
          </cell>
          <cell r="B555" t="str">
            <v>552</v>
          </cell>
          <cell r="C555" t="str">
            <v>471760</v>
          </cell>
          <cell r="D555" t="str">
            <v>TIGER AI반도체핵심공정</v>
          </cell>
          <cell r="E555">
            <v>13686.55</v>
          </cell>
          <cell r="F555">
            <v>13665</v>
          </cell>
          <cell r="G555" t="str">
            <v>210 ( 1.56%)</v>
          </cell>
          <cell r="H555">
            <v>1549366</v>
          </cell>
          <cell r="I555" t="str">
            <v>주식-업종섹터</v>
          </cell>
          <cell r="J555">
            <v>18</v>
          </cell>
          <cell r="K555">
            <v>5295</v>
          </cell>
          <cell r="L555">
            <v>4719817</v>
          </cell>
          <cell r="M555">
            <v>50000</v>
          </cell>
        </row>
        <row r="556">
          <cell r="A556" t="str">
            <v>A471780</v>
          </cell>
          <cell r="B556" t="str">
            <v>553</v>
          </cell>
          <cell r="C556" t="str">
            <v>471780</v>
          </cell>
          <cell r="D556" t="str">
            <v>TIGER 코리아테크액티브</v>
          </cell>
          <cell r="E556">
            <v>36233.85</v>
          </cell>
          <cell r="F556">
            <v>36200</v>
          </cell>
          <cell r="G556" t="str">
            <v>1,300 ( 3.72%)</v>
          </cell>
          <cell r="H556">
            <v>120950</v>
          </cell>
          <cell r="I556" t="str">
            <v>주식-업종섹터</v>
          </cell>
          <cell r="J556">
            <v>20</v>
          </cell>
          <cell r="K556">
            <v>1761</v>
          </cell>
          <cell r="L556">
            <v>1851215</v>
          </cell>
          <cell r="M556">
            <v>10000</v>
          </cell>
        </row>
        <row r="557">
          <cell r="A557" t="str">
            <v>A471990</v>
          </cell>
          <cell r="B557" t="str">
            <v>554</v>
          </cell>
          <cell r="C557" t="str">
            <v>471990</v>
          </cell>
          <cell r="D557" t="str">
            <v>KODEX AI반도체핵심장비</v>
          </cell>
          <cell r="E557">
            <v>22431.27</v>
          </cell>
          <cell r="F557">
            <v>22380</v>
          </cell>
          <cell r="G557" t="str">
            <v>185 ( 0.83%)</v>
          </cell>
          <cell r="H557">
            <v>1988287</v>
          </cell>
          <cell r="I557" t="str">
            <v>주식-업종섹터</v>
          </cell>
          <cell r="J557">
            <v>18</v>
          </cell>
          <cell r="K557">
            <v>9754</v>
          </cell>
          <cell r="L557">
            <v>2607108</v>
          </cell>
          <cell r="M557">
            <v>50000</v>
          </cell>
        </row>
        <row r="558">
          <cell r="A558" t="str">
            <v>A472150</v>
          </cell>
          <cell r="B558" t="str">
            <v>555</v>
          </cell>
          <cell r="C558" t="str">
            <v>472150</v>
          </cell>
          <cell r="D558" t="str">
            <v>TIGER 배당커버드콜액티브</v>
          </cell>
          <cell r="E558">
            <v>21198.34</v>
          </cell>
          <cell r="F558">
            <v>21200</v>
          </cell>
          <cell r="G558" t="str">
            <v>910 ( 4.48%)</v>
          </cell>
          <cell r="H558">
            <v>3531270</v>
          </cell>
          <cell r="I558" t="str">
            <v>주식-전략</v>
          </cell>
          <cell r="J558">
            <v>91</v>
          </cell>
          <cell r="K558">
            <v>1281</v>
          </cell>
          <cell r="L558">
            <v>3005209</v>
          </cell>
          <cell r="M558">
            <v>10000</v>
          </cell>
        </row>
        <row r="559">
          <cell r="A559" t="str">
            <v>A472720</v>
          </cell>
          <cell r="B559" t="str">
            <v>556</v>
          </cell>
          <cell r="C559" t="str">
            <v>472720</v>
          </cell>
          <cell r="D559" t="str">
            <v>TRUSTON 주주가치액티브</v>
          </cell>
          <cell r="E559">
            <v>25399.43</v>
          </cell>
          <cell r="F559">
            <v>25405</v>
          </cell>
          <cell r="G559" t="str">
            <v>710 ( 2.88%)</v>
          </cell>
          <cell r="H559">
            <v>325</v>
          </cell>
          <cell r="I559" t="str">
            <v>주식-시장대표</v>
          </cell>
          <cell r="J559">
            <v>40</v>
          </cell>
          <cell r="K559">
            <v>6061</v>
          </cell>
          <cell r="L559">
            <v>12924825</v>
          </cell>
          <cell r="M559">
            <v>20000</v>
          </cell>
        </row>
        <row r="560">
          <cell r="A560" t="str">
            <v>A472840</v>
          </cell>
          <cell r="B560" t="str">
            <v>557</v>
          </cell>
          <cell r="C560" t="str">
            <v>472840</v>
          </cell>
          <cell r="D560" t="str">
            <v>IBK 200</v>
          </cell>
          <cell r="E560">
            <v>108404.03</v>
          </cell>
          <cell r="F560">
            <v>108245</v>
          </cell>
          <cell r="G560" t="str">
            <v>4,805 ( 4.65%)</v>
          </cell>
          <cell r="H560">
            <v>801</v>
          </cell>
          <cell r="I560" t="str">
            <v>주식-시장대표</v>
          </cell>
          <cell r="J560">
            <v>199</v>
          </cell>
          <cell r="K560">
            <v>14193</v>
          </cell>
          <cell r="L560">
            <v>11496828</v>
          </cell>
          <cell r="M560">
            <v>25000</v>
          </cell>
        </row>
        <row r="561">
          <cell r="A561" t="str">
            <v>A472920</v>
          </cell>
          <cell r="B561" t="str">
            <v>558</v>
          </cell>
          <cell r="C561" t="str">
            <v>472920</v>
          </cell>
          <cell r="D561" t="str">
            <v>HK 종합채권(AA-이상)액티브</v>
          </cell>
          <cell r="E561">
            <v>97718.09</v>
          </cell>
          <cell r="F561">
            <v>97700</v>
          </cell>
          <cell r="G561" t="str">
            <v>105 ( 0.11%)</v>
          </cell>
          <cell r="H561">
            <v>1</v>
          </cell>
          <cell r="I561" t="str">
            <v>채권-혼합</v>
          </cell>
          <cell r="J561">
            <v>38</v>
          </cell>
          <cell r="K561">
            <v>0</v>
          </cell>
          <cell r="L561">
            <v>-15352072</v>
          </cell>
          <cell r="M561">
            <v>1000</v>
          </cell>
        </row>
        <row r="562">
          <cell r="A562" t="str">
            <v>A473290</v>
          </cell>
          <cell r="B562" t="str">
            <v>559</v>
          </cell>
          <cell r="C562" t="str">
            <v>473290</v>
          </cell>
          <cell r="D562" t="str">
            <v>KODEX 26-12 회사채(AA-이상)액티브</v>
          </cell>
          <cell r="E562">
            <v>10837.77</v>
          </cell>
          <cell r="F562">
            <v>10845</v>
          </cell>
          <cell r="G562" t="str">
            <v>0 ( 0.00%)</v>
          </cell>
          <cell r="H562">
            <v>102959</v>
          </cell>
          <cell r="I562" t="str">
            <v>채권-회사채</v>
          </cell>
          <cell r="J562">
            <v>49</v>
          </cell>
          <cell r="K562">
            <v>0</v>
          </cell>
          <cell r="L562">
            <v>-3628692</v>
          </cell>
          <cell r="M562">
            <v>10000</v>
          </cell>
        </row>
        <row r="563">
          <cell r="A563" t="str">
            <v>A473440</v>
          </cell>
          <cell r="B563" t="str">
            <v>560</v>
          </cell>
          <cell r="C563" t="str">
            <v>473440</v>
          </cell>
          <cell r="D563" t="str">
            <v>ACE 11월만기자동연장회사채AA-이상액티브</v>
          </cell>
          <cell r="E563">
            <v>10805.65</v>
          </cell>
          <cell r="F563">
            <v>10810</v>
          </cell>
          <cell r="G563" t="str">
            <v>5 ( 0.05%)</v>
          </cell>
          <cell r="H563">
            <v>1917</v>
          </cell>
          <cell r="I563" t="str">
            <v>채권-회사채</v>
          </cell>
          <cell r="J563">
            <v>8</v>
          </cell>
          <cell r="K563">
            <v>0</v>
          </cell>
          <cell r="L563">
            <v>46837768</v>
          </cell>
          <cell r="M563">
            <v>10000</v>
          </cell>
        </row>
        <row r="564">
          <cell r="A564" t="str">
            <v>A474390</v>
          </cell>
          <cell r="B564" t="str">
            <v>561</v>
          </cell>
          <cell r="C564" t="str">
            <v>474390</v>
          </cell>
          <cell r="D564" t="str">
            <v>SOL 국고채30년액티브</v>
          </cell>
          <cell r="E564">
            <v>40618.35</v>
          </cell>
          <cell r="F564">
            <v>40350</v>
          </cell>
          <cell r="G564" t="str">
            <v>330 ( 0.81%)</v>
          </cell>
          <cell r="H564">
            <v>45</v>
          </cell>
          <cell r="I564" t="str">
            <v>채권-국공채</v>
          </cell>
          <cell r="J564">
            <v>3</v>
          </cell>
          <cell r="K564">
            <v>0</v>
          </cell>
          <cell r="L564">
            <v>-4022745</v>
          </cell>
          <cell r="M564">
            <v>2000</v>
          </cell>
        </row>
        <row r="565">
          <cell r="A565" t="str">
            <v>A474590</v>
          </cell>
          <cell r="B565" t="str">
            <v>562</v>
          </cell>
          <cell r="C565" t="str">
            <v>474590</v>
          </cell>
          <cell r="D565" t="str">
            <v>WON 반도체밸류체인액티브</v>
          </cell>
          <cell r="E565">
            <v>45117.19</v>
          </cell>
          <cell r="F565">
            <v>45050</v>
          </cell>
          <cell r="G565" t="str">
            <v>1,225 ( 2.80%)</v>
          </cell>
          <cell r="H565">
            <v>181263</v>
          </cell>
          <cell r="I565" t="str">
            <v>주식-업종섹터</v>
          </cell>
          <cell r="J565">
            <v>21</v>
          </cell>
          <cell r="K565">
            <v>18712</v>
          </cell>
          <cell r="L565">
            <v>49632899</v>
          </cell>
          <cell r="M565">
            <v>50000</v>
          </cell>
        </row>
        <row r="566">
          <cell r="A566" t="str">
            <v>A475050</v>
          </cell>
          <cell r="B566" t="str">
            <v>563</v>
          </cell>
          <cell r="C566" t="str">
            <v>475050</v>
          </cell>
          <cell r="D566" t="str">
            <v>ACE KPOP포커스</v>
          </cell>
          <cell r="E566">
            <v>6934.31</v>
          </cell>
          <cell r="F566">
            <v>6940</v>
          </cell>
          <cell r="G566" t="str">
            <v>10 ( 0.14%)</v>
          </cell>
          <cell r="H566">
            <v>221140</v>
          </cell>
          <cell r="I566" t="str">
            <v>주식-업종섹터</v>
          </cell>
          <cell r="J566">
            <v>10</v>
          </cell>
          <cell r="K566">
            <v>11491</v>
          </cell>
          <cell r="L566">
            <v>486200</v>
          </cell>
          <cell r="M566">
            <v>50000</v>
          </cell>
        </row>
        <row r="567">
          <cell r="A567" t="str">
            <v>A475260</v>
          </cell>
          <cell r="B567" t="str">
            <v>564</v>
          </cell>
          <cell r="C567" t="str">
            <v>475260</v>
          </cell>
          <cell r="D567" t="str">
            <v>ACE 2월만기자동연장회사채AA-이상액티브</v>
          </cell>
          <cell r="E567">
            <v>10700.03</v>
          </cell>
          <cell r="F567">
            <v>10700</v>
          </cell>
          <cell r="G567" t="str">
            <v>5 ( 0.05%)</v>
          </cell>
          <cell r="H567">
            <v>23</v>
          </cell>
          <cell r="I567" t="str">
            <v>채권-회사채</v>
          </cell>
          <cell r="J567">
            <v>4</v>
          </cell>
          <cell r="K567">
            <v>0</v>
          </cell>
          <cell r="L567">
            <v>45232870</v>
          </cell>
          <cell r="M567">
            <v>10000</v>
          </cell>
        </row>
        <row r="568">
          <cell r="A568" t="str">
            <v>A475270</v>
          </cell>
          <cell r="B568" t="str">
            <v>565</v>
          </cell>
          <cell r="C568" t="str">
            <v>475270</v>
          </cell>
          <cell r="D568" t="str">
            <v>ACE 5월만기자동연장회사채AA-이상액티브</v>
          </cell>
          <cell r="E568">
            <v>10685.35</v>
          </cell>
          <cell r="F568">
            <v>10690</v>
          </cell>
          <cell r="G568" t="str">
            <v>5 ( 0.05%)</v>
          </cell>
          <cell r="H568">
            <v>51</v>
          </cell>
          <cell r="I568" t="str">
            <v>채권-회사채</v>
          </cell>
          <cell r="J568">
            <v>7</v>
          </cell>
          <cell r="K568">
            <v>0</v>
          </cell>
          <cell r="L568">
            <v>-17803014</v>
          </cell>
          <cell r="M568">
            <v>10000</v>
          </cell>
        </row>
        <row r="569">
          <cell r="A569" t="str">
            <v>A475280</v>
          </cell>
          <cell r="B569" t="str">
            <v>566</v>
          </cell>
          <cell r="C569" t="str">
            <v>475280</v>
          </cell>
          <cell r="D569" t="str">
            <v>ACE 8월만기자동연장회사채AA-이상액티브</v>
          </cell>
          <cell r="E569">
            <v>10698.45</v>
          </cell>
          <cell r="F569">
            <v>10700</v>
          </cell>
          <cell r="G569" t="str">
            <v>10 ( 0.09%)</v>
          </cell>
          <cell r="H569">
            <v>2</v>
          </cell>
          <cell r="I569" t="str">
            <v>채권-회사채</v>
          </cell>
          <cell r="J569">
            <v>6</v>
          </cell>
          <cell r="K569">
            <v>0</v>
          </cell>
          <cell r="L569">
            <v>53807867</v>
          </cell>
          <cell r="M569">
            <v>10000</v>
          </cell>
        </row>
        <row r="570">
          <cell r="A570" t="str">
            <v>A475300</v>
          </cell>
          <cell r="B570" t="str">
            <v>567</v>
          </cell>
          <cell r="C570" t="str">
            <v>475300</v>
          </cell>
          <cell r="D570" t="str">
            <v>SOL 반도체전공정</v>
          </cell>
          <cell r="E570">
            <v>22074.85</v>
          </cell>
          <cell r="F570">
            <v>22025</v>
          </cell>
          <cell r="G570" t="str">
            <v>125 ( 0.56%)</v>
          </cell>
          <cell r="H570">
            <v>2001061</v>
          </cell>
          <cell r="I570" t="str">
            <v>주식-업종섹터</v>
          </cell>
          <cell r="J570">
            <v>10</v>
          </cell>
          <cell r="K570">
            <v>9528</v>
          </cell>
          <cell r="L570">
            <v>5314974</v>
          </cell>
          <cell r="M570">
            <v>50000</v>
          </cell>
        </row>
        <row r="571">
          <cell r="A571" t="str">
            <v>A475310</v>
          </cell>
          <cell r="B571" t="str">
            <v>568</v>
          </cell>
          <cell r="C571" t="str">
            <v>475310</v>
          </cell>
          <cell r="D571" t="str">
            <v>SOL 반도체후공정</v>
          </cell>
          <cell r="E571">
            <v>25201.19</v>
          </cell>
          <cell r="F571">
            <v>25180</v>
          </cell>
          <cell r="G571" t="str">
            <v>150 ( 0.60%)</v>
          </cell>
          <cell r="H571">
            <v>189452</v>
          </cell>
          <cell r="I571" t="str">
            <v>주식-업종섹터</v>
          </cell>
          <cell r="J571">
            <v>10</v>
          </cell>
          <cell r="K571">
            <v>12832</v>
          </cell>
          <cell r="L571">
            <v>10130600</v>
          </cell>
          <cell r="M571">
            <v>50000</v>
          </cell>
        </row>
        <row r="572">
          <cell r="A572" t="str">
            <v>A475630</v>
          </cell>
          <cell r="B572" t="str">
            <v>569</v>
          </cell>
          <cell r="C572" t="str">
            <v>475630</v>
          </cell>
          <cell r="D572" t="str">
            <v>TIGER CD1년금리액티브(합성)</v>
          </cell>
          <cell r="E572">
            <v>1072032.83</v>
          </cell>
          <cell r="F572">
            <v>1072035</v>
          </cell>
          <cell r="G572" t="str">
            <v>80 ( 0.01%)</v>
          </cell>
          <cell r="H572">
            <v>16884</v>
          </cell>
          <cell r="I572" t="str">
            <v>기타</v>
          </cell>
          <cell r="J572">
            <v>3</v>
          </cell>
          <cell r="K572">
            <v>4061896</v>
          </cell>
          <cell r="L572">
            <v>103123533</v>
          </cell>
          <cell r="M572">
            <v>100</v>
          </cell>
        </row>
        <row r="573">
          <cell r="A573" t="str">
            <v>A475720</v>
          </cell>
          <cell r="B573" t="str">
            <v>570</v>
          </cell>
          <cell r="C573" t="str">
            <v>475720</v>
          </cell>
          <cell r="D573" t="str">
            <v>RISE 200위클리커버드콜</v>
          </cell>
          <cell r="E573">
            <v>13435.95</v>
          </cell>
          <cell r="F573">
            <v>13390</v>
          </cell>
          <cell r="G573" t="str">
            <v>425 ( 3.28%)</v>
          </cell>
          <cell r="H573">
            <v>503481</v>
          </cell>
          <cell r="I573" t="str">
            <v>주식-전략</v>
          </cell>
          <cell r="J573">
            <v>199</v>
          </cell>
          <cell r="K573">
            <v>3435</v>
          </cell>
          <cell r="L573">
            <v>61160139</v>
          </cell>
          <cell r="M573">
            <v>50000</v>
          </cell>
        </row>
        <row r="574">
          <cell r="A574" t="str">
            <v>A476000</v>
          </cell>
          <cell r="B574" t="str">
            <v>571</v>
          </cell>
          <cell r="C574" t="str">
            <v>476000</v>
          </cell>
          <cell r="D574" t="str">
            <v>UNICORN 포스트IPO액티브</v>
          </cell>
          <cell r="E574">
            <v>5166.5600000000004</v>
          </cell>
          <cell r="F574">
            <v>5165</v>
          </cell>
          <cell r="G574" t="str">
            <v>60 ( 1.18%)</v>
          </cell>
          <cell r="H574">
            <v>5008</v>
          </cell>
          <cell r="I574" t="str">
            <v>주식-전략</v>
          </cell>
          <cell r="J574">
            <v>16</v>
          </cell>
          <cell r="K574">
            <v>24757</v>
          </cell>
          <cell r="L574">
            <v>10048291</v>
          </cell>
          <cell r="M574">
            <v>50000</v>
          </cell>
        </row>
        <row r="575">
          <cell r="A575" t="str">
            <v>A476260</v>
          </cell>
          <cell r="B575" t="str">
            <v>572</v>
          </cell>
          <cell r="C575" t="str">
            <v>476260</v>
          </cell>
          <cell r="D575" t="str">
            <v>HANARO 반도체핵심공정주도주</v>
          </cell>
          <cell r="E575">
            <v>13790.1</v>
          </cell>
          <cell r="F575">
            <v>13775</v>
          </cell>
          <cell r="G575" t="str">
            <v>35 ( 0.25%)</v>
          </cell>
          <cell r="H575">
            <v>540077</v>
          </cell>
          <cell r="I575" t="str">
            <v>주식-업종섹터</v>
          </cell>
          <cell r="J575">
            <v>20</v>
          </cell>
          <cell r="K575">
            <v>9425</v>
          </cell>
          <cell r="L575">
            <v>4198562</v>
          </cell>
          <cell r="M575">
            <v>50000</v>
          </cell>
        </row>
        <row r="576">
          <cell r="A576" t="str">
            <v>A476450</v>
          </cell>
          <cell r="B576" t="str">
            <v>573</v>
          </cell>
          <cell r="C576" t="str">
            <v>476450</v>
          </cell>
          <cell r="D576" t="str">
            <v>KIWOOM 머니마켓액티브</v>
          </cell>
          <cell r="E576">
            <v>52560.7</v>
          </cell>
          <cell r="F576">
            <v>52565</v>
          </cell>
          <cell r="G576" t="str">
            <v>20 ( 0.04%)</v>
          </cell>
          <cell r="H576">
            <v>5148</v>
          </cell>
          <cell r="I576" t="str">
            <v>채권-혼합</v>
          </cell>
          <cell r="J576">
            <v>28</v>
          </cell>
          <cell r="K576">
            <v>125</v>
          </cell>
          <cell r="L576">
            <v>-21978189</v>
          </cell>
          <cell r="M576">
            <v>2000</v>
          </cell>
        </row>
        <row r="577">
          <cell r="A577" t="str">
            <v>A476800</v>
          </cell>
          <cell r="B577" t="str">
            <v>574</v>
          </cell>
          <cell r="C577" t="str">
            <v>476800</v>
          </cell>
          <cell r="D577" t="str">
            <v>KODEX 한국부동산리츠인프라</v>
          </cell>
          <cell r="E577">
            <v>4205.83</v>
          </cell>
          <cell r="F577">
            <v>4200</v>
          </cell>
          <cell r="G577" t="str">
            <v>5 ( 0.12%)</v>
          </cell>
          <cell r="H577">
            <v>287344</v>
          </cell>
          <cell r="I577" t="str">
            <v>부동산-리츠</v>
          </cell>
          <cell r="J577">
            <v>17</v>
          </cell>
          <cell r="K577">
            <v>44119</v>
          </cell>
          <cell r="L577">
            <v>4883707</v>
          </cell>
          <cell r="M577">
            <v>50000</v>
          </cell>
        </row>
        <row r="578">
          <cell r="A578" t="str">
            <v>A476850</v>
          </cell>
          <cell r="B578" t="str">
            <v>575</v>
          </cell>
          <cell r="C578" t="str">
            <v>476850</v>
          </cell>
          <cell r="D578" t="str">
            <v>KoAct 배당성장액티브</v>
          </cell>
          <cell r="E578">
            <v>21467.1</v>
          </cell>
          <cell r="F578">
            <v>21425</v>
          </cell>
          <cell r="G578" t="str">
            <v>745 ( 3.60%)</v>
          </cell>
          <cell r="H578">
            <v>74912</v>
          </cell>
          <cell r="I578" t="str">
            <v>주식-시장대표</v>
          </cell>
          <cell r="J578">
            <v>59</v>
          </cell>
          <cell r="K578">
            <v>16729</v>
          </cell>
          <cell r="L578">
            <v>9927191</v>
          </cell>
          <cell r="M578">
            <v>50000</v>
          </cell>
        </row>
        <row r="579">
          <cell r="A579" t="str">
            <v>A477050</v>
          </cell>
          <cell r="B579" t="str">
            <v>576</v>
          </cell>
          <cell r="C579" t="str">
            <v>477050</v>
          </cell>
          <cell r="D579" t="str">
            <v>PLUS 머니마켓액티브</v>
          </cell>
          <cell r="E579">
            <v>53286.33</v>
          </cell>
          <cell r="F579">
            <v>53285</v>
          </cell>
          <cell r="G579" t="str">
            <v>5 ( 0.01%)</v>
          </cell>
          <cell r="H579">
            <v>3652</v>
          </cell>
          <cell r="I579" t="str">
            <v>채권-혼합</v>
          </cell>
          <cell r="J579">
            <v>61</v>
          </cell>
          <cell r="K579">
            <v>0</v>
          </cell>
          <cell r="L579">
            <v>-18296629</v>
          </cell>
          <cell r="M579">
            <v>2000</v>
          </cell>
        </row>
        <row r="580">
          <cell r="A580" t="str">
            <v>A477080</v>
          </cell>
          <cell r="B580" t="str">
            <v>577</v>
          </cell>
          <cell r="C580" t="str">
            <v>477080</v>
          </cell>
          <cell r="D580" t="str">
            <v>RISE CD금리액티브(합성)</v>
          </cell>
          <cell r="E580">
            <v>107098.95</v>
          </cell>
          <cell r="F580">
            <v>107100</v>
          </cell>
          <cell r="G580" t="str">
            <v>5 ( 0.00%)</v>
          </cell>
          <cell r="H580">
            <v>873</v>
          </cell>
          <cell r="I580" t="str">
            <v>기타</v>
          </cell>
          <cell r="J580">
            <v>4</v>
          </cell>
          <cell r="K580">
            <v>69049680</v>
          </cell>
          <cell r="L580">
            <v>38032211</v>
          </cell>
          <cell r="M580">
            <v>1000</v>
          </cell>
        </row>
        <row r="581">
          <cell r="A581" t="str">
            <v>A479080</v>
          </cell>
          <cell r="B581" t="str">
            <v>578</v>
          </cell>
          <cell r="C581" t="str">
            <v>479080</v>
          </cell>
          <cell r="D581" t="str">
            <v>1Q 머니마켓액티브</v>
          </cell>
          <cell r="E581">
            <v>53540.73</v>
          </cell>
          <cell r="F581">
            <v>53542</v>
          </cell>
          <cell r="G581" t="str">
            <v>7 ( 0.01%)</v>
          </cell>
          <cell r="H581">
            <v>15519</v>
          </cell>
          <cell r="I581" t="str">
            <v>채권-혼합</v>
          </cell>
          <cell r="J581">
            <v>98</v>
          </cell>
          <cell r="K581">
            <v>0</v>
          </cell>
          <cell r="L581">
            <v>15189190</v>
          </cell>
          <cell r="M581">
            <v>2000</v>
          </cell>
        </row>
        <row r="582">
          <cell r="A582" t="str">
            <v>A479520</v>
          </cell>
          <cell r="B582" t="str">
            <v>579</v>
          </cell>
          <cell r="C582" t="str">
            <v>479520</v>
          </cell>
          <cell r="D582" t="str">
            <v>RISE KOFR금리액티브(합성)</v>
          </cell>
          <cell r="E582">
            <v>106027.12</v>
          </cell>
          <cell r="F582">
            <v>106025</v>
          </cell>
          <cell r="G582" t="str">
            <v>20 ( 0.02%)</v>
          </cell>
          <cell r="H582">
            <v>1204</v>
          </cell>
          <cell r="I582" t="str">
            <v>기타</v>
          </cell>
          <cell r="J582">
            <v>10</v>
          </cell>
          <cell r="K582">
            <v>899194</v>
          </cell>
          <cell r="L582">
            <v>57935667</v>
          </cell>
          <cell r="M582">
            <v>1000</v>
          </cell>
        </row>
        <row r="583">
          <cell r="A583" t="str">
            <v>A479850</v>
          </cell>
          <cell r="B583" t="str">
            <v>580</v>
          </cell>
          <cell r="C583" t="str">
            <v>479850</v>
          </cell>
          <cell r="D583" t="str">
            <v>HANARO K-뷰티</v>
          </cell>
          <cell r="E583">
            <v>16109.15</v>
          </cell>
          <cell r="F583">
            <v>16115</v>
          </cell>
          <cell r="G583" t="str">
            <v>355 ( 2.25%)</v>
          </cell>
          <cell r="H583">
            <v>29271</v>
          </cell>
          <cell r="I583" t="str">
            <v>주식-업종섹터</v>
          </cell>
          <cell r="J583">
            <v>20</v>
          </cell>
          <cell r="K583">
            <v>9388</v>
          </cell>
          <cell r="L583">
            <v>2541773</v>
          </cell>
          <cell r="M583">
            <v>50000</v>
          </cell>
        </row>
        <row r="584">
          <cell r="A584" t="str">
            <v>A480260</v>
          </cell>
          <cell r="B584" t="str">
            <v>581</v>
          </cell>
          <cell r="C584" t="str">
            <v>480260</v>
          </cell>
          <cell r="D584" t="str">
            <v>TIGER 27-04회사채(A+이상)액티브</v>
          </cell>
          <cell r="E584">
            <v>53564.06</v>
          </cell>
          <cell r="F584">
            <v>53565</v>
          </cell>
          <cell r="G584" t="str">
            <v>15 ( 0.03%)</v>
          </cell>
          <cell r="H584">
            <v>3456</v>
          </cell>
          <cell r="I584" t="str">
            <v>채권-회사채</v>
          </cell>
          <cell r="J584">
            <v>41</v>
          </cell>
          <cell r="K584">
            <v>98</v>
          </cell>
          <cell r="L584">
            <v>7135825</v>
          </cell>
          <cell r="M584">
            <v>2000</v>
          </cell>
        </row>
        <row r="585">
          <cell r="A585" t="str">
            <v>A480460</v>
          </cell>
          <cell r="B585" t="str">
            <v>582</v>
          </cell>
          <cell r="C585" t="str">
            <v>480460</v>
          </cell>
          <cell r="D585" t="str">
            <v>WON 한국부동산TOP3플러스</v>
          </cell>
          <cell r="E585">
            <v>9079.58</v>
          </cell>
          <cell r="F585">
            <v>9095</v>
          </cell>
          <cell r="G585" t="str">
            <v>55 ( 0.60%)</v>
          </cell>
          <cell r="H585">
            <v>629</v>
          </cell>
          <cell r="I585" t="str">
            <v>부동산</v>
          </cell>
          <cell r="J585">
            <v>12</v>
          </cell>
          <cell r="K585">
            <v>90091</v>
          </cell>
          <cell r="L585">
            <v>10226566</v>
          </cell>
          <cell r="M585">
            <v>50000</v>
          </cell>
        </row>
        <row r="586">
          <cell r="A586" t="str">
            <v>A481050</v>
          </cell>
          <cell r="B586" t="str">
            <v>583</v>
          </cell>
          <cell r="C586" t="str">
            <v>481050</v>
          </cell>
          <cell r="D586" t="str">
            <v>KODEX CD1년금리플러스액티브(합성)</v>
          </cell>
          <cell r="E586">
            <v>1023302.97</v>
          </cell>
          <cell r="F586">
            <v>1023290</v>
          </cell>
          <cell r="G586" t="str">
            <v>85 ( 0.01%)</v>
          </cell>
          <cell r="H586">
            <v>10043</v>
          </cell>
          <cell r="I586" t="str">
            <v>기타</v>
          </cell>
          <cell r="J586">
            <v>23</v>
          </cell>
          <cell r="K586">
            <v>34926272</v>
          </cell>
          <cell r="L586">
            <v>50865371</v>
          </cell>
          <cell r="M586">
            <v>100</v>
          </cell>
        </row>
        <row r="587">
          <cell r="A587" t="str">
            <v>A481430</v>
          </cell>
          <cell r="B587" t="str">
            <v>584</v>
          </cell>
          <cell r="C587" t="str">
            <v>481430</v>
          </cell>
          <cell r="D587" t="str">
            <v>RISE 국고채10년액티브</v>
          </cell>
          <cell r="E587">
            <v>97624.71</v>
          </cell>
          <cell r="F587">
            <v>97640</v>
          </cell>
          <cell r="G587" t="str">
            <v>10 ( 0.01%)</v>
          </cell>
          <cell r="H587">
            <v>249</v>
          </cell>
          <cell r="I587" t="str">
            <v>채권-국공채</v>
          </cell>
          <cell r="J587">
            <v>5</v>
          </cell>
          <cell r="K587">
            <v>44</v>
          </cell>
          <cell r="L587">
            <v>2109506</v>
          </cell>
          <cell r="M587">
            <v>1000</v>
          </cell>
        </row>
        <row r="588">
          <cell r="A588" t="str">
            <v>A482030</v>
          </cell>
          <cell r="B588" t="str">
            <v>585</v>
          </cell>
          <cell r="C588" t="str">
            <v>482030</v>
          </cell>
          <cell r="D588" t="str">
            <v>KoAct 반도체&amp;2차전지핵심소재액티브</v>
          </cell>
          <cell r="E588">
            <v>8349.91</v>
          </cell>
          <cell r="F588">
            <v>8345</v>
          </cell>
          <cell r="G588" t="str">
            <v>40 ( 0.48%)</v>
          </cell>
          <cell r="H588">
            <v>1507</v>
          </cell>
          <cell r="I588" t="str">
            <v>주식-업종섹터</v>
          </cell>
          <cell r="J588">
            <v>39</v>
          </cell>
          <cell r="K588">
            <v>9296</v>
          </cell>
          <cell r="L588">
            <v>7926448</v>
          </cell>
          <cell r="M588">
            <v>50000</v>
          </cell>
        </row>
        <row r="589">
          <cell r="A589" t="str">
            <v>A483020</v>
          </cell>
          <cell r="B589" t="str">
            <v>586</v>
          </cell>
          <cell r="C589" t="str">
            <v>483020</v>
          </cell>
          <cell r="D589" t="str">
            <v>KIWOOM 의료AI</v>
          </cell>
          <cell r="E589">
            <v>8997.8799999999992</v>
          </cell>
          <cell r="F589">
            <v>9010</v>
          </cell>
          <cell r="G589" t="str">
            <v>130 ( 1.46%)</v>
          </cell>
          <cell r="H589">
            <v>2531</v>
          </cell>
          <cell r="I589" t="str">
            <v>주식-업종섹터</v>
          </cell>
          <cell r="J589">
            <v>25</v>
          </cell>
          <cell r="K589">
            <v>15969</v>
          </cell>
          <cell r="L589">
            <v>1908998</v>
          </cell>
          <cell r="M589">
            <v>50000</v>
          </cell>
        </row>
        <row r="590">
          <cell r="A590" t="str">
            <v>A484880</v>
          </cell>
          <cell r="B590" t="str">
            <v>587</v>
          </cell>
          <cell r="C590" t="str">
            <v>484880</v>
          </cell>
          <cell r="D590" t="str">
            <v>SOL 금융지주플러스고배당</v>
          </cell>
          <cell r="E590">
            <v>22454.62</v>
          </cell>
          <cell r="F590">
            <v>22420</v>
          </cell>
          <cell r="G590" t="str">
            <v>275 ( 1.24%)</v>
          </cell>
          <cell r="H590">
            <v>496998</v>
          </cell>
          <cell r="I590" t="str">
            <v>주식-전략</v>
          </cell>
          <cell r="J590">
            <v>10</v>
          </cell>
          <cell r="K590">
            <v>17934</v>
          </cell>
          <cell r="L590">
            <v>-2662481</v>
          </cell>
          <cell r="M590">
            <v>50000</v>
          </cell>
        </row>
        <row r="591">
          <cell r="A591" t="str">
            <v>A484890</v>
          </cell>
          <cell r="B591" t="str">
            <v>588</v>
          </cell>
          <cell r="C591" t="str">
            <v>484890</v>
          </cell>
          <cell r="D591" t="str">
            <v>SOL 머니마켓액티브</v>
          </cell>
          <cell r="E591">
            <v>52366.03</v>
          </cell>
          <cell r="F591">
            <v>52370</v>
          </cell>
          <cell r="G591" t="str">
            <v>10 ( 0.02%)</v>
          </cell>
          <cell r="H591">
            <v>9945</v>
          </cell>
          <cell r="I591" t="str">
            <v>채권-혼합</v>
          </cell>
          <cell r="J591">
            <v>8</v>
          </cell>
          <cell r="K591">
            <v>0</v>
          </cell>
          <cell r="L591">
            <v>20415014</v>
          </cell>
          <cell r="M591">
            <v>2000</v>
          </cell>
        </row>
        <row r="592">
          <cell r="A592" t="str">
            <v>A486240</v>
          </cell>
          <cell r="B592" t="str">
            <v>589</v>
          </cell>
          <cell r="C592" t="str">
            <v>486240</v>
          </cell>
          <cell r="D592" t="str">
            <v>DAISHIN343 AI반도체&amp;인프라액티브</v>
          </cell>
          <cell r="E592">
            <v>28898.48</v>
          </cell>
          <cell r="F592">
            <v>29015</v>
          </cell>
          <cell r="G592" t="str">
            <v>935 ( 3.33%)</v>
          </cell>
          <cell r="H592">
            <v>881</v>
          </cell>
          <cell r="I592" t="str">
            <v>주식-업종섹터</v>
          </cell>
          <cell r="J592">
            <v>26</v>
          </cell>
          <cell r="K592">
            <v>24852</v>
          </cell>
          <cell r="L592">
            <v>28341582</v>
          </cell>
          <cell r="M592">
            <v>100000</v>
          </cell>
        </row>
        <row r="593">
          <cell r="A593" t="str">
            <v>A486830</v>
          </cell>
          <cell r="B593" t="str">
            <v>590</v>
          </cell>
          <cell r="C593" t="str">
            <v>486830</v>
          </cell>
          <cell r="D593" t="str">
            <v>HANARO 머니마켓액티브</v>
          </cell>
          <cell r="E593">
            <v>53069.23</v>
          </cell>
          <cell r="F593">
            <v>53060</v>
          </cell>
          <cell r="G593" t="str">
            <v>10 ( 0.02%)</v>
          </cell>
          <cell r="H593">
            <v>1696</v>
          </cell>
          <cell r="I593" t="str">
            <v>채권-혼합</v>
          </cell>
          <cell r="J593">
            <v>12</v>
          </cell>
          <cell r="K593">
            <v>0</v>
          </cell>
          <cell r="L593">
            <v>5997085</v>
          </cell>
          <cell r="M593">
            <v>2000</v>
          </cell>
        </row>
        <row r="594">
          <cell r="A594" t="str">
            <v>A487130</v>
          </cell>
          <cell r="B594" t="str">
            <v>591</v>
          </cell>
          <cell r="C594" t="str">
            <v>487130</v>
          </cell>
          <cell r="D594" t="str">
            <v>KoAct AI인프라액티브</v>
          </cell>
          <cell r="E594">
            <v>27627.42</v>
          </cell>
          <cell r="F594">
            <v>27585</v>
          </cell>
          <cell r="G594" t="str">
            <v>960 ( 3.61%)</v>
          </cell>
          <cell r="H594">
            <v>9313</v>
          </cell>
          <cell r="I594" t="str">
            <v>주식-업종섹터</v>
          </cell>
          <cell r="J594">
            <v>33</v>
          </cell>
          <cell r="K594">
            <v>10938</v>
          </cell>
          <cell r="L594">
            <v>15108744</v>
          </cell>
          <cell r="M594">
            <v>50000</v>
          </cell>
        </row>
        <row r="595">
          <cell r="A595" t="str">
            <v>A487240</v>
          </cell>
          <cell r="B595" t="str">
            <v>592</v>
          </cell>
          <cell r="C595" t="str">
            <v>487240</v>
          </cell>
          <cell r="D595" t="str">
            <v>KODEX AI전력핵심설비</v>
          </cell>
          <cell r="E595">
            <v>33336.660000000003</v>
          </cell>
          <cell r="F595">
            <v>33290</v>
          </cell>
          <cell r="G595" t="str">
            <v>1,385 ( 4.34%)</v>
          </cell>
          <cell r="H595">
            <v>1785002</v>
          </cell>
          <cell r="I595" t="str">
            <v>주식-업종섹터</v>
          </cell>
          <cell r="J595">
            <v>12</v>
          </cell>
          <cell r="K595">
            <v>29054</v>
          </cell>
          <cell r="L595">
            <v>13070221</v>
          </cell>
          <cell r="M595">
            <v>100000</v>
          </cell>
        </row>
        <row r="596">
          <cell r="A596" t="str">
            <v>A487340</v>
          </cell>
          <cell r="B596" t="str">
            <v>593</v>
          </cell>
          <cell r="C596" t="str">
            <v>487340</v>
          </cell>
          <cell r="D596" t="str">
            <v>ACE 머니마켓액티브</v>
          </cell>
          <cell r="E596">
            <v>105419.79</v>
          </cell>
          <cell r="F596">
            <v>105415</v>
          </cell>
          <cell r="G596" t="str">
            <v>0 ( 0.00%)</v>
          </cell>
          <cell r="H596">
            <v>27247</v>
          </cell>
          <cell r="I596" t="str">
            <v>채권-회사채</v>
          </cell>
          <cell r="J596">
            <v>119</v>
          </cell>
          <cell r="K596">
            <v>0</v>
          </cell>
          <cell r="L596">
            <v>-28640697</v>
          </cell>
          <cell r="M596">
            <v>1000</v>
          </cell>
        </row>
        <row r="597">
          <cell r="A597" t="str">
            <v>A487750</v>
          </cell>
          <cell r="B597" t="str">
            <v>594</v>
          </cell>
          <cell r="C597" t="str">
            <v>487750</v>
          </cell>
          <cell r="D597" t="str">
            <v>BNK 온디바이스AI</v>
          </cell>
          <cell r="E597">
            <v>30218.58</v>
          </cell>
          <cell r="F597">
            <v>30185</v>
          </cell>
          <cell r="G597" t="str">
            <v>1,185 ( 4.09%)</v>
          </cell>
          <cell r="H597">
            <v>1496</v>
          </cell>
          <cell r="I597" t="str">
            <v>주식-업종섹터</v>
          </cell>
          <cell r="J597">
            <v>20</v>
          </cell>
          <cell r="K597">
            <v>30406</v>
          </cell>
          <cell r="L597">
            <v>3240145</v>
          </cell>
          <cell r="M597">
            <v>50000</v>
          </cell>
        </row>
        <row r="598">
          <cell r="A598" t="str">
            <v>A488080</v>
          </cell>
          <cell r="B598" t="str">
            <v>595</v>
          </cell>
          <cell r="C598" t="str">
            <v>488080</v>
          </cell>
          <cell r="D598" t="str">
            <v>TIGER 반도체TOP10레버리지</v>
          </cell>
          <cell r="E598">
            <v>41335.980000000003</v>
          </cell>
          <cell r="F598">
            <v>41210</v>
          </cell>
          <cell r="G598" t="str">
            <v>3,530 ( 9.37%)</v>
          </cell>
          <cell r="H598">
            <v>1119374</v>
          </cell>
          <cell r="I598" t="str">
            <v>주식-업종섹터</v>
          </cell>
          <cell r="J598">
            <v>20</v>
          </cell>
          <cell r="K598">
            <v>26003</v>
          </cell>
          <cell r="L598">
            <v>-946529579</v>
          </cell>
          <cell r="M598">
            <v>50000</v>
          </cell>
        </row>
        <row r="599">
          <cell r="A599" t="str">
            <v>A488200</v>
          </cell>
          <cell r="B599" t="str">
            <v>596</v>
          </cell>
          <cell r="C599" t="str">
            <v>488200</v>
          </cell>
          <cell r="D599" t="str">
            <v>KIWOOM K-2차전지북미공급망</v>
          </cell>
          <cell r="E599">
            <v>10914.18</v>
          </cell>
          <cell r="F599">
            <v>10900</v>
          </cell>
          <cell r="G599" t="str">
            <v>355 ( 3.37%)</v>
          </cell>
          <cell r="H599">
            <v>1668</v>
          </cell>
          <cell r="I599" t="str">
            <v>주식-업종섹터</v>
          </cell>
          <cell r="J599">
            <v>15</v>
          </cell>
          <cell r="K599">
            <v>4196</v>
          </cell>
          <cell r="L599">
            <v>2221650</v>
          </cell>
          <cell r="M599">
            <v>50000</v>
          </cell>
        </row>
        <row r="600">
          <cell r="A600" t="str">
            <v>A488210</v>
          </cell>
          <cell r="B600" t="str">
            <v>597</v>
          </cell>
          <cell r="C600" t="str">
            <v>488210</v>
          </cell>
          <cell r="D600" t="str">
            <v>KIWOOM K-반도체북미공급망</v>
          </cell>
          <cell r="E600">
            <v>21925.73</v>
          </cell>
          <cell r="F600">
            <v>21930</v>
          </cell>
          <cell r="G600" t="str">
            <v>920 ( 4.38%)</v>
          </cell>
          <cell r="H600">
            <v>3278</v>
          </cell>
          <cell r="I600" t="str">
            <v>주식-업종섹터</v>
          </cell>
          <cell r="J600">
            <v>15</v>
          </cell>
          <cell r="K600">
            <v>21482</v>
          </cell>
          <cell r="L600">
            <v>-4791921</v>
          </cell>
          <cell r="M600">
            <v>50000</v>
          </cell>
        </row>
        <row r="601">
          <cell r="A601" t="str">
            <v>A488720</v>
          </cell>
          <cell r="B601" t="str">
            <v>598</v>
          </cell>
          <cell r="C601" t="str">
            <v>488720</v>
          </cell>
          <cell r="D601" t="str">
            <v>WON 종합채권(AA-이상)액티브</v>
          </cell>
          <cell r="E601">
            <v>48419.19</v>
          </cell>
          <cell r="F601">
            <v>48410</v>
          </cell>
          <cell r="G601" t="str">
            <v>40 ( 0.08%)</v>
          </cell>
          <cell r="H601">
            <v>5</v>
          </cell>
          <cell r="I601" t="str">
            <v>채권-혼합</v>
          </cell>
          <cell r="J601">
            <v>35</v>
          </cell>
          <cell r="K601">
            <v>0</v>
          </cell>
          <cell r="L601">
            <v>12257111</v>
          </cell>
          <cell r="M601">
            <v>2000</v>
          </cell>
        </row>
        <row r="602">
          <cell r="A602" t="str">
            <v>A488770</v>
          </cell>
          <cell r="B602" t="str">
            <v>599</v>
          </cell>
          <cell r="C602" t="str">
            <v>488770</v>
          </cell>
          <cell r="D602" t="str">
            <v>KODEX 머니마켓액티브</v>
          </cell>
          <cell r="E602">
            <v>104990.61</v>
          </cell>
          <cell r="F602">
            <v>104985</v>
          </cell>
          <cell r="G602" t="str">
            <v>10 ( 0.01%)</v>
          </cell>
          <cell r="H602">
            <v>445239</v>
          </cell>
          <cell r="I602" t="str">
            <v>채권-혼합</v>
          </cell>
          <cell r="J602">
            <v>482</v>
          </cell>
          <cell r="K602">
            <v>0</v>
          </cell>
          <cell r="L602">
            <v>27803855</v>
          </cell>
          <cell r="M602">
            <v>1000</v>
          </cell>
        </row>
        <row r="603">
          <cell r="A603" t="str">
            <v>A488980</v>
          </cell>
          <cell r="B603" t="str">
            <v>600</v>
          </cell>
          <cell r="C603" t="str">
            <v>488980</v>
          </cell>
          <cell r="D603" t="str">
            <v>SOL 26-12 회사채(AA-이상)액티브</v>
          </cell>
          <cell r="E603">
            <v>51921.85</v>
          </cell>
          <cell r="F603">
            <v>51915</v>
          </cell>
          <cell r="G603" t="str">
            <v>0 ( 0.00%)</v>
          </cell>
          <cell r="H603">
            <v>184</v>
          </cell>
          <cell r="I603" t="str">
            <v>채권-혼합</v>
          </cell>
          <cell r="J603">
            <v>30</v>
          </cell>
          <cell r="K603">
            <v>0</v>
          </cell>
          <cell r="L603">
            <v>-16261544</v>
          </cell>
          <cell r="M603">
            <v>2000</v>
          </cell>
        </row>
        <row r="604">
          <cell r="A604" t="str">
            <v>A489030</v>
          </cell>
          <cell r="B604" t="str">
            <v>601</v>
          </cell>
          <cell r="C604" t="str">
            <v>489030</v>
          </cell>
          <cell r="D604" t="str">
            <v>PLUS 고배당주위클리커버드콜</v>
          </cell>
          <cell r="E604">
            <v>6673.27</v>
          </cell>
          <cell r="F604">
            <v>6705</v>
          </cell>
          <cell r="G604" t="str">
            <v>75 ( 1.11%)</v>
          </cell>
          <cell r="H604">
            <v>355555</v>
          </cell>
          <cell r="I604" t="str">
            <v>주식-전략</v>
          </cell>
          <cell r="J604">
            <v>32</v>
          </cell>
          <cell r="K604">
            <v>7739</v>
          </cell>
          <cell r="L604">
            <v>44040731</v>
          </cell>
          <cell r="M604">
            <v>50000</v>
          </cell>
        </row>
        <row r="605">
          <cell r="A605" t="str">
            <v>A490480</v>
          </cell>
          <cell r="B605" t="str">
            <v>602</v>
          </cell>
          <cell r="C605" t="str">
            <v>490480</v>
          </cell>
          <cell r="D605" t="str">
            <v>SOL K방산</v>
          </cell>
          <cell r="E605">
            <v>27109.13</v>
          </cell>
          <cell r="F605">
            <v>27090</v>
          </cell>
          <cell r="G605" t="str">
            <v>350 ( 1.31%)</v>
          </cell>
          <cell r="H605">
            <v>46882</v>
          </cell>
          <cell r="I605" t="str">
            <v>주식-업종섹터</v>
          </cell>
          <cell r="J605">
            <v>10</v>
          </cell>
          <cell r="K605">
            <v>8074</v>
          </cell>
          <cell r="L605">
            <v>829060</v>
          </cell>
          <cell r="M605">
            <v>50000</v>
          </cell>
        </row>
        <row r="606">
          <cell r="A606" t="str">
            <v>A491220</v>
          </cell>
          <cell r="B606" t="str">
            <v>603</v>
          </cell>
          <cell r="C606" t="str">
            <v>491220</v>
          </cell>
          <cell r="D606" t="str">
            <v>PLUS 200TR</v>
          </cell>
          <cell r="E606">
            <v>129108.01</v>
          </cell>
          <cell r="F606">
            <v>129305</v>
          </cell>
          <cell r="G606" t="str">
            <v>6,125 ( 4.97%)</v>
          </cell>
          <cell r="H606">
            <v>19076</v>
          </cell>
          <cell r="I606" t="str">
            <v>주식-시장대표</v>
          </cell>
          <cell r="J606">
            <v>199</v>
          </cell>
          <cell r="K606">
            <v>34011</v>
          </cell>
          <cell r="L606">
            <v>-8418621</v>
          </cell>
          <cell r="M606">
            <v>50000</v>
          </cell>
        </row>
        <row r="607">
          <cell r="A607" t="str">
            <v>A491230</v>
          </cell>
          <cell r="B607" t="str">
            <v>604</v>
          </cell>
          <cell r="C607" t="str">
            <v>491230</v>
          </cell>
          <cell r="D607" t="str">
            <v>PLUS 국공채머니마켓액티브</v>
          </cell>
          <cell r="E607">
            <v>52307.59</v>
          </cell>
          <cell r="F607">
            <v>52315</v>
          </cell>
          <cell r="G607" t="str">
            <v>15 ( 0.03%)</v>
          </cell>
          <cell r="H607">
            <v>918</v>
          </cell>
          <cell r="I607" t="str">
            <v>채권-혼합</v>
          </cell>
          <cell r="J607">
            <v>8</v>
          </cell>
          <cell r="K607">
            <v>0</v>
          </cell>
          <cell r="L607">
            <v>34641472</v>
          </cell>
          <cell r="M607">
            <v>2000</v>
          </cell>
        </row>
        <row r="608">
          <cell r="A608" t="str">
            <v>A491510</v>
          </cell>
          <cell r="B608" t="str">
            <v>605</v>
          </cell>
          <cell r="C608" t="str">
            <v>491510</v>
          </cell>
          <cell r="D608" t="str">
            <v>파워 K-주주가치액티브</v>
          </cell>
          <cell r="E608">
            <v>17617.990000000002</v>
          </cell>
          <cell r="F608">
            <v>17565</v>
          </cell>
          <cell r="G608" t="str">
            <v>280 ( 1.62%)</v>
          </cell>
          <cell r="H608">
            <v>42</v>
          </cell>
          <cell r="I608" t="str">
            <v>주식-전략</v>
          </cell>
          <cell r="J608">
            <v>65</v>
          </cell>
          <cell r="K608">
            <v>28386</v>
          </cell>
          <cell r="L608">
            <v>4748043</v>
          </cell>
          <cell r="M608">
            <v>50000</v>
          </cell>
        </row>
        <row r="609">
          <cell r="A609" t="str">
            <v>A491610</v>
          </cell>
          <cell r="B609" t="str">
            <v>606</v>
          </cell>
          <cell r="C609" t="str">
            <v>491610</v>
          </cell>
          <cell r="D609" t="str">
            <v>1Q CD금리액티브(합성)</v>
          </cell>
          <cell r="E609">
            <v>104447.72</v>
          </cell>
          <cell r="F609">
            <v>104500</v>
          </cell>
          <cell r="G609" t="str">
            <v>20 ( 0.02%)</v>
          </cell>
          <cell r="H609">
            <v>4255</v>
          </cell>
          <cell r="I609" t="str">
            <v>기타</v>
          </cell>
          <cell r="J609">
            <v>6</v>
          </cell>
          <cell r="K609">
            <v>4312723</v>
          </cell>
          <cell r="L609">
            <v>61435561</v>
          </cell>
          <cell r="M609">
            <v>1000</v>
          </cell>
        </row>
        <row r="610">
          <cell r="A610" t="str">
            <v>A491700</v>
          </cell>
          <cell r="B610" t="str">
            <v>607</v>
          </cell>
          <cell r="C610" t="str">
            <v>491700</v>
          </cell>
          <cell r="D610" t="str">
            <v>HK 200</v>
          </cell>
          <cell r="E610">
            <v>109666.85</v>
          </cell>
          <cell r="F610">
            <v>105640</v>
          </cell>
          <cell r="G610" t="str">
            <v>905 ( 0.86%)</v>
          </cell>
          <cell r="H610">
            <v>383</v>
          </cell>
          <cell r="I610" t="str">
            <v>주식-시장대표</v>
          </cell>
          <cell r="J610">
            <v>199</v>
          </cell>
          <cell r="K610">
            <v>28355</v>
          </cell>
          <cell r="L610">
            <v>73426439</v>
          </cell>
          <cell r="M610">
            <v>50000</v>
          </cell>
        </row>
        <row r="611">
          <cell r="A611" t="str">
            <v>A491820</v>
          </cell>
          <cell r="B611" t="str">
            <v>608</v>
          </cell>
          <cell r="C611" t="str">
            <v>491820</v>
          </cell>
          <cell r="D611" t="str">
            <v>HANARO 전력설비투자</v>
          </cell>
          <cell r="E611">
            <v>39903.949999999997</v>
          </cell>
          <cell r="F611">
            <v>39845</v>
          </cell>
          <cell r="G611" t="str">
            <v>1,495 ( 3.90%)</v>
          </cell>
          <cell r="H611">
            <v>111239</v>
          </cell>
          <cell r="I611" t="str">
            <v>주식-업종섹터</v>
          </cell>
          <cell r="J611">
            <v>13</v>
          </cell>
          <cell r="K611">
            <v>18901</v>
          </cell>
          <cell r="L611">
            <v>15584316</v>
          </cell>
          <cell r="M611">
            <v>50000</v>
          </cell>
        </row>
        <row r="612">
          <cell r="A612" t="str">
            <v>A492500</v>
          </cell>
          <cell r="B612" t="str">
            <v>609</v>
          </cell>
          <cell r="C612" t="str">
            <v>492500</v>
          </cell>
          <cell r="D612" t="str">
            <v>1Q 현대차그룹채권(A+이상)&amp;국고통안</v>
          </cell>
          <cell r="E612">
            <v>51081.59</v>
          </cell>
          <cell r="F612">
            <v>51085</v>
          </cell>
          <cell r="G612" t="str">
            <v>25 ( 0.05%)</v>
          </cell>
          <cell r="H612">
            <v>35</v>
          </cell>
          <cell r="I612" t="str">
            <v>채권-혼합</v>
          </cell>
          <cell r="J612">
            <v>9</v>
          </cell>
          <cell r="K612">
            <v>0</v>
          </cell>
          <cell r="L612">
            <v>-963354</v>
          </cell>
          <cell r="M612">
            <v>2000</v>
          </cell>
        </row>
        <row r="613">
          <cell r="A613" t="str">
            <v>A494220</v>
          </cell>
          <cell r="B613" t="str">
            <v>610</v>
          </cell>
          <cell r="C613" t="str">
            <v>494220</v>
          </cell>
          <cell r="D613" t="str">
            <v>UNICORN SK하이닉스밸류체인액티브</v>
          </cell>
          <cell r="E613">
            <v>49028.73</v>
          </cell>
          <cell r="F613">
            <v>48927</v>
          </cell>
          <cell r="G613" t="str">
            <v>1,232 ( 2.58%)</v>
          </cell>
          <cell r="H613">
            <v>217487</v>
          </cell>
          <cell r="I613" t="str">
            <v>주식-업종섹터</v>
          </cell>
          <cell r="J613">
            <v>22</v>
          </cell>
          <cell r="K613">
            <v>22190</v>
          </cell>
          <cell r="L613">
            <v>40715138</v>
          </cell>
          <cell r="M613">
            <v>50000</v>
          </cell>
        </row>
        <row r="614">
          <cell r="A614" t="str">
            <v>A494310</v>
          </cell>
          <cell r="B614" t="str">
            <v>611</v>
          </cell>
          <cell r="C614" t="str">
            <v>494310</v>
          </cell>
          <cell r="D614" t="str">
            <v>KODEX 반도체레버리지</v>
          </cell>
          <cell r="E614">
            <v>91260.95</v>
          </cell>
          <cell r="F614">
            <v>90935</v>
          </cell>
          <cell r="G614" t="str">
            <v>6,160 ( 7.27%)</v>
          </cell>
          <cell r="H614">
            <v>873018</v>
          </cell>
          <cell r="I614" t="str">
            <v>주식-업종섹터</v>
          </cell>
          <cell r="J614">
            <v>47</v>
          </cell>
          <cell r="K614">
            <v>42391</v>
          </cell>
          <cell r="L614">
            <v>-1833531503</v>
          </cell>
          <cell r="M614">
            <v>50000</v>
          </cell>
        </row>
        <row r="615">
          <cell r="A615" t="str">
            <v>A494330</v>
          </cell>
          <cell r="B615" t="str">
            <v>612</v>
          </cell>
          <cell r="C615" t="str">
            <v>494330</v>
          </cell>
          <cell r="D615" t="str">
            <v>ACE 라이프자산주주가치액티브</v>
          </cell>
          <cell r="E615">
            <v>31085.91</v>
          </cell>
          <cell r="F615">
            <v>31035</v>
          </cell>
          <cell r="G615" t="str">
            <v>180 ( 0.58%)</v>
          </cell>
          <cell r="H615">
            <v>13168</v>
          </cell>
          <cell r="I615" t="str">
            <v>주식-전략</v>
          </cell>
          <cell r="J615">
            <v>31</v>
          </cell>
          <cell r="K615">
            <v>32331</v>
          </cell>
          <cell r="L615">
            <v>491817212</v>
          </cell>
          <cell r="M615">
            <v>50000</v>
          </cell>
        </row>
        <row r="616">
          <cell r="A616" t="str">
            <v>A494670</v>
          </cell>
          <cell r="B616" t="str">
            <v>613</v>
          </cell>
          <cell r="C616" t="str">
            <v>494670</v>
          </cell>
          <cell r="D616" t="str">
            <v>TIGER 조선TOP10</v>
          </cell>
          <cell r="E616">
            <v>21076.45</v>
          </cell>
          <cell r="F616">
            <v>21065</v>
          </cell>
          <cell r="G616" t="str">
            <v>5 ( 0.02%)</v>
          </cell>
          <cell r="H616">
            <v>549718</v>
          </cell>
          <cell r="I616" t="str">
            <v>주식-업종섹터</v>
          </cell>
          <cell r="J616">
            <v>10</v>
          </cell>
          <cell r="K616">
            <v>15464</v>
          </cell>
          <cell r="L616">
            <v>7474683</v>
          </cell>
          <cell r="M616">
            <v>50000</v>
          </cell>
        </row>
        <row r="617">
          <cell r="A617" t="str">
            <v>A494890</v>
          </cell>
          <cell r="B617" t="str">
            <v>614</v>
          </cell>
          <cell r="C617" t="str">
            <v>494890</v>
          </cell>
          <cell r="D617" t="str">
            <v>KODEX 200액티브</v>
          </cell>
          <cell r="E617">
            <v>31437.59</v>
          </cell>
          <cell r="F617">
            <v>31430</v>
          </cell>
          <cell r="G617" t="str">
            <v>1,470 ( 4.91%)</v>
          </cell>
          <cell r="H617">
            <v>670053</v>
          </cell>
          <cell r="I617" t="str">
            <v>주식-시장대표</v>
          </cell>
          <cell r="J617">
            <v>189</v>
          </cell>
          <cell r="K617">
            <v>16373</v>
          </cell>
          <cell r="L617">
            <v>-18412551</v>
          </cell>
          <cell r="M617">
            <v>100000</v>
          </cell>
        </row>
        <row r="618">
          <cell r="A618" t="str">
            <v>A495040</v>
          </cell>
          <cell r="B618" t="str">
            <v>615</v>
          </cell>
          <cell r="C618" t="str">
            <v>495040</v>
          </cell>
          <cell r="D618" t="str">
            <v>PLUS 코리아밸류업</v>
          </cell>
          <cell r="E618">
            <v>32347.65</v>
          </cell>
          <cell r="F618">
            <v>32290</v>
          </cell>
          <cell r="G618" t="str">
            <v>1,140 ( 3.66%)</v>
          </cell>
          <cell r="H618">
            <v>3295</v>
          </cell>
          <cell r="I618" t="str">
            <v>주식-시장대표</v>
          </cell>
          <cell r="J618">
            <v>100</v>
          </cell>
          <cell r="K618">
            <v>9216</v>
          </cell>
          <cell r="L618">
            <v>3196519</v>
          </cell>
          <cell r="M618">
            <v>50000</v>
          </cell>
        </row>
        <row r="619">
          <cell r="A619" t="str">
            <v>A495050</v>
          </cell>
          <cell r="B619" t="str">
            <v>616</v>
          </cell>
          <cell r="C619" t="str">
            <v>495050</v>
          </cell>
          <cell r="D619" t="str">
            <v>RISE 코리아밸류업</v>
          </cell>
          <cell r="E619">
            <v>32821.71</v>
          </cell>
          <cell r="F619">
            <v>32780</v>
          </cell>
          <cell r="G619" t="str">
            <v>1,160 ( 3.67%)</v>
          </cell>
          <cell r="H619">
            <v>243124</v>
          </cell>
          <cell r="I619" t="str">
            <v>주식-시장대표</v>
          </cell>
          <cell r="J619">
            <v>100</v>
          </cell>
          <cell r="K619">
            <v>9381</v>
          </cell>
          <cell r="L619">
            <v>-1216088</v>
          </cell>
          <cell r="M619">
            <v>50000</v>
          </cell>
        </row>
        <row r="620">
          <cell r="A620" t="str">
            <v>A495060</v>
          </cell>
          <cell r="B620" t="str">
            <v>617</v>
          </cell>
          <cell r="C620" t="str">
            <v>495060</v>
          </cell>
          <cell r="D620" t="str">
            <v>TIME 코리아밸류업액티브</v>
          </cell>
          <cell r="E620">
            <v>30286.28</v>
          </cell>
          <cell r="F620">
            <v>30200</v>
          </cell>
          <cell r="G620" t="str">
            <v>1,025 ( 3.51%)</v>
          </cell>
          <cell r="H620">
            <v>128769</v>
          </cell>
          <cell r="I620" t="str">
            <v>주식-시장대표</v>
          </cell>
          <cell r="J620">
            <v>30</v>
          </cell>
          <cell r="K620">
            <v>5894</v>
          </cell>
          <cell r="L620">
            <v>12635182</v>
          </cell>
          <cell r="M620">
            <v>50000</v>
          </cell>
        </row>
        <row r="621">
          <cell r="A621" t="str">
            <v>A495230</v>
          </cell>
          <cell r="B621" t="str">
            <v>618</v>
          </cell>
          <cell r="C621" t="str">
            <v>495230</v>
          </cell>
          <cell r="D621" t="str">
            <v>KoAct 코리아밸류업액티브</v>
          </cell>
          <cell r="E621">
            <v>31736.61</v>
          </cell>
          <cell r="F621">
            <v>31680</v>
          </cell>
          <cell r="G621" t="str">
            <v>1,015 ( 3.31%)</v>
          </cell>
          <cell r="H621">
            <v>84653</v>
          </cell>
          <cell r="I621" t="str">
            <v>주식-시장대표</v>
          </cell>
          <cell r="J621">
            <v>59</v>
          </cell>
          <cell r="K621">
            <v>9772</v>
          </cell>
          <cell r="L621">
            <v>10134926</v>
          </cell>
          <cell r="M621">
            <v>50000</v>
          </cell>
        </row>
        <row r="622">
          <cell r="A622" t="str">
            <v>A495330</v>
          </cell>
          <cell r="B622" t="str">
            <v>619</v>
          </cell>
          <cell r="C622" t="str">
            <v>495330</v>
          </cell>
          <cell r="D622" t="str">
            <v>1Q 코리아밸류업</v>
          </cell>
          <cell r="E622">
            <v>32444.9</v>
          </cell>
          <cell r="F622">
            <v>32390</v>
          </cell>
          <cell r="G622" t="str">
            <v>1,045 ( 3.33%)</v>
          </cell>
          <cell r="H622">
            <v>20063</v>
          </cell>
          <cell r="I622" t="str">
            <v>주식-시장대표</v>
          </cell>
          <cell r="J622">
            <v>100</v>
          </cell>
          <cell r="K622">
            <v>18549</v>
          </cell>
          <cell r="L622">
            <v>626738</v>
          </cell>
          <cell r="M622">
            <v>100000</v>
          </cell>
        </row>
        <row r="623">
          <cell r="A623" t="str">
            <v>A495550</v>
          </cell>
          <cell r="B623" t="str">
            <v>620</v>
          </cell>
          <cell r="C623" t="str">
            <v>495550</v>
          </cell>
          <cell r="D623" t="str">
            <v>SOL 코리아밸류업TR</v>
          </cell>
          <cell r="E623">
            <v>33310.26</v>
          </cell>
          <cell r="F623">
            <v>33215</v>
          </cell>
          <cell r="G623" t="str">
            <v>1,060 ( 3.30%)</v>
          </cell>
          <cell r="H623">
            <v>19508</v>
          </cell>
          <cell r="I623" t="str">
            <v>주식-시장대표</v>
          </cell>
          <cell r="J623">
            <v>100</v>
          </cell>
          <cell r="K623">
            <v>9520</v>
          </cell>
          <cell r="L623">
            <v>-1764093</v>
          </cell>
          <cell r="M623">
            <v>50000</v>
          </cell>
        </row>
        <row r="624">
          <cell r="A624" t="str">
            <v>A495750</v>
          </cell>
          <cell r="B624" t="str">
            <v>621</v>
          </cell>
          <cell r="C624" t="str">
            <v>495750</v>
          </cell>
          <cell r="D624" t="str">
            <v>HANARO 코리아밸류업</v>
          </cell>
          <cell r="E624">
            <v>32624.78</v>
          </cell>
          <cell r="F624">
            <v>32630</v>
          </cell>
          <cell r="G624" t="str">
            <v>1,315 ( 4.20%)</v>
          </cell>
          <cell r="H624">
            <v>1923</v>
          </cell>
          <cell r="I624" t="str">
            <v>주식-시장대표</v>
          </cell>
          <cell r="J624">
            <v>100</v>
          </cell>
          <cell r="K624">
            <v>9272</v>
          </cell>
          <cell r="L624">
            <v>7888553</v>
          </cell>
          <cell r="M624">
            <v>50000</v>
          </cell>
        </row>
        <row r="625">
          <cell r="A625" t="str">
            <v>A495850</v>
          </cell>
          <cell r="B625" t="str">
            <v>622</v>
          </cell>
          <cell r="C625" t="str">
            <v>495850</v>
          </cell>
          <cell r="D625" t="str">
            <v>KODEX 코리아밸류업</v>
          </cell>
          <cell r="E625">
            <v>32629.64</v>
          </cell>
          <cell r="F625">
            <v>32565</v>
          </cell>
          <cell r="G625" t="str">
            <v>1,130 ( 3.59%)</v>
          </cell>
          <cell r="H625">
            <v>146615</v>
          </cell>
          <cell r="I625" t="str">
            <v>주식-시장대표</v>
          </cell>
          <cell r="J625">
            <v>100</v>
          </cell>
          <cell r="K625">
            <v>9304</v>
          </cell>
          <cell r="L625">
            <v>1626408</v>
          </cell>
          <cell r="M625">
            <v>50000</v>
          </cell>
        </row>
        <row r="626">
          <cell r="A626" t="str">
            <v>A496020</v>
          </cell>
          <cell r="B626" t="str">
            <v>623</v>
          </cell>
          <cell r="C626" t="str">
            <v>496020</v>
          </cell>
          <cell r="D626" t="str">
            <v>WON 전단채플러스액티브</v>
          </cell>
          <cell r="E626">
            <v>52240.31</v>
          </cell>
          <cell r="F626">
            <v>52240</v>
          </cell>
          <cell r="G626" t="str">
            <v>5 ( 0.01%)</v>
          </cell>
          <cell r="H626">
            <v>1271</v>
          </cell>
          <cell r="I626" t="str">
            <v>채권-혼합</v>
          </cell>
          <cell r="J626">
            <v>45</v>
          </cell>
          <cell r="K626">
            <v>0</v>
          </cell>
          <cell r="L626">
            <v>1993536</v>
          </cell>
          <cell r="M626">
            <v>2000</v>
          </cell>
        </row>
        <row r="627">
          <cell r="A627" t="str">
            <v>A496080</v>
          </cell>
          <cell r="B627" t="str">
            <v>624</v>
          </cell>
          <cell r="C627" t="str">
            <v>496080</v>
          </cell>
          <cell r="D627" t="str">
            <v>TIGER 코리아밸류업</v>
          </cell>
          <cell r="E627">
            <v>32664.17</v>
          </cell>
          <cell r="F627">
            <v>32645</v>
          </cell>
          <cell r="G627" t="str">
            <v>1,145 ( 3.63%)</v>
          </cell>
          <cell r="H627">
            <v>217792</v>
          </cell>
          <cell r="I627" t="str">
            <v>주식-시장대표</v>
          </cell>
          <cell r="J627">
            <v>100</v>
          </cell>
          <cell r="K627">
            <v>9235</v>
          </cell>
          <cell r="L627">
            <v>15947576</v>
          </cell>
          <cell r="M627">
            <v>50000</v>
          </cell>
        </row>
        <row r="628">
          <cell r="A628" t="str">
            <v>A496090</v>
          </cell>
          <cell r="B628" t="str">
            <v>625</v>
          </cell>
          <cell r="C628" t="str">
            <v>496090</v>
          </cell>
          <cell r="D628" t="str">
            <v>KIWOOM 코리아밸류업</v>
          </cell>
          <cell r="E628">
            <v>32659.96</v>
          </cell>
          <cell r="F628">
            <v>32680</v>
          </cell>
          <cell r="G628" t="str">
            <v>1,145 ( 3.63%)</v>
          </cell>
          <cell r="H628">
            <v>1683</v>
          </cell>
          <cell r="I628" t="str">
            <v>주식-시장대표</v>
          </cell>
          <cell r="J628">
            <v>100</v>
          </cell>
          <cell r="K628">
            <v>9296</v>
          </cell>
          <cell r="L628">
            <v>3821568</v>
          </cell>
          <cell r="M628">
            <v>50000</v>
          </cell>
        </row>
        <row r="629">
          <cell r="A629" t="str">
            <v>A496120</v>
          </cell>
          <cell r="B629" t="str">
            <v>626</v>
          </cell>
          <cell r="C629" t="str">
            <v>496120</v>
          </cell>
          <cell r="D629" t="str">
            <v>ACE 코리아밸류업</v>
          </cell>
          <cell r="E629">
            <v>33908.47</v>
          </cell>
          <cell r="F629">
            <v>33860</v>
          </cell>
          <cell r="G629" t="str">
            <v>1,115 ( 3.41%)</v>
          </cell>
          <cell r="H629">
            <v>2993</v>
          </cell>
          <cell r="I629" t="str">
            <v>주식-시장대표</v>
          </cell>
          <cell r="J629">
            <v>100</v>
          </cell>
          <cell r="K629">
            <v>9663</v>
          </cell>
          <cell r="L629">
            <v>1673918</v>
          </cell>
          <cell r="M629">
            <v>50000</v>
          </cell>
        </row>
        <row r="630">
          <cell r="A630" t="str">
            <v>A496130</v>
          </cell>
          <cell r="B630" t="str">
            <v>627</v>
          </cell>
          <cell r="C630" t="str">
            <v>496130</v>
          </cell>
          <cell r="D630" t="str">
            <v>TRUSTON 코리아밸류업액티브</v>
          </cell>
          <cell r="E630">
            <v>25683.78</v>
          </cell>
          <cell r="F630">
            <v>25735</v>
          </cell>
          <cell r="G630" t="str">
            <v>1,245 ( 5.08%)</v>
          </cell>
          <cell r="H630">
            <v>292</v>
          </cell>
          <cell r="I630" t="str">
            <v>주식-시장대표</v>
          </cell>
          <cell r="J630">
            <v>38</v>
          </cell>
          <cell r="K630">
            <v>3322</v>
          </cell>
          <cell r="L630">
            <v>9215019</v>
          </cell>
          <cell r="M630">
            <v>20000</v>
          </cell>
        </row>
        <row r="631">
          <cell r="A631" t="str">
            <v>A497880</v>
          </cell>
          <cell r="B631" t="str">
            <v>628</v>
          </cell>
          <cell r="C631" t="str">
            <v>497880</v>
          </cell>
          <cell r="D631" t="str">
            <v>SOL CD금리&amp;머니마켓액티브</v>
          </cell>
          <cell r="E631">
            <v>50116.82</v>
          </cell>
          <cell r="F631">
            <v>50120</v>
          </cell>
          <cell r="G631" t="str">
            <v>5 ( 0.01%)</v>
          </cell>
          <cell r="H631">
            <v>82815</v>
          </cell>
          <cell r="I631" t="str">
            <v>채권-혼합</v>
          </cell>
          <cell r="J631">
            <v>39</v>
          </cell>
          <cell r="K631">
            <v>0</v>
          </cell>
          <cell r="L631">
            <v>-3418899</v>
          </cell>
          <cell r="M631">
            <v>2000</v>
          </cell>
        </row>
        <row r="632">
          <cell r="A632" t="str">
            <v>A498050</v>
          </cell>
          <cell r="B632" t="str">
            <v>629</v>
          </cell>
          <cell r="C632" t="str">
            <v>498050</v>
          </cell>
          <cell r="D632" t="str">
            <v>HANARO 바이오코리아액티브</v>
          </cell>
          <cell r="E632">
            <v>10270.91</v>
          </cell>
          <cell r="F632">
            <v>10285</v>
          </cell>
          <cell r="G632" t="str">
            <v>5 ( 0.05%)</v>
          </cell>
          <cell r="H632">
            <v>2167</v>
          </cell>
          <cell r="I632" t="str">
            <v>주식-업종섹터</v>
          </cell>
          <cell r="J632">
            <v>26</v>
          </cell>
          <cell r="K632">
            <v>7612</v>
          </cell>
          <cell r="L632">
            <v>30097387</v>
          </cell>
          <cell r="M632">
            <v>50000</v>
          </cell>
        </row>
        <row r="633">
          <cell r="A633" t="str">
            <v>A498180</v>
          </cell>
          <cell r="B633" t="str">
            <v>630</v>
          </cell>
          <cell r="C633" t="str">
            <v>498180</v>
          </cell>
          <cell r="D633" t="str">
            <v>파워 종합채권(AA-이상)액티브</v>
          </cell>
          <cell r="E633">
            <v>92980.52</v>
          </cell>
          <cell r="F633">
            <v>92975</v>
          </cell>
          <cell r="G633" t="str">
            <v>20 ( 0.02%)</v>
          </cell>
          <cell r="H633">
            <v>1</v>
          </cell>
          <cell r="I633" t="str">
            <v>채권-혼합</v>
          </cell>
          <cell r="J633">
            <v>59</v>
          </cell>
          <cell r="K633">
            <v>0</v>
          </cell>
          <cell r="L633">
            <v>-8525659</v>
          </cell>
          <cell r="M633">
            <v>1000</v>
          </cell>
        </row>
        <row r="634">
          <cell r="A634" t="str">
            <v>A498400</v>
          </cell>
          <cell r="B634" t="str">
            <v>631</v>
          </cell>
          <cell r="C634" t="str">
            <v>498400</v>
          </cell>
          <cell r="D634" t="str">
            <v>KODEX 200타겟위클리커버드콜</v>
          </cell>
          <cell r="E634">
            <v>20912.97</v>
          </cell>
          <cell r="F634">
            <v>20880</v>
          </cell>
          <cell r="G634" t="str">
            <v>900 ( 4.50%)</v>
          </cell>
          <cell r="H634">
            <v>6994157</v>
          </cell>
          <cell r="I634" t="str">
            <v>주식-전략</v>
          </cell>
          <cell r="J634">
            <v>200</v>
          </cell>
          <cell r="K634">
            <v>12185</v>
          </cell>
          <cell r="L634">
            <v>11893821</v>
          </cell>
          <cell r="M634">
            <v>100000</v>
          </cell>
        </row>
        <row r="635">
          <cell r="A635" t="str">
            <v>A498410</v>
          </cell>
          <cell r="B635" t="str">
            <v>632</v>
          </cell>
          <cell r="C635" t="str">
            <v>498410</v>
          </cell>
          <cell r="D635" t="str">
            <v>KODEX 금융고배당TOP10타겟위클리커버드콜</v>
          </cell>
          <cell r="E635">
            <v>12172.67</v>
          </cell>
          <cell r="F635">
            <v>12175</v>
          </cell>
          <cell r="G635" t="str">
            <v>60 ( 0.50%)</v>
          </cell>
          <cell r="H635">
            <v>898285</v>
          </cell>
          <cell r="I635" t="str">
            <v>주식-전략</v>
          </cell>
          <cell r="J635">
            <v>13</v>
          </cell>
          <cell r="K635">
            <v>23841</v>
          </cell>
          <cell r="L635">
            <v>20148668</v>
          </cell>
          <cell r="M635">
            <v>100000</v>
          </cell>
        </row>
        <row r="636">
          <cell r="A636" t="str">
            <v>A498860</v>
          </cell>
          <cell r="B636" t="str">
            <v>633</v>
          </cell>
          <cell r="C636" t="str">
            <v>498860</v>
          </cell>
          <cell r="D636" t="str">
            <v>RISE 코리아금융고배당</v>
          </cell>
          <cell r="E636">
            <v>17314.27</v>
          </cell>
          <cell r="F636">
            <v>17300</v>
          </cell>
          <cell r="G636" t="str">
            <v>250 ( 1.47%)</v>
          </cell>
          <cell r="H636">
            <v>7223</v>
          </cell>
          <cell r="I636" t="str">
            <v>주식-전략</v>
          </cell>
          <cell r="J636">
            <v>13</v>
          </cell>
          <cell r="K636">
            <v>24790</v>
          </cell>
          <cell r="L636">
            <v>-6580960</v>
          </cell>
          <cell r="M636">
            <v>50000</v>
          </cell>
        </row>
        <row r="637">
          <cell r="A637" t="str">
            <v>A499660</v>
          </cell>
          <cell r="B637" t="str">
            <v>634</v>
          </cell>
          <cell r="C637" t="str">
            <v>499660</v>
          </cell>
          <cell r="D637" t="str">
            <v>TIGER CD금리플러스액티브(합성)</v>
          </cell>
          <cell r="E637">
            <v>1001861.39</v>
          </cell>
          <cell r="F637">
            <v>1001862</v>
          </cell>
          <cell r="G637" t="str">
            <v>77 ( 0.01%)</v>
          </cell>
          <cell r="H637">
            <v>8403</v>
          </cell>
          <cell r="I637" t="str">
            <v>기타</v>
          </cell>
          <cell r="J637">
            <v>3</v>
          </cell>
          <cell r="K637">
            <v>27234722</v>
          </cell>
          <cell r="L637">
            <v>72934897</v>
          </cell>
          <cell r="M637">
            <v>100</v>
          </cell>
        </row>
        <row r="638">
          <cell r="A638" t="str">
            <v>A</v>
          </cell>
        </row>
        <row r="639">
          <cell r="A639" t="str">
            <v>A</v>
          </cell>
        </row>
        <row r="640">
          <cell r="A640" t="str">
            <v>A</v>
          </cell>
        </row>
        <row r="641">
          <cell r="A641" t="str">
            <v>A</v>
          </cell>
        </row>
        <row r="642">
          <cell r="A642" t="str">
            <v>A</v>
          </cell>
        </row>
        <row r="643">
          <cell r="A643" t="str">
            <v>A</v>
          </cell>
        </row>
        <row r="644">
          <cell r="A644" t="str">
            <v>A</v>
          </cell>
        </row>
        <row r="645">
          <cell r="A645" t="str">
            <v>A</v>
          </cell>
        </row>
        <row r="646">
          <cell r="A646" t="str">
            <v>A</v>
          </cell>
        </row>
        <row r="647">
          <cell r="A647" t="str">
            <v>A</v>
          </cell>
        </row>
        <row r="648">
          <cell r="A648" t="str">
            <v>A</v>
          </cell>
        </row>
        <row r="649">
          <cell r="A649" t="str">
            <v>A</v>
          </cell>
        </row>
        <row r="650">
          <cell r="A650" t="str">
            <v>A</v>
          </cell>
        </row>
        <row r="651">
          <cell r="A651" t="str">
            <v>A</v>
          </cell>
        </row>
        <row r="652">
          <cell r="A652" t="str">
            <v>A</v>
          </cell>
        </row>
        <row r="653">
          <cell r="A653" t="str">
            <v>A</v>
          </cell>
        </row>
        <row r="654">
          <cell r="A654" t="str">
            <v>A</v>
          </cell>
        </row>
        <row r="655">
          <cell r="A655" t="str">
            <v>A</v>
          </cell>
        </row>
        <row r="656">
          <cell r="A656" t="str">
            <v>A</v>
          </cell>
        </row>
        <row r="657">
          <cell r="A657" t="str">
            <v>A</v>
          </cell>
        </row>
        <row r="658">
          <cell r="A658" t="str">
            <v>A</v>
          </cell>
        </row>
        <row r="659">
          <cell r="A659" t="str">
            <v>A</v>
          </cell>
        </row>
        <row r="660">
          <cell r="A660" t="str">
            <v>A</v>
          </cell>
        </row>
        <row r="661">
          <cell r="A661" t="str">
            <v>A</v>
          </cell>
        </row>
        <row r="662">
          <cell r="A662" t="str">
            <v>A</v>
          </cell>
        </row>
        <row r="663">
          <cell r="A663" t="str">
            <v>A</v>
          </cell>
        </row>
        <row r="664">
          <cell r="A664" t="str">
            <v>A</v>
          </cell>
        </row>
        <row r="665">
          <cell r="A665" t="str">
            <v>A</v>
          </cell>
        </row>
        <row r="666">
          <cell r="A666" t="str">
            <v>A</v>
          </cell>
        </row>
        <row r="667">
          <cell r="A667" t="str">
            <v>A</v>
          </cell>
        </row>
        <row r="668">
          <cell r="A668" t="str">
            <v>A</v>
          </cell>
        </row>
        <row r="669">
          <cell r="A669" t="str">
            <v>A</v>
          </cell>
        </row>
        <row r="670">
          <cell r="A670" t="str">
            <v>A</v>
          </cell>
        </row>
        <row r="671">
          <cell r="A671" t="str">
            <v>A</v>
          </cell>
        </row>
        <row r="672">
          <cell r="A672" t="str">
            <v>A</v>
          </cell>
        </row>
        <row r="673">
          <cell r="A673" t="str">
            <v>A</v>
          </cell>
        </row>
        <row r="674">
          <cell r="A674" t="str">
            <v>A</v>
          </cell>
        </row>
        <row r="675">
          <cell r="A675" t="str">
            <v>A</v>
          </cell>
        </row>
        <row r="676">
          <cell r="A676" t="str">
            <v>A</v>
          </cell>
        </row>
        <row r="677">
          <cell r="A677" t="str">
            <v>A</v>
          </cell>
        </row>
        <row r="678">
          <cell r="A678" t="str">
            <v>A</v>
          </cell>
        </row>
        <row r="679">
          <cell r="A679" t="str">
            <v>A</v>
          </cell>
        </row>
        <row r="680">
          <cell r="A680" t="str">
            <v>A</v>
          </cell>
        </row>
        <row r="681">
          <cell r="A681" t="str">
            <v>A</v>
          </cell>
        </row>
        <row r="682">
          <cell r="A682" t="str">
            <v>A</v>
          </cell>
        </row>
        <row r="683">
          <cell r="A683" t="str">
            <v>A</v>
          </cell>
        </row>
        <row r="684">
          <cell r="A684" t="str">
            <v>A</v>
          </cell>
        </row>
        <row r="685">
          <cell r="A685" t="str">
            <v>A</v>
          </cell>
        </row>
        <row r="686">
          <cell r="A686" t="str">
            <v>A</v>
          </cell>
        </row>
        <row r="687">
          <cell r="A687" t="str">
            <v>A</v>
          </cell>
        </row>
        <row r="688">
          <cell r="A688" t="str">
            <v>A</v>
          </cell>
        </row>
        <row r="689">
          <cell r="A689" t="str">
            <v>A</v>
          </cell>
        </row>
        <row r="690">
          <cell r="A690" t="str">
            <v>A</v>
          </cell>
        </row>
        <row r="691">
          <cell r="A691" t="str">
            <v>A</v>
          </cell>
        </row>
        <row r="692">
          <cell r="A692" t="str">
            <v>A</v>
          </cell>
        </row>
        <row r="693">
          <cell r="A693" t="str">
            <v>A</v>
          </cell>
        </row>
        <row r="694">
          <cell r="A694" t="str">
            <v>A</v>
          </cell>
        </row>
        <row r="695">
          <cell r="A695" t="str">
            <v>A</v>
          </cell>
        </row>
        <row r="696">
          <cell r="A696" t="str">
            <v>A</v>
          </cell>
        </row>
        <row r="697">
          <cell r="A697" t="str">
            <v>A</v>
          </cell>
        </row>
        <row r="698">
          <cell r="A698" t="str">
            <v>A</v>
          </cell>
        </row>
        <row r="699">
          <cell r="A699" t="str">
            <v>A</v>
          </cell>
        </row>
        <row r="700">
          <cell r="A700" t="str">
            <v>A</v>
          </cell>
        </row>
        <row r="701">
          <cell r="A701" t="str">
            <v>A</v>
          </cell>
        </row>
        <row r="702">
          <cell r="A702" t="str">
            <v>A</v>
          </cell>
        </row>
        <row r="703">
          <cell r="A703" t="str">
            <v>A</v>
          </cell>
        </row>
        <row r="704">
          <cell r="A704" t="str">
            <v>A</v>
          </cell>
        </row>
        <row r="705">
          <cell r="A705" t="str">
            <v>A</v>
          </cell>
        </row>
        <row r="706">
          <cell r="A706" t="str">
            <v>A</v>
          </cell>
        </row>
        <row r="707">
          <cell r="A707" t="str">
            <v>A</v>
          </cell>
        </row>
        <row r="708">
          <cell r="A708" t="str">
            <v>A</v>
          </cell>
        </row>
        <row r="709">
          <cell r="A709" t="str">
            <v>A</v>
          </cell>
        </row>
        <row r="710">
          <cell r="A710" t="str">
            <v>A</v>
          </cell>
        </row>
        <row r="711">
          <cell r="A711" t="str">
            <v>A</v>
          </cell>
        </row>
        <row r="712">
          <cell r="A712" t="str">
            <v>A</v>
          </cell>
        </row>
        <row r="713">
          <cell r="A713" t="str">
            <v>A</v>
          </cell>
        </row>
        <row r="714">
          <cell r="A714" t="str">
            <v>A</v>
          </cell>
        </row>
        <row r="715">
          <cell r="A715" t="str">
            <v>A</v>
          </cell>
        </row>
        <row r="716">
          <cell r="A716" t="str">
            <v>A</v>
          </cell>
        </row>
        <row r="717">
          <cell r="A717" t="str">
            <v>A</v>
          </cell>
        </row>
        <row r="718">
          <cell r="A718" t="str">
            <v>A</v>
          </cell>
        </row>
        <row r="719">
          <cell r="A719" t="str">
            <v>A</v>
          </cell>
        </row>
        <row r="720">
          <cell r="A720" t="str">
            <v>A</v>
          </cell>
        </row>
        <row r="721">
          <cell r="A721" t="str">
            <v>A</v>
          </cell>
        </row>
        <row r="722">
          <cell r="A722" t="str">
            <v>A</v>
          </cell>
        </row>
        <row r="723">
          <cell r="A723" t="str">
            <v>A</v>
          </cell>
        </row>
        <row r="724">
          <cell r="A724" t="str">
            <v>A</v>
          </cell>
        </row>
        <row r="725">
          <cell r="A725" t="str">
            <v>A</v>
          </cell>
        </row>
        <row r="726">
          <cell r="A726" t="str">
            <v>A</v>
          </cell>
        </row>
        <row r="727">
          <cell r="A727" t="str">
            <v>A</v>
          </cell>
        </row>
        <row r="728">
          <cell r="A728" t="str">
            <v>A</v>
          </cell>
        </row>
        <row r="729">
          <cell r="A729" t="str">
            <v>A</v>
          </cell>
        </row>
        <row r="730">
          <cell r="A730" t="str">
            <v>A</v>
          </cell>
        </row>
        <row r="731">
          <cell r="A731" t="str">
            <v>A</v>
          </cell>
        </row>
        <row r="732">
          <cell r="A732" t="str">
            <v>A</v>
          </cell>
        </row>
        <row r="733">
          <cell r="A733" t="str">
            <v>A</v>
          </cell>
        </row>
        <row r="734">
          <cell r="A734" t="str">
            <v>A</v>
          </cell>
        </row>
        <row r="735">
          <cell r="A735" t="str">
            <v>A</v>
          </cell>
        </row>
        <row r="736">
          <cell r="A736" t="str">
            <v>A</v>
          </cell>
        </row>
        <row r="737">
          <cell r="A737" t="str">
            <v>A</v>
          </cell>
        </row>
        <row r="738">
          <cell r="A738" t="str">
            <v>A</v>
          </cell>
        </row>
        <row r="739">
          <cell r="A739" t="str">
            <v>A</v>
          </cell>
        </row>
        <row r="740">
          <cell r="A740" t="str">
            <v>A</v>
          </cell>
        </row>
        <row r="741">
          <cell r="A741" t="str">
            <v>A</v>
          </cell>
        </row>
        <row r="742">
          <cell r="A742" t="str">
            <v>A</v>
          </cell>
        </row>
        <row r="743">
          <cell r="A743" t="str">
            <v>A</v>
          </cell>
        </row>
        <row r="744">
          <cell r="A744" t="str">
            <v>A</v>
          </cell>
        </row>
        <row r="745">
          <cell r="A745" t="str">
            <v>A</v>
          </cell>
        </row>
        <row r="746">
          <cell r="A746" t="str">
            <v>A</v>
          </cell>
        </row>
        <row r="747">
          <cell r="A747" t="str">
            <v>A</v>
          </cell>
        </row>
        <row r="748">
          <cell r="A748" t="str">
            <v>A</v>
          </cell>
        </row>
        <row r="749">
          <cell r="A749" t="str">
            <v>A</v>
          </cell>
        </row>
        <row r="750">
          <cell r="A750" t="str">
            <v>A</v>
          </cell>
        </row>
        <row r="751">
          <cell r="A751" t="str">
            <v>A</v>
          </cell>
        </row>
        <row r="752">
          <cell r="A752" t="str">
            <v>A</v>
          </cell>
        </row>
        <row r="753">
          <cell r="A753" t="str">
            <v>A</v>
          </cell>
        </row>
        <row r="754">
          <cell r="A754" t="str">
            <v>A</v>
          </cell>
        </row>
        <row r="755">
          <cell r="A755" t="str">
            <v>A</v>
          </cell>
        </row>
        <row r="756">
          <cell r="A756" t="str">
            <v>A</v>
          </cell>
        </row>
        <row r="757">
          <cell r="A757" t="str">
            <v>A</v>
          </cell>
        </row>
        <row r="758">
          <cell r="A758" t="str">
            <v>A</v>
          </cell>
        </row>
        <row r="759">
          <cell r="A759" t="str">
            <v>A</v>
          </cell>
        </row>
        <row r="760">
          <cell r="A760" t="str">
            <v>A</v>
          </cell>
        </row>
        <row r="761">
          <cell r="A761" t="str">
            <v>A</v>
          </cell>
        </row>
        <row r="762">
          <cell r="A762" t="str">
            <v>A</v>
          </cell>
        </row>
        <row r="763">
          <cell r="A763" t="str">
            <v>A</v>
          </cell>
        </row>
        <row r="764">
          <cell r="A764" t="str">
            <v>A</v>
          </cell>
        </row>
        <row r="765">
          <cell r="A765" t="str">
            <v>A</v>
          </cell>
        </row>
        <row r="766">
          <cell r="A766" t="str">
            <v>A</v>
          </cell>
        </row>
        <row r="767">
          <cell r="A767" t="str">
            <v>A</v>
          </cell>
        </row>
        <row r="768">
          <cell r="A768" t="str">
            <v>A</v>
          </cell>
        </row>
        <row r="769">
          <cell r="A769" t="str">
            <v>A</v>
          </cell>
        </row>
        <row r="770">
          <cell r="A770" t="str">
            <v>A</v>
          </cell>
        </row>
        <row r="771">
          <cell r="A771" t="str">
            <v>A</v>
          </cell>
        </row>
        <row r="772">
          <cell r="A772" t="str">
            <v>A</v>
          </cell>
        </row>
        <row r="773">
          <cell r="A773" t="str">
            <v>A</v>
          </cell>
        </row>
        <row r="774">
          <cell r="A774" t="str">
            <v>A</v>
          </cell>
        </row>
        <row r="775">
          <cell r="A775" t="str">
            <v>A</v>
          </cell>
        </row>
        <row r="776">
          <cell r="A776" t="str">
            <v>A</v>
          </cell>
        </row>
        <row r="777">
          <cell r="A777" t="str">
            <v>A</v>
          </cell>
        </row>
        <row r="778">
          <cell r="A778" t="str">
            <v>A</v>
          </cell>
        </row>
        <row r="779">
          <cell r="A779" t="str">
            <v>A</v>
          </cell>
        </row>
        <row r="780">
          <cell r="A780" t="str">
            <v>A</v>
          </cell>
        </row>
        <row r="781">
          <cell r="A781" t="str">
            <v>A</v>
          </cell>
        </row>
        <row r="782">
          <cell r="A782" t="str">
            <v>A</v>
          </cell>
        </row>
        <row r="783">
          <cell r="A783" t="str">
            <v>A</v>
          </cell>
        </row>
        <row r="784">
          <cell r="A784" t="str">
            <v>A</v>
          </cell>
        </row>
        <row r="785">
          <cell r="A785" t="str">
            <v>A</v>
          </cell>
        </row>
        <row r="786">
          <cell r="A786" t="str">
            <v>A</v>
          </cell>
        </row>
        <row r="787">
          <cell r="A787" t="str">
            <v>A</v>
          </cell>
        </row>
        <row r="788">
          <cell r="A788" t="str">
            <v>A</v>
          </cell>
        </row>
        <row r="789">
          <cell r="A789" t="str">
            <v>A</v>
          </cell>
        </row>
        <row r="790">
          <cell r="A790" t="str">
            <v>A</v>
          </cell>
        </row>
        <row r="791">
          <cell r="A791" t="str">
            <v>A</v>
          </cell>
        </row>
        <row r="792">
          <cell r="A792" t="str">
            <v>A</v>
          </cell>
        </row>
        <row r="793">
          <cell r="A793" t="str">
            <v>A</v>
          </cell>
        </row>
        <row r="794">
          <cell r="A794" t="str">
            <v>A</v>
          </cell>
        </row>
        <row r="795">
          <cell r="A795" t="str">
            <v>A</v>
          </cell>
        </row>
        <row r="796">
          <cell r="A796" t="str">
            <v>A</v>
          </cell>
        </row>
        <row r="797">
          <cell r="A797" t="str">
            <v>A</v>
          </cell>
        </row>
        <row r="798">
          <cell r="A798" t="str">
            <v>A</v>
          </cell>
        </row>
        <row r="799">
          <cell r="A799" t="str">
            <v>A</v>
          </cell>
        </row>
        <row r="800">
          <cell r="A800" t="str">
            <v>A</v>
          </cell>
        </row>
        <row r="801">
          <cell r="A801" t="str">
            <v>A</v>
          </cell>
        </row>
        <row r="802">
          <cell r="A802" t="str">
            <v>A</v>
          </cell>
        </row>
        <row r="803">
          <cell r="A803" t="str">
            <v>A</v>
          </cell>
        </row>
        <row r="804">
          <cell r="A804" t="str">
            <v>A</v>
          </cell>
        </row>
        <row r="805">
          <cell r="A805" t="str">
            <v>A</v>
          </cell>
        </row>
        <row r="806">
          <cell r="A806" t="str">
            <v>A</v>
          </cell>
        </row>
        <row r="807">
          <cell r="A807" t="str">
            <v>A</v>
          </cell>
        </row>
        <row r="808">
          <cell r="A808" t="str">
            <v>A</v>
          </cell>
        </row>
        <row r="809">
          <cell r="A809" t="str">
            <v>A</v>
          </cell>
        </row>
        <row r="810">
          <cell r="A810" t="str">
            <v>A</v>
          </cell>
        </row>
        <row r="811">
          <cell r="A811" t="str">
            <v>A</v>
          </cell>
        </row>
        <row r="812">
          <cell r="A812" t="str">
            <v>A</v>
          </cell>
        </row>
        <row r="813">
          <cell r="A813" t="str">
            <v>A</v>
          </cell>
        </row>
        <row r="814">
          <cell r="A814" t="str">
            <v>A</v>
          </cell>
        </row>
        <row r="815">
          <cell r="A815" t="str">
            <v>A</v>
          </cell>
        </row>
        <row r="816">
          <cell r="A816" t="str">
            <v>A</v>
          </cell>
        </row>
        <row r="817">
          <cell r="A817" t="str">
            <v>A</v>
          </cell>
        </row>
        <row r="818">
          <cell r="A818" t="str">
            <v>A</v>
          </cell>
        </row>
        <row r="819">
          <cell r="A819" t="str">
            <v>A</v>
          </cell>
        </row>
        <row r="820">
          <cell r="A820" t="str">
            <v>A</v>
          </cell>
        </row>
        <row r="821">
          <cell r="A821" t="str">
            <v>A</v>
          </cell>
        </row>
        <row r="822">
          <cell r="A822" t="str">
            <v>A</v>
          </cell>
        </row>
        <row r="823">
          <cell r="A823" t="str">
            <v>A</v>
          </cell>
        </row>
        <row r="824">
          <cell r="A824" t="str">
            <v>A</v>
          </cell>
        </row>
        <row r="825">
          <cell r="A825" t="str">
            <v>A</v>
          </cell>
        </row>
        <row r="826">
          <cell r="A826" t="str">
            <v>A</v>
          </cell>
        </row>
        <row r="827">
          <cell r="A827" t="str">
            <v>A</v>
          </cell>
        </row>
        <row r="828">
          <cell r="A828" t="str">
            <v>A</v>
          </cell>
        </row>
        <row r="829">
          <cell r="A829" t="str">
            <v>A</v>
          </cell>
        </row>
        <row r="830">
          <cell r="A830" t="str">
            <v>A</v>
          </cell>
        </row>
        <row r="831">
          <cell r="A831" t="str">
            <v>A</v>
          </cell>
        </row>
        <row r="832">
          <cell r="A832" t="str">
            <v>A</v>
          </cell>
        </row>
        <row r="833">
          <cell r="A833" t="str">
            <v>A</v>
          </cell>
        </row>
        <row r="834">
          <cell r="A834" t="str">
            <v>A</v>
          </cell>
        </row>
        <row r="835">
          <cell r="A835" t="str">
            <v>A</v>
          </cell>
        </row>
        <row r="836">
          <cell r="A836" t="str">
            <v>A</v>
          </cell>
        </row>
        <row r="837">
          <cell r="A837" t="str">
            <v>A</v>
          </cell>
        </row>
        <row r="838">
          <cell r="A838" t="str">
            <v>A</v>
          </cell>
        </row>
        <row r="839">
          <cell r="A839" t="str">
            <v>A</v>
          </cell>
        </row>
        <row r="840">
          <cell r="A840" t="str">
            <v>A</v>
          </cell>
        </row>
        <row r="841">
          <cell r="A841" t="str">
            <v>A</v>
          </cell>
        </row>
        <row r="842">
          <cell r="A842" t="str">
            <v>A</v>
          </cell>
        </row>
        <row r="843">
          <cell r="A843" t="str">
            <v>A</v>
          </cell>
        </row>
        <row r="844">
          <cell r="A844" t="str">
            <v>A</v>
          </cell>
        </row>
        <row r="845">
          <cell r="A845" t="str">
            <v>A</v>
          </cell>
        </row>
        <row r="846">
          <cell r="A846" t="str">
            <v>A</v>
          </cell>
        </row>
        <row r="847">
          <cell r="A847" t="str">
            <v>A</v>
          </cell>
        </row>
        <row r="848">
          <cell r="A848" t="str">
            <v>A</v>
          </cell>
        </row>
        <row r="849">
          <cell r="A849" t="str">
            <v>A</v>
          </cell>
        </row>
        <row r="850">
          <cell r="A850" t="str">
            <v>A</v>
          </cell>
        </row>
        <row r="851">
          <cell r="A851" t="str">
            <v>A</v>
          </cell>
        </row>
        <row r="852">
          <cell r="A852" t="str">
            <v>A</v>
          </cell>
        </row>
        <row r="853">
          <cell r="A853" t="str">
            <v>A</v>
          </cell>
        </row>
        <row r="854">
          <cell r="A854" t="str">
            <v>A</v>
          </cell>
        </row>
        <row r="855">
          <cell r="A855" t="str">
            <v>A</v>
          </cell>
        </row>
        <row r="856">
          <cell r="A856" t="str">
            <v>A</v>
          </cell>
        </row>
        <row r="857">
          <cell r="A857" t="str">
            <v>A</v>
          </cell>
        </row>
        <row r="858">
          <cell r="A858" t="str">
            <v>A</v>
          </cell>
        </row>
        <row r="859">
          <cell r="A859" t="str">
            <v>A</v>
          </cell>
        </row>
        <row r="860">
          <cell r="A860" t="str">
            <v>A</v>
          </cell>
        </row>
        <row r="861">
          <cell r="A861" t="str">
            <v>A</v>
          </cell>
        </row>
        <row r="862">
          <cell r="A862" t="str">
            <v>A</v>
          </cell>
        </row>
        <row r="863">
          <cell r="A863" t="str">
            <v>A</v>
          </cell>
        </row>
        <row r="864">
          <cell r="A864" t="str">
            <v>A</v>
          </cell>
        </row>
        <row r="865">
          <cell r="A865" t="str">
            <v>A</v>
          </cell>
        </row>
        <row r="866">
          <cell r="A866" t="str">
            <v>A</v>
          </cell>
        </row>
        <row r="867">
          <cell r="A867" t="str">
            <v>A</v>
          </cell>
        </row>
        <row r="868">
          <cell r="A868" t="str">
            <v>A</v>
          </cell>
        </row>
        <row r="869">
          <cell r="A869" t="str">
            <v>A</v>
          </cell>
        </row>
        <row r="870">
          <cell r="A870" t="str">
            <v>A</v>
          </cell>
        </row>
        <row r="871">
          <cell r="A871" t="str">
            <v>A</v>
          </cell>
        </row>
        <row r="872">
          <cell r="A872" t="str">
            <v>A</v>
          </cell>
        </row>
        <row r="873">
          <cell r="A873" t="str">
            <v>A</v>
          </cell>
        </row>
        <row r="874">
          <cell r="A874" t="str">
            <v>A</v>
          </cell>
        </row>
        <row r="875">
          <cell r="A875" t="str">
            <v>A</v>
          </cell>
        </row>
        <row r="876">
          <cell r="A876" t="str">
            <v>A</v>
          </cell>
        </row>
        <row r="877">
          <cell r="A877" t="str">
            <v>A</v>
          </cell>
        </row>
        <row r="878">
          <cell r="A878" t="str">
            <v>A</v>
          </cell>
        </row>
        <row r="879">
          <cell r="A879" t="str">
            <v>A</v>
          </cell>
        </row>
        <row r="880">
          <cell r="A880" t="str">
            <v>A</v>
          </cell>
        </row>
        <row r="881">
          <cell r="A881" t="str">
            <v>A</v>
          </cell>
        </row>
        <row r="882">
          <cell r="A882" t="str">
            <v>A</v>
          </cell>
        </row>
        <row r="883">
          <cell r="A883" t="str">
            <v>A</v>
          </cell>
        </row>
        <row r="884">
          <cell r="A884" t="str">
            <v>A</v>
          </cell>
        </row>
        <row r="885">
          <cell r="A885" t="str">
            <v>A</v>
          </cell>
        </row>
        <row r="886">
          <cell r="A886" t="str">
            <v>A</v>
          </cell>
        </row>
        <row r="887">
          <cell r="A887" t="str">
            <v>A</v>
          </cell>
        </row>
        <row r="888">
          <cell r="A888" t="str">
            <v>A</v>
          </cell>
        </row>
        <row r="889">
          <cell r="A889" t="str">
            <v>A</v>
          </cell>
        </row>
        <row r="890">
          <cell r="A890" t="str">
            <v>A</v>
          </cell>
        </row>
        <row r="891">
          <cell r="A891" t="str">
            <v>A</v>
          </cell>
        </row>
        <row r="892">
          <cell r="A892" t="str">
            <v>A</v>
          </cell>
        </row>
        <row r="893">
          <cell r="A893" t="str">
            <v>A</v>
          </cell>
        </row>
        <row r="894">
          <cell r="A894" t="str">
            <v>A</v>
          </cell>
        </row>
        <row r="895">
          <cell r="A895" t="str">
            <v>A</v>
          </cell>
        </row>
        <row r="896">
          <cell r="A896" t="str">
            <v>A</v>
          </cell>
        </row>
        <row r="897">
          <cell r="A897" t="str">
            <v>A</v>
          </cell>
        </row>
        <row r="898">
          <cell r="A898" t="str">
            <v>A</v>
          </cell>
        </row>
        <row r="899">
          <cell r="A899" t="str">
            <v>A</v>
          </cell>
        </row>
        <row r="900">
          <cell r="A900" t="str">
            <v>A</v>
          </cell>
        </row>
        <row r="901">
          <cell r="A901" t="str">
            <v>A</v>
          </cell>
        </row>
        <row r="902">
          <cell r="A902" t="str">
            <v>A</v>
          </cell>
        </row>
        <row r="903">
          <cell r="A903" t="str">
            <v>A</v>
          </cell>
        </row>
        <row r="904">
          <cell r="A904" t="str">
            <v>A</v>
          </cell>
        </row>
        <row r="905">
          <cell r="A905" t="str">
            <v>A</v>
          </cell>
        </row>
        <row r="906">
          <cell r="A906" t="str">
            <v>A</v>
          </cell>
        </row>
        <row r="907">
          <cell r="A907" t="str">
            <v>A</v>
          </cell>
        </row>
        <row r="908">
          <cell r="A908" t="str">
            <v>A</v>
          </cell>
        </row>
        <row r="909">
          <cell r="A909" t="str">
            <v>A</v>
          </cell>
        </row>
        <row r="910">
          <cell r="A910" t="str">
            <v>A</v>
          </cell>
        </row>
        <row r="911">
          <cell r="A911" t="str">
            <v>A</v>
          </cell>
        </row>
        <row r="912">
          <cell r="A912" t="str">
            <v>A</v>
          </cell>
        </row>
        <row r="913">
          <cell r="A913" t="str">
            <v>A</v>
          </cell>
        </row>
        <row r="914">
          <cell r="A914" t="str">
            <v>A</v>
          </cell>
        </row>
        <row r="915">
          <cell r="A915" t="str">
            <v>A</v>
          </cell>
        </row>
        <row r="916">
          <cell r="A916" t="str">
            <v>A</v>
          </cell>
        </row>
        <row r="917">
          <cell r="A917" t="str">
            <v>A</v>
          </cell>
        </row>
        <row r="918">
          <cell r="A918" t="str">
            <v>A</v>
          </cell>
        </row>
        <row r="919">
          <cell r="A919" t="str">
            <v>A</v>
          </cell>
        </row>
        <row r="920">
          <cell r="A920" t="str">
            <v>A</v>
          </cell>
        </row>
        <row r="921">
          <cell r="A921" t="str">
            <v>A</v>
          </cell>
        </row>
        <row r="922">
          <cell r="A922" t="str">
            <v>A</v>
          </cell>
        </row>
        <row r="923">
          <cell r="A923" t="str">
            <v>A</v>
          </cell>
        </row>
        <row r="924">
          <cell r="A924" t="str">
            <v>A</v>
          </cell>
        </row>
        <row r="925">
          <cell r="A925" t="str">
            <v>A</v>
          </cell>
        </row>
        <row r="926">
          <cell r="A926" t="str">
            <v>A</v>
          </cell>
        </row>
        <row r="927">
          <cell r="A927" t="str">
            <v>A</v>
          </cell>
        </row>
        <row r="928">
          <cell r="A928" t="str">
            <v>A</v>
          </cell>
        </row>
        <row r="929">
          <cell r="A929" t="str">
            <v>A</v>
          </cell>
        </row>
        <row r="930">
          <cell r="A930" t="str">
            <v>A</v>
          </cell>
        </row>
        <row r="931">
          <cell r="A931" t="str">
            <v>A</v>
          </cell>
        </row>
        <row r="932">
          <cell r="A932" t="str">
            <v>A</v>
          </cell>
        </row>
        <row r="933">
          <cell r="A933" t="str">
            <v>A</v>
          </cell>
        </row>
        <row r="934">
          <cell r="A934" t="str">
            <v>A</v>
          </cell>
        </row>
        <row r="935">
          <cell r="A935" t="str">
            <v>A</v>
          </cell>
        </row>
        <row r="936">
          <cell r="A936" t="str">
            <v>A</v>
          </cell>
        </row>
        <row r="937">
          <cell r="A937" t="str">
            <v>A</v>
          </cell>
        </row>
        <row r="938">
          <cell r="A938" t="str">
            <v>A</v>
          </cell>
        </row>
        <row r="939">
          <cell r="A939" t="str">
            <v>A</v>
          </cell>
        </row>
        <row r="940">
          <cell r="A940" t="str">
            <v>A</v>
          </cell>
        </row>
        <row r="941">
          <cell r="A941" t="str">
            <v>A</v>
          </cell>
        </row>
        <row r="942">
          <cell r="A942" t="str">
            <v>A</v>
          </cell>
        </row>
        <row r="943">
          <cell r="A943" t="str">
            <v>A</v>
          </cell>
        </row>
        <row r="944">
          <cell r="A944" t="str">
            <v>A</v>
          </cell>
        </row>
        <row r="945">
          <cell r="A945" t="str">
            <v>A</v>
          </cell>
        </row>
        <row r="946">
          <cell r="A946" t="str">
            <v>A</v>
          </cell>
        </row>
        <row r="947">
          <cell r="A947" t="str">
            <v>A</v>
          </cell>
        </row>
        <row r="948">
          <cell r="A948" t="str">
            <v>A</v>
          </cell>
        </row>
        <row r="949">
          <cell r="A949" t="str">
            <v>A</v>
          </cell>
        </row>
        <row r="950">
          <cell r="A950" t="str">
            <v>A</v>
          </cell>
        </row>
        <row r="951">
          <cell r="A951" t="str">
            <v>A</v>
          </cell>
        </row>
        <row r="952">
          <cell r="A952" t="str">
            <v>A</v>
          </cell>
        </row>
        <row r="953">
          <cell r="A953" t="str">
            <v>A</v>
          </cell>
        </row>
        <row r="954">
          <cell r="A954" t="str">
            <v>A</v>
          </cell>
        </row>
        <row r="955">
          <cell r="A955" t="str">
            <v>A</v>
          </cell>
        </row>
        <row r="956">
          <cell r="A956" t="str">
            <v>A</v>
          </cell>
        </row>
        <row r="957">
          <cell r="A957" t="str">
            <v>A</v>
          </cell>
        </row>
        <row r="958">
          <cell r="A958" t="str">
            <v>A</v>
          </cell>
        </row>
        <row r="959">
          <cell r="A959" t="str">
            <v>A</v>
          </cell>
        </row>
        <row r="960">
          <cell r="A960" t="str">
            <v>A</v>
          </cell>
        </row>
        <row r="961">
          <cell r="A961" t="str">
            <v>A</v>
          </cell>
        </row>
        <row r="962">
          <cell r="A962" t="str">
            <v>A</v>
          </cell>
        </row>
        <row r="963">
          <cell r="A963" t="str">
            <v>A</v>
          </cell>
        </row>
        <row r="964">
          <cell r="A964" t="str">
            <v>A</v>
          </cell>
        </row>
        <row r="965">
          <cell r="A965" t="str">
            <v>A</v>
          </cell>
        </row>
        <row r="966">
          <cell r="A966" t="str">
            <v>A</v>
          </cell>
        </row>
        <row r="967">
          <cell r="A967" t="str">
            <v>A</v>
          </cell>
        </row>
        <row r="968">
          <cell r="A968" t="str">
            <v>A</v>
          </cell>
        </row>
        <row r="969">
          <cell r="A969" t="str">
            <v>A</v>
          </cell>
        </row>
        <row r="970">
          <cell r="A970" t="str">
            <v>A</v>
          </cell>
        </row>
        <row r="971">
          <cell r="A971" t="str">
            <v>A</v>
          </cell>
        </row>
        <row r="972">
          <cell r="A972" t="str">
            <v>A</v>
          </cell>
        </row>
        <row r="973">
          <cell r="A973" t="str">
            <v>A</v>
          </cell>
        </row>
        <row r="974">
          <cell r="A974" t="str">
            <v>A</v>
          </cell>
        </row>
        <row r="975">
          <cell r="A975" t="str">
            <v>A</v>
          </cell>
        </row>
        <row r="976">
          <cell r="A976" t="str">
            <v>A</v>
          </cell>
        </row>
        <row r="977">
          <cell r="A977" t="str">
            <v>A</v>
          </cell>
        </row>
        <row r="978">
          <cell r="A978" t="str">
            <v>A</v>
          </cell>
        </row>
        <row r="979">
          <cell r="A979" t="str">
            <v>A</v>
          </cell>
        </row>
        <row r="980">
          <cell r="A980" t="str">
            <v>A</v>
          </cell>
        </row>
        <row r="981">
          <cell r="A981" t="str">
            <v>A</v>
          </cell>
        </row>
        <row r="982">
          <cell r="A982" t="str">
            <v>A</v>
          </cell>
        </row>
        <row r="983">
          <cell r="A983" t="str">
            <v>A</v>
          </cell>
        </row>
        <row r="984">
          <cell r="A984" t="str">
            <v>A</v>
          </cell>
        </row>
        <row r="985">
          <cell r="A985" t="str">
            <v>A</v>
          </cell>
        </row>
        <row r="986">
          <cell r="A986" t="str">
            <v>A</v>
          </cell>
        </row>
        <row r="987">
          <cell r="A987" t="str">
            <v>A</v>
          </cell>
        </row>
        <row r="988">
          <cell r="A988" t="str">
            <v>A</v>
          </cell>
        </row>
        <row r="989">
          <cell r="A989" t="str">
            <v>A</v>
          </cell>
        </row>
        <row r="990">
          <cell r="A990" t="str">
            <v>A</v>
          </cell>
        </row>
        <row r="991">
          <cell r="A991" t="str">
            <v>A</v>
          </cell>
        </row>
        <row r="992">
          <cell r="A992" t="str">
            <v>A</v>
          </cell>
        </row>
        <row r="993">
          <cell r="A993" t="str">
            <v>A</v>
          </cell>
        </row>
        <row r="994">
          <cell r="A994" t="str">
            <v>A</v>
          </cell>
        </row>
        <row r="995">
          <cell r="A995" t="str">
            <v>A</v>
          </cell>
        </row>
        <row r="996">
          <cell r="A996" t="str">
            <v>A</v>
          </cell>
        </row>
        <row r="997">
          <cell r="A997" t="str">
            <v>A</v>
          </cell>
        </row>
        <row r="998">
          <cell r="A998" t="str">
            <v>A</v>
          </cell>
        </row>
        <row r="999">
          <cell r="A999" t="str">
            <v>A</v>
          </cell>
        </row>
        <row r="1000">
          <cell r="A1000" t="str">
            <v>A</v>
          </cell>
        </row>
        <row r="1001">
          <cell r="A1001" t="str">
            <v>A</v>
          </cell>
        </row>
        <row r="1002">
          <cell r="A1002" t="str">
            <v>A</v>
          </cell>
        </row>
        <row r="1003">
          <cell r="A1003" t="str">
            <v>A</v>
          </cell>
        </row>
        <row r="1004">
          <cell r="A1004" t="str">
            <v>A</v>
          </cell>
        </row>
        <row r="1005">
          <cell r="A1005" t="str">
            <v>A</v>
          </cell>
        </row>
        <row r="1006">
          <cell r="A1006" t="str">
            <v>A</v>
          </cell>
        </row>
        <row r="1007">
          <cell r="A1007" t="str">
            <v>A</v>
          </cell>
        </row>
        <row r="1008">
          <cell r="A1008" t="str">
            <v>A</v>
          </cell>
        </row>
        <row r="1009">
          <cell r="A1009" t="str">
            <v>A</v>
          </cell>
        </row>
        <row r="1010">
          <cell r="A1010" t="str">
            <v>A</v>
          </cell>
        </row>
        <row r="1011">
          <cell r="A1011" t="str">
            <v>A</v>
          </cell>
        </row>
        <row r="1012">
          <cell r="A1012" t="str">
            <v>A</v>
          </cell>
        </row>
        <row r="1013">
          <cell r="A1013" t="str">
            <v>A</v>
          </cell>
        </row>
        <row r="1014">
          <cell r="A1014" t="str">
            <v>A</v>
          </cell>
        </row>
        <row r="1015">
          <cell r="A1015" t="str">
            <v>A</v>
          </cell>
        </row>
        <row r="1016">
          <cell r="A1016" t="str">
            <v>A</v>
          </cell>
        </row>
        <row r="1017">
          <cell r="A1017" t="str">
            <v>A</v>
          </cell>
        </row>
        <row r="1018">
          <cell r="A1018" t="str">
            <v>A</v>
          </cell>
        </row>
        <row r="1019">
          <cell r="A1019" t="str">
            <v>A</v>
          </cell>
        </row>
        <row r="1020">
          <cell r="A1020" t="str">
            <v>A</v>
          </cell>
        </row>
        <row r="1021">
          <cell r="A1021" t="str">
            <v>A</v>
          </cell>
        </row>
        <row r="1022">
          <cell r="A1022" t="str">
            <v>A</v>
          </cell>
        </row>
        <row r="1023">
          <cell r="A1023" t="str">
            <v>A</v>
          </cell>
        </row>
        <row r="1024">
          <cell r="A1024" t="str">
            <v>A</v>
          </cell>
        </row>
        <row r="1025">
          <cell r="A1025" t="str">
            <v>A</v>
          </cell>
        </row>
        <row r="1026">
          <cell r="A1026" t="str">
            <v>A</v>
          </cell>
        </row>
        <row r="1027">
          <cell r="A1027" t="str">
            <v>A</v>
          </cell>
        </row>
        <row r="1028">
          <cell r="A1028" t="str">
            <v>A</v>
          </cell>
        </row>
        <row r="1029">
          <cell r="A1029" t="str">
            <v>A</v>
          </cell>
        </row>
        <row r="1030">
          <cell r="A1030" t="str">
            <v>A</v>
          </cell>
        </row>
        <row r="1031">
          <cell r="A1031" t="str">
            <v>A</v>
          </cell>
        </row>
        <row r="1032">
          <cell r="A1032" t="str">
            <v>A</v>
          </cell>
        </row>
        <row r="1033">
          <cell r="A1033" t="str">
            <v>A</v>
          </cell>
        </row>
        <row r="1034">
          <cell r="A1034" t="str">
            <v>A</v>
          </cell>
        </row>
        <row r="1035">
          <cell r="A1035" t="str">
            <v>A</v>
          </cell>
        </row>
        <row r="1036">
          <cell r="A1036" t="str">
            <v>A</v>
          </cell>
        </row>
        <row r="1037">
          <cell r="A1037" t="str">
            <v>A</v>
          </cell>
        </row>
        <row r="1038">
          <cell r="A1038" t="str">
            <v>A</v>
          </cell>
        </row>
        <row r="1039">
          <cell r="A1039" t="str">
            <v>A</v>
          </cell>
        </row>
        <row r="1040">
          <cell r="A1040" t="str">
            <v>A</v>
          </cell>
        </row>
        <row r="1041">
          <cell r="A1041" t="str">
            <v>A</v>
          </cell>
        </row>
        <row r="1042">
          <cell r="A1042" t="str">
            <v>A</v>
          </cell>
        </row>
        <row r="1043">
          <cell r="A1043" t="str">
            <v>A</v>
          </cell>
        </row>
        <row r="1044">
          <cell r="A1044" t="str">
            <v>A</v>
          </cell>
        </row>
        <row r="1045">
          <cell r="A1045" t="str">
            <v>A</v>
          </cell>
        </row>
        <row r="1046">
          <cell r="A1046" t="str">
            <v>A</v>
          </cell>
        </row>
        <row r="1047">
          <cell r="A1047" t="str">
            <v>A</v>
          </cell>
        </row>
        <row r="1048">
          <cell r="A1048" t="str">
            <v>A</v>
          </cell>
        </row>
        <row r="1049">
          <cell r="A1049" t="str">
            <v>A</v>
          </cell>
        </row>
        <row r="1050">
          <cell r="A1050" t="str">
            <v>A</v>
          </cell>
        </row>
        <row r="1051">
          <cell r="A1051" t="str">
            <v>A</v>
          </cell>
        </row>
        <row r="1052">
          <cell r="A1052" t="str">
            <v>A</v>
          </cell>
        </row>
        <row r="1053">
          <cell r="A1053" t="str">
            <v>A</v>
          </cell>
        </row>
        <row r="1054">
          <cell r="A1054" t="str">
            <v>A</v>
          </cell>
        </row>
        <row r="1055">
          <cell r="A1055" t="str">
            <v>A</v>
          </cell>
        </row>
        <row r="1056">
          <cell r="A1056" t="str">
            <v>A</v>
          </cell>
        </row>
        <row r="1057">
          <cell r="A1057" t="str">
            <v>A</v>
          </cell>
        </row>
        <row r="1058">
          <cell r="A1058" t="str">
            <v>A</v>
          </cell>
        </row>
        <row r="1059">
          <cell r="A1059" t="str">
            <v>A</v>
          </cell>
        </row>
        <row r="1060">
          <cell r="A1060" t="str">
            <v>A</v>
          </cell>
        </row>
        <row r="1061">
          <cell r="A1061" t="str">
            <v>A</v>
          </cell>
        </row>
        <row r="1062">
          <cell r="A1062" t="str">
            <v>A</v>
          </cell>
        </row>
        <row r="1063">
          <cell r="A1063" t="str">
            <v>A</v>
          </cell>
        </row>
        <row r="1064">
          <cell r="A1064" t="str">
            <v>A</v>
          </cell>
        </row>
        <row r="1065">
          <cell r="A1065" t="str">
            <v>A</v>
          </cell>
        </row>
        <row r="1066">
          <cell r="A1066" t="str">
            <v>A</v>
          </cell>
        </row>
        <row r="1067">
          <cell r="A1067" t="str">
            <v>A</v>
          </cell>
        </row>
        <row r="1068">
          <cell r="A1068" t="str">
            <v>A</v>
          </cell>
        </row>
        <row r="1069">
          <cell r="A1069" t="str">
            <v>A</v>
          </cell>
        </row>
        <row r="1070">
          <cell r="A1070" t="str">
            <v>A</v>
          </cell>
        </row>
        <row r="1071">
          <cell r="A1071" t="str">
            <v>A</v>
          </cell>
        </row>
        <row r="1072">
          <cell r="A1072" t="str">
            <v>A</v>
          </cell>
        </row>
        <row r="1073">
          <cell r="A1073" t="str">
            <v>A</v>
          </cell>
        </row>
        <row r="1074">
          <cell r="A1074" t="str">
            <v>A</v>
          </cell>
        </row>
        <row r="1075">
          <cell r="A1075" t="str">
            <v>A</v>
          </cell>
        </row>
        <row r="1076">
          <cell r="A1076" t="str">
            <v>A</v>
          </cell>
        </row>
        <row r="1077">
          <cell r="A1077" t="str">
            <v>A</v>
          </cell>
        </row>
        <row r="1078">
          <cell r="A1078" t="str">
            <v>A</v>
          </cell>
        </row>
        <row r="1079">
          <cell r="A1079" t="str">
            <v>A</v>
          </cell>
        </row>
        <row r="1080">
          <cell r="A1080" t="str">
            <v>A</v>
          </cell>
        </row>
        <row r="1081">
          <cell r="A1081" t="str">
            <v>A</v>
          </cell>
        </row>
        <row r="1082">
          <cell r="A1082" t="str">
            <v>A</v>
          </cell>
        </row>
        <row r="1083">
          <cell r="A1083" t="str">
            <v>A</v>
          </cell>
        </row>
        <row r="1084">
          <cell r="A1084" t="str">
            <v>A</v>
          </cell>
        </row>
        <row r="1085">
          <cell r="A1085" t="str">
            <v>A</v>
          </cell>
        </row>
        <row r="1086">
          <cell r="A1086" t="str">
            <v>A</v>
          </cell>
        </row>
        <row r="1087">
          <cell r="A1087" t="str">
            <v>A</v>
          </cell>
        </row>
        <row r="1088">
          <cell r="A1088" t="str">
            <v>A</v>
          </cell>
        </row>
        <row r="1089">
          <cell r="A1089" t="str">
            <v>A</v>
          </cell>
        </row>
        <row r="1090">
          <cell r="A1090" t="str">
            <v>A</v>
          </cell>
        </row>
        <row r="1091">
          <cell r="A1091" t="str">
            <v>A</v>
          </cell>
        </row>
        <row r="1092">
          <cell r="A1092" t="str">
            <v>A</v>
          </cell>
        </row>
        <row r="1093">
          <cell r="A1093" t="str">
            <v>A</v>
          </cell>
        </row>
        <row r="1094">
          <cell r="A1094" t="str">
            <v>A</v>
          </cell>
        </row>
        <row r="1095">
          <cell r="A1095" t="str">
            <v>A</v>
          </cell>
        </row>
        <row r="1096">
          <cell r="A1096" t="str">
            <v>A</v>
          </cell>
        </row>
        <row r="1097">
          <cell r="A1097" t="str">
            <v>A</v>
          </cell>
        </row>
        <row r="1098">
          <cell r="A1098" t="str">
            <v>A</v>
          </cell>
        </row>
        <row r="1099">
          <cell r="A1099" t="str">
            <v>A</v>
          </cell>
        </row>
        <row r="1100">
          <cell r="A1100" t="str">
            <v>A</v>
          </cell>
        </row>
        <row r="1101">
          <cell r="A1101" t="str">
            <v>A</v>
          </cell>
        </row>
        <row r="1102">
          <cell r="A1102" t="str">
            <v>A</v>
          </cell>
        </row>
        <row r="1103">
          <cell r="A1103" t="str">
            <v>A</v>
          </cell>
        </row>
        <row r="1104">
          <cell r="A1104" t="str">
            <v>A</v>
          </cell>
        </row>
        <row r="1105">
          <cell r="A1105" t="str">
            <v>A</v>
          </cell>
        </row>
        <row r="1106">
          <cell r="A1106" t="str">
            <v>A</v>
          </cell>
        </row>
        <row r="1107">
          <cell r="A1107" t="str">
            <v>A</v>
          </cell>
        </row>
        <row r="1108">
          <cell r="A1108" t="str">
            <v>A</v>
          </cell>
        </row>
        <row r="1109">
          <cell r="A1109" t="str">
            <v>A</v>
          </cell>
        </row>
        <row r="1110">
          <cell r="A1110" t="str">
            <v>A</v>
          </cell>
        </row>
        <row r="1111">
          <cell r="A1111" t="str">
            <v>A</v>
          </cell>
        </row>
        <row r="1112">
          <cell r="A1112" t="str">
            <v>A</v>
          </cell>
        </row>
        <row r="1113">
          <cell r="A1113" t="str">
            <v>A</v>
          </cell>
        </row>
        <row r="1114">
          <cell r="A1114" t="str">
            <v>A</v>
          </cell>
        </row>
        <row r="1115">
          <cell r="A1115" t="str">
            <v>A</v>
          </cell>
        </row>
        <row r="1116">
          <cell r="A1116" t="str">
            <v>A</v>
          </cell>
        </row>
        <row r="1117">
          <cell r="A1117" t="str">
            <v>A</v>
          </cell>
        </row>
        <row r="1118">
          <cell r="A1118" t="str">
            <v>A</v>
          </cell>
        </row>
        <row r="1119">
          <cell r="A1119" t="str">
            <v>A</v>
          </cell>
        </row>
        <row r="1120">
          <cell r="A1120" t="str">
            <v>A</v>
          </cell>
        </row>
        <row r="1121">
          <cell r="A1121" t="str">
            <v>A</v>
          </cell>
        </row>
        <row r="1122">
          <cell r="A1122" t="str">
            <v>A</v>
          </cell>
        </row>
        <row r="1123">
          <cell r="A1123" t="str">
            <v>A</v>
          </cell>
        </row>
        <row r="1124">
          <cell r="A1124" t="str">
            <v>A</v>
          </cell>
        </row>
        <row r="1125">
          <cell r="A1125" t="str">
            <v>A</v>
          </cell>
        </row>
        <row r="1126">
          <cell r="A1126" t="str">
            <v>A</v>
          </cell>
        </row>
        <row r="1127">
          <cell r="A1127" t="str">
            <v>A</v>
          </cell>
        </row>
        <row r="1128">
          <cell r="A1128" t="str">
            <v>A</v>
          </cell>
        </row>
        <row r="1129">
          <cell r="A1129" t="str">
            <v>A</v>
          </cell>
        </row>
        <row r="1130">
          <cell r="A1130" t="str">
            <v>A</v>
          </cell>
        </row>
        <row r="1131">
          <cell r="A1131" t="str">
            <v>A</v>
          </cell>
        </row>
        <row r="1132">
          <cell r="A1132" t="str">
            <v>A</v>
          </cell>
        </row>
        <row r="1133">
          <cell r="A1133" t="str">
            <v>A</v>
          </cell>
        </row>
        <row r="1134">
          <cell r="A1134" t="str">
            <v>A</v>
          </cell>
        </row>
        <row r="1135">
          <cell r="A1135" t="str">
            <v>A</v>
          </cell>
        </row>
        <row r="1136">
          <cell r="A1136" t="str">
            <v>A</v>
          </cell>
        </row>
        <row r="1137">
          <cell r="A1137" t="str">
            <v>A</v>
          </cell>
        </row>
        <row r="1138">
          <cell r="A1138" t="str">
            <v>A</v>
          </cell>
        </row>
        <row r="1139">
          <cell r="A1139" t="str">
            <v>A</v>
          </cell>
        </row>
        <row r="1140">
          <cell r="A1140" t="str">
            <v>A</v>
          </cell>
        </row>
        <row r="1141">
          <cell r="A1141" t="str">
            <v>A</v>
          </cell>
        </row>
        <row r="1142">
          <cell r="A1142" t="str">
            <v>A</v>
          </cell>
        </row>
        <row r="1143">
          <cell r="A1143" t="str">
            <v>A</v>
          </cell>
        </row>
        <row r="1144">
          <cell r="A1144" t="str">
            <v>A</v>
          </cell>
        </row>
        <row r="1145">
          <cell r="A1145" t="str">
            <v>A</v>
          </cell>
        </row>
        <row r="1146">
          <cell r="A1146" t="str">
            <v>A</v>
          </cell>
        </row>
        <row r="1147">
          <cell r="A1147" t="str">
            <v>A</v>
          </cell>
        </row>
        <row r="1148">
          <cell r="A1148" t="str">
            <v>A</v>
          </cell>
        </row>
        <row r="1149">
          <cell r="A1149" t="str">
            <v>A</v>
          </cell>
        </row>
        <row r="1150">
          <cell r="A1150" t="str">
            <v>A</v>
          </cell>
        </row>
        <row r="1151">
          <cell r="A1151" t="str">
            <v>A</v>
          </cell>
        </row>
        <row r="1152">
          <cell r="A1152" t="str">
            <v>A</v>
          </cell>
        </row>
        <row r="1153">
          <cell r="A1153" t="str">
            <v>A</v>
          </cell>
        </row>
        <row r="1154">
          <cell r="A1154" t="str">
            <v>A</v>
          </cell>
        </row>
        <row r="1155">
          <cell r="A1155" t="str">
            <v>A</v>
          </cell>
        </row>
        <row r="1156">
          <cell r="A1156" t="str">
            <v>A</v>
          </cell>
        </row>
        <row r="1157">
          <cell r="A1157" t="str">
            <v>A</v>
          </cell>
        </row>
        <row r="1158">
          <cell r="A1158" t="str">
            <v>A</v>
          </cell>
        </row>
        <row r="1159">
          <cell r="A1159" t="str">
            <v>A</v>
          </cell>
        </row>
        <row r="1160">
          <cell r="A1160" t="str">
            <v>A</v>
          </cell>
        </row>
        <row r="1161">
          <cell r="A1161" t="str">
            <v>A</v>
          </cell>
        </row>
        <row r="1162">
          <cell r="A1162" t="str">
            <v>A</v>
          </cell>
        </row>
        <row r="1163">
          <cell r="A1163" t="str">
            <v>A</v>
          </cell>
        </row>
        <row r="1164">
          <cell r="A1164" t="str">
            <v>A</v>
          </cell>
        </row>
        <row r="1165">
          <cell r="A1165" t="str">
            <v>A</v>
          </cell>
        </row>
        <row r="1166">
          <cell r="A1166" t="str">
            <v>A</v>
          </cell>
        </row>
        <row r="1167">
          <cell r="A1167" t="str">
            <v>A</v>
          </cell>
        </row>
        <row r="1168">
          <cell r="A1168" t="str">
            <v>A</v>
          </cell>
        </row>
        <row r="1169">
          <cell r="A1169" t="str">
            <v>A</v>
          </cell>
        </row>
        <row r="1170">
          <cell r="A1170" t="str">
            <v>A</v>
          </cell>
        </row>
        <row r="1171">
          <cell r="A1171" t="str">
            <v>A</v>
          </cell>
        </row>
        <row r="1172">
          <cell r="A1172" t="str">
            <v>A</v>
          </cell>
        </row>
        <row r="1173">
          <cell r="A1173" t="str">
            <v>A</v>
          </cell>
        </row>
        <row r="1174">
          <cell r="A1174" t="str">
            <v>A</v>
          </cell>
        </row>
        <row r="1175">
          <cell r="A1175" t="str">
            <v>A</v>
          </cell>
        </row>
        <row r="1176">
          <cell r="A1176" t="str">
            <v>A</v>
          </cell>
        </row>
        <row r="1177">
          <cell r="A1177" t="str">
            <v>A</v>
          </cell>
        </row>
        <row r="1178">
          <cell r="A1178" t="str">
            <v>A</v>
          </cell>
        </row>
        <row r="1179">
          <cell r="A1179" t="str">
            <v>A</v>
          </cell>
        </row>
        <row r="1180">
          <cell r="A1180" t="str">
            <v>A</v>
          </cell>
        </row>
        <row r="1181">
          <cell r="A1181" t="str">
            <v>A</v>
          </cell>
        </row>
        <row r="1182">
          <cell r="A1182" t="str">
            <v>A</v>
          </cell>
        </row>
        <row r="1183">
          <cell r="A1183" t="str">
            <v>A</v>
          </cell>
        </row>
        <row r="1184">
          <cell r="A1184" t="str">
            <v>A</v>
          </cell>
        </row>
        <row r="1185">
          <cell r="A1185" t="str">
            <v>A</v>
          </cell>
        </row>
        <row r="1186">
          <cell r="A1186" t="str">
            <v>A</v>
          </cell>
        </row>
        <row r="1187">
          <cell r="A1187" t="str">
            <v>A</v>
          </cell>
        </row>
        <row r="1188">
          <cell r="A1188" t="str">
            <v>A</v>
          </cell>
        </row>
        <row r="1189">
          <cell r="A1189" t="str">
            <v>A</v>
          </cell>
        </row>
        <row r="1190">
          <cell r="A1190" t="str">
            <v>A</v>
          </cell>
        </row>
        <row r="1191">
          <cell r="A1191" t="str">
            <v>A</v>
          </cell>
        </row>
        <row r="1192">
          <cell r="A1192" t="str">
            <v>A</v>
          </cell>
        </row>
        <row r="1193">
          <cell r="A1193" t="str">
            <v>A</v>
          </cell>
        </row>
        <row r="1194">
          <cell r="A1194" t="str">
            <v>A</v>
          </cell>
        </row>
        <row r="1195">
          <cell r="A1195" t="str">
            <v>A</v>
          </cell>
        </row>
        <row r="1196">
          <cell r="A1196" t="str">
            <v>A</v>
          </cell>
        </row>
        <row r="1197">
          <cell r="A1197" t="str">
            <v>A</v>
          </cell>
        </row>
        <row r="1198">
          <cell r="A1198" t="str">
            <v>A</v>
          </cell>
        </row>
        <row r="1199">
          <cell r="A1199" t="str">
            <v>A</v>
          </cell>
        </row>
        <row r="1200">
          <cell r="A1200" t="str">
            <v>A</v>
          </cell>
        </row>
        <row r="1201">
          <cell r="A1201" t="str">
            <v>A</v>
          </cell>
        </row>
        <row r="1202">
          <cell r="A1202" t="str">
            <v>A</v>
          </cell>
        </row>
        <row r="1203">
          <cell r="A1203" t="str">
            <v>A</v>
          </cell>
        </row>
        <row r="1204">
          <cell r="A1204" t="str">
            <v>A</v>
          </cell>
        </row>
        <row r="1205">
          <cell r="A1205" t="str">
            <v>A</v>
          </cell>
        </row>
        <row r="1206">
          <cell r="A1206" t="str">
            <v>A</v>
          </cell>
        </row>
        <row r="1207">
          <cell r="A1207" t="str">
            <v>A</v>
          </cell>
        </row>
        <row r="1208">
          <cell r="A1208" t="str">
            <v>A</v>
          </cell>
        </row>
        <row r="1209">
          <cell r="A1209" t="str">
            <v>A</v>
          </cell>
        </row>
        <row r="1210">
          <cell r="A1210" t="str">
            <v>A</v>
          </cell>
        </row>
        <row r="1211">
          <cell r="A1211" t="str">
            <v>A</v>
          </cell>
        </row>
        <row r="1212">
          <cell r="A1212" t="str">
            <v>A</v>
          </cell>
        </row>
        <row r="1213">
          <cell r="A1213" t="str">
            <v>A</v>
          </cell>
        </row>
        <row r="1214">
          <cell r="A1214" t="str">
            <v>A</v>
          </cell>
        </row>
        <row r="1215">
          <cell r="A1215" t="str">
            <v>A</v>
          </cell>
        </row>
        <row r="1216">
          <cell r="A1216" t="str">
            <v>A</v>
          </cell>
        </row>
        <row r="1217">
          <cell r="A1217" t="str">
            <v>A</v>
          </cell>
        </row>
        <row r="1218">
          <cell r="A1218" t="str">
            <v>A</v>
          </cell>
        </row>
        <row r="1219">
          <cell r="A1219" t="str">
            <v>A</v>
          </cell>
        </row>
        <row r="1220">
          <cell r="A1220" t="str">
            <v>A</v>
          </cell>
        </row>
        <row r="1221">
          <cell r="A1221" t="str">
            <v>A</v>
          </cell>
        </row>
        <row r="1222">
          <cell r="A1222" t="str">
            <v>A</v>
          </cell>
        </row>
        <row r="1223">
          <cell r="A1223" t="str">
            <v>A</v>
          </cell>
        </row>
        <row r="1224">
          <cell r="A1224" t="str">
            <v>A</v>
          </cell>
        </row>
        <row r="1225">
          <cell r="A1225" t="str">
            <v>A</v>
          </cell>
        </row>
        <row r="1226">
          <cell r="A1226" t="str">
            <v>A</v>
          </cell>
        </row>
        <row r="1227">
          <cell r="A1227" t="str">
            <v>A</v>
          </cell>
        </row>
        <row r="1228">
          <cell r="A1228" t="str">
            <v>A</v>
          </cell>
        </row>
        <row r="1229">
          <cell r="A1229" t="str">
            <v>A</v>
          </cell>
        </row>
        <row r="1230">
          <cell r="A1230" t="str">
            <v>A</v>
          </cell>
        </row>
        <row r="1231">
          <cell r="A1231" t="str">
            <v>A</v>
          </cell>
        </row>
        <row r="1232">
          <cell r="A1232" t="str">
            <v>A</v>
          </cell>
        </row>
        <row r="1233">
          <cell r="A1233" t="str">
            <v>A</v>
          </cell>
        </row>
        <row r="1234">
          <cell r="A1234" t="str">
            <v>A</v>
          </cell>
        </row>
        <row r="1235">
          <cell r="A1235" t="str">
            <v>A</v>
          </cell>
        </row>
        <row r="1236">
          <cell r="A1236" t="str">
            <v>A</v>
          </cell>
        </row>
        <row r="1237">
          <cell r="A1237" t="str">
            <v>A</v>
          </cell>
        </row>
        <row r="1238">
          <cell r="A1238" t="str">
            <v>A</v>
          </cell>
        </row>
        <row r="1239">
          <cell r="A1239" t="str">
            <v>A</v>
          </cell>
        </row>
        <row r="1240">
          <cell r="A1240" t="str">
            <v>A</v>
          </cell>
        </row>
        <row r="1241">
          <cell r="A1241" t="str">
            <v>A</v>
          </cell>
        </row>
        <row r="1242">
          <cell r="A1242" t="str">
            <v>A</v>
          </cell>
        </row>
        <row r="1243">
          <cell r="A1243" t="str">
            <v>A</v>
          </cell>
        </row>
        <row r="1244">
          <cell r="A1244" t="str">
            <v>A</v>
          </cell>
        </row>
        <row r="1245">
          <cell r="A1245" t="str">
            <v>A</v>
          </cell>
        </row>
        <row r="1246">
          <cell r="A1246" t="str">
            <v>A</v>
          </cell>
        </row>
        <row r="1247">
          <cell r="A1247" t="str">
            <v>A</v>
          </cell>
        </row>
        <row r="1248">
          <cell r="A1248" t="str">
            <v>A</v>
          </cell>
        </row>
        <row r="1249">
          <cell r="A1249" t="str">
            <v>A</v>
          </cell>
        </row>
        <row r="1250">
          <cell r="A1250" t="str">
            <v>A</v>
          </cell>
        </row>
        <row r="1251">
          <cell r="A1251" t="str">
            <v>A</v>
          </cell>
        </row>
        <row r="1252">
          <cell r="A1252" t="str">
            <v>A</v>
          </cell>
        </row>
        <row r="1253">
          <cell r="A1253" t="str">
            <v>A</v>
          </cell>
        </row>
        <row r="1254">
          <cell r="A1254" t="str">
            <v>A</v>
          </cell>
        </row>
        <row r="1255">
          <cell r="A1255" t="str">
            <v>A</v>
          </cell>
        </row>
        <row r="1256">
          <cell r="A1256" t="str">
            <v>A</v>
          </cell>
        </row>
        <row r="1257">
          <cell r="A1257" t="str">
            <v>A</v>
          </cell>
        </row>
        <row r="1258">
          <cell r="A1258" t="str">
            <v>A</v>
          </cell>
        </row>
        <row r="1259">
          <cell r="A1259" t="str">
            <v>A</v>
          </cell>
        </row>
        <row r="1260">
          <cell r="A1260" t="str">
            <v>A</v>
          </cell>
        </row>
        <row r="1261">
          <cell r="A1261" t="str">
            <v>A</v>
          </cell>
        </row>
        <row r="1262">
          <cell r="A1262" t="str">
            <v>A</v>
          </cell>
        </row>
        <row r="1263">
          <cell r="A1263" t="str">
            <v>A</v>
          </cell>
        </row>
        <row r="1264">
          <cell r="A1264" t="str">
            <v>A</v>
          </cell>
        </row>
        <row r="1265">
          <cell r="A1265" t="str">
            <v>A</v>
          </cell>
        </row>
        <row r="1266">
          <cell r="A1266" t="str">
            <v>A</v>
          </cell>
        </row>
        <row r="1267">
          <cell r="A1267" t="str">
            <v>A</v>
          </cell>
        </row>
        <row r="1268">
          <cell r="A1268" t="str">
            <v>A</v>
          </cell>
        </row>
        <row r="1269">
          <cell r="A1269" t="str">
            <v>A</v>
          </cell>
        </row>
        <row r="1270">
          <cell r="A1270" t="str">
            <v>A</v>
          </cell>
        </row>
        <row r="1271">
          <cell r="A1271" t="str">
            <v>A</v>
          </cell>
        </row>
        <row r="1272">
          <cell r="A1272" t="str">
            <v>A</v>
          </cell>
        </row>
        <row r="1273">
          <cell r="A1273" t="str">
            <v>A</v>
          </cell>
        </row>
        <row r="1274">
          <cell r="A1274" t="str">
            <v>A</v>
          </cell>
        </row>
        <row r="1275">
          <cell r="A1275" t="str">
            <v>A</v>
          </cell>
        </row>
        <row r="1276">
          <cell r="A1276" t="str">
            <v>A</v>
          </cell>
        </row>
        <row r="1277">
          <cell r="A1277" t="str">
            <v>A</v>
          </cell>
        </row>
        <row r="1278">
          <cell r="A1278" t="str">
            <v>A</v>
          </cell>
        </row>
        <row r="1279">
          <cell r="A1279" t="str">
            <v>A</v>
          </cell>
        </row>
        <row r="1280">
          <cell r="A1280" t="str">
            <v>A</v>
          </cell>
        </row>
        <row r="1281">
          <cell r="A1281" t="str">
            <v>A</v>
          </cell>
        </row>
        <row r="1282">
          <cell r="A1282" t="str">
            <v>A</v>
          </cell>
        </row>
        <row r="1283">
          <cell r="A1283" t="str">
            <v>A</v>
          </cell>
        </row>
        <row r="1284">
          <cell r="A1284" t="str">
            <v>A</v>
          </cell>
        </row>
        <row r="1285">
          <cell r="A1285" t="str">
            <v>A</v>
          </cell>
        </row>
        <row r="1286">
          <cell r="A1286" t="str">
            <v>A</v>
          </cell>
        </row>
        <row r="1287">
          <cell r="A1287" t="str">
            <v>A</v>
          </cell>
        </row>
        <row r="1288">
          <cell r="A1288" t="str">
            <v>A</v>
          </cell>
        </row>
        <row r="1289">
          <cell r="A1289" t="str">
            <v>A</v>
          </cell>
        </row>
        <row r="1290">
          <cell r="A1290" t="str">
            <v>A</v>
          </cell>
        </row>
        <row r="1291">
          <cell r="A1291" t="str">
            <v>A</v>
          </cell>
        </row>
        <row r="1292">
          <cell r="A1292" t="str">
            <v>A</v>
          </cell>
        </row>
        <row r="1293">
          <cell r="A1293" t="str">
            <v>A</v>
          </cell>
        </row>
        <row r="1294">
          <cell r="A1294" t="str">
            <v>A</v>
          </cell>
        </row>
        <row r="1295">
          <cell r="A1295" t="str">
            <v>A</v>
          </cell>
        </row>
        <row r="1296">
          <cell r="A1296" t="str">
            <v>A</v>
          </cell>
        </row>
        <row r="1297">
          <cell r="A1297" t="str">
            <v>A</v>
          </cell>
        </row>
        <row r="1298">
          <cell r="A1298" t="str">
            <v>A</v>
          </cell>
        </row>
        <row r="1299">
          <cell r="A1299" t="str">
            <v>A</v>
          </cell>
        </row>
        <row r="1300">
          <cell r="A1300" t="str">
            <v>A</v>
          </cell>
        </row>
        <row r="1301">
          <cell r="A1301" t="str">
            <v>A</v>
          </cell>
        </row>
        <row r="1302">
          <cell r="A1302" t="str">
            <v>A</v>
          </cell>
        </row>
        <row r="1303">
          <cell r="A1303" t="str">
            <v>A</v>
          </cell>
        </row>
        <row r="1304">
          <cell r="A1304" t="str">
            <v>A</v>
          </cell>
        </row>
        <row r="1305">
          <cell r="A1305" t="str">
            <v>A</v>
          </cell>
        </row>
        <row r="1306">
          <cell r="A1306" t="str">
            <v>A</v>
          </cell>
        </row>
        <row r="1307">
          <cell r="A1307" t="str">
            <v>A</v>
          </cell>
        </row>
        <row r="1308">
          <cell r="A1308" t="str">
            <v>A</v>
          </cell>
        </row>
        <row r="1309">
          <cell r="A1309" t="str">
            <v>A</v>
          </cell>
        </row>
        <row r="1310">
          <cell r="A1310" t="str">
            <v>A</v>
          </cell>
        </row>
        <row r="1311">
          <cell r="A1311" t="str">
            <v>A</v>
          </cell>
        </row>
        <row r="1312">
          <cell r="A1312" t="str">
            <v>A</v>
          </cell>
        </row>
        <row r="1313">
          <cell r="A1313" t="str">
            <v>A</v>
          </cell>
        </row>
        <row r="1314">
          <cell r="A1314" t="str">
            <v>A</v>
          </cell>
        </row>
        <row r="1315">
          <cell r="A1315" t="str">
            <v>A</v>
          </cell>
        </row>
        <row r="1316">
          <cell r="A1316" t="str">
            <v>A</v>
          </cell>
        </row>
        <row r="1317">
          <cell r="A1317" t="str">
            <v>A</v>
          </cell>
        </row>
        <row r="1318">
          <cell r="A1318" t="str">
            <v>A</v>
          </cell>
        </row>
        <row r="1319">
          <cell r="A1319" t="str">
            <v>A</v>
          </cell>
        </row>
        <row r="1320">
          <cell r="A1320" t="str">
            <v>A</v>
          </cell>
        </row>
        <row r="1321">
          <cell r="A1321" t="str">
            <v>A</v>
          </cell>
        </row>
        <row r="1322">
          <cell r="A1322" t="str">
            <v>A</v>
          </cell>
        </row>
        <row r="1323">
          <cell r="A1323" t="str">
            <v>A</v>
          </cell>
        </row>
        <row r="1324">
          <cell r="A1324" t="str">
            <v>A</v>
          </cell>
        </row>
        <row r="1325">
          <cell r="A1325" t="str">
            <v>A</v>
          </cell>
        </row>
        <row r="1326">
          <cell r="A1326" t="str">
            <v>A</v>
          </cell>
        </row>
        <row r="1327">
          <cell r="A1327" t="str">
            <v>A</v>
          </cell>
        </row>
        <row r="1328">
          <cell r="A1328" t="str">
            <v>A</v>
          </cell>
        </row>
        <row r="1329">
          <cell r="A1329" t="str">
            <v>A</v>
          </cell>
        </row>
        <row r="1330">
          <cell r="A1330" t="str">
            <v>A</v>
          </cell>
        </row>
        <row r="1331">
          <cell r="A1331" t="str">
            <v>A</v>
          </cell>
        </row>
        <row r="1332">
          <cell r="A1332" t="str">
            <v>A</v>
          </cell>
        </row>
        <row r="1333">
          <cell r="A1333" t="str">
            <v>A</v>
          </cell>
        </row>
        <row r="1334">
          <cell r="A1334" t="str">
            <v>A</v>
          </cell>
        </row>
        <row r="1335">
          <cell r="A1335" t="str">
            <v>A</v>
          </cell>
        </row>
        <row r="1336">
          <cell r="A1336" t="str">
            <v>A</v>
          </cell>
        </row>
        <row r="1337">
          <cell r="A1337" t="str">
            <v>A</v>
          </cell>
        </row>
        <row r="1338">
          <cell r="A1338" t="str">
            <v>A</v>
          </cell>
        </row>
        <row r="1339">
          <cell r="A1339" t="str">
            <v>A</v>
          </cell>
        </row>
        <row r="1340">
          <cell r="A1340" t="str">
            <v>A</v>
          </cell>
        </row>
        <row r="1341">
          <cell r="A1341" t="str">
            <v>A</v>
          </cell>
        </row>
        <row r="1342">
          <cell r="A1342" t="str">
            <v>A</v>
          </cell>
        </row>
        <row r="1343">
          <cell r="A1343" t="str">
            <v>A</v>
          </cell>
        </row>
        <row r="1344">
          <cell r="A1344" t="str">
            <v>A</v>
          </cell>
        </row>
        <row r="1345">
          <cell r="A1345" t="str">
            <v>A</v>
          </cell>
        </row>
        <row r="1346">
          <cell r="A1346" t="str">
            <v>A</v>
          </cell>
        </row>
        <row r="1347">
          <cell r="A1347" t="str">
            <v>A</v>
          </cell>
        </row>
        <row r="1348">
          <cell r="A1348" t="str">
            <v>A</v>
          </cell>
        </row>
        <row r="1349">
          <cell r="A1349" t="str">
            <v>A</v>
          </cell>
        </row>
        <row r="1350">
          <cell r="A1350" t="str">
            <v>A</v>
          </cell>
        </row>
        <row r="1351">
          <cell r="A1351" t="str">
            <v>A</v>
          </cell>
        </row>
        <row r="1352">
          <cell r="A1352" t="str">
            <v>A</v>
          </cell>
        </row>
        <row r="1353">
          <cell r="A1353" t="str">
            <v>A</v>
          </cell>
        </row>
        <row r="1354">
          <cell r="A1354" t="str">
            <v>A</v>
          </cell>
        </row>
        <row r="1355">
          <cell r="A1355" t="str">
            <v>A</v>
          </cell>
        </row>
        <row r="1356">
          <cell r="A1356" t="str">
            <v>A</v>
          </cell>
        </row>
        <row r="1357">
          <cell r="A1357" t="str">
            <v>A</v>
          </cell>
        </row>
        <row r="1358">
          <cell r="A1358" t="str">
            <v>A</v>
          </cell>
        </row>
        <row r="1359">
          <cell r="A1359" t="str">
            <v>A</v>
          </cell>
        </row>
        <row r="1360">
          <cell r="A1360" t="str">
            <v>A</v>
          </cell>
        </row>
        <row r="1361">
          <cell r="A1361" t="str">
            <v>A</v>
          </cell>
        </row>
        <row r="1362">
          <cell r="A1362" t="str">
            <v>A</v>
          </cell>
        </row>
        <row r="1363">
          <cell r="A1363" t="str">
            <v>A</v>
          </cell>
        </row>
        <row r="1364">
          <cell r="A1364" t="str">
            <v>A</v>
          </cell>
        </row>
        <row r="1365">
          <cell r="A1365" t="str">
            <v>A</v>
          </cell>
        </row>
        <row r="1366">
          <cell r="A1366" t="str">
            <v>A</v>
          </cell>
        </row>
        <row r="1367">
          <cell r="A1367" t="str">
            <v>A</v>
          </cell>
        </row>
        <row r="1368">
          <cell r="A1368" t="str">
            <v>A</v>
          </cell>
        </row>
        <row r="1369">
          <cell r="A1369" t="str">
            <v>A</v>
          </cell>
        </row>
        <row r="1370">
          <cell r="A1370" t="str">
            <v>A</v>
          </cell>
        </row>
        <row r="1371">
          <cell r="A1371" t="str">
            <v>A</v>
          </cell>
        </row>
        <row r="1372">
          <cell r="A1372" t="str">
            <v>A</v>
          </cell>
        </row>
        <row r="1373">
          <cell r="A1373" t="str">
            <v>A</v>
          </cell>
        </row>
        <row r="1374">
          <cell r="A1374" t="str">
            <v>A</v>
          </cell>
        </row>
        <row r="1375">
          <cell r="A1375" t="str">
            <v>A</v>
          </cell>
        </row>
        <row r="1376">
          <cell r="A1376" t="str">
            <v>A</v>
          </cell>
        </row>
        <row r="1377">
          <cell r="A1377" t="str">
            <v>A</v>
          </cell>
        </row>
        <row r="1378">
          <cell r="A1378" t="str">
            <v>A</v>
          </cell>
        </row>
        <row r="1379">
          <cell r="A1379" t="str">
            <v>A</v>
          </cell>
        </row>
        <row r="1380">
          <cell r="A1380" t="str">
            <v>A</v>
          </cell>
        </row>
        <row r="1381">
          <cell r="A1381" t="str">
            <v>A</v>
          </cell>
        </row>
        <row r="1382">
          <cell r="A1382" t="str">
            <v>A</v>
          </cell>
        </row>
        <row r="1383">
          <cell r="A1383" t="str">
            <v>A</v>
          </cell>
        </row>
        <row r="1384">
          <cell r="A1384" t="str">
            <v>A</v>
          </cell>
        </row>
        <row r="1385">
          <cell r="A1385" t="str">
            <v>A</v>
          </cell>
        </row>
        <row r="1386">
          <cell r="A1386" t="str">
            <v>A</v>
          </cell>
        </row>
        <row r="1387">
          <cell r="A1387" t="str">
            <v>A</v>
          </cell>
        </row>
        <row r="1388">
          <cell r="A1388" t="str">
            <v>A</v>
          </cell>
        </row>
        <row r="1389">
          <cell r="A1389" t="str">
            <v>A</v>
          </cell>
        </row>
        <row r="1390">
          <cell r="A1390" t="str">
            <v>A</v>
          </cell>
        </row>
        <row r="1391">
          <cell r="A1391" t="str">
            <v>A</v>
          </cell>
        </row>
        <row r="1392">
          <cell r="A1392" t="str">
            <v>A</v>
          </cell>
        </row>
        <row r="1393">
          <cell r="A1393" t="str">
            <v>A</v>
          </cell>
        </row>
        <row r="1394">
          <cell r="A1394" t="str">
            <v>A</v>
          </cell>
        </row>
        <row r="1395">
          <cell r="A1395" t="str">
            <v>A</v>
          </cell>
        </row>
        <row r="1396">
          <cell r="A1396" t="str">
            <v>A</v>
          </cell>
        </row>
        <row r="1397">
          <cell r="A1397" t="str">
            <v>A</v>
          </cell>
        </row>
        <row r="1398">
          <cell r="A1398" t="str">
            <v>A</v>
          </cell>
        </row>
        <row r="1399">
          <cell r="A1399" t="str">
            <v>A</v>
          </cell>
        </row>
        <row r="1400">
          <cell r="A1400" t="str">
            <v>A</v>
          </cell>
        </row>
        <row r="1401">
          <cell r="A1401" t="str">
            <v>A</v>
          </cell>
        </row>
        <row r="1402">
          <cell r="A1402" t="str">
            <v>A</v>
          </cell>
        </row>
        <row r="1403">
          <cell r="A1403" t="str">
            <v>A</v>
          </cell>
        </row>
        <row r="1404">
          <cell r="A1404" t="str">
            <v>A</v>
          </cell>
        </row>
        <row r="1405">
          <cell r="A1405" t="str">
            <v>A</v>
          </cell>
        </row>
        <row r="1406">
          <cell r="A1406" t="str">
            <v>A</v>
          </cell>
        </row>
        <row r="1407">
          <cell r="A1407" t="str">
            <v>A</v>
          </cell>
        </row>
        <row r="1408">
          <cell r="A1408" t="str">
            <v>A</v>
          </cell>
        </row>
        <row r="1409">
          <cell r="A1409" t="str">
            <v>A</v>
          </cell>
        </row>
        <row r="1410">
          <cell r="A1410" t="str">
            <v>A</v>
          </cell>
        </row>
        <row r="1411">
          <cell r="A1411" t="str">
            <v>A</v>
          </cell>
        </row>
        <row r="1412">
          <cell r="A1412" t="str">
            <v>A</v>
          </cell>
        </row>
        <row r="1413">
          <cell r="A1413" t="str">
            <v>A</v>
          </cell>
        </row>
        <row r="1414">
          <cell r="A1414" t="str">
            <v>A</v>
          </cell>
        </row>
        <row r="1415">
          <cell r="A1415" t="str">
            <v>A</v>
          </cell>
        </row>
        <row r="1416">
          <cell r="A1416" t="str">
            <v>A</v>
          </cell>
        </row>
        <row r="1417">
          <cell r="A1417" t="str">
            <v>A</v>
          </cell>
        </row>
        <row r="1418">
          <cell r="A1418" t="str">
            <v>A</v>
          </cell>
        </row>
        <row r="1419">
          <cell r="A1419" t="str">
            <v>A</v>
          </cell>
        </row>
        <row r="1420">
          <cell r="A1420" t="str">
            <v>A</v>
          </cell>
        </row>
        <row r="1421">
          <cell r="A1421" t="str">
            <v>A</v>
          </cell>
        </row>
        <row r="1422">
          <cell r="A1422" t="str">
            <v>A</v>
          </cell>
        </row>
        <row r="1423">
          <cell r="A1423" t="str">
            <v>A</v>
          </cell>
        </row>
        <row r="1424">
          <cell r="A1424" t="str">
            <v>A</v>
          </cell>
        </row>
        <row r="1425">
          <cell r="A1425" t="str">
            <v>A</v>
          </cell>
        </row>
        <row r="1426">
          <cell r="A1426" t="str">
            <v>A</v>
          </cell>
        </row>
        <row r="1427">
          <cell r="A1427" t="str">
            <v>A</v>
          </cell>
        </row>
        <row r="1428">
          <cell r="A1428" t="str">
            <v>A</v>
          </cell>
        </row>
        <row r="1429">
          <cell r="A1429" t="str">
            <v>A</v>
          </cell>
        </row>
        <row r="1430">
          <cell r="A1430" t="str">
            <v>A</v>
          </cell>
        </row>
        <row r="1431">
          <cell r="A1431" t="str">
            <v>A</v>
          </cell>
        </row>
        <row r="1432">
          <cell r="A1432" t="str">
            <v>A</v>
          </cell>
        </row>
        <row r="1433">
          <cell r="A1433" t="str">
            <v>A</v>
          </cell>
        </row>
        <row r="1434">
          <cell r="A1434" t="str">
            <v>A</v>
          </cell>
        </row>
        <row r="1435">
          <cell r="A1435" t="str">
            <v>A</v>
          </cell>
        </row>
        <row r="1436">
          <cell r="A1436" t="str">
            <v>A</v>
          </cell>
        </row>
        <row r="1437">
          <cell r="A1437" t="str">
            <v>A</v>
          </cell>
        </row>
        <row r="1438">
          <cell r="A1438" t="str">
            <v>A</v>
          </cell>
        </row>
        <row r="1439">
          <cell r="A1439" t="str">
            <v>A</v>
          </cell>
        </row>
        <row r="1440">
          <cell r="A1440" t="str">
            <v>A</v>
          </cell>
        </row>
        <row r="1441">
          <cell r="A1441" t="str">
            <v>A</v>
          </cell>
        </row>
        <row r="1442">
          <cell r="A1442" t="str">
            <v>A</v>
          </cell>
        </row>
        <row r="1443">
          <cell r="A1443" t="str">
            <v>A</v>
          </cell>
        </row>
        <row r="1444">
          <cell r="A1444" t="str">
            <v>A</v>
          </cell>
        </row>
        <row r="1445">
          <cell r="A1445" t="str">
            <v>A</v>
          </cell>
        </row>
        <row r="1446">
          <cell r="A1446" t="str">
            <v>A</v>
          </cell>
        </row>
        <row r="1447">
          <cell r="A1447" t="str">
            <v>A</v>
          </cell>
        </row>
        <row r="1448">
          <cell r="A1448" t="str">
            <v>A</v>
          </cell>
        </row>
        <row r="1449">
          <cell r="A1449" t="str">
            <v>A</v>
          </cell>
        </row>
        <row r="1450">
          <cell r="A1450" t="str">
            <v>A</v>
          </cell>
        </row>
        <row r="1451">
          <cell r="A1451" t="str">
            <v>A</v>
          </cell>
        </row>
        <row r="1452">
          <cell r="A1452" t="str">
            <v>A</v>
          </cell>
        </row>
        <row r="1453">
          <cell r="A1453" t="str">
            <v>A</v>
          </cell>
        </row>
        <row r="1454">
          <cell r="A1454" t="str">
            <v>A</v>
          </cell>
        </row>
        <row r="1455">
          <cell r="A1455" t="str">
            <v>A</v>
          </cell>
        </row>
        <row r="1456">
          <cell r="A1456" t="str">
            <v>A</v>
          </cell>
        </row>
        <row r="1457">
          <cell r="A1457" t="str">
            <v>A</v>
          </cell>
        </row>
        <row r="1458">
          <cell r="A1458" t="str">
            <v>A</v>
          </cell>
        </row>
        <row r="1459">
          <cell r="A1459" t="str">
            <v>A</v>
          </cell>
        </row>
        <row r="1460">
          <cell r="A1460" t="str">
            <v>A</v>
          </cell>
        </row>
        <row r="1461">
          <cell r="A1461" t="str">
            <v>A</v>
          </cell>
        </row>
        <row r="1462">
          <cell r="A1462" t="str">
            <v>A</v>
          </cell>
        </row>
        <row r="1463">
          <cell r="A1463" t="str">
            <v>A</v>
          </cell>
        </row>
        <row r="1464">
          <cell r="A1464" t="str">
            <v>A</v>
          </cell>
        </row>
        <row r="1465">
          <cell r="A1465" t="str">
            <v>A</v>
          </cell>
        </row>
        <row r="1466">
          <cell r="A1466" t="str">
            <v>A</v>
          </cell>
        </row>
        <row r="1467">
          <cell r="A1467" t="str">
            <v>A</v>
          </cell>
        </row>
        <row r="1468">
          <cell r="A1468" t="str">
            <v>A</v>
          </cell>
        </row>
        <row r="1469">
          <cell r="A1469" t="str">
            <v>A</v>
          </cell>
        </row>
        <row r="1470">
          <cell r="A1470" t="str">
            <v>A</v>
          </cell>
        </row>
        <row r="1471">
          <cell r="A1471" t="str">
            <v>A</v>
          </cell>
        </row>
        <row r="1472">
          <cell r="A1472" t="str">
            <v>A</v>
          </cell>
        </row>
        <row r="1473">
          <cell r="A1473" t="str">
            <v>A</v>
          </cell>
        </row>
        <row r="1474">
          <cell r="A1474" t="str">
            <v>A</v>
          </cell>
        </row>
        <row r="1475">
          <cell r="A1475" t="str">
            <v>A</v>
          </cell>
        </row>
        <row r="1476">
          <cell r="A1476" t="str">
            <v>A</v>
          </cell>
        </row>
        <row r="1477">
          <cell r="A1477" t="str">
            <v>A</v>
          </cell>
        </row>
        <row r="1478">
          <cell r="A1478" t="str">
            <v>A</v>
          </cell>
        </row>
        <row r="1479">
          <cell r="A1479" t="str">
            <v>A</v>
          </cell>
        </row>
        <row r="1480">
          <cell r="A1480" t="str">
            <v>A</v>
          </cell>
        </row>
        <row r="1481">
          <cell r="A1481" t="str">
            <v>A</v>
          </cell>
        </row>
        <row r="1482">
          <cell r="A1482" t="str">
            <v>A</v>
          </cell>
        </row>
        <row r="1483">
          <cell r="A1483" t="str">
            <v>A</v>
          </cell>
        </row>
        <row r="1484">
          <cell r="A1484" t="str">
            <v>A</v>
          </cell>
        </row>
        <row r="1485">
          <cell r="A1485" t="str">
            <v>A</v>
          </cell>
        </row>
        <row r="1486">
          <cell r="A1486" t="str">
            <v>A</v>
          </cell>
        </row>
        <row r="1487">
          <cell r="A1487" t="str">
            <v>A</v>
          </cell>
        </row>
        <row r="1488">
          <cell r="A1488" t="str">
            <v>A</v>
          </cell>
        </row>
        <row r="1489">
          <cell r="A1489" t="str">
            <v>A</v>
          </cell>
        </row>
        <row r="1490">
          <cell r="A1490" t="str">
            <v>A</v>
          </cell>
        </row>
        <row r="1491">
          <cell r="A1491" t="str">
            <v>A</v>
          </cell>
        </row>
        <row r="1492">
          <cell r="A1492" t="str">
            <v>A</v>
          </cell>
        </row>
        <row r="1493">
          <cell r="A1493" t="str">
            <v>A</v>
          </cell>
        </row>
        <row r="1494">
          <cell r="A1494" t="str">
            <v>A</v>
          </cell>
        </row>
        <row r="1495">
          <cell r="A1495" t="str">
            <v>A</v>
          </cell>
        </row>
        <row r="1496">
          <cell r="A1496" t="str">
            <v>A</v>
          </cell>
        </row>
        <row r="1497">
          <cell r="A1497" t="str">
            <v>A</v>
          </cell>
        </row>
        <row r="1498">
          <cell r="A1498" t="str">
            <v>A</v>
          </cell>
        </row>
        <row r="1499">
          <cell r="A1499" t="str">
            <v>A</v>
          </cell>
        </row>
        <row r="1500">
          <cell r="A1500" t="str">
            <v>A</v>
          </cell>
        </row>
        <row r="1501">
          <cell r="A1501" t="str">
            <v>A</v>
          </cell>
        </row>
        <row r="1502">
          <cell r="A1502" t="str">
            <v>A</v>
          </cell>
        </row>
        <row r="1503">
          <cell r="A1503" t="str">
            <v>A</v>
          </cell>
        </row>
        <row r="1504">
          <cell r="A1504" t="str">
            <v>A</v>
          </cell>
        </row>
        <row r="1505">
          <cell r="A1505" t="str">
            <v>A</v>
          </cell>
        </row>
        <row r="1506">
          <cell r="A1506" t="str">
            <v>A</v>
          </cell>
        </row>
        <row r="1507">
          <cell r="A1507" t="str">
            <v>A</v>
          </cell>
        </row>
        <row r="1508">
          <cell r="A1508" t="str">
            <v>A</v>
          </cell>
        </row>
        <row r="1509">
          <cell r="A1509" t="str">
            <v>A</v>
          </cell>
        </row>
        <row r="1510">
          <cell r="A1510" t="str">
            <v>A</v>
          </cell>
        </row>
        <row r="1511">
          <cell r="A1511" t="str">
            <v>A</v>
          </cell>
        </row>
        <row r="1512">
          <cell r="A1512" t="str">
            <v>A</v>
          </cell>
        </row>
        <row r="1513">
          <cell r="A1513" t="str">
            <v>A</v>
          </cell>
        </row>
        <row r="1514">
          <cell r="A1514" t="str">
            <v>A</v>
          </cell>
        </row>
        <row r="1515">
          <cell r="A1515" t="str">
            <v>A</v>
          </cell>
        </row>
        <row r="1516">
          <cell r="A1516" t="str">
            <v>A</v>
          </cell>
        </row>
        <row r="1517">
          <cell r="A1517" t="str">
            <v>A</v>
          </cell>
        </row>
        <row r="1518">
          <cell r="A1518" t="str">
            <v>A</v>
          </cell>
        </row>
        <row r="1519">
          <cell r="A1519" t="str">
            <v>A</v>
          </cell>
        </row>
        <row r="1520">
          <cell r="A1520" t="str">
            <v>A</v>
          </cell>
        </row>
        <row r="1521">
          <cell r="A1521" t="str">
            <v>A</v>
          </cell>
        </row>
        <row r="1522">
          <cell r="A1522" t="str">
            <v>A</v>
          </cell>
        </row>
        <row r="1523">
          <cell r="A1523" t="str">
            <v>A</v>
          </cell>
        </row>
        <row r="1524">
          <cell r="A1524" t="str">
            <v>A</v>
          </cell>
        </row>
        <row r="1525">
          <cell r="A1525" t="str">
            <v>A</v>
          </cell>
        </row>
        <row r="1526">
          <cell r="A1526" t="str">
            <v>A</v>
          </cell>
        </row>
        <row r="1527">
          <cell r="A1527" t="str">
            <v>A</v>
          </cell>
        </row>
        <row r="1528">
          <cell r="A1528" t="str">
            <v>A</v>
          </cell>
        </row>
        <row r="1529">
          <cell r="A1529" t="str">
            <v>A</v>
          </cell>
        </row>
        <row r="1530">
          <cell r="A1530" t="str">
            <v>A</v>
          </cell>
        </row>
        <row r="1531">
          <cell r="A1531" t="str">
            <v>A</v>
          </cell>
        </row>
        <row r="1532">
          <cell r="A1532" t="str">
            <v>A</v>
          </cell>
        </row>
        <row r="1533">
          <cell r="A1533" t="str">
            <v>A</v>
          </cell>
        </row>
        <row r="1534">
          <cell r="A1534" t="str">
            <v>A</v>
          </cell>
        </row>
        <row r="1535">
          <cell r="A1535" t="str">
            <v>A</v>
          </cell>
        </row>
        <row r="1536">
          <cell r="A1536" t="str">
            <v>A</v>
          </cell>
        </row>
        <row r="1537">
          <cell r="A1537" t="str">
            <v>A</v>
          </cell>
        </row>
        <row r="1538">
          <cell r="A1538" t="str">
            <v>A</v>
          </cell>
        </row>
        <row r="1539">
          <cell r="A1539" t="str">
            <v>A</v>
          </cell>
        </row>
        <row r="1540">
          <cell r="A1540" t="str">
            <v>A</v>
          </cell>
        </row>
        <row r="1541">
          <cell r="A1541" t="str">
            <v>A</v>
          </cell>
        </row>
        <row r="1542">
          <cell r="A1542" t="str">
            <v>A</v>
          </cell>
        </row>
        <row r="1543">
          <cell r="A1543" t="str">
            <v>A</v>
          </cell>
        </row>
        <row r="1544">
          <cell r="A1544" t="str">
            <v>A</v>
          </cell>
        </row>
        <row r="1545">
          <cell r="A1545" t="str">
            <v>A</v>
          </cell>
        </row>
        <row r="1546">
          <cell r="A1546" t="str">
            <v>A</v>
          </cell>
        </row>
        <row r="1547">
          <cell r="A1547" t="str">
            <v>A</v>
          </cell>
        </row>
        <row r="1548">
          <cell r="A1548" t="str">
            <v>A</v>
          </cell>
        </row>
        <row r="1549">
          <cell r="A1549" t="str">
            <v>A</v>
          </cell>
        </row>
        <row r="1550">
          <cell r="A1550" t="str">
            <v>A</v>
          </cell>
        </row>
        <row r="1551">
          <cell r="A1551" t="str">
            <v>A</v>
          </cell>
        </row>
        <row r="1552">
          <cell r="A1552" t="str">
            <v>A</v>
          </cell>
        </row>
        <row r="1553">
          <cell r="A1553" t="str">
            <v>A</v>
          </cell>
        </row>
        <row r="1554">
          <cell r="A1554" t="str">
            <v>A</v>
          </cell>
        </row>
        <row r="1555">
          <cell r="A1555" t="str">
            <v>A</v>
          </cell>
        </row>
        <row r="1556">
          <cell r="A1556" t="str">
            <v>A</v>
          </cell>
        </row>
        <row r="1557">
          <cell r="A1557" t="str">
            <v>A</v>
          </cell>
        </row>
        <row r="1558">
          <cell r="A1558" t="str">
            <v>A</v>
          </cell>
        </row>
        <row r="1559">
          <cell r="A1559" t="str">
            <v>A</v>
          </cell>
        </row>
        <row r="1560">
          <cell r="A1560" t="str">
            <v>A</v>
          </cell>
        </row>
        <row r="1561">
          <cell r="A1561" t="str">
            <v>A</v>
          </cell>
        </row>
        <row r="1562">
          <cell r="A1562" t="str">
            <v>A</v>
          </cell>
        </row>
        <row r="1563">
          <cell r="A1563" t="str">
            <v>A</v>
          </cell>
        </row>
        <row r="1564">
          <cell r="A1564" t="str">
            <v>A</v>
          </cell>
        </row>
      </sheetData>
      <sheetData sheetId="1" refreshError="1"/>
      <sheetData sheetId="2" refreshError="1"/>
      <sheetData sheetId="3" refreshError="1"/>
      <sheetData sheetId="4">
        <row r="2">
          <cell r="A2" t="str">
            <v>396500</v>
          </cell>
          <cell r="B2" t="str">
            <v>TIGER 반도체TOP10</v>
          </cell>
          <cell r="C2">
            <v>1.1174999999999999</v>
          </cell>
          <cell r="D2">
            <v>0.1842</v>
          </cell>
          <cell r="E2">
            <v>0.9274</v>
          </cell>
          <cell r="F2">
            <v>158.85</v>
          </cell>
          <cell r="G2">
            <v>19000000</v>
          </cell>
          <cell r="I2">
            <v>-11.1</v>
          </cell>
          <cell r="J2">
            <v>5.09</v>
          </cell>
          <cell r="K2">
            <v>4.84</v>
          </cell>
          <cell r="L2">
            <v>-2.3199999999999998</v>
          </cell>
          <cell r="M2">
            <v>-19.88</v>
          </cell>
        </row>
        <row r="3">
          <cell r="A3" t="str">
            <v>305540</v>
          </cell>
          <cell r="B3" t="str">
            <v>TIGER 2차전지테마</v>
          </cell>
          <cell r="C3">
            <v>4.1599999999999998E-2</v>
          </cell>
          <cell r="D3">
            <v>0.70489999999999997</v>
          </cell>
          <cell r="E3">
            <v>0.53190000000000004</v>
          </cell>
          <cell r="F3">
            <v>268.45999999999998</v>
          </cell>
          <cell r="G3">
            <v>0</v>
          </cell>
          <cell r="H3" t="str">
            <v>금지</v>
          </cell>
          <cell r="I3">
            <v>-9.8699999999999992</v>
          </cell>
          <cell r="J3">
            <v>8.61</v>
          </cell>
          <cell r="K3">
            <v>11.46</v>
          </cell>
          <cell r="L3">
            <v>8.0500000000000007</v>
          </cell>
          <cell r="M3">
            <v>-27.79</v>
          </cell>
        </row>
        <row r="4">
          <cell r="A4" t="str">
            <v>494670</v>
          </cell>
          <cell r="B4" t="str">
            <v>TIGER 조선TOP10</v>
          </cell>
          <cell r="C4">
            <v>0.16980000000000001</v>
          </cell>
          <cell r="D4">
            <v>0.41810000000000003</v>
          </cell>
          <cell r="E4">
            <v>0.38540000000000002</v>
          </cell>
          <cell r="F4">
            <v>281.68</v>
          </cell>
          <cell r="G4">
            <v>0</v>
          </cell>
          <cell r="H4" t="str">
            <v>금지</v>
          </cell>
          <cell r="I4">
            <v>-10.23</v>
          </cell>
          <cell r="J4">
            <v>7.41</v>
          </cell>
          <cell r="K4">
            <v>9.33</v>
          </cell>
          <cell r="L4">
            <v>4.66</v>
          </cell>
          <cell r="M4">
            <v>-25.12</v>
          </cell>
        </row>
        <row r="5">
          <cell r="A5" t="str">
            <v>364970</v>
          </cell>
          <cell r="B5" t="str">
            <v>TIGER 바이오TOP10</v>
          </cell>
          <cell r="C5">
            <v>-5.0900000000000001E-2</v>
          </cell>
          <cell r="D5">
            <v>0.58489999999999998</v>
          </cell>
          <cell r="E5">
            <v>0.51549999999999996</v>
          </cell>
          <cell r="F5">
            <v>204.33</v>
          </cell>
          <cell r="G5">
            <v>14000000</v>
          </cell>
          <cell r="I5">
            <v>-10.55</v>
          </cell>
          <cell r="J5">
            <v>7.11</v>
          </cell>
          <cell r="K5">
            <v>10.039999999999999</v>
          </cell>
          <cell r="L5">
            <v>4.83</v>
          </cell>
          <cell r="M5">
            <v>-25.93</v>
          </cell>
        </row>
        <row r="6">
          <cell r="A6" t="str">
            <v>364990</v>
          </cell>
          <cell r="B6" t="str">
            <v>TIGER 게임TOP10</v>
          </cell>
          <cell r="C6">
            <v>-7.5999999999999998E-2</v>
          </cell>
          <cell r="D6">
            <v>0.32800000000000001</v>
          </cell>
          <cell r="E6">
            <v>0.15820000000000001</v>
          </cell>
          <cell r="F6">
            <v>244.12</v>
          </cell>
          <cell r="G6">
            <v>12000000</v>
          </cell>
          <cell r="I6">
            <v>-7.92</v>
          </cell>
          <cell r="J6">
            <v>18.489999999999998</v>
          </cell>
          <cell r="K6">
            <v>10.82</v>
          </cell>
          <cell r="L6">
            <v>18.86</v>
          </cell>
          <cell r="M6">
            <v>-34.700000000000003</v>
          </cell>
        </row>
        <row r="7">
          <cell r="A7" t="str">
            <v>228790</v>
          </cell>
          <cell r="B7" t="str">
            <v>TIGER 화장품</v>
          </cell>
          <cell r="C7">
            <v>-0.21099999999999999</v>
          </cell>
          <cell r="D7">
            <v>0.58509999999999995</v>
          </cell>
          <cell r="E7">
            <v>0.35670000000000002</v>
          </cell>
          <cell r="F7">
            <v>234.07</v>
          </cell>
          <cell r="G7">
            <v>12000000</v>
          </cell>
          <cell r="I7">
            <v>-7.19</v>
          </cell>
          <cell r="J7">
            <v>8.91</v>
          </cell>
          <cell r="K7">
            <v>13.53</v>
          </cell>
          <cell r="L7">
            <v>13.06</v>
          </cell>
          <cell r="M7">
            <v>-27.44</v>
          </cell>
        </row>
        <row r="8">
          <cell r="A8" t="str">
            <v>228800</v>
          </cell>
          <cell r="B8" t="str">
            <v>TIGER 여행레저</v>
          </cell>
          <cell r="C8">
            <v>-1.7500000000000002E-2</v>
          </cell>
          <cell r="D8">
            <v>0.375</v>
          </cell>
          <cell r="E8">
            <v>0.33329999999999999</v>
          </cell>
          <cell r="F8">
            <v>197.43</v>
          </cell>
          <cell r="G8">
            <v>15000000</v>
          </cell>
          <cell r="I8">
            <v>-7.18</v>
          </cell>
          <cell r="J8">
            <v>14.57</v>
          </cell>
          <cell r="K8">
            <v>13.02</v>
          </cell>
          <cell r="L8">
            <v>17.239999999999998</v>
          </cell>
          <cell r="M8">
            <v>-31.6</v>
          </cell>
        </row>
        <row r="9">
          <cell r="A9" t="str">
            <v>364980</v>
          </cell>
          <cell r="B9" t="str">
            <v>TIGER 2차전지TOP10</v>
          </cell>
          <cell r="C9">
            <v>6.9900000000000004E-2</v>
          </cell>
          <cell r="D9">
            <v>0.68940000000000001</v>
          </cell>
          <cell r="E9">
            <v>0.48870000000000002</v>
          </cell>
          <cell r="F9">
            <v>296.39999999999998</v>
          </cell>
          <cell r="G9">
            <v>0</v>
          </cell>
          <cell r="H9" t="str">
            <v>금지</v>
          </cell>
          <cell r="I9">
            <v>-9.9</v>
          </cell>
          <cell r="J9">
            <v>9.0500000000000007</v>
          </cell>
          <cell r="K9">
            <v>11.17</v>
          </cell>
          <cell r="L9">
            <v>8.07</v>
          </cell>
          <cell r="M9">
            <v>-27.87</v>
          </cell>
        </row>
        <row r="10">
          <cell r="A10" t="str">
            <v>462010</v>
          </cell>
          <cell r="B10" t="str">
            <v>TIGER 2차전지소재Fn</v>
          </cell>
          <cell r="C10">
            <v>5.9400000000000001E-2</v>
          </cell>
          <cell r="D10">
            <v>0.84150000000000003</v>
          </cell>
          <cell r="E10">
            <v>0.61739999999999995</v>
          </cell>
          <cell r="F10">
            <v>271.5</v>
          </cell>
          <cell r="G10">
            <v>0</v>
          </cell>
          <cell r="H10" t="str">
            <v>금지</v>
          </cell>
          <cell r="I10">
            <v>-9.7200000000000006</v>
          </cell>
          <cell r="J10">
            <v>8.7200000000000006</v>
          </cell>
          <cell r="K10">
            <v>12.51</v>
          </cell>
          <cell r="L10">
            <v>9.34</v>
          </cell>
          <cell r="M10">
            <v>-28.78</v>
          </cell>
        </row>
        <row r="11">
          <cell r="A11" t="str">
            <v>365000</v>
          </cell>
          <cell r="B11" t="str">
            <v>TIGER 인터넷TOP10</v>
          </cell>
          <cell r="C11">
            <v>8.0299999999999996E-2</v>
          </cell>
          <cell r="D11">
            <v>0.50600000000000001</v>
          </cell>
          <cell r="E11">
            <v>0.56220000000000003</v>
          </cell>
          <cell r="F11">
            <v>196.65</v>
          </cell>
          <cell r="G11">
            <v>15000000</v>
          </cell>
          <cell r="I11">
            <v>-10.45</v>
          </cell>
          <cell r="J11">
            <v>16.600000000000001</v>
          </cell>
          <cell r="K11">
            <v>13.37</v>
          </cell>
          <cell r="L11">
            <v>16.190000000000001</v>
          </cell>
          <cell r="M11">
            <v>-37.090000000000003</v>
          </cell>
        </row>
        <row r="12">
          <cell r="A12" t="str">
            <v>139230</v>
          </cell>
          <cell r="B12" t="str">
            <v>TIGER 200 중공업</v>
          </cell>
          <cell r="C12">
            <v>0.2392</v>
          </cell>
          <cell r="D12">
            <v>0.53339999999999999</v>
          </cell>
          <cell r="E12">
            <v>0.6099</v>
          </cell>
          <cell r="F12">
            <v>234.75</v>
          </cell>
          <cell r="G12">
            <v>12000000</v>
          </cell>
          <cell r="I12">
            <v>-8.5299999999999994</v>
          </cell>
          <cell r="J12">
            <v>9.99</v>
          </cell>
          <cell r="K12">
            <v>12.29</v>
          </cell>
          <cell r="L12">
            <v>11.27</v>
          </cell>
          <cell r="M12">
            <v>-28.33</v>
          </cell>
        </row>
        <row r="13">
          <cell r="A13" t="str">
            <v>471760</v>
          </cell>
          <cell r="B13" t="str">
            <v>TIGER AI반도체핵심공정</v>
          </cell>
          <cell r="C13">
            <v>0.51119999999999999</v>
          </cell>
          <cell r="D13">
            <v>0.81110000000000004</v>
          </cell>
          <cell r="E13">
            <v>0.79849999999999999</v>
          </cell>
          <cell r="F13">
            <v>254.2</v>
          </cell>
          <cell r="G13">
            <v>0</v>
          </cell>
          <cell r="H13" t="str">
            <v>금지</v>
          </cell>
          <cell r="I13">
            <v>-11.61</v>
          </cell>
          <cell r="J13">
            <v>7.77</v>
          </cell>
          <cell r="K13">
            <v>12.39</v>
          </cell>
          <cell r="L13">
            <v>6.67</v>
          </cell>
          <cell r="M13">
            <v>-29.89</v>
          </cell>
        </row>
        <row r="14">
          <cell r="A14" t="str">
            <v>0052D0</v>
          </cell>
          <cell r="B14" t="str">
            <v>TIGER 코리아배당다우존스</v>
          </cell>
          <cell r="C14">
            <v>0.1038</v>
          </cell>
          <cell r="D14">
            <v>0.22789999999999999</v>
          </cell>
          <cell r="E14">
            <v>0.4037</v>
          </cell>
          <cell r="F14">
            <v>153.15</v>
          </cell>
          <cell r="G14">
            <v>19000000</v>
          </cell>
          <cell r="I14">
            <v>-8.3800000000000008</v>
          </cell>
          <cell r="J14">
            <v>8.4600000000000009</v>
          </cell>
          <cell r="K14">
            <v>7.02</v>
          </cell>
          <cell r="L14">
            <v>5.36</v>
          </cell>
          <cell r="M14">
            <v>-22.12</v>
          </cell>
        </row>
        <row r="15">
          <cell r="A15" t="str">
            <v>466940</v>
          </cell>
          <cell r="B15" t="str">
            <v>TIGER 은행고배당플러스TOP10</v>
          </cell>
          <cell r="C15">
            <v>0.1052</v>
          </cell>
          <cell r="D15">
            <v>0.17249999999999999</v>
          </cell>
          <cell r="E15">
            <v>0.25840000000000002</v>
          </cell>
          <cell r="F15">
            <v>179.88</v>
          </cell>
          <cell r="G15">
            <v>16000000</v>
          </cell>
          <cell r="I15">
            <v>-8.9700000000000006</v>
          </cell>
          <cell r="J15">
            <v>7.12</v>
          </cell>
          <cell r="K15">
            <v>7.34</v>
          </cell>
          <cell r="L15">
            <v>3.81</v>
          </cell>
          <cell r="M15">
            <v>-21.75</v>
          </cell>
        </row>
        <row r="16">
          <cell r="A16" t="str">
            <v>157500</v>
          </cell>
          <cell r="B16" t="str">
            <v>TIGER 증권</v>
          </cell>
          <cell r="C16">
            <v>0.47989999999999999</v>
          </cell>
          <cell r="D16">
            <v>0.40539999999999998</v>
          </cell>
          <cell r="E16">
            <v>0.62919999999999998</v>
          </cell>
          <cell r="F16">
            <v>267.67</v>
          </cell>
          <cell r="G16">
            <v>0</v>
          </cell>
          <cell r="H16" t="str">
            <v>금지</v>
          </cell>
          <cell r="I16">
            <v>-12</v>
          </cell>
          <cell r="J16">
            <v>8.1</v>
          </cell>
          <cell r="K16">
            <v>11.15</v>
          </cell>
          <cell r="L16">
            <v>5.23</v>
          </cell>
          <cell r="M16">
            <v>-29.23</v>
          </cell>
        </row>
        <row r="17">
          <cell r="A17" t="str">
            <v>400970</v>
          </cell>
          <cell r="B17" t="str">
            <v>TIGER Fn메타버스</v>
          </cell>
          <cell r="C17">
            <v>8.1000000000000003E-2</v>
          </cell>
          <cell r="D17">
            <v>0.376</v>
          </cell>
          <cell r="E17">
            <v>0.38679999999999998</v>
          </cell>
          <cell r="F17">
            <v>218.21</v>
          </cell>
          <cell r="G17">
            <v>13000000</v>
          </cell>
          <cell r="I17">
            <v>-9.81</v>
          </cell>
          <cell r="J17">
            <v>14.96</v>
          </cell>
          <cell r="K17">
            <v>9.24</v>
          </cell>
          <cell r="L17">
            <v>12.17</v>
          </cell>
          <cell r="M17">
            <v>-31.79</v>
          </cell>
        </row>
        <row r="18">
          <cell r="A18" t="str">
            <v>228810</v>
          </cell>
          <cell r="B18" t="str">
            <v>TIGER 미디어컨텐츠</v>
          </cell>
          <cell r="C18">
            <v>-0.1847</v>
          </cell>
          <cell r="D18">
            <v>0.69120000000000004</v>
          </cell>
          <cell r="E18">
            <v>0.53849999999999998</v>
          </cell>
          <cell r="F18">
            <v>201.51</v>
          </cell>
          <cell r="G18">
            <v>15000000</v>
          </cell>
          <cell r="I18">
            <v>-6.52</v>
          </cell>
          <cell r="J18">
            <v>15.13</v>
          </cell>
          <cell r="K18">
            <v>14.29</v>
          </cell>
          <cell r="L18">
            <v>19.489999999999998</v>
          </cell>
          <cell r="M18">
            <v>-32.53</v>
          </cell>
        </row>
        <row r="19">
          <cell r="A19" t="str">
            <v>157490</v>
          </cell>
          <cell r="B19" t="str">
            <v>TIGER 소프트웨어</v>
          </cell>
          <cell r="C19">
            <v>0.18590000000000001</v>
          </cell>
          <cell r="D19">
            <v>0.29980000000000001</v>
          </cell>
          <cell r="E19">
            <v>0.36320000000000002</v>
          </cell>
          <cell r="F19">
            <v>246.01</v>
          </cell>
          <cell r="G19">
            <v>12000000</v>
          </cell>
          <cell r="I19">
            <v>-10.69</v>
          </cell>
          <cell r="J19">
            <v>12.52</v>
          </cell>
          <cell r="K19">
            <v>11.62</v>
          </cell>
          <cell r="L19">
            <v>10.66</v>
          </cell>
          <cell r="M19">
            <v>-32.04</v>
          </cell>
        </row>
        <row r="20">
          <cell r="A20" t="str">
            <v>307520</v>
          </cell>
          <cell r="B20" t="str">
            <v>TIGER 지주회사</v>
          </cell>
          <cell r="C20">
            <v>0.36370000000000002</v>
          </cell>
          <cell r="D20">
            <v>0.38030000000000003</v>
          </cell>
          <cell r="E20">
            <v>0.75039999999999996</v>
          </cell>
          <cell r="F20">
            <v>167.01</v>
          </cell>
          <cell r="G20">
            <v>18000000</v>
          </cell>
          <cell r="I20">
            <v>-12.71</v>
          </cell>
          <cell r="J20">
            <v>9.6</v>
          </cell>
          <cell r="K20">
            <v>9.7899999999999991</v>
          </cell>
          <cell r="L20">
            <v>4.43</v>
          </cell>
          <cell r="M20">
            <v>-29.85</v>
          </cell>
        </row>
        <row r="21">
          <cell r="A21" t="str">
            <v>139250</v>
          </cell>
          <cell r="B21" t="str">
            <v>TIGER 200 에너지화학</v>
          </cell>
          <cell r="C21">
            <v>0.26619999999999999</v>
          </cell>
          <cell r="D21">
            <v>0.3982</v>
          </cell>
          <cell r="E21">
            <v>0.61780000000000002</v>
          </cell>
          <cell r="F21">
            <v>200.37</v>
          </cell>
          <cell r="G21">
            <v>15000000</v>
          </cell>
          <cell r="I21">
            <v>-7.81</v>
          </cell>
          <cell r="J21">
            <v>17.23</v>
          </cell>
          <cell r="K21">
            <v>11.66</v>
          </cell>
          <cell r="L21">
            <v>18.2</v>
          </cell>
          <cell r="M21">
            <v>-33.82</v>
          </cell>
        </row>
        <row r="22">
          <cell r="A22" t="str">
            <v>292150</v>
          </cell>
          <cell r="B22" t="str">
            <v>TIGER 코리아TOP10</v>
          </cell>
          <cell r="C22">
            <v>0.96609999999999996</v>
          </cell>
          <cell r="D22">
            <v>-1.1599999999999999E-2</v>
          </cell>
          <cell r="E22">
            <v>0.98060000000000003</v>
          </cell>
          <cell r="F22">
            <v>62.41</v>
          </cell>
          <cell r="G22">
            <v>48000000</v>
          </cell>
          <cell r="I22">
            <v>-9.64</v>
          </cell>
          <cell r="J22">
            <v>6.54</v>
          </cell>
          <cell r="K22">
            <v>7.16</v>
          </cell>
          <cell r="L22">
            <v>2.48</v>
          </cell>
          <cell r="M22">
            <v>-21.76</v>
          </cell>
        </row>
        <row r="23">
          <cell r="A23" t="str">
            <v>139220</v>
          </cell>
          <cell r="B23" t="str">
            <v>TIGER 200 건설</v>
          </cell>
          <cell r="C23">
            <v>0.42380000000000001</v>
          </cell>
          <cell r="D23">
            <v>0.51680000000000004</v>
          </cell>
          <cell r="E23">
            <v>0.61819999999999997</v>
          </cell>
          <cell r="F23">
            <v>285.64999999999998</v>
          </cell>
          <cell r="G23">
            <v>0</v>
          </cell>
          <cell r="H23" t="str">
            <v>금지</v>
          </cell>
          <cell r="I23">
            <v>-9.73</v>
          </cell>
          <cell r="J23">
            <v>10.029999999999999</v>
          </cell>
          <cell r="K23">
            <v>14.12</v>
          </cell>
          <cell r="L23">
            <v>11.92</v>
          </cell>
          <cell r="M23">
            <v>-31.38</v>
          </cell>
        </row>
        <row r="24">
          <cell r="A24" t="str">
            <v>377990</v>
          </cell>
          <cell r="B24" t="str">
            <v>TIGER Fn신재생에너지</v>
          </cell>
          <cell r="C24">
            <v>0.20130000000000001</v>
          </cell>
          <cell r="D24">
            <v>0.81720000000000004</v>
          </cell>
          <cell r="E24">
            <v>0.6391</v>
          </cell>
          <cell r="F24">
            <v>290.02</v>
          </cell>
          <cell r="G24">
            <v>0</v>
          </cell>
          <cell r="H24" t="str">
            <v>금지</v>
          </cell>
          <cell r="I24">
            <v>-9.93</v>
          </cell>
          <cell r="J24">
            <v>8.41</v>
          </cell>
          <cell r="K24">
            <v>13.16</v>
          </cell>
          <cell r="L24">
            <v>9.59</v>
          </cell>
          <cell r="M24">
            <v>-29.45</v>
          </cell>
        </row>
        <row r="25">
          <cell r="A25" t="str">
            <v>0091P0</v>
          </cell>
          <cell r="B25" t="str">
            <v>TIGER 코리아원자력</v>
          </cell>
          <cell r="C25">
            <v>0.20449999999999999</v>
          </cell>
          <cell r="D25">
            <v>0.81730000000000003</v>
          </cell>
          <cell r="E25">
            <v>0.62590000000000001</v>
          </cell>
          <cell r="F25">
            <v>299.37</v>
          </cell>
          <cell r="G25">
            <v>0</v>
          </cell>
          <cell r="H25" t="str">
            <v>금지</v>
          </cell>
          <cell r="I25">
            <v>-10.51</v>
          </cell>
          <cell r="J25">
            <v>7.08</v>
          </cell>
          <cell r="K25">
            <v>14.02</v>
          </cell>
          <cell r="L25">
            <v>9.1199999999999992</v>
          </cell>
          <cell r="M25">
            <v>-30.14</v>
          </cell>
        </row>
        <row r="26">
          <cell r="A26" t="str">
            <v>0117V0</v>
          </cell>
          <cell r="B26" t="str">
            <v>TIGER 코리아AI전력기기TOP3플러스</v>
          </cell>
          <cell r="C26">
            <v>0.41439999999999999</v>
          </cell>
          <cell r="D26">
            <v>0.71550000000000002</v>
          </cell>
          <cell r="E26">
            <v>0.6341</v>
          </cell>
          <cell r="F26">
            <v>327.7</v>
          </cell>
          <cell r="G26">
            <v>0</v>
          </cell>
          <cell r="H26" t="str">
            <v>금지</v>
          </cell>
          <cell r="I26">
            <v>-9.9600000000000009</v>
          </cell>
          <cell r="J26">
            <v>7.37</v>
          </cell>
          <cell r="K26">
            <v>11.1</v>
          </cell>
          <cell r="L26">
            <v>6.69</v>
          </cell>
          <cell r="M26">
            <v>-26.61</v>
          </cell>
        </row>
        <row r="27">
          <cell r="A27" t="str">
            <v>091220</v>
          </cell>
          <cell r="B27" t="str">
            <v>TIGER 은행</v>
          </cell>
          <cell r="C27">
            <v>4.8599999999999997E-2</v>
          </cell>
          <cell r="D27">
            <v>0.2094</v>
          </cell>
          <cell r="E27">
            <v>0.18690000000000001</v>
          </cell>
          <cell r="F27">
            <v>203.99</v>
          </cell>
          <cell r="G27">
            <v>14000000</v>
          </cell>
          <cell r="I27">
            <v>-10.86</v>
          </cell>
          <cell r="J27">
            <v>11.91</v>
          </cell>
          <cell r="K27">
            <v>8.65</v>
          </cell>
          <cell r="L27">
            <v>7.54</v>
          </cell>
          <cell r="M27">
            <v>-29.26</v>
          </cell>
        </row>
        <row r="28">
          <cell r="A28" t="str">
            <v>138540</v>
          </cell>
          <cell r="B28" t="str">
            <v>TIGER 현대차그룹플러스</v>
          </cell>
          <cell r="C28">
            <v>0.37590000000000001</v>
          </cell>
          <cell r="D28">
            <v>0.29299999999999998</v>
          </cell>
          <cell r="E28">
            <v>0.53720000000000001</v>
          </cell>
          <cell r="F28">
            <v>245.7</v>
          </cell>
          <cell r="G28">
            <v>12000000</v>
          </cell>
          <cell r="I28">
            <v>-9.5399999999999991</v>
          </cell>
          <cell r="J28">
            <v>6.99</v>
          </cell>
          <cell r="K28">
            <v>9.17</v>
          </cell>
          <cell r="L28">
            <v>4.87</v>
          </cell>
          <cell r="M28">
            <v>-23.95</v>
          </cell>
        </row>
        <row r="29">
          <cell r="A29" t="str">
            <v>0148J0</v>
          </cell>
          <cell r="B29" t="str">
            <v>TIGER 코리아휴머노이드로봇산업</v>
          </cell>
          <cell r="C29">
            <v>0.4052</v>
          </cell>
          <cell r="D29">
            <v>0.59460000000000002</v>
          </cell>
          <cell r="E29">
            <v>0.5292</v>
          </cell>
          <cell r="F29">
            <v>361.79</v>
          </cell>
          <cell r="G29">
            <v>0</v>
          </cell>
          <cell r="H29" t="str">
            <v>금지</v>
          </cell>
          <cell r="I29">
            <v>-9.4499999999999993</v>
          </cell>
          <cell r="J29">
            <v>8.09</v>
          </cell>
          <cell r="K29">
            <v>10.73</v>
          </cell>
          <cell r="L29">
            <v>7.35</v>
          </cell>
          <cell r="M29">
            <v>-26.25</v>
          </cell>
        </row>
        <row r="30">
          <cell r="A30" t="str">
            <v>395270</v>
          </cell>
          <cell r="B30" t="str">
            <v>HANARO Fn K-반도체</v>
          </cell>
          <cell r="C30">
            <v>1.1755</v>
          </cell>
          <cell r="D30">
            <v>9.7100000000000006E-2</v>
          </cell>
          <cell r="E30">
            <v>0.91379999999999995</v>
          </cell>
          <cell r="F30">
            <v>174.92</v>
          </cell>
          <cell r="G30">
            <v>17000000</v>
          </cell>
          <cell r="I30">
            <v>-10.55</v>
          </cell>
          <cell r="J30">
            <v>6.22</v>
          </cell>
          <cell r="K30">
            <v>7.57</v>
          </cell>
          <cell r="L30">
            <v>1.7</v>
          </cell>
          <cell r="M30">
            <v>-22.8</v>
          </cell>
        </row>
        <row r="31">
          <cell r="A31" t="str">
            <v>261070</v>
          </cell>
          <cell r="B31" t="str">
            <v>TIGER 코스닥150바이오테크</v>
          </cell>
          <cell r="C31">
            <v>-0.26229999999999998</v>
          </cell>
          <cell r="D31">
            <v>1.0610999999999999</v>
          </cell>
          <cell r="E31">
            <v>0.69730000000000003</v>
          </cell>
          <cell r="F31">
            <v>223.13</v>
          </cell>
          <cell r="G31">
            <v>13000000</v>
          </cell>
          <cell r="I31">
            <v>-12.03</v>
          </cell>
          <cell r="J31">
            <v>11.33</v>
          </cell>
          <cell r="K31">
            <v>13.58</v>
          </cell>
          <cell r="L31">
            <v>10.08</v>
          </cell>
          <cell r="M31">
            <v>-34.14</v>
          </cell>
        </row>
        <row r="32">
          <cell r="A32" t="str">
            <v>138530</v>
          </cell>
          <cell r="B32" t="str">
            <v>TIGER LG그룹플러스</v>
          </cell>
          <cell r="C32">
            <v>0.31769999999999998</v>
          </cell>
          <cell r="D32">
            <v>0.23619999999999999</v>
          </cell>
          <cell r="E32">
            <v>0.30009999999999998</v>
          </cell>
          <cell r="F32">
            <v>335.76</v>
          </cell>
          <cell r="G32">
            <v>0</v>
          </cell>
          <cell r="H32" t="str">
            <v>금지</v>
          </cell>
          <cell r="I32">
            <v>-11.44</v>
          </cell>
          <cell r="J32">
            <v>9.24</v>
          </cell>
          <cell r="K32">
            <v>9.93</v>
          </cell>
          <cell r="L32">
            <v>5.52</v>
          </cell>
          <cell r="M32">
            <v>-28.4</v>
          </cell>
        </row>
        <row r="33">
          <cell r="A33" t="str">
            <v>261060</v>
          </cell>
          <cell r="B33" t="str">
            <v>TIGER 코스닥150IT</v>
          </cell>
          <cell r="C33">
            <v>0.20930000000000001</v>
          </cell>
          <cell r="D33">
            <v>1.0199</v>
          </cell>
          <cell r="E33">
            <v>0.83720000000000006</v>
          </cell>
          <cell r="F33">
            <v>205.65</v>
          </cell>
          <cell r="G33">
            <v>14000000</v>
          </cell>
          <cell r="I33">
            <v>-11.99</v>
          </cell>
          <cell r="J33">
            <v>16.84</v>
          </cell>
          <cell r="K33">
            <v>16.02</v>
          </cell>
          <cell r="L33">
            <v>17.059999999999999</v>
          </cell>
          <cell r="M33">
            <v>-41.04</v>
          </cell>
        </row>
        <row r="34">
          <cell r="A34" t="str">
            <v>227540</v>
          </cell>
          <cell r="B34" t="str">
            <v>TIGER 200 헬스케어</v>
          </cell>
          <cell r="C34">
            <v>-6.9900000000000004E-2</v>
          </cell>
          <cell r="D34">
            <v>0.4929</v>
          </cell>
          <cell r="E34">
            <v>0.38879999999999998</v>
          </cell>
          <cell r="F34">
            <v>213.21</v>
          </cell>
          <cell r="G34">
            <v>14000000</v>
          </cell>
          <cell r="I34">
            <v>-10.4</v>
          </cell>
          <cell r="J34">
            <v>11.34</v>
          </cell>
          <cell r="K34">
            <v>9.86</v>
          </cell>
          <cell r="L34">
            <v>8.3800000000000008</v>
          </cell>
          <cell r="M34">
            <v>-29.18</v>
          </cell>
        </row>
        <row r="35">
          <cell r="A35" t="str">
            <v>138520</v>
          </cell>
          <cell r="B35" t="str">
            <v>TIGER 삼성그룹</v>
          </cell>
          <cell r="C35">
            <v>0.80069999999999997</v>
          </cell>
          <cell r="D35">
            <v>7.7499999999999999E-2</v>
          </cell>
          <cell r="E35">
            <v>0.91269999999999996</v>
          </cell>
          <cell r="F35">
            <v>120.97</v>
          </cell>
          <cell r="G35">
            <v>25000000</v>
          </cell>
          <cell r="I35">
            <v>-9.9499999999999993</v>
          </cell>
          <cell r="J35">
            <v>12.55</v>
          </cell>
          <cell r="K35">
            <v>12.16</v>
          </cell>
          <cell r="L35">
            <v>11.89</v>
          </cell>
          <cell r="M35">
            <v>-31.79</v>
          </cell>
        </row>
        <row r="36">
          <cell r="A36" t="str">
            <v>364960</v>
          </cell>
          <cell r="B36" t="str">
            <v>TIGER BBIG</v>
          </cell>
          <cell r="C36">
            <v>1.49E-2</v>
          </cell>
          <cell r="D36">
            <v>0.48199999999999998</v>
          </cell>
          <cell r="E36">
            <v>0.53969999999999996</v>
          </cell>
          <cell r="F36">
            <v>176.59</v>
          </cell>
          <cell r="G36">
            <v>17000000</v>
          </cell>
          <cell r="I36">
            <v>-10.8</v>
          </cell>
          <cell r="J36">
            <v>16.57</v>
          </cell>
          <cell r="K36">
            <v>10.61</v>
          </cell>
          <cell r="L36">
            <v>13.79</v>
          </cell>
          <cell r="M36">
            <v>-35.39</v>
          </cell>
        </row>
        <row r="37">
          <cell r="A37" t="str">
            <v>150460</v>
          </cell>
          <cell r="B37" t="str">
            <v>TIGER 중국소비테마</v>
          </cell>
          <cell r="C37">
            <v>-0.127</v>
          </cell>
          <cell r="D37">
            <v>0.4531</v>
          </cell>
          <cell r="E37">
            <v>0.40360000000000001</v>
          </cell>
          <cell r="F37">
            <v>171.95</v>
          </cell>
          <cell r="G37">
            <v>17000000</v>
          </cell>
          <cell r="I37">
            <v>-13.72</v>
          </cell>
          <cell r="J37">
            <v>16.93</v>
          </cell>
          <cell r="K37">
            <v>9.77</v>
          </cell>
          <cell r="L37">
            <v>10.71</v>
          </cell>
          <cell r="M37">
            <v>-38.15</v>
          </cell>
        </row>
        <row r="38">
          <cell r="A38" t="str">
            <v>472150</v>
          </cell>
          <cell r="B38" t="str">
            <v>TIGER 배당커버드콜액티브</v>
          </cell>
          <cell r="C38">
            <v>0.98040000000000005</v>
          </cell>
          <cell r="D38">
            <v>-8.0000000000000004E-4</v>
          </cell>
          <cell r="E38">
            <v>0.98619999999999997</v>
          </cell>
          <cell r="F38">
            <v>53.52</v>
          </cell>
          <cell r="G38">
            <v>56000000</v>
          </cell>
          <cell r="I38">
            <v>-2.0699999999999998</v>
          </cell>
          <cell r="J38">
            <v>9.02</v>
          </cell>
          <cell r="K38">
            <v>4.6900000000000004</v>
          </cell>
          <cell r="L38">
            <v>10.64</v>
          </cell>
          <cell r="M38">
            <v>-14.78</v>
          </cell>
        </row>
        <row r="39">
          <cell r="A39" t="str">
            <v>417630</v>
          </cell>
          <cell r="B39" t="str">
            <v>TIGER KEDI혁신기업ESG30</v>
          </cell>
          <cell r="C39">
            <v>0.29110000000000003</v>
          </cell>
          <cell r="D39">
            <v>0.39179999999999998</v>
          </cell>
          <cell r="E39">
            <v>0.80649999999999999</v>
          </cell>
          <cell r="F39">
            <v>128.77000000000001</v>
          </cell>
          <cell r="G39">
            <v>23000000</v>
          </cell>
          <cell r="I39">
            <v>-10.95</v>
          </cell>
          <cell r="J39">
            <v>19.82</v>
          </cell>
          <cell r="K39">
            <v>9.91</v>
          </cell>
          <cell r="L39">
            <v>16.75</v>
          </cell>
          <cell r="M39">
            <v>-38.65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5AED-90C3-4AE4-88AB-8D8E2685E6AE}">
  <dimension ref="A1:AL52"/>
  <sheetViews>
    <sheetView tabSelected="1"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0" sqref="G10:T11"/>
    </sheetView>
  </sheetViews>
  <sheetFormatPr defaultRowHeight="16.5" x14ac:dyDescent="0.3"/>
  <cols>
    <col min="1" max="1" width="4" style="1" customWidth="1"/>
    <col min="2" max="2" width="9.25" style="2" bestFit="1" customWidth="1"/>
    <col min="3" max="3" width="23.25" style="3" customWidth="1"/>
    <col min="4" max="4" width="7.125" style="1" customWidth="1"/>
    <col min="5" max="5" width="10" style="1" customWidth="1"/>
    <col min="6" max="6" width="9" style="2"/>
    <col min="7" max="7" width="13.375" style="1" bestFit="1" customWidth="1"/>
    <col min="8" max="8" width="13.875" style="1" bestFit="1" customWidth="1"/>
    <col min="9" max="9" width="9.375" style="1" customWidth="1"/>
    <col min="10" max="10" width="13.125" style="1" bestFit="1" customWidth="1"/>
    <col min="11" max="11" width="13.625" style="1" bestFit="1" customWidth="1"/>
    <col min="12" max="12" width="9.125" style="1" customWidth="1"/>
    <col min="13" max="13" width="10.125" style="1" bestFit="1" customWidth="1"/>
    <col min="14" max="14" width="13" style="1" bestFit="1" customWidth="1"/>
    <col min="15" max="15" width="11.625" style="1" customWidth="1"/>
    <col min="16" max="16" width="13" style="1" bestFit="1" customWidth="1"/>
    <col min="17" max="17" width="13" style="1" customWidth="1"/>
    <col min="18" max="19" width="13.25" style="1" bestFit="1" customWidth="1"/>
    <col min="20" max="20" width="10.5" style="1" customWidth="1"/>
    <col min="21" max="21" width="12.125" style="1" customWidth="1"/>
    <col min="22" max="22" width="13.125" style="1" bestFit="1" customWidth="1"/>
    <col min="23" max="23" width="13.125" style="1" customWidth="1"/>
    <col min="24" max="24" width="12.625" style="1" bestFit="1" customWidth="1"/>
    <col min="25" max="25" width="12.625" style="1" customWidth="1"/>
    <col min="26" max="26" width="13.25" style="1" bestFit="1" customWidth="1"/>
    <col min="27" max="27" width="9.5" style="1" bestFit="1" customWidth="1"/>
    <col min="28" max="28" width="9.25" style="1" customWidth="1"/>
    <col min="29" max="29" width="10.375" style="1" bestFit="1" customWidth="1"/>
    <col min="30" max="30" width="10.375" style="1" customWidth="1"/>
    <col min="31" max="31" width="12.25" style="1" bestFit="1" customWidth="1"/>
    <col min="32" max="16384" width="9" style="1"/>
  </cols>
  <sheetData>
    <row r="1" spans="1:38" x14ac:dyDescent="0.3">
      <c r="E1" s="4"/>
      <c r="F1" s="5"/>
      <c r="J1" s="2"/>
      <c r="R1" s="6">
        <v>0.9</v>
      </c>
    </row>
    <row r="2" spans="1:38" x14ac:dyDescent="0.3">
      <c r="E2" s="4"/>
      <c r="F2" s="7"/>
      <c r="G2" s="4"/>
      <c r="J2" s="4"/>
      <c r="P2" s="1">
        <f>SUM(P4:P5)</f>
        <v>22644597.103008002</v>
      </c>
      <c r="Q2" s="1">
        <f>SUM(Q4:Q5)</f>
        <v>0</v>
      </c>
      <c r="R2" s="1">
        <f>SUM(R4:R5)</f>
        <v>20380137.392707199</v>
      </c>
    </row>
    <row r="3" spans="1:38" x14ac:dyDescent="0.3">
      <c r="F3" s="7"/>
      <c r="J3" s="1" t="s">
        <v>0</v>
      </c>
      <c r="K3" s="1">
        <f>ABS(K4)+K5</f>
        <v>30406600</v>
      </c>
      <c r="O3" s="8" t="s">
        <v>1</v>
      </c>
      <c r="P3" s="9" t="s">
        <v>2</v>
      </c>
      <c r="Q3" s="10" t="s">
        <v>3</v>
      </c>
      <c r="R3" s="11" t="s">
        <v>4</v>
      </c>
      <c r="S3" s="9" t="s">
        <v>5</v>
      </c>
      <c r="T3" s="11" t="s">
        <v>6</v>
      </c>
      <c r="U3" s="11" t="s">
        <v>7</v>
      </c>
      <c r="V3" s="1" t="s">
        <v>8</v>
      </c>
    </row>
    <row r="4" spans="1:38" x14ac:dyDescent="0.3">
      <c r="J4" s="1" t="s">
        <v>9</v>
      </c>
      <c r="K4" s="1">
        <f>SUMIFS($N$15:$N$977,$N$15:$N$977,"&lt;0")</f>
        <v>0</v>
      </c>
      <c r="N4" s="12">
        <f>U4/ABS(N14)</f>
        <v>0.20016713476681205</v>
      </c>
      <c r="O4" s="13" t="s">
        <v>10</v>
      </c>
      <c r="P4" s="14">
        <f>X14</f>
        <v>1234294.0427999999</v>
      </c>
      <c r="Q4" s="1">
        <f>N10</f>
        <v>0</v>
      </c>
      <c r="R4" s="15">
        <f>(P4+Q4)*R1</f>
        <v>1110864.63852</v>
      </c>
      <c r="S4" s="16">
        <f>R4/T10</f>
        <v>2.1581501729450392E-2</v>
      </c>
      <c r="T4" s="17">
        <f>S4*-1</f>
        <v>-2.1581501729450392E-2</v>
      </c>
      <c r="U4" s="18">
        <f>S9+T14</f>
        <v>6086402.0000005476</v>
      </c>
      <c r="V4" s="1" t="s">
        <v>11</v>
      </c>
    </row>
    <row r="5" spans="1:38" x14ac:dyDescent="0.3">
      <c r="G5" s="4"/>
      <c r="J5" s="1" t="s">
        <v>12</v>
      </c>
      <c r="K5" s="1">
        <f>SUMIFS($N$15:$N$977,$N$15:$N$977,"&gt;0")</f>
        <v>30406600</v>
      </c>
      <c r="N5" s="12">
        <f>U4/N12</f>
        <v>0.20142310619851567</v>
      </c>
      <c r="O5" s="19" t="s">
        <v>13</v>
      </c>
      <c r="P5" s="20">
        <f>Y14</f>
        <v>21410303.060208</v>
      </c>
      <c r="Q5" s="21">
        <f>N11</f>
        <v>0</v>
      </c>
      <c r="R5" s="22">
        <f>(P5+Q5)*R1</f>
        <v>19269272.7541872</v>
      </c>
      <c r="S5" s="23">
        <f>R5/T11</f>
        <v>1.4059005365669925</v>
      </c>
      <c r="T5" s="24">
        <f>S5*-1</f>
        <v>-1.4059005365669925</v>
      </c>
      <c r="U5" s="25"/>
      <c r="V5" s="1" t="s">
        <v>14</v>
      </c>
    </row>
    <row r="7" spans="1:38" x14ac:dyDescent="0.3">
      <c r="B7" s="26" t="s">
        <v>15</v>
      </c>
      <c r="C7" s="27" t="s">
        <v>16</v>
      </c>
      <c r="D7" s="28" t="s">
        <v>17</v>
      </c>
      <c r="E7" s="29" t="s">
        <v>18</v>
      </c>
      <c r="F7" s="30" t="s">
        <v>19</v>
      </c>
      <c r="G7" s="31" t="s">
        <v>20</v>
      </c>
      <c r="H7" s="32" t="s">
        <v>21</v>
      </c>
      <c r="I7" s="33" t="s">
        <v>22</v>
      </c>
      <c r="J7" s="31" t="s">
        <v>23</v>
      </c>
      <c r="K7" s="32" t="s">
        <v>24</v>
      </c>
      <c r="L7" s="33" t="s">
        <v>25</v>
      </c>
      <c r="M7" s="34" t="s">
        <v>26</v>
      </c>
      <c r="N7" s="35" t="s">
        <v>27</v>
      </c>
      <c r="O7" s="33" t="s">
        <v>28</v>
      </c>
      <c r="P7" s="36" t="s">
        <v>29</v>
      </c>
      <c r="Q7" s="28" t="s">
        <v>30</v>
      </c>
      <c r="R7" s="29" t="s">
        <v>31</v>
      </c>
      <c r="S7" s="37" t="s">
        <v>7</v>
      </c>
      <c r="T7" s="28" t="s">
        <v>32</v>
      </c>
      <c r="U7" s="37" t="s">
        <v>33</v>
      </c>
    </row>
    <row r="8" spans="1:38" x14ac:dyDescent="0.3">
      <c r="B8" s="38"/>
      <c r="C8" s="39"/>
      <c r="D8" s="40"/>
      <c r="E8" s="41"/>
      <c r="F8" s="42"/>
      <c r="G8" s="43"/>
      <c r="H8" s="44"/>
      <c r="I8" s="45"/>
      <c r="J8" s="43"/>
      <c r="K8" s="44"/>
      <c r="L8" s="45"/>
      <c r="M8" s="43"/>
      <c r="N8" s="44"/>
      <c r="O8" s="45"/>
      <c r="P8" s="46"/>
      <c r="Q8" s="40"/>
      <c r="R8" s="41"/>
      <c r="S8" s="47"/>
      <c r="T8" s="40"/>
      <c r="U8" s="47"/>
    </row>
    <row r="9" spans="1:38" x14ac:dyDescent="0.3">
      <c r="B9" s="48" t="s">
        <v>34</v>
      </c>
      <c r="C9" s="49" t="s">
        <v>34</v>
      </c>
      <c r="D9" s="50" t="s">
        <v>34</v>
      </c>
      <c r="E9" s="51" t="s">
        <v>34</v>
      </c>
      <c r="F9" s="52" t="s">
        <v>34</v>
      </c>
      <c r="G9" s="53">
        <f>SUM(G10:G11)</f>
        <v>93</v>
      </c>
      <c r="H9" s="54">
        <f t="shared" ref="H9:M9" si="0">SUM(H10:H11)</f>
        <v>2938118000</v>
      </c>
      <c r="I9" s="55" t="s">
        <v>34</v>
      </c>
      <c r="J9" s="53">
        <f t="shared" si="0"/>
        <v>93</v>
      </c>
      <c r="K9" s="54">
        <f t="shared" si="0"/>
        <v>2928765000</v>
      </c>
      <c r="L9" s="56" t="s">
        <v>34</v>
      </c>
      <c r="M9" s="53">
        <f t="shared" si="0"/>
        <v>0</v>
      </c>
      <c r="N9" s="54">
        <f>SUM(N10:N11)</f>
        <v>0</v>
      </c>
      <c r="O9" s="55" t="s">
        <v>34</v>
      </c>
      <c r="P9" s="57" t="s">
        <v>34</v>
      </c>
      <c r="Q9" s="50">
        <f>SUM(Q10:Q11)</f>
        <v>39479000.000000149</v>
      </c>
      <c r="R9" s="51">
        <f>SUM(R10:R11)</f>
        <v>-30126000.000000104</v>
      </c>
      <c r="S9" s="58">
        <f>SUM(S10:S11)</f>
        <v>9353000.0000000428</v>
      </c>
      <c r="T9" s="50">
        <f>SUM(T10:T11)</f>
        <v>65179000</v>
      </c>
      <c r="U9" s="59">
        <f>SUM(U10:U11)</f>
        <v>0</v>
      </c>
    </row>
    <row r="10" spans="1:38" x14ac:dyDescent="0.3">
      <c r="B10" s="60" t="s">
        <v>35</v>
      </c>
      <c r="C10" s="61" t="s">
        <v>36</v>
      </c>
      <c r="D10" s="62">
        <v>0</v>
      </c>
      <c r="E10" s="63" t="s">
        <v>34</v>
      </c>
      <c r="F10" s="64" t="s">
        <v>37</v>
      </c>
      <c r="G10" s="65">
        <f>IF([1]!'028875^A0569:SELL_TDY_QTY'="NO", 0, [1]!'028875^A0569:SELL_TDY_QTY')</f>
        <v>43</v>
      </c>
      <c r="H10" s="66">
        <f>IF([1]!'028875^A0569:SELL_TDY_AMT'="NO", 0, [1]!'028875^A0569:SELL_TDY_AMT')</f>
        <v>2242428000</v>
      </c>
      <c r="I10" s="67">
        <f>IFERROR(H10/G10/50000,0)</f>
        <v>1042.9897674418605</v>
      </c>
      <c r="J10" s="68">
        <f>IF([1]!'028875^A0569:BUY_TDY_QTY'="NO", 0, [1]!'028875^A0569:BUY_TDY_QTY')</f>
        <v>43</v>
      </c>
      <c r="K10" s="69">
        <f>IF([1]!'028875^A0569:BUY_TDY_AMT'="NO", 0, [1]!'028875^A0569:BUY_TDY_AMT')</f>
        <v>2233695000</v>
      </c>
      <c r="L10" s="70">
        <f>IFERROR(K10/J10/50000,0)</f>
        <v>1038.9279069767442</v>
      </c>
      <c r="M10" s="71">
        <f>J10-G10</f>
        <v>0</v>
      </c>
      <c r="N10" s="72">
        <f>M10*P10*50000</f>
        <v>0</v>
      </c>
      <c r="O10" s="73" t="s">
        <v>34</v>
      </c>
      <c r="P10" s="74">
        <f>[1]!'A0569:LAST'</f>
        <v>1029.46</v>
      </c>
      <c r="Q10" s="62">
        <f>(P10-I10)*-1*G10*50000</f>
        <v>29089000.000000045</v>
      </c>
      <c r="R10" s="63">
        <f>(P10-L10)*J10*50000</f>
        <v>-20356000.000000007</v>
      </c>
      <c r="S10" s="75">
        <f>Q10+R10</f>
        <v>8733000.0000000373</v>
      </c>
      <c r="T10" s="62">
        <f>P10*50000</f>
        <v>51473000</v>
      </c>
      <c r="U10" s="75">
        <f>IF([1]!'028875^A0569:QTY'="NO", 0, [1]!'028875^A0569:QTY')</f>
        <v>0</v>
      </c>
    </row>
    <row r="11" spans="1:38" x14ac:dyDescent="0.3">
      <c r="B11" s="76" t="s">
        <v>38</v>
      </c>
      <c r="C11" s="77" t="s">
        <v>39</v>
      </c>
      <c r="D11" s="20">
        <v>0</v>
      </c>
      <c r="E11" s="21" t="s">
        <v>34</v>
      </c>
      <c r="F11" s="78" t="s">
        <v>37</v>
      </c>
      <c r="G11" s="79">
        <f>IF([1]!'028875^A0669:SELL_TDY_QTY'="NO", 0, [1]!'028875^A0669:SELL_TDY_QTY')</f>
        <v>50</v>
      </c>
      <c r="H11" s="80">
        <f>IF([1]!'028875^A0669:SELL_TDY_AMT'="NO", 0, [1]!'028875^A0669:SELL_TDY_AMT')</f>
        <v>695690000</v>
      </c>
      <c r="I11" s="81">
        <f>IFERROR(H11/G11/10000,0)</f>
        <v>1391.38</v>
      </c>
      <c r="J11" s="82">
        <f>IF([1]!'028875^A0669:BUY_TDY_QTY'="NO", 0, [1]!'028875^A0669:BUY_TDY_QTY')</f>
        <v>50</v>
      </c>
      <c r="K11" s="83">
        <f>IF([1]!'028875^A0669:BUY_TDY_AMT'="NO", 0, [1]!'028875^A0669:BUY_TDY_AMT')</f>
        <v>695070000</v>
      </c>
      <c r="L11" s="84">
        <f>IFERROR(K11/J11/10000,0)</f>
        <v>1390.14</v>
      </c>
      <c r="M11" s="85">
        <f>J11-G11</f>
        <v>0</v>
      </c>
      <c r="N11" s="86">
        <f>M11*P11*10000</f>
        <v>0</v>
      </c>
      <c r="O11" s="87" t="s">
        <v>34</v>
      </c>
      <c r="P11" s="88">
        <f>[1]!'A0669:LAST'</f>
        <v>1370.6</v>
      </c>
      <c r="Q11" s="20">
        <f>(P11-I11)*-1*G11*10000</f>
        <v>10390000.000000101</v>
      </c>
      <c r="R11" s="21">
        <f>(P11-L11)*J11*10000</f>
        <v>-9770000.000000095</v>
      </c>
      <c r="S11" s="22">
        <f>Q11+R11</f>
        <v>620000.00000000559</v>
      </c>
      <c r="T11" s="20">
        <f>P11*10000</f>
        <v>13706000</v>
      </c>
      <c r="U11" s="22">
        <f>IF([1]!'028875^A0669:QTY'="NO", 0, [1]!'028875^A0669:QTY')</f>
        <v>0</v>
      </c>
    </row>
    <row r="12" spans="1:38" x14ac:dyDescent="0.3">
      <c r="B12" s="89"/>
      <c r="F12" s="89"/>
      <c r="G12" s="90" t="s">
        <v>40</v>
      </c>
      <c r="H12" s="91"/>
      <c r="I12" s="92"/>
      <c r="J12" s="91"/>
      <c r="K12" s="91"/>
      <c r="L12" s="92"/>
      <c r="M12" s="91"/>
      <c r="N12" s="93">
        <f>AE14</f>
        <v>30217000</v>
      </c>
      <c r="O12" s="94"/>
      <c r="P12" s="95"/>
      <c r="Q12" s="95"/>
      <c r="T12" s="96" t="s">
        <v>41</v>
      </c>
      <c r="U12" s="96"/>
      <c r="V12" s="96"/>
      <c r="W12" s="97"/>
      <c r="AA12" s="1" t="s">
        <v>42</v>
      </c>
    </row>
    <row r="13" spans="1:38" ht="26.25" customHeight="1" x14ac:dyDescent="0.3">
      <c r="B13" s="98" t="s">
        <v>15</v>
      </c>
      <c r="C13" s="99" t="s">
        <v>16</v>
      </c>
      <c r="D13" s="9" t="s">
        <v>17</v>
      </c>
      <c r="E13" s="10" t="s">
        <v>18</v>
      </c>
      <c r="F13" s="100" t="s">
        <v>19</v>
      </c>
      <c r="G13" s="10" t="s">
        <v>43</v>
      </c>
      <c r="H13" s="10" t="s">
        <v>44</v>
      </c>
      <c r="I13" s="101" t="s">
        <v>22</v>
      </c>
      <c r="J13" s="9" t="s">
        <v>45</v>
      </c>
      <c r="K13" s="10" t="s">
        <v>46</v>
      </c>
      <c r="L13" s="102" t="s">
        <v>25</v>
      </c>
      <c r="M13" s="103" t="s">
        <v>26</v>
      </c>
      <c r="N13" s="104" t="s">
        <v>47</v>
      </c>
      <c r="O13" s="11" t="s">
        <v>28</v>
      </c>
      <c r="P13" s="101" t="s">
        <v>29</v>
      </c>
      <c r="Q13" s="101" t="s">
        <v>48</v>
      </c>
      <c r="R13" s="9" t="s">
        <v>30</v>
      </c>
      <c r="S13" s="10" t="s">
        <v>31</v>
      </c>
      <c r="T13" s="11" t="s">
        <v>7</v>
      </c>
      <c r="U13" s="1" t="s">
        <v>49</v>
      </c>
      <c r="V13" s="1" t="s">
        <v>50</v>
      </c>
      <c r="W13" s="1" t="s">
        <v>51</v>
      </c>
      <c r="X13" s="10" t="s">
        <v>52</v>
      </c>
      <c r="Y13" s="11" t="s">
        <v>53</v>
      </c>
      <c r="Z13" s="105" t="s">
        <v>54</v>
      </c>
      <c r="AA13" s="106" t="s">
        <v>55</v>
      </c>
      <c r="AB13" s="106" t="s">
        <v>56</v>
      </c>
      <c r="AC13" s="106" t="s">
        <v>55</v>
      </c>
      <c r="AD13" s="106" t="s">
        <v>56</v>
      </c>
      <c r="AE13" s="106" t="s">
        <v>57</v>
      </c>
    </row>
    <row r="14" spans="1:38" x14ac:dyDescent="0.3">
      <c r="B14" s="107" t="s">
        <v>34</v>
      </c>
      <c r="C14" s="108" t="s">
        <v>34</v>
      </c>
      <c r="D14" s="109" t="s">
        <v>34</v>
      </c>
      <c r="E14" s="110" t="s">
        <v>34</v>
      </c>
      <c r="F14" s="111" t="s">
        <v>34</v>
      </c>
      <c r="G14" s="110">
        <f>SUM(G15:G943)</f>
        <v>218583</v>
      </c>
      <c r="H14" s="110">
        <f>SUM(H15:H943)</f>
        <v>4781740996</v>
      </c>
      <c r="I14" s="110" t="s">
        <v>34</v>
      </c>
      <c r="J14" s="109">
        <f>SUM(J15:J943)</f>
        <v>220247</v>
      </c>
      <c r="K14" s="110">
        <f>SUM(K15:K943)</f>
        <v>4815414194</v>
      </c>
      <c r="L14" s="112" t="s">
        <v>34</v>
      </c>
      <c r="M14" s="109">
        <f>SUM(M15:M943)</f>
        <v>1664</v>
      </c>
      <c r="N14" s="113">
        <f>SUM(N15:N943)</f>
        <v>30406600</v>
      </c>
      <c r="O14" s="113" t="s">
        <v>34</v>
      </c>
      <c r="P14" s="110" t="s">
        <v>34</v>
      </c>
      <c r="Q14" s="110" t="s">
        <v>34</v>
      </c>
      <c r="R14" s="109">
        <f>SUM(R15:R943)</f>
        <v>61580971.000000298</v>
      </c>
      <c r="S14" s="110">
        <f>SUM(S15:S943)</f>
        <v>-64847568.999999806</v>
      </c>
      <c r="T14" s="114">
        <f>SUM(T15:T943)</f>
        <v>-3266597.9999994957</v>
      </c>
      <c r="U14" s="115">
        <f>AVERAGE(U15:U978)</f>
        <v>0.25538684210526313</v>
      </c>
      <c r="V14" s="116">
        <f>AVERAGE(V15:V978)</f>
        <v>0.46778684210526306</v>
      </c>
      <c r="W14" s="116">
        <f>AVERAGE(W15:W978)</f>
        <v>0.57290000000000008</v>
      </c>
      <c r="X14" s="110">
        <f t="shared" ref="X14:AE14" si="1">SUM(X15:X978)</f>
        <v>1234294.0427999999</v>
      </c>
      <c r="Y14" s="113">
        <f t="shared" si="1"/>
        <v>21410303.060208</v>
      </c>
      <c r="Z14" s="113">
        <f t="shared" si="1"/>
        <v>7762002.8969919998</v>
      </c>
      <c r="AA14" s="117">
        <f t="shared" si="1"/>
        <v>0</v>
      </c>
      <c r="AB14" s="117">
        <f t="shared" si="1"/>
        <v>-5.8837200000025405</v>
      </c>
      <c r="AC14" s="118">
        <f t="shared" si="1"/>
        <v>0</v>
      </c>
      <c r="AD14" s="118">
        <f t="shared" si="1"/>
        <v>4.0907216820265901</v>
      </c>
      <c r="AE14" s="1">
        <f t="shared" si="1"/>
        <v>30217000</v>
      </c>
      <c r="AG14" s="1" t="s">
        <v>58</v>
      </c>
      <c r="AH14" s="1" t="s">
        <v>59</v>
      </c>
      <c r="AJ14" s="1" t="s">
        <v>60</v>
      </c>
      <c r="AK14" s="1" t="s">
        <v>61</v>
      </c>
    </row>
    <row r="15" spans="1:38" x14ac:dyDescent="0.25">
      <c r="A15" s="4"/>
      <c r="B15" s="119" t="s">
        <v>62</v>
      </c>
      <c r="C15" s="120" t="s">
        <v>63</v>
      </c>
      <c r="D15" s="14">
        <f>VLOOKUP("A"&amp;B15,[2]ETF!$A$4:$M$10000,13,FALSE)</f>
        <v>50000</v>
      </c>
      <c r="E15" s="1">
        <f>[1]!'396500:VOL'+0</f>
        <v>7983087</v>
      </c>
      <c r="F15" s="121" t="s">
        <v>64</v>
      </c>
      <c r="G15" s="122">
        <f>IF([1]!'019875^396500:SELL_TDY_QTY'="NO", 0, [1]!'019875^396500:SELL_TDY_QTY')</f>
        <v>78372</v>
      </c>
      <c r="H15" s="122">
        <f>IF([1]!'019875^396500:SELL_TDY_AMT'="NO", 0, [1]!'019875^396500:SELL_TDY_AMT')</f>
        <v>2680505060</v>
      </c>
      <c r="I15" s="122">
        <f>IFERROR(H15/G15,0)</f>
        <v>34202.330679324252</v>
      </c>
      <c r="J15" s="123">
        <f>IF([1]!'019875^396500:BUY_TDY_QTY'="NO", 0, [1]!'019875^396500:BUY_TDY_QTY')</f>
        <v>78372</v>
      </c>
      <c r="K15" s="122">
        <f>IF([1]!'019875^396500:BUY_TDY_AMT'="NO", 0, [1]!'019875^396500:BUY_TDY_AMT')</f>
        <v>2686885015</v>
      </c>
      <c r="L15" s="124">
        <f>IFERROR(K15/J15,0)</f>
        <v>34283.736729954573</v>
      </c>
      <c r="M15" s="125">
        <f>J15-G15</f>
        <v>0</v>
      </c>
      <c r="N15" s="126">
        <f>M15*P15</f>
        <v>0</v>
      </c>
      <c r="O15" s="127">
        <f t="shared" ref="O15:O40" si="2">M15/D15</f>
        <v>0</v>
      </c>
      <c r="P15" s="1">
        <f>[1]!'396500:LAST'</f>
        <v>33765</v>
      </c>
      <c r="Q15" s="95">
        <f>[1]!'396500:NAV'</f>
        <v>33833.49</v>
      </c>
      <c r="R15" s="14">
        <f>(P15-I15)*-1*G15</f>
        <v>34274480.000000268</v>
      </c>
      <c r="S15" s="1">
        <f>(P15-L15)*J15</f>
        <v>-40654434.999999799</v>
      </c>
      <c r="T15" s="15">
        <f>R15+S15</f>
        <v>-6379954.9999995306</v>
      </c>
      <c r="U15" s="128">
        <f>_xlfn.IFNA(VLOOKUP(B15,[2]베타!$A$2:$C$1000,3,FALSE),0)</f>
        <v>1.1174999999999999</v>
      </c>
      <c r="V15" s="128">
        <f>_xlfn.IFNA(VLOOKUP(B15,[2]베타!$A$2:$D$1000,4,FALSE),0)</f>
        <v>0.1842</v>
      </c>
      <c r="W15" s="128">
        <f>_xlfn.IFNA(VLOOKUP(B15,[2]베타!$A$2:$E$1000,5,FALSE),0)</f>
        <v>0.9274</v>
      </c>
      <c r="X15" s="1">
        <f>M15*Q15*U15</f>
        <v>0</v>
      </c>
      <c r="Y15" s="15">
        <f>M15*Q15*V15</f>
        <v>0</v>
      </c>
      <c r="Z15" s="13">
        <f>(P15*M15)-(X15+Y15)</f>
        <v>0</v>
      </c>
      <c r="AA15" s="129">
        <f t="shared" ref="AA15:AA52" si="3">IF(M15&lt;0, P15-Q15, 0)</f>
        <v>0</v>
      </c>
      <c r="AB15" s="129">
        <f t="shared" ref="AB15:AB52" si="4">IF(M15&gt;0, Q15*(1-0.2%)-P15, 0)</f>
        <v>0</v>
      </c>
      <c r="AC15" s="130">
        <f t="shared" ref="AC15:AC52" si="5">AA15/Q15*10000</f>
        <v>0</v>
      </c>
      <c r="AD15" s="131">
        <f t="shared" ref="AD15:AD52" si="6">AB15/Q15*10000</f>
        <v>0</v>
      </c>
      <c r="AE15" s="1">
        <f>ABS(N15)</f>
        <v>0</v>
      </c>
      <c r="AG15" s="1" t="str">
        <f>B15</f>
        <v>396500</v>
      </c>
      <c r="AH15" s="1">
        <f>-1*M15</f>
        <v>0</v>
      </c>
      <c r="AJ15" s="95">
        <f>ROUNDUP(VLOOKUP(B15,[2]베타!$A$2:$L$1000,12,FALSE),0)</f>
        <v>-3</v>
      </c>
      <c r="AK15" s="95">
        <f>ROUNDUP(VLOOKUP(B15,[2]베타!$A$2:$M$1000,13,FALSE),0)</f>
        <v>-20</v>
      </c>
      <c r="AL15" s="95"/>
    </row>
    <row r="16" spans="1:38" x14ac:dyDescent="0.25">
      <c r="A16" s="4"/>
      <c r="B16" s="119" t="s">
        <v>65</v>
      </c>
      <c r="C16" s="120" t="s">
        <v>66</v>
      </c>
      <c r="D16" s="14">
        <f>VLOOKUP("A"&amp;B16,[2]ETF!$A$4:$M$10000,13,FALSE)</f>
        <v>30000</v>
      </c>
      <c r="E16" s="1">
        <f>[1]!'228790:VOL'+0</f>
        <v>10053039</v>
      </c>
      <c r="F16" s="121" t="s">
        <v>64</v>
      </c>
      <c r="G16" s="122">
        <f>IF([1]!'019875^228790:SELL_TDY_QTY'="NO", 0, [1]!'019875^228790:SELL_TDY_QTY')</f>
        <v>4059</v>
      </c>
      <c r="H16" s="122">
        <f>IF([1]!'019875^228790:SELL_TDY_AMT'="NO", 0, [1]!'019875^228790:SELL_TDY_AMT')</f>
        <v>19281855</v>
      </c>
      <c r="I16" s="122">
        <f t="shared" ref="I16:I40" si="7">IFERROR(H16/G16,0)</f>
        <v>4750.3954175905392</v>
      </c>
      <c r="J16" s="123">
        <f>IF([1]!'019875^228790:BUY_TDY_QTY'="NO", 0, [1]!'019875^228790:BUY_TDY_QTY')</f>
        <v>4059</v>
      </c>
      <c r="K16" s="122">
        <f>IF([1]!'019875^228790:BUY_TDY_AMT'="NO", 0, [1]!'019875^228790:BUY_TDY_AMT')</f>
        <v>19323495</v>
      </c>
      <c r="L16" s="124">
        <f t="shared" ref="L16:L40" si="8">IFERROR(K16/J16,0)</f>
        <v>4760.6541019955657</v>
      </c>
      <c r="M16" s="125">
        <f t="shared" ref="M16:M40" si="9">J16-G16</f>
        <v>0</v>
      </c>
      <c r="N16" s="126">
        <f t="shared" ref="N16:N40" si="10">M16*P16</f>
        <v>0</v>
      </c>
      <c r="O16" s="127">
        <f t="shared" si="2"/>
        <v>0</v>
      </c>
      <c r="P16" s="1">
        <f>[1]!'228790:LAST'</f>
        <v>4680</v>
      </c>
      <c r="Q16" s="95">
        <f>[1]!'228790:NAV'</f>
        <v>4707.3500000000004</v>
      </c>
      <c r="R16" s="14">
        <f t="shared" ref="R16:R51" si="11">(P16-I16)*-1*G16</f>
        <v>285734.99999999854</v>
      </c>
      <c r="S16" s="1">
        <f t="shared" ref="S16:S51" si="12">(P16-L16)*J16</f>
        <v>-327375.00000000128</v>
      </c>
      <c r="T16" s="15">
        <f t="shared" ref="T16:T51" si="13">R16+S16</f>
        <v>-41640.000000002736</v>
      </c>
      <c r="U16" s="128">
        <f>_xlfn.IFNA(VLOOKUP(B16,[2]베타!$A$2:$C$1000,3,FALSE),0)</f>
        <v>-0.21099999999999999</v>
      </c>
      <c r="V16" s="128">
        <f>_xlfn.IFNA(VLOOKUP(B16,[2]베타!$A$2:$D$1000,4,FALSE),0)</f>
        <v>0.58509999999999995</v>
      </c>
      <c r="W16" s="128">
        <f>_xlfn.IFNA(VLOOKUP(B16,[2]베타!$A$2:$E$1000,5,FALSE),0)</f>
        <v>0.35670000000000002</v>
      </c>
      <c r="X16" s="1">
        <f t="shared" ref="X16:X51" si="14">M16*Q16*U16</f>
        <v>0</v>
      </c>
      <c r="Y16" s="15">
        <f t="shared" ref="Y16:Y51" si="15">M16*Q16*V16</f>
        <v>0</v>
      </c>
      <c r="Z16" s="13">
        <f t="shared" ref="Z16:Z51" si="16">(P16*M16)-(X16+Y16)</f>
        <v>0</v>
      </c>
      <c r="AA16" s="129">
        <f t="shared" si="3"/>
        <v>0</v>
      </c>
      <c r="AB16" s="129">
        <f t="shared" si="4"/>
        <v>0</v>
      </c>
      <c r="AC16" s="130">
        <f t="shared" si="5"/>
        <v>0</v>
      </c>
      <c r="AD16" s="131">
        <f t="shared" si="6"/>
        <v>0</v>
      </c>
      <c r="AE16" s="1">
        <f t="shared" ref="AE16:AE41" si="17">ABS(N16)</f>
        <v>0</v>
      </c>
      <c r="AG16" s="1" t="str">
        <f t="shared" ref="AG16:AG52" si="18">B16</f>
        <v>228790</v>
      </c>
      <c r="AH16" s="1">
        <f t="shared" ref="AH16:AH52" si="19">-1*M16</f>
        <v>0</v>
      </c>
      <c r="AJ16" s="95">
        <f>ROUNDUP(VLOOKUP(B16,[2]베타!$A$2:$L$1000,12,FALSE),0)</f>
        <v>14</v>
      </c>
      <c r="AK16" s="95">
        <f>ROUNDUP(VLOOKUP(B16,[2]베타!$A$2:$M$1000,13,FALSE),0)</f>
        <v>-28</v>
      </c>
      <c r="AL16" s="95"/>
    </row>
    <row r="17" spans="1:38" x14ac:dyDescent="0.25">
      <c r="A17" s="4"/>
      <c r="B17" s="119" t="s">
        <v>67</v>
      </c>
      <c r="C17" s="120" t="s">
        <v>68</v>
      </c>
      <c r="D17" s="14">
        <f>VLOOKUP("A"&amp;B17,[2]ETF!$A$4:$M$10000,13,FALSE)</f>
        <v>50000</v>
      </c>
      <c r="E17" s="1">
        <f>[1]!'462010:VOL'+0</f>
        <v>2680571</v>
      </c>
      <c r="F17" s="121" t="s">
        <v>64</v>
      </c>
      <c r="G17" s="122">
        <f>IF([1]!'019875^462010:SELL_TDY_QTY'="NO", 0, [1]!'019875^462010:SELL_TDY_QTY')</f>
        <v>1767</v>
      </c>
      <c r="H17" s="122">
        <f>IF([1]!'019875^462010:SELL_TDY_AMT'="NO", 0, [1]!'019875^462010:SELL_TDY_AMT')</f>
        <v>8706400</v>
      </c>
      <c r="I17" s="122">
        <f t="shared" si="7"/>
        <v>4927.2212790039612</v>
      </c>
      <c r="J17" s="123">
        <f>IF([1]!'019875^462010:BUY_TDY_QTY'="NO", 0, [1]!'019875^462010:BUY_TDY_QTY')</f>
        <v>1767</v>
      </c>
      <c r="K17" s="122">
        <f>IF([1]!'019875^462010:BUY_TDY_AMT'="NO", 0, [1]!'019875^462010:BUY_TDY_AMT')</f>
        <v>8494840</v>
      </c>
      <c r="L17" s="124">
        <f t="shared" si="8"/>
        <v>4807.4929258630445</v>
      </c>
      <c r="M17" s="125">
        <f t="shared" si="9"/>
        <v>0</v>
      </c>
      <c r="N17" s="126">
        <f t="shared" si="10"/>
        <v>0</v>
      </c>
      <c r="O17" s="127">
        <f t="shared" si="2"/>
        <v>0</v>
      </c>
      <c r="P17" s="1">
        <f>[1]!'462010:LAST'</f>
        <v>4765</v>
      </c>
      <c r="Q17" s="95">
        <f>[1]!'462010:NAV'</f>
        <v>4775.7</v>
      </c>
      <c r="R17" s="14">
        <f t="shared" si="11"/>
        <v>286644.99999999942</v>
      </c>
      <c r="S17" s="1">
        <f t="shared" si="12"/>
        <v>-75084.999999999709</v>
      </c>
      <c r="T17" s="15">
        <f t="shared" si="13"/>
        <v>211559.99999999971</v>
      </c>
      <c r="U17" s="128">
        <f>_xlfn.IFNA(VLOOKUP(B17,[2]베타!$A$2:$C$1000,3,FALSE),0)</f>
        <v>5.9400000000000001E-2</v>
      </c>
      <c r="V17" s="128">
        <f>_xlfn.IFNA(VLOOKUP(B17,[2]베타!$A$2:$D$1000,4,FALSE),0)</f>
        <v>0.84150000000000003</v>
      </c>
      <c r="W17" s="128">
        <f>_xlfn.IFNA(VLOOKUP(B17,[2]베타!$A$2:$E$1000,5,FALSE),0)</f>
        <v>0.61739999999999995</v>
      </c>
      <c r="X17" s="1">
        <f t="shared" si="14"/>
        <v>0</v>
      </c>
      <c r="Y17" s="15">
        <f t="shared" si="15"/>
        <v>0</v>
      </c>
      <c r="Z17" s="13">
        <f t="shared" si="16"/>
        <v>0</v>
      </c>
      <c r="AA17" s="129">
        <f t="shared" si="3"/>
        <v>0</v>
      </c>
      <c r="AB17" s="129">
        <f t="shared" si="4"/>
        <v>0</v>
      </c>
      <c r="AC17" s="130">
        <f t="shared" si="5"/>
        <v>0</v>
      </c>
      <c r="AD17" s="131">
        <f t="shared" si="6"/>
        <v>0</v>
      </c>
      <c r="AE17" s="1">
        <f t="shared" si="17"/>
        <v>0</v>
      </c>
      <c r="AG17" s="1" t="str">
        <f t="shared" si="18"/>
        <v>462010</v>
      </c>
      <c r="AH17" s="1">
        <f t="shared" si="19"/>
        <v>0</v>
      </c>
      <c r="AJ17" s="95">
        <f>ROUNDUP(VLOOKUP(B17,[2]베타!$A$2:$L$1000,12,FALSE),0)</f>
        <v>10</v>
      </c>
      <c r="AK17" s="95">
        <f>ROUNDUP(VLOOKUP(B17,[2]베타!$A$2:$M$1000,13,FALSE),0)</f>
        <v>-29</v>
      </c>
      <c r="AL17" s="95"/>
    </row>
    <row r="18" spans="1:38" x14ac:dyDescent="0.25">
      <c r="A18" s="4"/>
      <c r="B18" s="132" t="s">
        <v>69</v>
      </c>
      <c r="C18" s="120" t="s">
        <v>70</v>
      </c>
      <c r="D18" s="14">
        <f>VLOOKUP("A"&amp;B18,[2]ETF!$A$4:$M$10000,13,FALSE)</f>
        <v>50000</v>
      </c>
      <c r="E18" s="1">
        <f>[1]!'364980:VOL'+0</f>
        <v>5426187</v>
      </c>
      <c r="F18" s="121" t="s">
        <v>64</v>
      </c>
      <c r="G18" s="122">
        <f>IF([1]!'019875^364980:SELL_TDY_QTY'="NO", 0, [1]!'019875^364980:SELL_TDY_QTY')</f>
        <v>47838</v>
      </c>
      <c r="H18" s="122">
        <f>IF([1]!'019875^364980:SELL_TDY_AMT'="NO", 0, [1]!'019875^364980:SELL_TDY_AMT')</f>
        <v>495100400</v>
      </c>
      <c r="I18" s="122">
        <f t="shared" si="7"/>
        <v>10349.521301057737</v>
      </c>
      <c r="J18" s="123">
        <f>IF([1]!'019875^364980:BUY_TDY_QTY'="NO", 0, [1]!'019875^364980:BUY_TDY_QTY')</f>
        <v>47838</v>
      </c>
      <c r="K18" s="122">
        <f>IF([1]!'019875^364980:BUY_TDY_AMT'="NO", 0, [1]!'019875^364980:BUY_TDY_AMT')</f>
        <v>492394585</v>
      </c>
      <c r="L18" s="124">
        <f t="shared" si="8"/>
        <v>10292.959258330198</v>
      </c>
      <c r="M18" s="125">
        <f t="shared" si="9"/>
        <v>0</v>
      </c>
      <c r="N18" s="126">
        <f t="shared" si="10"/>
        <v>0</v>
      </c>
      <c r="O18" s="127">
        <f t="shared" si="2"/>
        <v>0</v>
      </c>
      <c r="P18" s="1">
        <f>[1]!'364980:LAST'</f>
        <v>10140</v>
      </c>
      <c r="Q18" s="95">
        <f>[1]!'364980:NAV'</f>
        <v>10202.370000000001</v>
      </c>
      <c r="R18" s="14">
        <f t="shared" si="11"/>
        <v>10023080.000000034</v>
      </c>
      <c r="S18" s="1">
        <f t="shared" si="12"/>
        <v>-7317265.0000000251</v>
      </c>
      <c r="T18" s="15">
        <f t="shared" si="13"/>
        <v>2705815.0000000084</v>
      </c>
      <c r="U18" s="128">
        <f>_xlfn.IFNA(VLOOKUP(B18,[2]베타!$A$2:$C$1000,3,FALSE),0)</f>
        <v>6.9900000000000004E-2</v>
      </c>
      <c r="V18" s="128">
        <f>_xlfn.IFNA(VLOOKUP(B18,[2]베타!$A$2:$D$1000,4,FALSE),0)</f>
        <v>0.68940000000000001</v>
      </c>
      <c r="W18" s="128">
        <f>_xlfn.IFNA(VLOOKUP(B18,[2]베타!$A$2:$E$1000,5,FALSE),0)</f>
        <v>0.48870000000000002</v>
      </c>
      <c r="X18" s="1">
        <f t="shared" si="14"/>
        <v>0</v>
      </c>
      <c r="Y18" s="15">
        <f t="shared" si="15"/>
        <v>0</v>
      </c>
      <c r="Z18" s="13">
        <f t="shared" si="16"/>
        <v>0</v>
      </c>
      <c r="AA18" s="129">
        <f t="shared" si="3"/>
        <v>0</v>
      </c>
      <c r="AB18" s="129">
        <f t="shared" si="4"/>
        <v>0</v>
      </c>
      <c r="AC18" s="130">
        <f t="shared" si="5"/>
        <v>0</v>
      </c>
      <c r="AD18" s="131">
        <f t="shared" si="6"/>
        <v>0</v>
      </c>
      <c r="AE18" s="1">
        <f t="shared" si="17"/>
        <v>0</v>
      </c>
      <c r="AG18" s="1" t="str">
        <f t="shared" si="18"/>
        <v>364980</v>
      </c>
      <c r="AH18" s="1">
        <f t="shared" si="19"/>
        <v>0</v>
      </c>
      <c r="AJ18" s="95">
        <f>ROUNDUP(VLOOKUP(B18,[2]베타!$A$2:$L$1000,12,FALSE),0)</f>
        <v>9</v>
      </c>
      <c r="AK18" s="95">
        <f>ROUNDUP(VLOOKUP(B18,[2]베타!$A$2:$M$1000,13,FALSE),0)</f>
        <v>-28</v>
      </c>
      <c r="AL18" s="95"/>
    </row>
    <row r="19" spans="1:38" x14ac:dyDescent="0.25">
      <c r="A19" s="4"/>
      <c r="B19" s="132" t="s">
        <v>71</v>
      </c>
      <c r="C19" s="120" t="s">
        <v>72</v>
      </c>
      <c r="D19" s="14">
        <f>VLOOKUP("A"&amp;B19,[2]ETF!$A$4:$M$10000,13,FALSE)</f>
        <v>50000</v>
      </c>
      <c r="E19" s="1">
        <f>[1]!'0117V0:VOL'+0</f>
        <v>1139385</v>
      </c>
      <c r="F19" s="121" t="s">
        <v>64</v>
      </c>
      <c r="G19" s="122">
        <f>IF([1]!'019875^0117V0:SELL_TDY_QTY'="NO", 0, [1]!'019875^0117V0:SELL_TDY_QTY')</f>
        <v>2729</v>
      </c>
      <c r="H19" s="122">
        <f>IF([1]!'019875^0117V0:SELL_TDY_AMT'="NO", 0, [1]!'019875^0117V0:SELL_TDY_AMT')</f>
        <v>49657675</v>
      </c>
      <c r="I19" s="122">
        <f t="shared" si="7"/>
        <v>18196.289849761819</v>
      </c>
      <c r="J19" s="123">
        <f>IF([1]!'019875^0117V0:BUY_TDY_QTY'="NO", 0, [1]!'019875^0117V0:BUY_TDY_QTY')</f>
        <v>2729</v>
      </c>
      <c r="K19" s="122">
        <f>IF([1]!'019875^0117V0:BUY_TDY_AMT'="NO", 0, [1]!'019875^0117V0:BUY_TDY_AMT')</f>
        <v>50436405</v>
      </c>
      <c r="L19" s="124">
        <f t="shared" si="8"/>
        <v>18481.643459142542</v>
      </c>
      <c r="M19" s="125">
        <f>J19-G19</f>
        <v>0</v>
      </c>
      <c r="N19" s="126">
        <f t="shared" si="10"/>
        <v>0</v>
      </c>
      <c r="O19" s="127">
        <f>M19/D19</f>
        <v>0</v>
      </c>
      <c r="P19" s="1">
        <f>[1]!'0117V0:LAST'</f>
        <v>17940</v>
      </c>
      <c r="Q19" s="95">
        <f>[1]!'0117V0:NAV'</f>
        <v>17924.849999999999</v>
      </c>
      <c r="R19" s="14">
        <f t="shared" si="11"/>
        <v>699415.00000000384</v>
      </c>
      <c r="S19" s="1">
        <f t="shared" si="12"/>
        <v>-1478144.9999999979</v>
      </c>
      <c r="T19" s="15">
        <f t="shared" si="13"/>
        <v>-778729.99999999406</v>
      </c>
      <c r="U19" s="128">
        <f>_xlfn.IFNA(VLOOKUP(B19,[2]베타!$A$2:$C$1000,3,FALSE),0)</f>
        <v>0.41439999999999999</v>
      </c>
      <c r="V19" s="128">
        <f>_xlfn.IFNA(VLOOKUP(B19,[2]베타!$A$2:$D$1000,4,FALSE),0)</f>
        <v>0.71550000000000002</v>
      </c>
      <c r="W19" s="128">
        <f>_xlfn.IFNA(VLOOKUP(B19,[2]베타!$A$2:$E$1000,5,FALSE),0)</f>
        <v>0.6341</v>
      </c>
      <c r="X19" s="1">
        <f t="shared" si="14"/>
        <v>0</v>
      </c>
      <c r="Y19" s="15">
        <f t="shared" si="15"/>
        <v>0</v>
      </c>
      <c r="Z19" s="13">
        <f t="shared" si="16"/>
        <v>0</v>
      </c>
      <c r="AA19" s="129">
        <f t="shared" si="3"/>
        <v>0</v>
      </c>
      <c r="AB19" s="129">
        <f t="shared" si="4"/>
        <v>0</v>
      </c>
      <c r="AC19" s="130">
        <f t="shared" si="5"/>
        <v>0</v>
      </c>
      <c r="AD19" s="131">
        <f t="shared" si="6"/>
        <v>0</v>
      </c>
      <c r="AE19" s="1">
        <f t="shared" si="17"/>
        <v>0</v>
      </c>
      <c r="AG19" s="1" t="str">
        <f t="shared" si="18"/>
        <v>0117V0</v>
      </c>
      <c r="AH19" s="1">
        <f t="shared" si="19"/>
        <v>0</v>
      </c>
      <c r="AJ19" s="95">
        <f>ROUNDUP(VLOOKUP(B19,[2]베타!$A$2:$L$1000,12,FALSE),0)</f>
        <v>7</v>
      </c>
      <c r="AK19" s="95">
        <f>ROUNDUP(VLOOKUP(B19,[2]베타!$A$2:$M$1000,13,FALSE),0)</f>
        <v>-27</v>
      </c>
      <c r="AL19" s="95"/>
    </row>
    <row r="20" spans="1:38" x14ac:dyDescent="0.25">
      <c r="A20" s="4"/>
      <c r="B20" s="119" t="s">
        <v>73</v>
      </c>
      <c r="C20" s="120" t="s">
        <v>74</v>
      </c>
      <c r="D20" s="14">
        <f>VLOOKUP("A"&amp;B20,[2]ETF!$A$4:$M$10000,13,FALSE)</f>
        <v>50000</v>
      </c>
      <c r="E20" s="1">
        <f>[1]!'305540:VOL'+0</f>
        <v>598038</v>
      </c>
      <c r="F20" s="121" t="s">
        <v>64</v>
      </c>
      <c r="G20" s="122">
        <f>IF([1]!'019875^305540:SELL_TDY_QTY'="NO", 0, [1]!'019875^305540:SELL_TDY_QTY')</f>
        <v>1001</v>
      </c>
      <c r="H20" s="122">
        <f>IF([1]!'019875^305540:SELL_TDY_AMT'="NO", 0, [1]!'019875^305540:SELL_TDY_AMT')</f>
        <v>19023575</v>
      </c>
      <c r="I20" s="122">
        <f t="shared" si="7"/>
        <v>19004.570429570431</v>
      </c>
      <c r="J20" s="123">
        <f>IF([1]!'019875^305540:BUY_TDY_QTY'="NO", 0, [1]!'019875^305540:BUY_TDY_QTY')</f>
        <v>2641</v>
      </c>
      <c r="K20" s="122">
        <f>IF([1]!'019875^305540:BUY_TDY_AMT'="NO", 0, [1]!'019875^305540:BUY_TDY_AMT')</f>
        <v>49170575</v>
      </c>
      <c r="L20" s="124">
        <f t="shared" si="8"/>
        <v>18618.165467625899</v>
      </c>
      <c r="M20" s="125">
        <f t="shared" si="9"/>
        <v>1640</v>
      </c>
      <c r="N20" s="126">
        <f t="shared" si="10"/>
        <v>30217000</v>
      </c>
      <c r="O20" s="127">
        <f t="shared" si="2"/>
        <v>3.2800000000000003E-2</v>
      </c>
      <c r="P20" s="1">
        <f>[1]!'305540:LAST'</f>
        <v>18425</v>
      </c>
      <c r="Q20" s="95">
        <f>[1]!'305540:NAV'</f>
        <v>18445.89</v>
      </c>
      <c r="R20" s="14">
        <f t="shared" si="11"/>
        <v>580150.00000000128</v>
      </c>
      <c r="S20" s="1">
        <f t="shared" si="12"/>
        <v>-510149.9999999982</v>
      </c>
      <c r="T20" s="15">
        <f t="shared" si="13"/>
        <v>70000.000000003085</v>
      </c>
      <c r="U20" s="128">
        <f>_xlfn.IFNA(VLOOKUP(B20,[2]베타!$A$2:$C$1000,3,FALSE),0)</f>
        <v>4.1599999999999998E-2</v>
      </c>
      <c r="V20" s="128">
        <f>_xlfn.IFNA(VLOOKUP(B20,[2]베타!$A$2:$D$1000,4,FALSE),0)</f>
        <v>0.70489999999999997</v>
      </c>
      <c r="W20" s="128">
        <f>_xlfn.IFNA(VLOOKUP(B20,[2]베타!$A$2:$E$1000,5,FALSE),0)</f>
        <v>0.53190000000000004</v>
      </c>
      <c r="X20" s="1">
        <f t="shared" si="14"/>
        <v>1258452.3993599999</v>
      </c>
      <c r="Y20" s="15">
        <f t="shared" si="15"/>
        <v>21324112.892039999</v>
      </c>
      <c r="Z20" s="13">
        <f t="shared" si="16"/>
        <v>7634434.7085999995</v>
      </c>
      <c r="AA20" s="129">
        <f t="shared" si="3"/>
        <v>0</v>
      </c>
      <c r="AB20" s="129">
        <f t="shared" si="4"/>
        <v>-16.001780000002327</v>
      </c>
      <c r="AC20" s="130">
        <f t="shared" si="5"/>
        <v>0</v>
      </c>
      <c r="AD20" s="131">
        <f t="shared" si="6"/>
        <v>-8.6749839666192994</v>
      </c>
      <c r="AE20" s="1">
        <f t="shared" si="17"/>
        <v>30217000</v>
      </c>
      <c r="AG20" s="1" t="str">
        <f t="shared" si="18"/>
        <v>305540</v>
      </c>
      <c r="AH20" s="1">
        <f t="shared" si="19"/>
        <v>-1640</v>
      </c>
      <c r="AJ20" s="95">
        <f>ROUNDUP(VLOOKUP(B20,[2]베타!$A$2:$L$1000,12,FALSE),0)</f>
        <v>9</v>
      </c>
      <c r="AK20" s="95">
        <f>ROUNDUP(VLOOKUP(B20,[2]베타!$A$2:$M$1000,13,FALSE),0)</f>
        <v>-28</v>
      </c>
      <c r="AL20" s="95"/>
    </row>
    <row r="21" spans="1:38" x14ac:dyDescent="0.25">
      <c r="A21" s="4"/>
      <c r="B21" s="119" t="s">
        <v>75</v>
      </c>
      <c r="C21" s="120" t="s">
        <v>76</v>
      </c>
      <c r="D21" s="14">
        <f>VLOOKUP("A"&amp;B21,[2]ETF!$A$4:$M$10000,13,FALSE)</f>
        <v>50000</v>
      </c>
      <c r="E21" s="1">
        <f>[1]!'494670:VOL'+0</f>
        <v>439147</v>
      </c>
      <c r="F21" s="121" t="s">
        <v>64</v>
      </c>
      <c r="G21" s="122">
        <f>IF([1]!'019875^494670:SELL_TDY_QTY'="NO", 0, [1]!'019875^494670:SELL_TDY_QTY')</f>
        <v>20807</v>
      </c>
      <c r="H21" s="122">
        <f>IF([1]!'019875^494670:SELL_TDY_AMT'="NO", 0, [1]!'019875^494670:SELL_TDY_AMT')</f>
        <v>436190212</v>
      </c>
      <c r="I21" s="122">
        <f t="shared" si="7"/>
        <v>20963.628202047388</v>
      </c>
      <c r="J21" s="123">
        <f>IF([1]!'019875^494670:BUY_TDY_QTY'="NO", 0, [1]!'019875^494670:BUY_TDY_QTY')</f>
        <v>20807</v>
      </c>
      <c r="K21" s="122">
        <f>IF([1]!'019875^494670:BUY_TDY_AMT'="NO", 0, [1]!'019875^494670:BUY_TDY_AMT')</f>
        <v>433007335</v>
      </c>
      <c r="L21" s="124">
        <f t="shared" si="8"/>
        <v>20810.656750132166</v>
      </c>
      <c r="M21" s="125">
        <f t="shared" si="9"/>
        <v>0</v>
      </c>
      <c r="N21" s="126">
        <f t="shared" si="10"/>
        <v>0</v>
      </c>
      <c r="O21" s="127">
        <f t="shared" si="2"/>
        <v>0</v>
      </c>
      <c r="P21" s="1">
        <f>[1]!'494670:LAST'</f>
        <v>20700</v>
      </c>
      <c r="Q21" s="95">
        <f>[1]!'494670:NAV'</f>
        <v>20675.91</v>
      </c>
      <c r="R21" s="14">
        <f t="shared" si="11"/>
        <v>5485312.0000000056</v>
      </c>
      <c r="S21" s="1">
        <f t="shared" si="12"/>
        <v>-2302434.999999979</v>
      </c>
      <c r="T21" s="15">
        <f t="shared" si="13"/>
        <v>3182877.0000000265</v>
      </c>
      <c r="U21" s="128">
        <f>_xlfn.IFNA(VLOOKUP(B21,[2]베타!$A$2:$C$1000,3,FALSE),0)</f>
        <v>0.16980000000000001</v>
      </c>
      <c r="V21" s="128">
        <f>_xlfn.IFNA(VLOOKUP(B21,[2]베타!$A$2:$D$1000,4,FALSE),0)</f>
        <v>0.41810000000000003</v>
      </c>
      <c r="W21" s="128">
        <f>_xlfn.IFNA(VLOOKUP(B21,[2]베타!$A$2:$E$1000,5,FALSE),0)</f>
        <v>0.38540000000000002</v>
      </c>
      <c r="X21" s="1">
        <f t="shared" si="14"/>
        <v>0</v>
      </c>
      <c r="Y21" s="15">
        <f t="shared" si="15"/>
        <v>0</v>
      </c>
      <c r="Z21" s="13">
        <f t="shared" si="16"/>
        <v>0</v>
      </c>
      <c r="AA21" s="129">
        <f t="shared" si="3"/>
        <v>0</v>
      </c>
      <c r="AB21" s="129">
        <f t="shared" si="4"/>
        <v>0</v>
      </c>
      <c r="AC21" s="130">
        <f t="shared" si="5"/>
        <v>0</v>
      </c>
      <c r="AD21" s="131">
        <f t="shared" si="6"/>
        <v>0</v>
      </c>
      <c r="AE21" s="1">
        <f t="shared" si="17"/>
        <v>0</v>
      </c>
      <c r="AG21" s="1" t="str">
        <f t="shared" si="18"/>
        <v>494670</v>
      </c>
      <c r="AH21" s="1">
        <f t="shared" si="19"/>
        <v>0</v>
      </c>
      <c r="AJ21" s="95">
        <f>ROUNDUP(VLOOKUP(B21,[2]베타!$A$2:$L$1000,12,FALSE),0)</f>
        <v>5</v>
      </c>
      <c r="AK21" s="95">
        <f>ROUNDUP(VLOOKUP(B21,[2]베타!$A$2:$M$1000,13,FALSE),0)</f>
        <v>-26</v>
      </c>
      <c r="AL21" s="95"/>
    </row>
    <row r="22" spans="1:38" x14ac:dyDescent="0.25">
      <c r="A22" s="4"/>
      <c r="B22" s="119" t="s">
        <v>77</v>
      </c>
      <c r="C22" s="120" t="s">
        <v>78</v>
      </c>
      <c r="D22" s="14">
        <f>VLOOKUP("A"&amp;B22,[2]ETF!$A$4:$M$10000,13,FALSE)</f>
        <v>50000</v>
      </c>
      <c r="E22" s="1">
        <f>[1]!'364970:VOL'+0</f>
        <v>1585985</v>
      </c>
      <c r="F22" s="121" t="s">
        <v>64</v>
      </c>
      <c r="G22" s="122">
        <f>IF([1]!'019875^364970:SELL_TDY_QTY'="NO", 0, [1]!'019875^364970:SELL_TDY_QTY')</f>
        <v>20055</v>
      </c>
      <c r="H22" s="122">
        <f>IF([1]!'019875^364970:SELL_TDY_AMT'="NO", 0, [1]!'019875^364970:SELL_TDY_AMT')</f>
        <v>149019704</v>
      </c>
      <c r="I22" s="122">
        <f t="shared" si="7"/>
        <v>7430.5511842433307</v>
      </c>
      <c r="J22" s="123">
        <f>IF([1]!'019875^364970:BUY_TDY_QTY'="NO", 0, [1]!'019875^364970:BUY_TDY_QTY')</f>
        <v>20055</v>
      </c>
      <c r="K22" s="122">
        <f>IF([1]!'019875^364970:BUY_TDY_AMT'="NO", 0, [1]!'019875^364970:BUY_TDY_AMT')</f>
        <v>148868755</v>
      </c>
      <c r="L22" s="124">
        <f t="shared" si="8"/>
        <v>7423.0244328097733</v>
      </c>
      <c r="M22" s="125">
        <f t="shared" si="9"/>
        <v>0</v>
      </c>
      <c r="N22" s="126">
        <f t="shared" si="10"/>
        <v>0</v>
      </c>
      <c r="O22" s="127">
        <f t="shared" si="2"/>
        <v>0</v>
      </c>
      <c r="P22" s="1">
        <f>[1]!'364970:LAST'</f>
        <v>7320</v>
      </c>
      <c r="Q22" s="95">
        <f>[1]!'364970:NAV'</f>
        <v>7326.31</v>
      </c>
      <c r="R22" s="14">
        <f t="shared" si="11"/>
        <v>2217103.9999999967</v>
      </c>
      <c r="S22" s="1">
        <f t="shared" si="12"/>
        <v>-2066155.000000004</v>
      </c>
      <c r="T22" s="15">
        <f t="shared" si="13"/>
        <v>150948.99999999278</v>
      </c>
      <c r="U22" s="128">
        <f>_xlfn.IFNA(VLOOKUP(B22,[2]베타!$A$2:$C$1000,3,FALSE),0)</f>
        <v>-5.0900000000000001E-2</v>
      </c>
      <c r="V22" s="128">
        <f>_xlfn.IFNA(VLOOKUP(B22,[2]베타!$A$2:$D$1000,4,FALSE),0)</f>
        <v>0.58489999999999998</v>
      </c>
      <c r="W22" s="128">
        <f>_xlfn.IFNA(VLOOKUP(B22,[2]베타!$A$2:$E$1000,5,FALSE),0)</f>
        <v>0.51549999999999996</v>
      </c>
      <c r="X22" s="1">
        <f t="shared" si="14"/>
        <v>0</v>
      </c>
      <c r="Y22" s="15">
        <f t="shared" si="15"/>
        <v>0</v>
      </c>
      <c r="Z22" s="13">
        <f t="shared" si="16"/>
        <v>0</v>
      </c>
      <c r="AA22" s="129">
        <f t="shared" si="3"/>
        <v>0</v>
      </c>
      <c r="AB22" s="129">
        <f t="shared" si="4"/>
        <v>0</v>
      </c>
      <c r="AC22" s="130">
        <f t="shared" si="5"/>
        <v>0</v>
      </c>
      <c r="AD22" s="131">
        <f t="shared" si="6"/>
        <v>0</v>
      </c>
      <c r="AE22" s="1">
        <f t="shared" si="17"/>
        <v>0</v>
      </c>
      <c r="AF22" s="133"/>
      <c r="AG22" s="1" t="str">
        <f t="shared" si="18"/>
        <v>364970</v>
      </c>
      <c r="AH22" s="1">
        <f t="shared" si="19"/>
        <v>0</v>
      </c>
      <c r="AJ22" s="95">
        <f>ROUNDUP(VLOOKUP(B22,[2]베타!$A$2:$L$1000,12,FALSE),0)</f>
        <v>5</v>
      </c>
      <c r="AK22" s="95">
        <f>ROUNDUP(VLOOKUP(B22,[2]베타!$A$2:$M$1000,13,FALSE),0)</f>
        <v>-26</v>
      </c>
      <c r="AL22" s="95"/>
    </row>
    <row r="23" spans="1:38" x14ac:dyDescent="0.25">
      <c r="A23" s="4"/>
      <c r="B23" s="119" t="s">
        <v>79</v>
      </c>
      <c r="C23" s="120" t="s">
        <v>80</v>
      </c>
      <c r="D23" s="14">
        <f>VLOOKUP("A"&amp;B23,[2]ETF!$A$4:$M$10000,13,FALSE)</f>
        <v>50000</v>
      </c>
      <c r="E23" s="1">
        <f>[1]!'0091P0:VOL'+0</f>
        <v>882126</v>
      </c>
      <c r="F23" s="121" t="s">
        <v>64</v>
      </c>
      <c r="G23" s="122">
        <f>IF([1]!'019875^0091P0:SELL_TDY_QTY'="NO", 0, [1]!'019875^0091P0:SELL_TDY_QTY')</f>
        <v>0</v>
      </c>
      <c r="H23" s="122">
        <f>IF([1]!'019875^0091P0:SELL_TDY_AMT'="NO", 0, [1]!'019875^0091P0:SELL_TDY_AMT')</f>
        <v>0</v>
      </c>
      <c r="I23" s="122">
        <f t="shared" si="7"/>
        <v>0</v>
      </c>
      <c r="J23" s="123">
        <f>IF([1]!'019875^0091P0:BUY_TDY_QTY'="NO", 0, [1]!'019875^0091P0:BUY_TDY_QTY')</f>
        <v>0</v>
      </c>
      <c r="K23" s="122">
        <f>IF([1]!'019875^0091P0:BUY_TDY_AMT'="NO", 0, [1]!'019875^0091P0:BUY_TDY_AMT')</f>
        <v>0</v>
      </c>
      <c r="L23" s="124">
        <f t="shared" si="8"/>
        <v>0</v>
      </c>
      <c r="M23" s="125">
        <f t="shared" si="9"/>
        <v>0</v>
      </c>
      <c r="N23" s="126">
        <f t="shared" si="10"/>
        <v>0</v>
      </c>
      <c r="O23" s="127">
        <f>M23/D23</f>
        <v>0</v>
      </c>
      <c r="P23" s="1">
        <f>[1]!'0091P0:LAST'</f>
        <v>15865</v>
      </c>
      <c r="Q23" s="95">
        <f>[1]!'0091P0:NAV'</f>
        <v>15837.74</v>
      </c>
      <c r="R23" s="14">
        <f t="shared" si="11"/>
        <v>0</v>
      </c>
      <c r="S23" s="1">
        <f t="shared" si="12"/>
        <v>0</v>
      </c>
      <c r="T23" s="15">
        <f t="shared" si="13"/>
        <v>0</v>
      </c>
      <c r="U23" s="128">
        <f>_xlfn.IFNA(VLOOKUP(B23,[2]베타!$A$2:$C$1000,3,FALSE),0)</f>
        <v>0.20449999999999999</v>
      </c>
      <c r="V23" s="128">
        <f>_xlfn.IFNA(VLOOKUP(B23,[2]베타!$A$2:$D$1000,4,FALSE),0)</f>
        <v>0.81730000000000003</v>
      </c>
      <c r="W23" s="128">
        <f>_xlfn.IFNA(VLOOKUP(B23,[2]베타!$A$2:$E$1000,5,FALSE),0)</f>
        <v>0.62590000000000001</v>
      </c>
      <c r="X23" s="1">
        <f t="shared" si="14"/>
        <v>0</v>
      </c>
      <c r="Y23" s="15">
        <f t="shared" si="15"/>
        <v>0</v>
      </c>
      <c r="Z23" s="13">
        <f t="shared" si="16"/>
        <v>0</v>
      </c>
      <c r="AA23" s="129">
        <f t="shared" si="3"/>
        <v>0</v>
      </c>
      <c r="AB23" s="129">
        <f t="shared" si="4"/>
        <v>0</v>
      </c>
      <c r="AC23" s="130">
        <f t="shared" si="5"/>
        <v>0</v>
      </c>
      <c r="AD23" s="131">
        <f t="shared" si="6"/>
        <v>0</v>
      </c>
      <c r="AE23" s="1">
        <f t="shared" si="17"/>
        <v>0</v>
      </c>
      <c r="AF23" s="133"/>
      <c r="AG23" s="1" t="str">
        <f t="shared" si="18"/>
        <v>0091P0</v>
      </c>
      <c r="AH23" s="1">
        <f t="shared" si="19"/>
        <v>0</v>
      </c>
      <c r="AJ23" s="95">
        <f>ROUNDUP(VLOOKUP(B23,[2]베타!$A$2:$L$1000,12,FALSE),0)</f>
        <v>10</v>
      </c>
      <c r="AK23" s="95">
        <f>ROUNDUP(VLOOKUP(B23,[2]베타!$A$2:$M$1000,13,FALSE),0)</f>
        <v>-31</v>
      </c>
    </row>
    <row r="24" spans="1:38" x14ac:dyDescent="0.25">
      <c r="A24" s="4"/>
      <c r="B24" s="119" t="s">
        <v>81</v>
      </c>
      <c r="C24" s="120" t="s">
        <v>82</v>
      </c>
      <c r="D24" s="14">
        <f>VLOOKUP("A"&amp;B24,[2]ETF!$A$4:$M$10000,13,FALSE)</f>
        <v>50000</v>
      </c>
      <c r="E24" s="1">
        <f>[1]!'292150:VOL'+0</f>
        <v>311017</v>
      </c>
      <c r="F24" s="121" t="s">
        <v>64</v>
      </c>
      <c r="G24" s="122">
        <f>IF([1]!'019875^292150:SELL_TDY_QTY'="NO", 0, [1]!'019875^292150:SELL_TDY_QTY')</f>
        <v>3783</v>
      </c>
      <c r="H24" s="122">
        <f>IF([1]!'019875^292150:SELL_TDY_AMT'="NO", 0, [1]!'019875^292150:SELL_TDY_AMT')</f>
        <v>137718750</v>
      </c>
      <c r="I24" s="122">
        <f t="shared" si="7"/>
        <v>36404.639175257733</v>
      </c>
      <c r="J24" s="123">
        <f>IF([1]!'019875^292150:BUY_TDY_QTY'="NO", 0, [1]!'019875^292150:BUY_TDY_QTY')</f>
        <v>3783</v>
      </c>
      <c r="K24" s="122">
        <f>IF([1]!'019875^292150:BUY_TDY_AMT'="NO", 0, [1]!'019875^292150:BUY_TDY_AMT')</f>
        <v>138696635</v>
      </c>
      <c r="L24" s="124">
        <f t="shared" si="8"/>
        <v>36663.133756278083</v>
      </c>
      <c r="M24" s="125">
        <f t="shared" si="9"/>
        <v>0</v>
      </c>
      <c r="N24" s="126">
        <f t="shared" si="10"/>
        <v>0</v>
      </c>
      <c r="O24" s="127">
        <f t="shared" si="2"/>
        <v>0</v>
      </c>
      <c r="P24" s="1">
        <f>[1]!'292150:LAST'</f>
        <v>36435</v>
      </c>
      <c r="Q24" s="95">
        <f>[1]!'292150:NAV'</f>
        <v>36303.57</v>
      </c>
      <c r="R24" s="14">
        <f t="shared" si="11"/>
        <v>-114854.99999999659</v>
      </c>
      <c r="S24" s="1">
        <f t="shared" si="12"/>
        <v>-863029.99999998696</v>
      </c>
      <c r="T24" s="15">
        <f t="shared" si="13"/>
        <v>-977884.99999998359</v>
      </c>
      <c r="U24" s="128">
        <f>_xlfn.IFNA(VLOOKUP(B24,[2]베타!$A$2:$C$1000,3,FALSE),0)</f>
        <v>0.96609999999999996</v>
      </c>
      <c r="V24" s="128">
        <f>_xlfn.IFNA(VLOOKUP(B24,[2]베타!$A$2:$D$1000,4,FALSE),0)</f>
        <v>-1.1599999999999999E-2</v>
      </c>
      <c r="W24" s="128">
        <f>_xlfn.IFNA(VLOOKUP(B24,[2]베타!$A$2:$E$1000,5,FALSE),0)</f>
        <v>0.98060000000000003</v>
      </c>
      <c r="X24" s="1">
        <f t="shared" si="14"/>
        <v>0</v>
      </c>
      <c r="Y24" s="15">
        <f t="shared" si="15"/>
        <v>0</v>
      </c>
      <c r="Z24" s="13">
        <f t="shared" si="16"/>
        <v>0</v>
      </c>
      <c r="AA24" s="129">
        <f t="shared" si="3"/>
        <v>0</v>
      </c>
      <c r="AB24" s="129">
        <f t="shared" si="4"/>
        <v>0</v>
      </c>
      <c r="AC24" s="130">
        <f t="shared" si="5"/>
        <v>0</v>
      </c>
      <c r="AD24" s="131">
        <f t="shared" si="6"/>
        <v>0</v>
      </c>
      <c r="AE24" s="1">
        <f t="shared" si="17"/>
        <v>0</v>
      </c>
      <c r="AF24" s="133"/>
      <c r="AG24" s="1" t="str">
        <f t="shared" si="18"/>
        <v>292150</v>
      </c>
      <c r="AH24" s="1">
        <f t="shared" si="19"/>
        <v>0</v>
      </c>
      <c r="AJ24" s="95">
        <f>ROUNDUP(VLOOKUP(B24,[2]베타!$A$2:$L$1000,12,FALSE),0)</f>
        <v>3</v>
      </c>
      <c r="AK24" s="95">
        <f>ROUNDUP(VLOOKUP(B24,[2]베타!$A$2:$M$1000,13,FALSE),0)</f>
        <v>-22</v>
      </c>
    </row>
    <row r="25" spans="1:38" x14ac:dyDescent="0.25">
      <c r="A25" s="4"/>
      <c r="B25" s="119" t="s">
        <v>83</v>
      </c>
      <c r="C25" s="120" t="s">
        <v>84</v>
      </c>
      <c r="D25" s="14">
        <f>VLOOKUP("A"&amp;B25,[2]ETF!$A$4:$M$10000,13,FALSE)</f>
        <v>20000</v>
      </c>
      <c r="E25" s="1">
        <f>[1]!'139230:VOL'+0</f>
        <v>74681</v>
      </c>
      <c r="F25" s="121" t="s">
        <v>64</v>
      </c>
      <c r="G25" s="122">
        <f>IF([1]!'019875^139230:SELL_TDY_QTY'="NO", 0, [1]!'019875^139230:SELL_TDY_QTY')</f>
        <v>0</v>
      </c>
      <c r="H25" s="122">
        <f>IF([1]!'019875^139230:SELL_TDY_AMT'="NO", 0, [1]!'019875^139230:SELL_TDY_AMT')</f>
        <v>0</v>
      </c>
      <c r="I25" s="122">
        <f t="shared" si="7"/>
        <v>0</v>
      </c>
      <c r="J25" s="123">
        <f>IF([1]!'019875^139230:BUY_TDY_QTY'="NO", 0, [1]!'019875^139230:BUY_TDY_QTY')</f>
        <v>0</v>
      </c>
      <c r="K25" s="122">
        <f>IF([1]!'019875^139230:BUY_TDY_AMT'="NO", 0, [1]!'019875^139230:BUY_TDY_AMT')</f>
        <v>0</v>
      </c>
      <c r="L25" s="124">
        <f t="shared" si="8"/>
        <v>0</v>
      </c>
      <c r="M25" s="125">
        <f t="shared" si="9"/>
        <v>0</v>
      </c>
      <c r="N25" s="126">
        <f t="shared" si="10"/>
        <v>0</v>
      </c>
      <c r="O25" s="127">
        <f t="shared" si="2"/>
        <v>0</v>
      </c>
      <c r="P25" s="1">
        <f>[1]!'139230:LAST'</f>
        <v>12270</v>
      </c>
      <c r="Q25" s="95">
        <f>[1]!'139230:NAV'</f>
        <v>12317.58</v>
      </c>
      <c r="R25" s="14">
        <f t="shared" si="11"/>
        <v>0</v>
      </c>
      <c r="S25" s="1">
        <f t="shared" si="12"/>
        <v>0</v>
      </c>
      <c r="T25" s="15">
        <f t="shared" si="13"/>
        <v>0</v>
      </c>
      <c r="U25" s="128">
        <f>_xlfn.IFNA(VLOOKUP(B25,[2]베타!$A$2:$C$1000,3,FALSE),0)</f>
        <v>0.2392</v>
      </c>
      <c r="V25" s="128">
        <f>_xlfn.IFNA(VLOOKUP(B25,[2]베타!$A$2:$D$1000,4,FALSE),0)</f>
        <v>0.53339999999999999</v>
      </c>
      <c r="W25" s="128">
        <f>_xlfn.IFNA(VLOOKUP(B25,[2]베타!$A$2:$E$1000,5,FALSE),0)</f>
        <v>0.6099</v>
      </c>
      <c r="X25" s="1">
        <f t="shared" si="14"/>
        <v>0</v>
      </c>
      <c r="Y25" s="15">
        <f t="shared" si="15"/>
        <v>0</v>
      </c>
      <c r="Z25" s="13">
        <f t="shared" si="16"/>
        <v>0</v>
      </c>
      <c r="AA25" s="129">
        <f t="shared" si="3"/>
        <v>0</v>
      </c>
      <c r="AB25" s="129">
        <f t="shared" si="4"/>
        <v>0</v>
      </c>
      <c r="AC25" s="130">
        <f t="shared" si="5"/>
        <v>0</v>
      </c>
      <c r="AD25" s="131">
        <f t="shared" si="6"/>
        <v>0</v>
      </c>
      <c r="AE25" s="1">
        <f t="shared" si="17"/>
        <v>0</v>
      </c>
      <c r="AF25" s="133"/>
      <c r="AG25" s="1" t="str">
        <f t="shared" si="18"/>
        <v>139230</v>
      </c>
      <c r="AH25" s="1">
        <f t="shared" si="19"/>
        <v>0</v>
      </c>
      <c r="AJ25" s="95">
        <f>ROUNDUP(VLOOKUP(B25,[2]베타!$A$2:$L$1000,12,FALSE),0)</f>
        <v>12</v>
      </c>
      <c r="AK25" s="95">
        <f>ROUNDUP(VLOOKUP(B25,[2]베타!$A$2:$M$1000,13,FALSE),0)</f>
        <v>-29</v>
      </c>
    </row>
    <row r="26" spans="1:38" x14ac:dyDescent="0.25">
      <c r="A26" s="4"/>
      <c r="B26" s="119" t="s">
        <v>85</v>
      </c>
      <c r="C26" s="120" t="s">
        <v>86</v>
      </c>
      <c r="D26" s="14">
        <f>VLOOKUP("A"&amp;B26,[2]ETF!$A$4:$M$10000,13,FALSE)</f>
        <v>50000</v>
      </c>
      <c r="E26" s="1">
        <f>[1]!'364990:VOL'+0</f>
        <v>44650</v>
      </c>
      <c r="F26" s="121" t="s">
        <v>64</v>
      </c>
      <c r="G26" s="122">
        <f>IF([1]!'019875^364990:SELL_TDY_QTY'="NO", 0, [1]!'019875^364990:SELL_TDY_QTY')</f>
        <v>2</v>
      </c>
      <c r="H26" s="122">
        <f>IF([1]!'019875^364990:SELL_TDY_AMT'="NO", 0, [1]!'019875^364990:SELL_TDY_AMT')</f>
        <v>9570</v>
      </c>
      <c r="I26" s="122">
        <f t="shared" si="7"/>
        <v>4785</v>
      </c>
      <c r="J26" s="123">
        <f>IF([1]!'019875^364990:BUY_TDY_QTY'="NO", 0, [1]!'019875^364990:BUY_TDY_QTY')</f>
        <v>2</v>
      </c>
      <c r="K26" s="122">
        <f>IF([1]!'019875^364990:BUY_TDY_AMT'="NO", 0, [1]!'019875^364990:BUY_TDY_AMT')</f>
        <v>9435</v>
      </c>
      <c r="L26" s="124">
        <f t="shared" si="8"/>
        <v>4717.5</v>
      </c>
      <c r="M26" s="125">
        <f t="shared" si="9"/>
        <v>0</v>
      </c>
      <c r="N26" s="126">
        <f t="shared" si="10"/>
        <v>0</v>
      </c>
      <c r="O26" s="127">
        <f t="shared" si="2"/>
        <v>0</v>
      </c>
      <c r="P26" s="1">
        <f>[1]!'364990:LAST'</f>
        <v>4720</v>
      </c>
      <c r="Q26" s="95">
        <f>[1]!'364990:NAV'</f>
        <v>4703.5</v>
      </c>
      <c r="R26" s="14">
        <f t="shared" si="11"/>
        <v>130</v>
      </c>
      <c r="S26" s="1">
        <f t="shared" si="12"/>
        <v>5</v>
      </c>
      <c r="T26" s="15">
        <f t="shared" si="13"/>
        <v>135</v>
      </c>
      <c r="U26" s="128">
        <f>_xlfn.IFNA(VLOOKUP(B26,[2]베타!$A$2:$C$1000,3,FALSE),0)</f>
        <v>-7.5999999999999998E-2</v>
      </c>
      <c r="V26" s="128">
        <f>_xlfn.IFNA(VLOOKUP(B26,[2]베타!$A$2:$D$1000,4,FALSE),0)</f>
        <v>0.32800000000000001</v>
      </c>
      <c r="W26" s="128">
        <f>_xlfn.IFNA(VLOOKUP(B26,[2]베타!$A$2:$E$1000,5,FALSE),0)</f>
        <v>0.15820000000000001</v>
      </c>
      <c r="X26" s="1">
        <f t="shared" si="14"/>
        <v>0</v>
      </c>
      <c r="Y26" s="15">
        <f t="shared" si="15"/>
        <v>0</v>
      </c>
      <c r="Z26" s="13">
        <f t="shared" si="16"/>
        <v>0</v>
      </c>
      <c r="AA26" s="129">
        <f t="shared" si="3"/>
        <v>0</v>
      </c>
      <c r="AB26" s="129">
        <f t="shared" si="4"/>
        <v>0</v>
      </c>
      <c r="AC26" s="130">
        <f t="shared" si="5"/>
        <v>0</v>
      </c>
      <c r="AD26" s="131">
        <f t="shared" si="6"/>
        <v>0</v>
      </c>
      <c r="AE26" s="1">
        <f t="shared" si="17"/>
        <v>0</v>
      </c>
      <c r="AF26" s="133"/>
      <c r="AG26" s="1" t="str">
        <f t="shared" si="18"/>
        <v>364990</v>
      </c>
      <c r="AH26" s="1">
        <f t="shared" si="19"/>
        <v>0</v>
      </c>
      <c r="AJ26" s="95">
        <f>ROUNDUP(VLOOKUP(B26,[2]베타!$A$2:$L$1000,12,FALSE),0)</f>
        <v>19</v>
      </c>
      <c r="AK26" s="95">
        <f>ROUNDUP(VLOOKUP(B26,[2]베타!$A$2:$M$1000,13,FALSE),0)</f>
        <v>-35</v>
      </c>
    </row>
    <row r="27" spans="1:38" x14ac:dyDescent="0.25">
      <c r="A27" s="4"/>
      <c r="B27" s="119" t="s">
        <v>87</v>
      </c>
      <c r="C27" s="120" t="s">
        <v>88</v>
      </c>
      <c r="D27" s="14">
        <f>VLOOKUP("A"&amp;B27,[2]ETF!$A$4:$M$10000,13,FALSE)</f>
        <v>20000</v>
      </c>
      <c r="E27" s="1">
        <f>[1]!'157500:VOL'+0</f>
        <v>162504</v>
      </c>
      <c r="F27" s="121" t="s">
        <v>64</v>
      </c>
      <c r="G27" s="122">
        <f>IF([1]!'019875^157500:SELL_TDY_QTY'="NO", 0, [1]!'019875^157500:SELL_TDY_QTY')</f>
        <v>288</v>
      </c>
      <c r="H27" s="122">
        <f>IF([1]!'019875^157500:SELL_TDY_AMT'="NO", 0, [1]!'019875^157500:SELL_TDY_AMT')</f>
        <v>3510810</v>
      </c>
      <c r="I27" s="122">
        <f t="shared" si="7"/>
        <v>12190.3125</v>
      </c>
      <c r="J27" s="123">
        <f>IF([1]!'019875^157500:BUY_TDY_QTY'="NO", 0, [1]!'019875^157500:BUY_TDY_QTY')</f>
        <v>288</v>
      </c>
      <c r="K27" s="122">
        <f>IF([1]!'019875^157500:BUY_TDY_AMT'="NO", 0, [1]!'019875^157500:BUY_TDY_AMT')</f>
        <v>3498030</v>
      </c>
      <c r="L27" s="124">
        <f t="shared" si="8"/>
        <v>12145.9375</v>
      </c>
      <c r="M27" s="125">
        <f t="shared" si="9"/>
        <v>0</v>
      </c>
      <c r="N27" s="126">
        <f t="shared" si="10"/>
        <v>0</v>
      </c>
      <c r="O27" s="127">
        <f t="shared" si="2"/>
        <v>0</v>
      </c>
      <c r="P27" s="1">
        <f>[1]!'157500:LAST'</f>
        <v>12085</v>
      </c>
      <c r="Q27" s="95">
        <f>[1]!'157500:NAV'</f>
        <v>12134.26</v>
      </c>
      <c r="R27" s="14">
        <f t="shared" si="11"/>
        <v>30330</v>
      </c>
      <c r="S27" s="1">
        <f t="shared" si="12"/>
        <v>-17550</v>
      </c>
      <c r="T27" s="15">
        <f t="shared" si="13"/>
        <v>12780</v>
      </c>
      <c r="U27" s="128">
        <f>_xlfn.IFNA(VLOOKUP(B27,[2]베타!$A$2:$C$1000,3,FALSE),0)</f>
        <v>0.47989999999999999</v>
      </c>
      <c r="V27" s="128">
        <f>_xlfn.IFNA(VLOOKUP(B27,[2]베타!$A$2:$D$1000,4,FALSE),0)</f>
        <v>0.40539999999999998</v>
      </c>
      <c r="W27" s="128">
        <f>_xlfn.IFNA(VLOOKUP(B27,[2]베타!$A$2:$E$1000,5,FALSE),0)</f>
        <v>0.62919999999999998</v>
      </c>
      <c r="X27" s="1">
        <f t="shared" si="14"/>
        <v>0</v>
      </c>
      <c r="Y27" s="15">
        <f t="shared" si="15"/>
        <v>0</v>
      </c>
      <c r="Z27" s="13">
        <f t="shared" si="16"/>
        <v>0</v>
      </c>
      <c r="AA27" s="129">
        <f t="shared" si="3"/>
        <v>0</v>
      </c>
      <c r="AB27" s="129">
        <f t="shared" si="4"/>
        <v>0</v>
      </c>
      <c r="AC27" s="130">
        <f t="shared" si="5"/>
        <v>0</v>
      </c>
      <c r="AD27" s="131">
        <f t="shared" si="6"/>
        <v>0</v>
      </c>
      <c r="AE27" s="1">
        <f t="shared" si="17"/>
        <v>0</v>
      </c>
      <c r="AF27" s="133"/>
      <c r="AG27" s="1" t="str">
        <f t="shared" si="18"/>
        <v>157500</v>
      </c>
      <c r="AH27" s="1">
        <f t="shared" si="19"/>
        <v>0</v>
      </c>
      <c r="AJ27" s="95">
        <f>ROUNDUP(VLOOKUP(B27,[2]베타!$A$2:$L$1000,12,FALSE),0)</f>
        <v>6</v>
      </c>
      <c r="AK27" s="95">
        <f>ROUNDUP(VLOOKUP(B27,[2]베타!$A$2:$M$1000,13,FALSE),0)</f>
        <v>-30</v>
      </c>
    </row>
    <row r="28" spans="1:38" x14ac:dyDescent="0.25">
      <c r="A28" s="4"/>
      <c r="B28" s="119" t="s">
        <v>89</v>
      </c>
      <c r="C28" s="120" t="s">
        <v>90</v>
      </c>
      <c r="D28" s="14">
        <f>VLOOKUP("A"&amp;B28,[2]ETF!$A$4:$M$10000,13,FALSE)</f>
        <v>30000</v>
      </c>
      <c r="E28" s="1">
        <f>[1]!'228810:VOL'+0</f>
        <v>214125</v>
      </c>
      <c r="F28" s="121" t="s">
        <v>64</v>
      </c>
      <c r="G28" s="122">
        <f>IF([1]!'019875^228810:SELL_TDY_QTY'="NO", 0, [1]!'019875^228810:SELL_TDY_QTY')</f>
        <v>1531</v>
      </c>
      <c r="H28" s="122">
        <f>IF([1]!'019875^228810:SELL_TDY_AMT'="NO", 0, [1]!'019875^228810:SELL_TDY_AMT')</f>
        <v>4726290</v>
      </c>
      <c r="I28" s="122">
        <f t="shared" si="7"/>
        <v>3087.060744611365</v>
      </c>
      <c r="J28" s="123">
        <f>IF([1]!'019875^228810:BUY_TDY_QTY'="NO", 0, [1]!'019875^228810:BUY_TDY_QTY')</f>
        <v>1531</v>
      </c>
      <c r="K28" s="122">
        <f>IF([1]!'019875^228810:BUY_TDY_AMT'="NO", 0, [1]!'019875^228810:BUY_TDY_AMT')</f>
        <v>4816365</v>
      </c>
      <c r="L28" s="124">
        <f t="shared" si="8"/>
        <v>3145.8948399738733</v>
      </c>
      <c r="M28" s="125">
        <f t="shared" si="9"/>
        <v>0</v>
      </c>
      <c r="N28" s="126">
        <f t="shared" si="10"/>
        <v>0</v>
      </c>
      <c r="O28" s="127">
        <f t="shared" si="2"/>
        <v>0</v>
      </c>
      <c r="P28" s="1">
        <f>[1]!'228810:LAST'</f>
        <v>3060</v>
      </c>
      <c r="Q28" s="95">
        <f>[1]!'228810:NAV'</f>
        <v>3067.95</v>
      </c>
      <c r="R28" s="14">
        <f t="shared" si="11"/>
        <v>41429.999999999745</v>
      </c>
      <c r="S28" s="1">
        <f t="shared" si="12"/>
        <v>-131505.00000000006</v>
      </c>
      <c r="T28" s="15">
        <f t="shared" si="13"/>
        <v>-90075.00000000032</v>
      </c>
      <c r="U28" s="128">
        <f>_xlfn.IFNA(VLOOKUP(B28,[2]베타!$A$2:$C$1000,3,FALSE),0)</f>
        <v>-0.1847</v>
      </c>
      <c r="V28" s="128">
        <f>_xlfn.IFNA(VLOOKUP(B28,[2]베타!$A$2:$D$1000,4,FALSE),0)</f>
        <v>0.69120000000000004</v>
      </c>
      <c r="W28" s="128">
        <f>_xlfn.IFNA(VLOOKUP(B28,[2]베타!$A$2:$E$1000,5,FALSE),0)</f>
        <v>0.53849999999999998</v>
      </c>
      <c r="X28" s="1">
        <f t="shared" si="14"/>
        <v>0</v>
      </c>
      <c r="Y28" s="15">
        <f t="shared" si="15"/>
        <v>0</v>
      </c>
      <c r="Z28" s="13">
        <f t="shared" si="16"/>
        <v>0</v>
      </c>
      <c r="AA28" s="129">
        <f t="shared" si="3"/>
        <v>0</v>
      </c>
      <c r="AB28" s="129">
        <f t="shared" si="4"/>
        <v>0</v>
      </c>
      <c r="AC28" s="130">
        <f t="shared" si="5"/>
        <v>0</v>
      </c>
      <c r="AD28" s="131">
        <f t="shared" si="6"/>
        <v>0</v>
      </c>
      <c r="AE28" s="1">
        <f t="shared" si="17"/>
        <v>0</v>
      </c>
      <c r="AF28" s="133"/>
      <c r="AG28" s="1" t="str">
        <f t="shared" si="18"/>
        <v>228810</v>
      </c>
      <c r="AH28" s="1">
        <f t="shared" si="19"/>
        <v>0</v>
      </c>
      <c r="AJ28" s="95">
        <f>ROUNDUP(VLOOKUP(B28,[2]베타!$A$2:$L$1000,12,FALSE),0)</f>
        <v>20</v>
      </c>
      <c r="AK28" s="95">
        <f>ROUNDUP(VLOOKUP(B28,[2]베타!$A$2:$M$1000,13,FALSE),0)</f>
        <v>-33</v>
      </c>
    </row>
    <row r="29" spans="1:38" x14ac:dyDescent="0.25">
      <c r="A29" s="4"/>
      <c r="B29" s="134" t="s">
        <v>91</v>
      </c>
      <c r="C29" s="135" t="s">
        <v>92</v>
      </c>
      <c r="D29" s="136">
        <f>VLOOKUP("A"&amp;B29,[2]ETF!$A$4:$M$10000,13,FALSE)</f>
        <v>10000</v>
      </c>
      <c r="E29" s="137">
        <f>[1]!'472150:VOL'+0</f>
        <v>3489279</v>
      </c>
      <c r="F29" s="138" t="s">
        <v>93</v>
      </c>
      <c r="G29" s="122">
        <f>IF([1]!'019870^472150:SELL_TDY_QTY'="NO", 0, [1]!'019870^472150:SELL_TDY_QTY')</f>
        <v>3619</v>
      </c>
      <c r="H29" s="122">
        <f>IF([1]!'019870^472150:SELL_TDY_AMT'="NO", 0, [1]!'019870^472150:SELL_TDY_AMT')</f>
        <v>70494880</v>
      </c>
      <c r="I29" s="122">
        <f t="shared" si="7"/>
        <v>19479.10472506217</v>
      </c>
      <c r="J29" s="123">
        <f>IF([1]!'019870^472150:BUY_TDY_QTY'="NO", 0, [1]!'019870^472150:BUY_TDY_QTY')</f>
        <v>3619</v>
      </c>
      <c r="K29" s="122">
        <f>IF([1]!'019870^472150:BUY_TDY_AMT'="NO", 0, [1]!'019870^472150:BUY_TDY_AMT')</f>
        <v>70823770</v>
      </c>
      <c r="L29" s="124">
        <f t="shared" si="8"/>
        <v>19569.983420834484</v>
      </c>
      <c r="M29" s="125">
        <f t="shared" si="9"/>
        <v>0</v>
      </c>
      <c r="N29" s="126">
        <f t="shared" si="10"/>
        <v>0</v>
      </c>
      <c r="O29" s="127">
        <f t="shared" si="2"/>
        <v>0</v>
      </c>
      <c r="P29" s="1">
        <f>[1]!'472150:LAST'</f>
        <v>19420</v>
      </c>
      <c r="Q29" s="95">
        <f>[1]!'472150:NAV'</f>
        <v>19416.419999999998</v>
      </c>
      <c r="R29" s="14">
        <f t="shared" si="11"/>
        <v>213899.99999999494</v>
      </c>
      <c r="S29" s="1">
        <f t="shared" si="12"/>
        <v>-542789.99999999651</v>
      </c>
      <c r="T29" s="15">
        <f t="shared" si="13"/>
        <v>-328890.00000000157</v>
      </c>
      <c r="U29" s="128">
        <f>_xlfn.IFNA(VLOOKUP(B29,[2]베타!$A$2:$C$1000,3,FALSE),0)</f>
        <v>0.98040000000000005</v>
      </c>
      <c r="V29" s="128">
        <f>_xlfn.IFNA(VLOOKUP(B29,[2]베타!$A$2:$D$1000,4,FALSE),0)</f>
        <v>-8.0000000000000004E-4</v>
      </c>
      <c r="W29" s="128">
        <f>_xlfn.IFNA(VLOOKUP(B29,[2]베타!$A$2:$E$1000,5,FALSE),0)</f>
        <v>0.98619999999999997</v>
      </c>
      <c r="X29" s="1">
        <f t="shared" si="14"/>
        <v>0</v>
      </c>
      <c r="Y29" s="15">
        <f t="shared" si="15"/>
        <v>0</v>
      </c>
      <c r="Z29" s="13">
        <f t="shared" si="16"/>
        <v>0</v>
      </c>
      <c r="AA29" s="129">
        <f t="shared" si="3"/>
        <v>0</v>
      </c>
      <c r="AB29" s="129">
        <f t="shared" si="4"/>
        <v>0</v>
      </c>
      <c r="AC29" s="130">
        <f t="shared" si="5"/>
        <v>0</v>
      </c>
      <c r="AD29" s="131">
        <f t="shared" si="6"/>
        <v>0</v>
      </c>
      <c r="AE29" s="1">
        <f t="shared" si="17"/>
        <v>0</v>
      </c>
      <c r="AF29" s="133"/>
      <c r="AG29" s="1" t="str">
        <f t="shared" si="18"/>
        <v>472150</v>
      </c>
      <c r="AH29" s="1">
        <f t="shared" si="19"/>
        <v>0</v>
      </c>
      <c r="AJ29" s="95">
        <f>ROUNDUP(VLOOKUP(B29,[2]베타!$A$2:$L$1000,12,FALSE),0)</f>
        <v>11</v>
      </c>
      <c r="AK29" s="95">
        <f>ROUNDUP(VLOOKUP(B29,[2]베타!$A$2:$M$1000,13,FALSE),0)</f>
        <v>-15</v>
      </c>
    </row>
    <row r="30" spans="1:38" x14ac:dyDescent="0.25">
      <c r="A30" s="4"/>
      <c r="B30" s="119" t="s">
        <v>94</v>
      </c>
      <c r="C30" s="120" t="s">
        <v>95</v>
      </c>
      <c r="D30" s="14">
        <f>VLOOKUP("A"&amp;B30,[2]ETF!$A$4:$M$10000,13,FALSE)</f>
        <v>50000</v>
      </c>
      <c r="E30" s="1">
        <f>[1]!'307520:VOL'+0</f>
        <v>212505</v>
      </c>
      <c r="F30" s="121" t="s">
        <v>64</v>
      </c>
      <c r="G30" s="122">
        <f>IF([1]!'019875^307520:SELL_TDY_QTY'="NO", 0, [1]!'019875^307520:SELL_TDY_QTY')</f>
        <v>16</v>
      </c>
      <c r="H30" s="122">
        <f>IF([1]!'019875^307520:SELL_TDY_AMT'="NO", 0, [1]!'019875^307520:SELL_TDY_AMT')</f>
        <v>352265</v>
      </c>
      <c r="I30" s="122">
        <f t="shared" si="7"/>
        <v>22016.5625</v>
      </c>
      <c r="J30" s="123">
        <f>IF([1]!'019875^307520:BUY_TDY_QTY'="NO", 0, [1]!'019875^307520:BUY_TDY_QTY')</f>
        <v>16</v>
      </c>
      <c r="K30" s="122">
        <f>IF([1]!'019875^307520:BUY_TDY_AMT'="NO", 0, [1]!'019875^307520:BUY_TDY_AMT')</f>
        <v>351560</v>
      </c>
      <c r="L30" s="124">
        <f t="shared" si="8"/>
        <v>21972.5</v>
      </c>
      <c r="M30" s="125">
        <f t="shared" si="9"/>
        <v>0</v>
      </c>
      <c r="N30" s="126">
        <f t="shared" si="10"/>
        <v>0</v>
      </c>
      <c r="O30" s="127">
        <f t="shared" si="2"/>
        <v>0</v>
      </c>
      <c r="P30" s="1">
        <f>[1]!'307520:LAST'</f>
        <v>21895</v>
      </c>
      <c r="Q30" s="95">
        <f>[1]!'307520:NAV'</f>
        <v>21955.81</v>
      </c>
      <c r="R30" s="14">
        <f t="shared" si="11"/>
        <v>1945</v>
      </c>
      <c r="S30" s="1">
        <f t="shared" si="12"/>
        <v>-1240</v>
      </c>
      <c r="T30" s="15">
        <f t="shared" si="13"/>
        <v>705</v>
      </c>
      <c r="U30" s="128">
        <f>_xlfn.IFNA(VLOOKUP(B30,[2]베타!$A$2:$C$1000,3,FALSE),0)</f>
        <v>0.36370000000000002</v>
      </c>
      <c r="V30" s="128">
        <f>_xlfn.IFNA(VLOOKUP(B30,[2]베타!$A$2:$D$1000,4,FALSE),0)</f>
        <v>0.38030000000000003</v>
      </c>
      <c r="W30" s="128">
        <f>_xlfn.IFNA(VLOOKUP(B30,[2]베타!$A$2:$E$1000,5,FALSE),0)</f>
        <v>0.75039999999999996</v>
      </c>
      <c r="X30" s="1">
        <f t="shared" si="14"/>
        <v>0</v>
      </c>
      <c r="Y30" s="15">
        <f t="shared" si="15"/>
        <v>0</v>
      </c>
      <c r="Z30" s="13">
        <f t="shared" si="16"/>
        <v>0</v>
      </c>
      <c r="AA30" s="129">
        <f t="shared" si="3"/>
        <v>0</v>
      </c>
      <c r="AB30" s="129">
        <f t="shared" si="4"/>
        <v>0</v>
      </c>
      <c r="AC30" s="130">
        <f t="shared" si="5"/>
        <v>0</v>
      </c>
      <c r="AD30" s="131">
        <f t="shared" si="6"/>
        <v>0</v>
      </c>
      <c r="AE30" s="1">
        <f t="shared" si="17"/>
        <v>0</v>
      </c>
      <c r="AF30" s="133"/>
      <c r="AG30" s="1" t="str">
        <f t="shared" si="18"/>
        <v>307520</v>
      </c>
      <c r="AH30" s="1">
        <f t="shared" si="19"/>
        <v>0</v>
      </c>
      <c r="AJ30" s="95">
        <f>ROUNDUP(VLOOKUP(B30,[2]베타!$A$2:$L$1000,12,FALSE),0)</f>
        <v>5</v>
      </c>
      <c r="AK30" s="95">
        <f>ROUNDUP(VLOOKUP(B30,[2]베타!$A$2:$M$1000,13,FALSE),0)</f>
        <v>-30</v>
      </c>
    </row>
    <row r="31" spans="1:38" x14ac:dyDescent="0.25">
      <c r="A31" s="4"/>
      <c r="B31" s="119" t="s">
        <v>96</v>
      </c>
      <c r="C31" s="120" t="s">
        <v>97</v>
      </c>
      <c r="D31" s="14">
        <f>VLOOKUP("A"&amp;B31,[2]ETF!$A$4:$M$10000,13,FALSE)</f>
        <v>20000</v>
      </c>
      <c r="E31" s="1">
        <f>[1]!'157490:VOL'+0</f>
        <v>119543</v>
      </c>
      <c r="F31" s="121" t="s">
        <v>64</v>
      </c>
      <c r="G31" s="122">
        <f>IF([1]!'019875^157490:SELL_TDY_QTY'="NO", 0, [1]!'019875^157490:SELL_TDY_QTY')</f>
        <v>1356</v>
      </c>
      <c r="H31" s="122">
        <f>IF([1]!'019875^157490:SELL_TDY_AMT'="NO", 0, [1]!'019875^157490:SELL_TDY_AMT')</f>
        <v>11287817</v>
      </c>
      <c r="I31" s="122">
        <f t="shared" si="7"/>
        <v>8324.3488200589964</v>
      </c>
      <c r="J31" s="123">
        <f>IF([1]!'019875^157490:BUY_TDY_QTY'="NO", 0, [1]!'019875^157490:BUY_TDY_QTY')</f>
        <v>1356</v>
      </c>
      <c r="K31" s="122">
        <f>IF([1]!'019875^157490:BUY_TDY_AMT'="NO", 0, [1]!'019875^157490:BUY_TDY_AMT')</f>
        <v>11265965</v>
      </c>
      <c r="L31" s="124">
        <f t="shared" si="8"/>
        <v>8308.2337758112099</v>
      </c>
      <c r="M31" s="125">
        <f t="shared" si="9"/>
        <v>0</v>
      </c>
      <c r="N31" s="126">
        <f t="shared" si="10"/>
        <v>0</v>
      </c>
      <c r="O31" s="127">
        <f t="shared" si="2"/>
        <v>0</v>
      </c>
      <c r="P31" s="1">
        <f>[1]!'157490:LAST'</f>
        <v>8315</v>
      </c>
      <c r="Q31" s="95">
        <f>[1]!'157490:NAV'</f>
        <v>8289.43</v>
      </c>
      <c r="R31" s="14">
        <f t="shared" si="11"/>
        <v>12676.999999999054</v>
      </c>
      <c r="S31" s="1">
        <f t="shared" si="12"/>
        <v>9174.9999999994398</v>
      </c>
      <c r="T31" s="15">
        <f t="shared" si="13"/>
        <v>21851.999999998494</v>
      </c>
      <c r="U31" s="128">
        <f>_xlfn.IFNA(VLOOKUP(B31,[2]베타!$A$2:$C$1000,3,FALSE),0)</f>
        <v>0.18590000000000001</v>
      </c>
      <c r="V31" s="128">
        <f>_xlfn.IFNA(VLOOKUP(B31,[2]베타!$A$2:$D$1000,4,FALSE),0)</f>
        <v>0.29980000000000001</v>
      </c>
      <c r="W31" s="128">
        <f>_xlfn.IFNA(VLOOKUP(B31,[2]베타!$A$2:$E$1000,5,FALSE),0)</f>
        <v>0.36320000000000002</v>
      </c>
      <c r="X31" s="1">
        <f t="shared" si="14"/>
        <v>0</v>
      </c>
      <c r="Y31" s="15">
        <f t="shared" si="15"/>
        <v>0</v>
      </c>
      <c r="Z31" s="13">
        <f t="shared" si="16"/>
        <v>0</v>
      </c>
      <c r="AA31" s="129">
        <f t="shared" si="3"/>
        <v>0</v>
      </c>
      <c r="AB31" s="129">
        <f t="shared" si="4"/>
        <v>0</v>
      </c>
      <c r="AC31" s="130">
        <f t="shared" si="5"/>
        <v>0</v>
      </c>
      <c r="AD31" s="131">
        <f t="shared" si="6"/>
        <v>0</v>
      </c>
      <c r="AE31" s="1">
        <f t="shared" si="17"/>
        <v>0</v>
      </c>
      <c r="AF31" s="133"/>
      <c r="AG31" s="1" t="str">
        <f t="shared" si="18"/>
        <v>157490</v>
      </c>
      <c r="AH31" s="1">
        <f t="shared" si="19"/>
        <v>0</v>
      </c>
      <c r="AJ31" s="95">
        <f>ROUNDUP(VLOOKUP(B31,[2]베타!$A$2:$L$1000,12,FALSE),0)</f>
        <v>11</v>
      </c>
      <c r="AK31" s="95">
        <f>ROUNDUP(VLOOKUP(B31,[2]베타!$A$2:$M$1000,13,FALSE),0)</f>
        <v>-33</v>
      </c>
    </row>
    <row r="32" spans="1:38" x14ac:dyDescent="0.25">
      <c r="A32" s="4"/>
      <c r="B32" s="119" t="s">
        <v>98</v>
      </c>
      <c r="C32" s="120" t="s">
        <v>99</v>
      </c>
      <c r="D32" s="14">
        <f>VLOOKUP("A"&amp;B32,[2]ETF!$A$4:$M$10000,13,FALSE)</f>
        <v>50000</v>
      </c>
      <c r="E32" s="1">
        <f>[1]!'471760:VOL'+0</f>
        <v>645031</v>
      </c>
      <c r="F32" s="121" t="s">
        <v>64</v>
      </c>
      <c r="G32" s="122">
        <f>IF([1]!'019875^471760:SELL_TDY_QTY'="NO", 0, [1]!'019875^471760:SELL_TDY_QTY')</f>
        <v>1921</v>
      </c>
      <c r="H32" s="122">
        <f>IF([1]!'019875^471760:SELL_TDY_AMT'="NO", 0, [1]!'019875^471760:SELL_TDY_AMT')</f>
        <v>27119665</v>
      </c>
      <c r="I32" s="122">
        <f t="shared" si="7"/>
        <v>14117.472670484123</v>
      </c>
      <c r="J32" s="123">
        <f>IF([1]!'019875^471760:BUY_TDY_QTY'="NO", 0, [1]!'019875^471760:BUY_TDY_QTY')</f>
        <v>1921</v>
      </c>
      <c r="K32" s="122">
        <f>IF([1]!'019875^471760:BUY_TDY_AMT'="NO", 0, [1]!'019875^471760:BUY_TDY_AMT')</f>
        <v>27435130</v>
      </c>
      <c r="L32" s="124">
        <f t="shared" si="8"/>
        <v>14281.691827173347</v>
      </c>
      <c r="M32" s="125">
        <f>J32-G32</f>
        <v>0</v>
      </c>
      <c r="N32" s="126">
        <f t="shared" si="10"/>
        <v>0</v>
      </c>
      <c r="O32" s="127">
        <f t="shared" si="2"/>
        <v>0</v>
      </c>
      <c r="P32" s="1">
        <f>[1]!'471760:LAST'</f>
        <v>14100</v>
      </c>
      <c r="Q32" s="95">
        <f>[1]!'471760:NAV'</f>
        <v>14143.47</v>
      </c>
      <c r="R32" s="14">
        <f t="shared" si="11"/>
        <v>33565.00000000072</v>
      </c>
      <c r="S32" s="1">
        <f t="shared" si="12"/>
        <v>-349029.99999999884</v>
      </c>
      <c r="T32" s="15">
        <f t="shared" si="13"/>
        <v>-315464.99999999814</v>
      </c>
      <c r="U32" s="128">
        <f>_xlfn.IFNA(VLOOKUP(B32,[2]베타!$A$2:$C$1000,3,FALSE),0)</f>
        <v>0.51119999999999999</v>
      </c>
      <c r="V32" s="128">
        <f>_xlfn.IFNA(VLOOKUP(B32,[2]베타!$A$2:$D$1000,4,FALSE),0)</f>
        <v>0.81110000000000004</v>
      </c>
      <c r="W32" s="128">
        <f>_xlfn.IFNA(VLOOKUP(B32,[2]베타!$A$2:$E$1000,5,FALSE),0)</f>
        <v>0.79849999999999999</v>
      </c>
      <c r="X32" s="1">
        <f t="shared" si="14"/>
        <v>0</v>
      </c>
      <c r="Y32" s="15">
        <f t="shared" si="15"/>
        <v>0</v>
      </c>
      <c r="Z32" s="13">
        <f t="shared" si="16"/>
        <v>0</v>
      </c>
      <c r="AA32" s="129">
        <f t="shared" si="3"/>
        <v>0</v>
      </c>
      <c r="AB32" s="129">
        <f t="shared" si="4"/>
        <v>0</v>
      </c>
      <c r="AC32" s="130">
        <f t="shared" si="5"/>
        <v>0</v>
      </c>
      <c r="AD32" s="131">
        <f t="shared" si="6"/>
        <v>0</v>
      </c>
      <c r="AE32" s="1">
        <f t="shared" si="17"/>
        <v>0</v>
      </c>
      <c r="AF32" s="133"/>
      <c r="AG32" s="1" t="str">
        <f t="shared" si="18"/>
        <v>471760</v>
      </c>
      <c r="AH32" s="1">
        <f t="shared" si="19"/>
        <v>0</v>
      </c>
      <c r="AJ32" s="95">
        <f>ROUNDUP(VLOOKUP(B32,[2]베타!$A$2:$L$1000,12,FALSE),0)</f>
        <v>7</v>
      </c>
      <c r="AK32" s="95">
        <f>ROUNDUP(VLOOKUP(B32,[2]베타!$A$2:$M$1000,13,FALSE),0)</f>
        <v>-30</v>
      </c>
    </row>
    <row r="33" spans="1:37" x14ac:dyDescent="0.25">
      <c r="A33" s="4"/>
      <c r="B33" s="119" t="s">
        <v>100</v>
      </c>
      <c r="C33" s="120" t="s">
        <v>101</v>
      </c>
      <c r="D33" s="14">
        <f>VLOOKUP("A"&amp;B33,[2]ETF!$A$4:$M$10000,13,FALSE)</f>
        <v>50000</v>
      </c>
      <c r="E33" s="1">
        <f>[1]!'0052D0:VOL'+0</f>
        <v>70523</v>
      </c>
      <c r="F33" s="121" t="s">
        <v>64</v>
      </c>
      <c r="G33" s="122">
        <f>IF([1]!'019875^0052D0:SELL_TDY_QTY'="NO", 0, [1]!'019875^0052D0:SELL_TDY_QTY')</f>
        <v>280</v>
      </c>
      <c r="H33" s="122">
        <f>IF([1]!'019875^0052D0:SELL_TDY_AMT'="NO", 0, [1]!'019875^0052D0:SELL_TDY_AMT')</f>
        <v>4361740</v>
      </c>
      <c r="I33" s="122">
        <f t="shared" si="7"/>
        <v>15577.642857142857</v>
      </c>
      <c r="J33" s="123">
        <f>IF([1]!'019875^0052D0:BUY_TDY_QTY'="NO", 0, [1]!'019875^0052D0:BUY_TDY_QTY')</f>
        <v>280</v>
      </c>
      <c r="K33" s="122">
        <f>IF([1]!'019875^0052D0:BUY_TDY_AMT'="NO", 0, [1]!'019875^0052D0:BUY_TDY_AMT')</f>
        <v>4343975</v>
      </c>
      <c r="L33" s="124">
        <f t="shared" si="8"/>
        <v>15514.196428571429</v>
      </c>
      <c r="M33" s="125">
        <f t="shared" si="9"/>
        <v>0</v>
      </c>
      <c r="N33" s="126">
        <f t="shared" si="10"/>
        <v>0</v>
      </c>
      <c r="O33" s="127">
        <f t="shared" si="2"/>
        <v>0</v>
      </c>
      <c r="P33" s="1">
        <f>[1]!'0052D0:LAST'</f>
        <v>15405</v>
      </c>
      <c r="Q33" s="95">
        <f>[1]!'0052D0:NAV'</f>
        <v>15502.57</v>
      </c>
      <c r="R33" s="14">
        <f t="shared" si="11"/>
        <v>48339.999999999927</v>
      </c>
      <c r="S33" s="1">
        <f t="shared" si="12"/>
        <v>-30575.000000000218</v>
      </c>
      <c r="T33" s="15">
        <f t="shared" si="13"/>
        <v>17764.999999999709</v>
      </c>
      <c r="U33" s="128">
        <f>_xlfn.IFNA(VLOOKUP(B33,[2]베타!$A$2:$C$1000,3,FALSE),0)</f>
        <v>0.1038</v>
      </c>
      <c r="V33" s="128">
        <f>_xlfn.IFNA(VLOOKUP(B33,[2]베타!$A$2:$D$1000,4,FALSE),0)</f>
        <v>0.22789999999999999</v>
      </c>
      <c r="W33" s="128">
        <f>_xlfn.IFNA(VLOOKUP(B33,[2]베타!$A$2:$E$1000,5,FALSE),0)</f>
        <v>0.4037</v>
      </c>
      <c r="X33" s="1">
        <f t="shared" si="14"/>
        <v>0</v>
      </c>
      <c r="Y33" s="15">
        <f t="shared" si="15"/>
        <v>0</v>
      </c>
      <c r="Z33" s="13">
        <f t="shared" si="16"/>
        <v>0</v>
      </c>
      <c r="AA33" s="129">
        <f t="shared" si="3"/>
        <v>0</v>
      </c>
      <c r="AB33" s="129">
        <f t="shared" si="4"/>
        <v>0</v>
      </c>
      <c r="AC33" s="130">
        <f t="shared" si="5"/>
        <v>0</v>
      </c>
      <c r="AD33" s="131">
        <f t="shared" si="6"/>
        <v>0</v>
      </c>
      <c r="AE33" s="1">
        <f t="shared" si="17"/>
        <v>0</v>
      </c>
      <c r="AF33" s="133"/>
      <c r="AG33" s="1" t="str">
        <f t="shared" si="18"/>
        <v>0052D0</v>
      </c>
      <c r="AH33" s="1">
        <f t="shared" si="19"/>
        <v>0</v>
      </c>
      <c r="AJ33" s="95">
        <f>ROUNDUP(VLOOKUP(B33,[2]베타!$A$2:$L$1000,12,FALSE),0)</f>
        <v>6</v>
      </c>
      <c r="AK33" s="95">
        <f>ROUNDUP(VLOOKUP(B33,[2]베타!$A$2:$M$1000,13,FALSE),0)</f>
        <v>-23</v>
      </c>
    </row>
    <row r="34" spans="1:37" x14ac:dyDescent="0.25">
      <c r="A34" s="4"/>
      <c r="B34" s="119" t="s">
        <v>102</v>
      </c>
      <c r="C34" s="120" t="s">
        <v>103</v>
      </c>
      <c r="D34" s="14">
        <f>VLOOKUP("A"&amp;B34,[2]ETF!$A$4:$M$10000,13,FALSE)</f>
        <v>50000</v>
      </c>
      <c r="E34" s="1">
        <f>[1]!'466940:VOL'+0</f>
        <v>848870</v>
      </c>
      <c r="F34" s="121" t="s">
        <v>64</v>
      </c>
      <c r="G34" s="122">
        <f>IF([1]!'019875^466940:SELL_TDY_QTY'="NO", 0, [1]!'019875^466940:SELL_TDY_QTY')</f>
        <v>6383</v>
      </c>
      <c r="H34" s="122">
        <f>IF([1]!'019875^466940:SELL_TDY_AMT'="NO", 0, [1]!'019875^466940:SELL_TDY_AMT')</f>
        <v>173165013</v>
      </c>
      <c r="I34" s="122">
        <f t="shared" si="7"/>
        <v>27129.094939683535</v>
      </c>
      <c r="J34" s="123">
        <f>IF([1]!'019875^466940:BUY_TDY_QTY'="NO", 0, [1]!'019875^466940:BUY_TDY_QTY')</f>
        <v>6383</v>
      </c>
      <c r="K34" s="122">
        <f>IF([1]!'019875^466940:BUY_TDY_AMT'="NO", 0, [1]!'019875^466940:BUY_TDY_AMT')</f>
        <v>172349100</v>
      </c>
      <c r="L34" s="124">
        <f t="shared" si="8"/>
        <v>27001.268995770013</v>
      </c>
      <c r="M34" s="125">
        <f t="shared" si="9"/>
        <v>0</v>
      </c>
      <c r="N34" s="126">
        <f t="shared" si="10"/>
        <v>0</v>
      </c>
      <c r="O34" s="127">
        <f t="shared" si="2"/>
        <v>0</v>
      </c>
      <c r="P34" s="1">
        <f>[1]!'466940:LAST'</f>
        <v>26700</v>
      </c>
      <c r="Q34" s="95">
        <f>[1]!'466940:NAV'</f>
        <v>26848.59</v>
      </c>
      <c r="R34" s="14">
        <f t="shared" si="11"/>
        <v>2738913.0000000033</v>
      </c>
      <c r="S34" s="1">
        <f t="shared" si="12"/>
        <v>-1922999.9999999939</v>
      </c>
      <c r="T34" s="15">
        <f t="shared" si="13"/>
        <v>815913.00000000931</v>
      </c>
      <c r="U34" s="128">
        <f>_xlfn.IFNA(VLOOKUP(B34,[2]베타!$A$2:$C$1000,3,FALSE),0)</f>
        <v>0.1052</v>
      </c>
      <c r="V34" s="128">
        <f>_xlfn.IFNA(VLOOKUP(B34,[2]베타!$A$2:$D$1000,4,FALSE),0)</f>
        <v>0.17249999999999999</v>
      </c>
      <c r="W34" s="128">
        <f>_xlfn.IFNA(VLOOKUP(B34,[2]베타!$A$2:$E$1000,5,FALSE),0)</f>
        <v>0.25840000000000002</v>
      </c>
      <c r="X34" s="1">
        <f t="shared" si="14"/>
        <v>0</v>
      </c>
      <c r="Y34" s="15">
        <f t="shared" si="15"/>
        <v>0</v>
      </c>
      <c r="Z34" s="13">
        <f t="shared" si="16"/>
        <v>0</v>
      </c>
      <c r="AA34" s="129">
        <f t="shared" si="3"/>
        <v>0</v>
      </c>
      <c r="AB34" s="129">
        <f t="shared" si="4"/>
        <v>0</v>
      </c>
      <c r="AC34" s="130">
        <f t="shared" si="5"/>
        <v>0</v>
      </c>
      <c r="AD34" s="131">
        <f t="shared" si="6"/>
        <v>0</v>
      </c>
      <c r="AE34" s="1">
        <f t="shared" si="17"/>
        <v>0</v>
      </c>
      <c r="AF34" s="133"/>
      <c r="AG34" s="1" t="str">
        <f t="shared" si="18"/>
        <v>466940</v>
      </c>
      <c r="AH34" s="1">
        <f t="shared" si="19"/>
        <v>0</v>
      </c>
      <c r="AJ34" s="95">
        <f>ROUNDUP(VLOOKUP(B34,[2]베타!$A$2:$L$1000,12,FALSE),0)</f>
        <v>4</v>
      </c>
      <c r="AK34" s="95">
        <f>ROUNDUP(VLOOKUP(B34,[2]베타!$A$2:$M$1000,13,FALSE),0)</f>
        <v>-22</v>
      </c>
    </row>
    <row r="35" spans="1:37" x14ac:dyDescent="0.25">
      <c r="A35" s="4"/>
      <c r="B35" s="119" t="s">
        <v>104</v>
      </c>
      <c r="C35" s="120" t="s">
        <v>105</v>
      </c>
      <c r="D35" s="14">
        <f>VLOOKUP("A"&amp;B35,[2]ETF!$A$4:$M$10000,13,FALSE)</f>
        <v>20000</v>
      </c>
      <c r="E35" s="1">
        <f>[1]!'139220:VOL'+0</f>
        <v>343723</v>
      </c>
      <c r="F35" s="121" t="s">
        <v>64</v>
      </c>
      <c r="G35" s="122">
        <f>IF([1]!'019875^139220:SELL_TDY_QTY'="NO", 0, [1]!'019875^139220:SELL_TDY_QTY')</f>
        <v>0</v>
      </c>
      <c r="H35" s="122">
        <f>IF([1]!'019875^139220:SELL_TDY_AMT'="NO", 0, [1]!'019875^139220:SELL_TDY_AMT')</f>
        <v>0</v>
      </c>
      <c r="I35" s="122">
        <f t="shared" si="7"/>
        <v>0</v>
      </c>
      <c r="J35" s="123">
        <f>IF([1]!'019875^139220:BUY_TDY_QTY'="NO", 0, [1]!'019875^139220:BUY_TDY_QTY')</f>
        <v>0</v>
      </c>
      <c r="K35" s="122">
        <f>IF([1]!'019875^139220:BUY_TDY_AMT'="NO", 0, [1]!'019875^139220:BUY_TDY_AMT')</f>
        <v>0</v>
      </c>
      <c r="L35" s="124">
        <f t="shared" si="8"/>
        <v>0</v>
      </c>
      <c r="M35" s="125">
        <f t="shared" si="9"/>
        <v>0</v>
      </c>
      <c r="N35" s="126">
        <f t="shared" si="10"/>
        <v>0</v>
      </c>
      <c r="O35" s="127">
        <f t="shared" si="2"/>
        <v>0</v>
      </c>
      <c r="P35" s="1">
        <f>[1]!'139220:LAST'</f>
        <v>7375</v>
      </c>
      <c r="Q35" s="95">
        <f>[1]!'139220:NAV'</f>
        <v>7400.53</v>
      </c>
      <c r="R35" s="14">
        <f t="shared" si="11"/>
        <v>0</v>
      </c>
      <c r="S35" s="1">
        <f t="shared" si="12"/>
        <v>0</v>
      </c>
      <c r="T35" s="15">
        <f t="shared" si="13"/>
        <v>0</v>
      </c>
      <c r="U35" s="128">
        <f>_xlfn.IFNA(VLOOKUP(B35,[2]베타!$A$2:$C$1000,3,FALSE),0)</f>
        <v>0.42380000000000001</v>
      </c>
      <c r="V35" s="128">
        <f>_xlfn.IFNA(VLOOKUP(B35,[2]베타!$A$2:$D$1000,4,FALSE),0)</f>
        <v>0.51680000000000004</v>
      </c>
      <c r="W35" s="128">
        <f>_xlfn.IFNA(VLOOKUP(B35,[2]베타!$A$2:$E$1000,5,FALSE),0)</f>
        <v>0.61819999999999997</v>
      </c>
      <c r="X35" s="1">
        <f t="shared" si="14"/>
        <v>0</v>
      </c>
      <c r="Y35" s="15">
        <f t="shared" si="15"/>
        <v>0</v>
      </c>
      <c r="Z35" s="13">
        <f t="shared" si="16"/>
        <v>0</v>
      </c>
      <c r="AA35" s="129">
        <f t="shared" si="3"/>
        <v>0</v>
      </c>
      <c r="AB35" s="129">
        <f t="shared" si="4"/>
        <v>0</v>
      </c>
      <c r="AC35" s="130">
        <f t="shared" si="5"/>
        <v>0</v>
      </c>
      <c r="AD35" s="131">
        <f t="shared" si="6"/>
        <v>0</v>
      </c>
      <c r="AE35" s="1">
        <f t="shared" si="17"/>
        <v>0</v>
      </c>
      <c r="AF35" s="133"/>
      <c r="AG35" s="1" t="str">
        <f t="shared" si="18"/>
        <v>139220</v>
      </c>
      <c r="AH35" s="1">
        <f t="shared" si="19"/>
        <v>0</v>
      </c>
      <c r="AJ35" s="95">
        <f>ROUNDUP(VLOOKUP(B35,[2]베타!$A$2:$L$1000,12,FALSE),0)</f>
        <v>12</v>
      </c>
      <c r="AK35" s="95">
        <f>ROUNDUP(VLOOKUP(B35,[2]베타!$A$2:$M$1000,13,FALSE),0)</f>
        <v>-32</v>
      </c>
    </row>
    <row r="36" spans="1:37" x14ac:dyDescent="0.25">
      <c r="A36" s="4"/>
      <c r="B36" s="119" t="s">
        <v>106</v>
      </c>
      <c r="C36" s="120" t="s">
        <v>107</v>
      </c>
      <c r="D36" s="14">
        <f>VLOOKUP("A"&amp;B36,[2]ETF!$A$4:$M$10000,13,FALSE)</f>
        <v>50000</v>
      </c>
      <c r="E36" s="1">
        <f>[1]!'365000:VOL'+0</f>
        <v>134165</v>
      </c>
      <c r="F36" s="121" t="s">
        <v>64</v>
      </c>
      <c r="G36" s="122">
        <f>IF([1]!'019875^365000:SELL_TDY_QTY'="NO", 0, [1]!'019875^365000:SELL_TDY_QTY')</f>
        <v>30</v>
      </c>
      <c r="H36" s="122">
        <f>IF([1]!'019875^365000:SELL_TDY_AMT'="NO", 0, [1]!'019875^365000:SELL_TDY_AMT')</f>
        <v>106825</v>
      </c>
      <c r="I36" s="122">
        <f t="shared" si="7"/>
        <v>3560.8333333333335</v>
      </c>
      <c r="J36" s="123">
        <f>IF([1]!'019875^365000:BUY_TDY_QTY'="NO", 0, [1]!'019875^365000:BUY_TDY_QTY')</f>
        <v>30</v>
      </c>
      <c r="K36" s="122">
        <f>IF([1]!'019875^365000:BUY_TDY_AMT'="NO", 0, [1]!'019875^365000:BUY_TDY_AMT')</f>
        <v>105470</v>
      </c>
      <c r="L36" s="124">
        <f t="shared" si="8"/>
        <v>3515.6666666666665</v>
      </c>
      <c r="M36" s="125">
        <f t="shared" si="9"/>
        <v>0</v>
      </c>
      <c r="N36" s="126">
        <f t="shared" si="10"/>
        <v>0</v>
      </c>
      <c r="O36" s="127">
        <f t="shared" si="2"/>
        <v>0</v>
      </c>
      <c r="P36" s="1">
        <f>[1]!'365000:LAST'</f>
        <v>3505</v>
      </c>
      <c r="Q36" s="95">
        <f>[1]!'365000:NAV'</f>
        <v>3503.91</v>
      </c>
      <c r="R36" s="14">
        <f t="shared" si="11"/>
        <v>1675.0000000000045</v>
      </c>
      <c r="S36" s="1">
        <f t="shared" si="12"/>
        <v>-319.99999999999545</v>
      </c>
      <c r="T36" s="15">
        <f t="shared" si="13"/>
        <v>1355.0000000000091</v>
      </c>
      <c r="U36" s="128">
        <f>_xlfn.IFNA(VLOOKUP(B36,[2]베타!$A$2:$C$1000,3,FALSE),0)</f>
        <v>8.0299999999999996E-2</v>
      </c>
      <c r="V36" s="128">
        <f>_xlfn.IFNA(VLOOKUP(B36,[2]베타!$A$2:$D$1000,4,FALSE),0)</f>
        <v>0.50600000000000001</v>
      </c>
      <c r="W36" s="128">
        <f>_xlfn.IFNA(VLOOKUP(B36,[2]베타!$A$2:$E$1000,5,FALSE),0)</f>
        <v>0.56220000000000003</v>
      </c>
      <c r="X36" s="1">
        <f t="shared" si="14"/>
        <v>0</v>
      </c>
      <c r="Y36" s="15">
        <f t="shared" si="15"/>
        <v>0</v>
      </c>
      <c r="Z36" s="13">
        <f t="shared" si="16"/>
        <v>0</v>
      </c>
      <c r="AA36" s="129">
        <f t="shared" si="3"/>
        <v>0</v>
      </c>
      <c r="AB36" s="129">
        <f t="shared" si="4"/>
        <v>0</v>
      </c>
      <c r="AC36" s="130">
        <f t="shared" si="5"/>
        <v>0</v>
      </c>
      <c r="AD36" s="131">
        <f t="shared" si="6"/>
        <v>0</v>
      </c>
      <c r="AE36" s="1">
        <f t="shared" si="17"/>
        <v>0</v>
      </c>
      <c r="AF36" s="133"/>
      <c r="AG36" s="1" t="str">
        <f t="shared" si="18"/>
        <v>365000</v>
      </c>
      <c r="AH36" s="1">
        <f t="shared" si="19"/>
        <v>0</v>
      </c>
      <c r="AJ36" s="95">
        <f>ROUNDUP(VLOOKUP(B36,[2]베타!$A$2:$L$1000,12,FALSE),0)</f>
        <v>17</v>
      </c>
      <c r="AK36" s="95">
        <f>ROUNDUP(VLOOKUP(B36,[2]베타!$A$2:$M$1000,13,FALSE),0)</f>
        <v>-38</v>
      </c>
    </row>
    <row r="37" spans="1:37" x14ac:dyDescent="0.25">
      <c r="A37" s="4"/>
      <c r="B37" s="119" t="s">
        <v>108</v>
      </c>
      <c r="C37" s="120" t="s">
        <v>109</v>
      </c>
      <c r="D37" s="14">
        <f>VLOOKUP("A"&amp;B37,[2]ETF!$A$4:$M$10000,13,FALSE)</f>
        <v>30000</v>
      </c>
      <c r="E37" s="1">
        <f>[1]!'228800:VOL'+0</f>
        <v>146441</v>
      </c>
      <c r="F37" s="121" t="s">
        <v>64</v>
      </c>
      <c r="G37" s="122">
        <f>IF([1]!'019875^228800:SELL_TDY_QTY'="NO", 0, [1]!'019875^228800:SELL_TDY_QTY')</f>
        <v>1177</v>
      </c>
      <c r="H37" s="122">
        <f>IF([1]!'019875^228800:SELL_TDY_AMT'="NO", 0, [1]!'019875^228800:SELL_TDY_AMT')</f>
        <v>3209970</v>
      </c>
      <c r="I37" s="122">
        <f t="shared" si="7"/>
        <v>2727.247238742566</v>
      </c>
      <c r="J37" s="123">
        <f>IF([1]!'019875^228800:BUY_TDY_QTY'="NO", 0, [1]!'019875^228800:BUY_TDY_QTY')</f>
        <v>1177</v>
      </c>
      <c r="K37" s="122">
        <f>IF([1]!'019875^228800:BUY_TDY_AMT'="NO", 0, [1]!'019875^228800:BUY_TDY_AMT')</f>
        <v>3195555</v>
      </c>
      <c r="L37" s="124">
        <f t="shared" si="8"/>
        <v>2715</v>
      </c>
      <c r="M37" s="125">
        <f t="shared" si="9"/>
        <v>0</v>
      </c>
      <c r="N37" s="126">
        <f t="shared" si="10"/>
        <v>0</v>
      </c>
      <c r="O37" s="127">
        <f t="shared" si="2"/>
        <v>0</v>
      </c>
      <c r="P37" s="1">
        <f>[1]!'228800:LAST'</f>
        <v>2705</v>
      </c>
      <c r="Q37" s="95">
        <f>[1]!'228800:NAV'</f>
        <v>2711.55</v>
      </c>
      <c r="R37" s="14">
        <f t="shared" si="11"/>
        <v>26185.000000000146</v>
      </c>
      <c r="S37" s="1">
        <f t="shared" si="12"/>
        <v>-11770</v>
      </c>
      <c r="T37" s="15">
        <f t="shared" si="13"/>
        <v>14415.000000000146</v>
      </c>
      <c r="U37" s="128">
        <f>_xlfn.IFNA(VLOOKUP(B37,[2]베타!$A$2:$C$1000,3,FALSE),0)</f>
        <v>-1.7500000000000002E-2</v>
      </c>
      <c r="V37" s="128">
        <f>_xlfn.IFNA(VLOOKUP(B37,[2]베타!$A$2:$D$1000,4,FALSE),0)</f>
        <v>0.375</v>
      </c>
      <c r="W37" s="128">
        <f>_xlfn.IFNA(VLOOKUP(B37,[2]베타!$A$2:$E$1000,5,FALSE),0)</f>
        <v>0.33329999999999999</v>
      </c>
      <c r="X37" s="1">
        <f t="shared" si="14"/>
        <v>0</v>
      </c>
      <c r="Y37" s="15">
        <f t="shared" si="15"/>
        <v>0</v>
      </c>
      <c r="Z37" s="13">
        <f t="shared" si="16"/>
        <v>0</v>
      </c>
      <c r="AA37" s="129">
        <f t="shared" si="3"/>
        <v>0</v>
      </c>
      <c r="AB37" s="129">
        <f t="shared" si="4"/>
        <v>0</v>
      </c>
      <c r="AC37" s="130">
        <f t="shared" si="5"/>
        <v>0</v>
      </c>
      <c r="AD37" s="131">
        <f t="shared" si="6"/>
        <v>0</v>
      </c>
      <c r="AE37" s="1">
        <f t="shared" si="17"/>
        <v>0</v>
      </c>
      <c r="AF37" s="133"/>
      <c r="AG37" s="1" t="str">
        <f t="shared" si="18"/>
        <v>228800</v>
      </c>
      <c r="AH37" s="1">
        <f t="shared" si="19"/>
        <v>0</v>
      </c>
      <c r="AJ37" s="95">
        <f>ROUNDUP(VLOOKUP(B37,[2]베타!$A$2:$L$1000,12,FALSE),0)</f>
        <v>18</v>
      </c>
      <c r="AK37" s="95">
        <f>ROUNDUP(VLOOKUP(B37,[2]베타!$A$2:$M$1000,13,FALSE),0)</f>
        <v>-32</v>
      </c>
    </row>
    <row r="38" spans="1:37" x14ac:dyDescent="0.25">
      <c r="A38" s="4"/>
      <c r="B38" s="119" t="s">
        <v>110</v>
      </c>
      <c r="C38" s="120" t="s">
        <v>111</v>
      </c>
      <c r="D38" s="14">
        <f>VLOOKUP("A"&amp;B38,[2]ETF!$A$4:$M$10000,13,FALSE)</f>
        <v>20000</v>
      </c>
      <c r="E38" s="1">
        <f>[1]!'138540:VOL'+0</f>
        <v>130510</v>
      </c>
      <c r="F38" s="121" t="s">
        <v>64</v>
      </c>
      <c r="G38" s="122">
        <f>IF([1]!'019875^138540:SELL_TDY_QTY'="NO", 0, [1]!'019875^138540:SELL_TDY_QTY')</f>
        <v>669</v>
      </c>
      <c r="H38" s="122">
        <f>IF([1]!'019875^138540:SELL_TDY_AMT'="NO", 0, [1]!'019875^138540:SELL_TDY_AMT')</f>
        <v>32521825</v>
      </c>
      <c r="I38" s="122">
        <f>IFERROR(H38/G38,0)</f>
        <v>48612.593423019433</v>
      </c>
      <c r="J38" s="123">
        <f>IF([1]!'019875^138540:BUY_TDY_QTY'="NO", 0, [1]!'019875^138540:BUY_TDY_QTY')</f>
        <v>669</v>
      </c>
      <c r="K38" s="122">
        <f>IF([1]!'019875^138540:BUY_TDY_AMT'="NO", 0, [1]!'019875^138540:BUY_TDY_AMT')</f>
        <v>32922975</v>
      </c>
      <c r="L38" s="124">
        <f>IFERROR(K38/J38,0)</f>
        <v>49212.219730941702</v>
      </c>
      <c r="M38" s="125">
        <f>J38-G38</f>
        <v>0</v>
      </c>
      <c r="N38" s="126">
        <f>M38*P38</f>
        <v>0</v>
      </c>
      <c r="O38" s="127">
        <f>M38/D38</f>
        <v>0</v>
      </c>
      <c r="P38" s="1">
        <f>[1]!'138540:LAST'</f>
        <v>48310</v>
      </c>
      <c r="Q38" s="95">
        <f>[1]!'138540:NAV'</f>
        <v>48463.96</v>
      </c>
      <c r="R38" s="14">
        <f t="shared" si="11"/>
        <v>202435.00000000035</v>
      </c>
      <c r="S38" s="1">
        <f t="shared" si="12"/>
        <v>-603584.99999999895</v>
      </c>
      <c r="T38" s="15">
        <f t="shared" si="13"/>
        <v>-401149.9999999986</v>
      </c>
      <c r="U38" s="128">
        <f>_xlfn.IFNA(VLOOKUP(B38,[2]베타!$A$2:$C$1000,3,FALSE),0)</f>
        <v>0.37590000000000001</v>
      </c>
      <c r="V38" s="128">
        <f>_xlfn.IFNA(VLOOKUP(B38,[2]베타!$A$2:$D$1000,4,FALSE),0)</f>
        <v>0.29299999999999998</v>
      </c>
      <c r="W38" s="128">
        <f>_xlfn.IFNA(VLOOKUP(B38,[2]베타!$A$2:$E$1000,5,FALSE),0)</f>
        <v>0.53720000000000001</v>
      </c>
      <c r="X38" s="1">
        <f t="shared" si="14"/>
        <v>0</v>
      </c>
      <c r="Y38" s="15">
        <f t="shared" si="15"/>
        <v>0</v>
      </c>
      <c r="Z38" s="13">
        <f t="shared" si="16"/>
        <v>0</v>
      </c>
      <c r="AA38" s="129">
        <f t="shared" si="3"/>
        <v>0</v>
      </c>
      <c r="AB38" s="129">
        <f t="shared" si="4"/>
        <v>0</v>
      </c>
      <c r="AC38" s="130">
        <f t="shared" si="5"/>
        <v>0</v>
      </c>
      <c r="AD38" s="131">
        <f t="shared" si="6"/>
        <v>0</v>
      </c>
      <c r="AF38" s="133"/>
      <c r="AG38" s="1" t="str">
        <f t="shared" si="18"/>
        <v>138540</v>
      </c>
      <c r="AH38" s="1">
        <f t="shared" si="19"/>
        <v>0</v>
      </c>
      <c r="AJ38" s="95">
        <f>ROUNDUP(VLOOKUP(B38,[2]베타!$A$2:$L$1000,12,FALSE),0)</f>
        <v>5</v>
      </c>
      <c r="AK38" s="95">
        <f>ROUNDUP(VLOOKUP(B38,[2]베타!$A$2:$M$1000,13,FALSE),0)</f>
        <v>-24</v>
      </c>
    </row>
    <row r="39" spans="1:37" x14ac:dyDescent="0.25">
      <c r="A39" s="4"/>
      <c r="B39" s="119" t="s">
        <v>112</v>
      </c>
      <c r="C39" s="120" t="s">
        <v>113</v>
      </c>
      <c r="D39" s="14">
        <f>VLOOKUP("A"&amp;B39,[2]ETF!$A$4:$M$10000,13,FALSE)</f>
        <v>50000</v>
      </c>
      <c r="E39" s="1">
        <f>[1]!'377990:VOL'+0</f>
        <v>81848</v>
      </c>
      <c r="F39" s="121" t="s">
        <v>64</v>
      </c>
      <c r="G39" s="122">
        <f>IF([1]!'019875^377990:SELL_TDY_QTY'="NO", 0, [1]!'019875^377990:SELL_TDY_QTY')</f>
        <v>1</v>
      </c>
      <c r="H39" s="122">
        <f>IF([1]!'019875^377990:SELL_TDY_AMT'="NO", 0, [1]!'019875^377990:SELL_TDY_AMT')</f>
        <v>23940</v>
      </c>
      <c r="I39" s="122">
        <f>IFERROR(H39/G39,0)</f>
        <v>23940</v>
      </c>
      <c r="J39" s="123">
        <f>IF([1]!'019875^377990:BUY_TDY_QTY'="NO", 0, [1]!'019875^377990:BUY_TDY_QTY')</f>
        <v>1</v>
      </c>
      <c r="K39" s="122">
        <f>IF([1]!'019875^377990:BUY_TDY_AMT'="NO", 0, [1]!'019875^377990:BUY_TDY_AMT')</f>
        <v>23360</v>
      </c>
      <c r="L39" s="124">
        <f>IFERROR(K39/J39,0)</f>
        <v>23360</v>
      </c>
      <c r="M39" s="125">
        <f>J39-G39</f>
        <v>0</v>
      </c>
      <c r="N39" s="126">
        <f>M39*P39</f>
        <v>0</v>
      </c>
      <c r="O39" s="127">
        <f>M39/D39</f>
        <v>0</v>
      </c>
      <c r="P39" s="1">
        <f>[1]!'377990:LAST'</f>
        <v>23135</v>
      </c>
      <c r="Q39" s="95">
        <f>[1]!'377990:NAV'</f>
        <v>23201.63</v>
      </c>
      <c r="R39" s="14">
        <f t="shared" si="11"/>
        <v>805</v>
      </c>
      <c r="S39" s="1">
        <f t="shared" si="12"/>
        <v>-225</v>
      </c>
      <c r="T39" s="15">
        <f t="shared" si="13"/>
        <v>580</v>
      </c>
      <c r="U39" s="128">
        <f>_xlfn.IFNA(VLOOKUP(B39,[2]베타!$A$2:$C$1000,3,FALSE),0)</f>
        <v>0.20130000000000001</v>
      </c>
      <c r="V39" s="128">
        <f>_xlfn.IFNA(VLOOKUP(B39,[2]베타!$A$2:$D$1000,4,FALSE),0)</f>
        <v>0.81720000000000004</v>
      </c>
      <c r="W39" s="128">
        <f>_xlfn.IFNA(VLOOKUP(B39,[2]베타!$A$2:$E$1000,5,FALSE),0)</f>
        <v>0.6391</v>
      </c>
      <c r="X39" s="1">
        <f t="shared" si="14"/>
        <v>0</v>
      </c>
      <c r="Y39" s="15">
        <f t="shared" si="15"/>
        <v>0</v>
      </c>
      <c r="Z39" s="13">
        <f t="shared" si="16"/>
        <v>0</v>
      </c>
      <c r="AA39" s="129">
        <f t="shared" si="3"/>
        <v>0</v>
      </c>
      <c r="AB39" s="129">
        <f t="shared" si="4"/>
        <v>0</v>
      </c>
      <c r="AC39" s="130">
        <f t="shared" si="5"/>
        <v>0</v>
      </c>
      <c r="AD39" s="131">
        <f t="shared" si="6"/>
        <v>0</v>
      </c>
      <c r="AE39" s="1">
        <f t="shared" si="17"/>
        <v>0</v>
      </c>
      <c r="AF39" s="133"/>
      <c r="AG39" s="1" t="str">
        <f t="shared" si="18"/>
        <v>377990</v>
      </c>
      <c r="AH39" s="1">
        <f t="shared" si="19"/>
        <v>0</v>
      </c>
      <c r="AJ39" s="95">
        <f>ROUNDUP(VLOOKUP(B39,[2]베타!$A$2:$L$1000,12,FALSE),0)</f>
        <v>10</v>
      </c>
      <c r="AK39" s="95">
        <f>ROUNDUP(VLOOKUP(B39,[2]베타!$A$2:$M$1000,13,FALSE),0)</f>
        <v>-30</v>
      </c>
    </row>
    <row r="40" spans="1:37" x14ac:dyDescent="0.25">
      <c r="A40" s="4"/>
      <c r="B40" s="139" t="s">
        <v>114</v>
      </c>
      <c r="C40" s="140" t="s">
        <v>115</v>
      </c>
      <c r="D40" s="14">
        <f>VLOOKUP("A"&amp;B40,[2]ETF!$A$4:$M$10000,13,FALSE)</f>
        <v>50000</v>
      </c>
      <c r="E40" s="141">
        <f>[1]!'395270:VOL'+0</f>
        <v>904189</v>
      </c>
      <c r="F40" s="142" t="s">
        <v>64</v>
      </c>
      <c r="G40" s="122">
        <f>IF([1]!'019875^395270:SELL_TDY_QTY'="NO", 0, [1]!'019875^395270:SELL_TDY_QTY')</f>
        <v>5293</v>
      </c>
      <c r="H40" s="122">
        <f>IF([1]!'019875^395270:SELL_TDY_AMT'="NO", 0, [1]!'019875^395270:SELL_TDY_AMT')</f>
        <v>285275550</v>
      </c>
      <c r="I40" s="122">
        <f t="shared" si="7"/>
        <v>53896.759871528433</v>
      </c>
      <c r="J40" s="123">
        <f>IF([1]!'019875^395270:BUY_TDY_QTY'="NO", 0, [1]!'019875^395270:BUY_TDY_QTY')</f>
        <v>5293</v>
      </c>
      <c r="K40" s="122">
        <f>IF([1]!'019875^395270:BUY_TDY_AMT'="NO", 0, [1]!'019875^395270:BUY_TDY_AMT')</f>
        <v>285914745</v>
      </c>
      <c r="L40" s="124">
        <f t="shared" si="8"/>
        <v>54017.52219913093</v>
      </c>
      <c r="M40" s="125">
        <f t="shared" si="9"/>
        <v>0</v>
      </c>
      <c r="N40" s="126">
        <f t="shared" si="10"/>
        <v>0</v>
      </c>
      <c r="O40" s="127">
        <f t="shared" si="2"/>
        <v>0</v>
      </c>
      <c r="P40" s="1">
        <f>[1]!'395270:LAST'</f>
        <v>53370</v>
      </c>
      <c r="Q40" s="95">
        <f>[1]!'395270:NAV'</f>
        <v>53452.78</v>
      </c>
      <c r="R40" s="14">
        <f t="shared" si="11"/>
        <v>2788139.9999999958</v>
      </c>
      <c r="S40" s="1">
        <f t="shared" si="12"/>
        <v>-3427335.0000000121</v>
      </c>
      <c r="T40" s="15">
        <f t="shared" si="13"/>
        <v>-639195.0000000163</v>
      </c>
      <c r="U40" s="128">
        <f>_xlfn.IFNA(VLOOKUP(B40,[2]베타!$A$2:$C$1000,3,FALSE),0)</f>
        <v>1.1755</v>
      </c>
      <c r="V40" s="128">
        <f>_xlfn.IFNA(VLOOKUP(B40,[2]베타!$A$2:$D$1000,4,FALSE),0)</f>
        <v>9.7100000000000006E-2</v>
      </c>
      <c r="W40" s="128">
        <f>_xlfn.IFNA(VLOOKUP(B40,[2]베타!$A$2:$E$1000,5,FALSE),0)</f>
        <v>0.91379999999999995</v>
      </c>
      <c r="X40" s="1">
        <f t="shared" si="14"/>
        <v>0</v>
      </c>
      <c r="Y40" s="15">
        <f t="shared" si="15"/>
        <v>0</v>
      </c>
      <c r="Z40" s="13">
        <f t="shared" si="16"/>
        <v>0</v>
      </c>
      <c r="AA40" s="129">
        <f t="shared" si="3"/>
        <v>0</v>
      </c>
      <c r="AB40" s="129">
        <f t="shared" si="4"/>
        <v>0</v>
      </c>
      <c r="AC40" s="130">
        <f t="shared" si="5"/>
        <v>0</v>
      </c>
      <c r="AD40" s="131">
        <f t="shared" si="6"/>
        <v>0</v>
      </c>
      <c r="AE40" s="1">
        <f t="shared" si="17"/>
        <v>0</v>
      </c>
      <c r="AG40" s="1" t="str">
        <f t="shared" si="18"/>
        <v>395270</v>
      </c>
      <c r="AH40" s="1">
        <f t="shared" si="19"/>
        <v>0</v>
      </c>
      <c r="AJ40" s="95">
        <f>ROUNDUP(VLOOKUP(B40,[2]베타!$A$2:$L$1000,12,FALSE),0)</f>
        <v>2</v>
      </c>
      <c r="AK40" s="95">
        <f>ROUNDUP(VLOOKUP(B40,[2]베타!$A$2:$M$1000,13,FALSE),0)</f>
        <v>-23</v>
      </c>
    </row>
    <row r="41" spans="1:37" x14ac:dyDescent="0.25">
      <c r="A41" s="4"/>
      <c r="B41" s="143" t="s">
        <v>116</v>
      </c>
      <c r="C41" s="77" t="s">
        <v>117</v>
      </c>
      <c r="D41" s="14">
        <f>VLOOKUP("A"&amp;B41,[2]ETF!$A$4:$M$10000,13,FALSE)</f>
        <v>20000</v>
      </c>
      <c r="E41" s="21">
        <f>[1]!'091220:VOL'+0</f>
        <v>94118</v>
      </c>
      <c r="F41" s="144" t="s">
        <v>64</v>
      </c>
      <c r="G41" s="80">
        <f>IF([1]!'019875^091220:SELL_TDY_QTY'="NO", 0, [1]!'019875^091220:SELL_TDY_QTY')</f>
        <v>0</v>
      </c>
      <c r="H41" s="80">
        <f>IF([1]!'019875^091220:SELL_TDY_AMT'="NO", 0, [1]!'019875^091220:SELL_TDY_AMT')</f>
        <v>0</v>
      </c>
      <c r="I41" s="80">
        <f>IFERROR(H41/G41,0)</f>
        <v>0</v>
      </c>
      <c r="J41" s="79">
        <f>IF([1]!'019875^091220:BUY_TDY_QTY'="NO", 0, [1]!'019875^091220:BUY_TDY_QTY')</f>
        <v>0</v>
      </c>
      <c r="K41" s="80">
        <f>IF([1]!'019875^091220:BUY_TDY_AMT'="NO", 0, [1]!'019875^091220:BUY_TDY_AMT')</f>
        <v>0</v>
      </c>
      <c r="L41" s="145">
        <f>IFERROR(K41/J41,0)</f>
        <v>0</v>
      </c>
      <c r="M41" s="146">
        <f>J41-G41</f>
        <v>0</v>
      </c>
      <c r="N41" s="147">
        <f>M41*P41</f>
        <v>0</v>
      </c>
      <c r="O41" s="148">
        <f>M41/D41</f>
        <v>0</v>
      </c>
      <c r="P41" s="21">
        <f>[1]!'091220:LAST'</f>
        <v>17065</v>
      </c>
      <c r="Q41" s="149">
        <f>[1]!'091220:NAV'</f>
        <v>17140.77</v>
      </c>
      <c r="R41" s="14">
        <f t="shared" si="11"/>
        <v>0</v>
      </c>
      <c r="S41" s="1">
        <f t="shared" si="12"/>
        <v>0</v>
      </c>
      <c r="T41" s="15">
        <f t="shared" si="13"/>
        <v>0</v>
      </c>
      <c r="U41" s="128">
        <f>_xlfn.IFNA(VLOOKUP(B41,[2]베타!$A$2:$C$1000,3,FALSE),0)</f>
        <v>4.8599999999999997E-2</v>
      </c>
      <c r="V41" s="128">
        <f>_xlfn.IFNA(VLOOKUP(B41,[2]베타!$A$2:$D$1000,4,FALSE),0)</f>
        <v>0.2094</v>
      </c>
      <c r="W41" s="128">
        <f>_xlfn.IFNA(VLOOKUP(B41,[2]베타!$A$2:$E$1000,5,FALSE),0)</f>
        <v>0.18690000000000001</v>
      </c>
      <c r="X41" s="1">
        <f t="shared" si="14"/>
        <v>0</v>
      </c>
      <c r="Y41" s="15">
        <f t="shared" si="15"/>
        <v>0</v>
      </c>
      <c r="Z41" s="13">
        <f t="shared" si="16"/>
        <v>0</v>
      </c>
      <c r="AA41" s="129">
        <f t="shared" si="3"/>
        <v>0</v>
      </c>
      <c r="AB41" s="129">
        <f t="shared" si="4"/>
        <v>0</v>
      </c>
      <c r="AC41" s="130">
        <f t="shared" si="5"/>
        <v>0</v>
      </c>
      <c r="AD41" s="131">
        <f t="shared" si="6"/>
        <v>0</v>
      </c>
      <c r="AE41" s="1">
        <f t="shared" si="17"/>
        <v>0</v>
      </c>
      <c r="AG41" s="1" t="str">
        <f t="shared" si="18"/>
        <v>091220</v>
      </c>
      <c r="AH41" s="1">
        <f t="shared" si="19"/>
        <v>0</v>
      </c>
      <c r="AJ41" s="95">
        <f>ROUNDUP(VLOOKUP(B41,[2]베타!$A$2:$L$1000,12,FALSE),0)</f>
        <v>8</v>
      </c>
      <c r="AK41" s="95">
        <f>ROUNDUP(VLOOKUP(B41,[2]베타!$A$2:$M$1000,13,FALSE),0)</f>
        <v>-30</v>
      </c>
    </row>
    <row r="42" spans="1:37" x14ac:dyDescent="0.25">
      <c r="A42" s="4"/>
      <c r="B42" s="119" t="s">
        <v>118</v>
      </c>
      <c r="C42" s="120" t="s">
        <v>119</v>
      </c>
      <c r="D42" s="14">
        <f>VLOOKUP("A"&amp;B42,[2]ETF!$A$4:$M$10000,13,FALSE)</f>
        <v>20000</v>
      </c>
      <c r="E42" s="1">
        <f>[1]!'261070:VOL'+0</f>
        <v>383818</v>
      </c>
      <c r="F42" s="121" t="s">
        <v>64</v>
      </c>
      <c r="G42" s="122">
        <f>IF([1]!'019875^261070:SELL_TDY_QTY'="NO", 0, [1]!'019875^261070:SELL_TDY_QTY')</f>
        <v>2000</v>
      </c>
      <c r="H42" s="122">
        <f>IF([1]!'019875^261070:SELL_TDY_AMT'="NO", 0, [1]!'019875^261070:SELL_TDY_AMT')</f>
        <v>25149875</v>
      </c>
      <c r="I42" s="122">
        <f t="shared" ref="I42:I51" si="20">IFERROR(H42/G42,0)</f>
        <v>12574.9375</v>
      </c>
      <c r="J42" s="123">
        <f>IF([1]!'019875^261070:BUY_TDY_QTY'="NO", 0, [1]!'019875^261070:BUY_TDY_QTY')</f>
        <v>2000</v>
      </c>
      <c r="K42" s="122">
        <f>IF([1]!'019875^261070:BUY_TDY_AMT'="NO", 0, [1]!'019875^261070:BUY_TDY_AMT')</f>
        <v>25504225</v>
      </c>
      <c r="L42" s="124">
        <f t="shared" ref="L42:L51" si="21">IFERROR(K42/J42,0)</f>
        <v>12752.112499999999</v>
      </c>
      <c r="M42" s="125">
        <f t="shared" ref="M42:M51" si="22">J42-G42</f>
        <v>0</v>
      </c>
      <c r="N42" s="126">
        <f t="shared" ref="N42:N51" si="23">M42*P42</f>
        <v>0</v>
      </c>
      <c r="O42" s="127">
        <f t="shared" ref="O42:O51" si="24">M42/D42</f>
        <v>0</v>
      </c>
      <c r="P42" s="1">
        <f>[1]!'261070:LAST'+0</f>
        <v>12340</v>
      </c>
      <c r="Q42" s="95">
        <f>[1]!'261070:NAV'+0</f>
        <v>12322.12</v>
      </c>
      <c r="R42" s="14">
        <f t="shared" si="11"/>
        <v>469875</v>
      </c>
      <c r="S42" s="1">
        <f t="shared" si="12"/>
        <v>-824224.9999999986</v>
      </c>
      <c r="T42" s="15">
        <f t="shared" si="13"/>
        <v>-354349.9999999986</v>
      </c>
      <c r="U42" s="128">
        <f>_xlfn.IFNA(VLOOKUP(B42,[2]베타!$A$2:$C$1000,3,FALSE),0)</f>
        <v>-0.26229999999999998</v>
      </c>
      <c r="V42" s="128">
        <f>_xlfn.IFNA(VLOOKUP(B42,[2]베타!$A$2:$D$1000,4,FALSE),0)</f>
        <v>1.0610999999999999</v>
      </c>
      <c r="W42" s="128">
        <f>_xlfn.IFNA(VLOOKUP(B42,[2]베타!$A$2:$E$1000,5,FALSE),0)</f>
        <v>0.69730000000000003</v>
      </c>
      <c r="X42" s="1">
        <f t="shared" si="14"/>
        <v>0</v>
      </c>
      <c r="Y42" s="15">
        <f t="shared" si="15"/>
        <v>0</v>
      </c>
      <c r="Z42" s="13">
        <f t="shared" si="16"/>
        <v>0</v>
      </c>
      <c r="AA42" s="129">
        <f t="shared" si="3"/>
        <v>0</v>
      </c>
      <c r="AB42" s="129">
        <f t="shared" si="4"/>
        <v>0</v>
      </c>
      <c r="AC42" s="130">
        <f t="shared" si="5"/>
        <v>0</v>
      </c>
      <c r="AD42" s="131">
        <f t="shared" si="6"/>
        <v>0</v>
      </c>
      <c r="AF42" s="133"/>
      <c r="AG42" s="1" t="str">
        <f t="shared" si="18"/>
        <v>261070</v>
      </c>
      <c r="AH42" s="1">
        <f t="shared" si="19"/>
        <v>0</v>
      </c>
      <c r="AJ42" s="95">
        <f>ROUNDUP(VLOOKUP(B42,[2]베타!$A$2:$L$1000,12,FALSE),0)</f>
        <v>11</v>
      </c>
      <c r="AK42" s="95">
        <f>ROUNDUP(VLOOKUP(B42,[2]베타!$A$2:$M$1000,13,FALSE),0)</f>
        <v>-35</v>
      </c>
    </row>
    <row r="43" spans="1:37" x14ac:dyDescent="0.25">
      <c r="A43" s="4"/>
      <c r="B43" s="119" t="s">
        <v>120</v>
      </c>
      <c r="C43" s="120" t="s">
        <v>121</v>
      </c>
      <c r="D43" s="14">
        <f>VLOOKUP("A"&amp;B43,[2]ETF!$A$4:$M$10000,13,FALSE)</f>
        <v>20000</v>
      </c>
      <c r="E43" s="1">
        <f>[1]!'261060:VOL'+0</f>
        <v>17607</v>
      </c>
      <c r="F43" s="121" t="s">
        <v>64</v>
      </c>
      <c r="G43" s="122">
        <f>IF([1]!'019875^261060:SELL_TDY_QTY'="NO", 0, [1]!'019875^261060:SELL_TDY_QTY')</f>
        <v>10</v>
      </c>
      <c r="H43" s="122">
        <f>IF([1]!'019875^261060:SELL_TDY_AMT'="NO", 0, [1]!'019875^261060:SELL_TDY_AMT')</f>
        <v>227890</v>
      </c>
      <c r="I43" s="122">
        <f t="shared" si="20"/>
        <v>22789</v>
      </c>
      <c r="J43" s="123">
        <f>IF([1]!'019875^261060:BUY_TDY_QTY'="NO", 0, [1]!'019875^261060:BUY_TDY_QTY')</f>
        <v>10</v>
      </c>
      <c r="K43" s="122">
        <f>IF([1]!'019875^261060:BUY_TDY_AMT'="NO", 0, [1]!'019875^261060:BUY_TDY_AMT')</f>
        <v>226850</v>
      </c>
      <c r="L43" s="124">
        <f t="shared" si="21"/>
        <v>22685</v>
      </c>
      <c r="M43" s="125">
        <f t="shared" si="22"/>
        <v>0</v>
      </c>
      <c r="N43" s="126">
        <f t="shared" si="23"/>
        <v>0</v>
      </c>
      <c r="O43" s="127">
        <f t="shared" si="24"/>
        <v>0</v>
      </c>
      <c r="P43" s="1">
        <f>[1]!'261060:LAST'+0</f>
        <v>22580</v>
      </c>
      <c r="Q43" s="95">
        <f>[1]!'261060:NAV'+0</f>
        <v>22704.53</v>
      </c>
      <c r="R43" s="14">
        <f t="shared" si="11"/>
        <v>2090</v>
      </c>
      <c r="S43" s="1">
        <f t="shared" si="12"/>
        <v>-1050</v>
      </c>
      <c r="T43" s="15">
        <f t="shared" si="13"/>
        <v>1040</v>
      </c>
      <c r="U43" s="128">
        <f>_xlfn.IFNA(VLOOKUP(B43,[2]베타!$A$2:$C$1000,3,FALSE),0)</f>
        <v>0.20930000000000001</v>
      </c>
      <c r="V43" s="128">
        <f>_xlfn.IFNA(VLOOKUP(B43,[2]베타!$A$2:$D$1000,4,FALSE),0)</f>
        <v>1.0199</v>
      </c>
      <c r="W43" s="128">
        <f>_xlfn.IFNA(VLOOKUP(B43,[2]베타!$A$2:$E$1000,5,FALSE),0)</f>
        <v>0.83720000000000006</v>
      </c>
      <c r="X43" s="1">
        <f t="shared" si="14"/>
        <v>0</v>
      </c>
      <c r="Y43" s="15">
        <f t="shared" si="15"/>
        <v>0</v>
      </c>
      <c r="Z43" s="13">
        <f t="shared" si="16"/>
        <v>0</v>
      </c>
      <c r="AA43" s="129">
        <f t="shared" si="3"/>
        <v>0</v>
      </c>
      <c r="AB43" s="129">
        <f t="shared" si="4"/>
        <v>0</v>
      </c>
      <c r="AC43" s="130">
        <f t="shared" si="5"/>
        <v>0</v>
      </c>
      <c r="AD43" s="131">
        <f t="shared" si="6"/>
        <v>0</v>
      </c>
      <c r="AF43" s="133"/>
      <c r="AG43" s="1" t="str">
        <f t="shared" si="18"/>
        <v>261060</v>
      </c>
      <c r="AH43" s="1">
        <f t="shared" si="19"/>
        <v>0</v>
      </c>
      <c r="AJ43" s="95">
        <f>ROUNDUP(VLOOKUP(B43,[2]베타!$A$2:$L$1000,12,FALSE),0)</f>
        <v>18</v>
      </c>
      <c r="AK43" s="95">
        <f>ROUNDUP(VLOOKUP(B43,[2]베타!$A$2:$M$1000,13,FALSE),0)</f>
        <v>-42</v>
      </c>
    </row>
    <row r="44" spans="1:37" x14ac:dyDescent="0.25">
      <c r="A44" s="4"/>
      <c r="B44" s="119" t="s">
        <v>122</v>
      </c>
      <c r="C44" s="120" t="s">
        <v>123</v>
      </c>
      <c r="D44" s="14">
        <f>VLOOKUP("A"&amp;B44,[2]ETF!$A$4:$M$10000,13,FALSE)</f>
        <v>20000</v>
      </c>
      <c r="E44" s="1">
        <f>[1]!'138520:VOL'+0</f>
        <v>17052</v>
      </c>
      <c r="F44" s="121" t="s">
        <v>64</v>
      </c>
      <c r="G44" s="122">
        <f>IF([1]!'019875^138520:SELL_TDY_QTY'="NO", 0, [1]!'019875^138520:SELL_TDY_QTY')</f>
        <v>980</v>
      </c>
      <c r="H44" s="122">
        <f>IF([1]!'019875^138520:SELL_TDY_AMT'="NO", 0, [1]!'019875^138520:SELL_TDY_AMT')</f>
        <v>35319200</v>
      </c>
      <c r="I44" s="122">
        <f t="shared" si="20"/>
        <v>36040</v>
      </c>
      <c r="J44" s="123">
        <f>IF([1]!'019875^138520:BUY_TDY_QTY'="NO", 0, [1]!'019875^138520:BUY_TDY_QTY')</f>
        <v>980</v>
      </c>
      <c r="K44" s="122">
        <f>IF([1]!'019875^138520:BUY_TDY_AMT'="NO", 0, [1]!'019875^138520:BUY_TDY_AMT')</f>
        <v>35321430</v>
      </c>
      <c r="L44" s="124">
        <f t="shared" si="21"/>
        <v>36042.275510204083</v>
      </c>
      <c r="M44" s="125">
        <f t="shared" si="22"/>
        <v>0</v>
      </c>
      <c r="N44" s="126">
        <f t="shared" si="23"/>
        <v>0</v>
      </c>
      <c r="O44" s="127">
        <f t="shared" si="24"/>
        <v>0</v>
      </c>
      <c r="P44" s="1">
        <f>[1]!'138520:LAST'+0</f>
        <v>36085</v>
      </c>
      <c r="Q44" s="95">
        <f>[1]!'138520:NAV'+0</f>
        <v>35924.46</v>
      </c>
      <c r="R44" s="14">
        <f t="shared" si="11"/>
        <v>-44100</v>
      </c>
      <c r="S44" s="1">
        <f t="shared" si="12"/>
        <v>41869.999999998836</v>
      </c>
      <c r="T44" s="15">
        <f t="shared" si="13"/>
        <v>-2230.0000000011642</v>
      </c>
      <c r="U44" s="128">
        <f>_xlfn.IFNA(VLOOKUP(B44,[2]베타!$A$2:$C$1000,3,FALSE),0)</f>
        <v>0.80069999999999997</v>
      </c>
      <c r="V44" s="128">
        <f>_xlfn.IFNA(VLOOKUP(B44,[2]베타!$A$2:$D$1000,4,FALSE),0)</f>
        <v>7.7499999999999999E-2</v>
      </c>
      <c r="W44" s="128">
        <f>_xlfn.IFNA(VLOOKUP(B44,[2]베타!$A$2:$E$1000,5,FALSE),0)</f>
        <v>0.91269999999999996</v>
      </c>
      <c r="X44" s="1">
        <f t="shared" si="14"/>
        <v>0</v>
      </c>
      <c r="Y44" s="15">
        <f t="shared" si="15"/>
        <v>0</v>
      </c>
      <c r="Z44" s="13">
        <f t="shared" si="16"/>
        <v>0</v>
      </c>
      <c r="AA44" s="129">
        <f t="shared" si="3"/>
        <v>0</v>
      </c>
      <c r="AB44" s="129">
        <f t="shared" si="4"/>
        <v>0</v>
      </c>
      <c r="AC44" s="130">
        <f t="shared" si="5"/>
        <v>0</v>
      </c>
      <c r="AD44" s="131">
        <f t="shared" si="6"/>
        <v>0</v>
      </c>
      <c r="AF44" s="133"/>
      <c r="AG44" s="1" t="str">
        <f t="shared" si="18"/>
        <v>138520</v>
      </c>
      <c r="AH44" s="1">
        <f t="shared" si="19"/>
        <v>0</v>
      </c>
      <c r="AJ44" s="95">
        <f>ROUNDUP(VLOOKUP(B44,[2]베타!$A$2:$L$1000,12,FALSE),0)</f>
        <v>12</v>
      </c>
      <c r="AK44" s="95">
        <f>ROUNDUP(VLOOKUP(B44,[2]베타!$A$2:$M$1000,13,FALSE),0)</f>
        <v>-32</v>
      </c>
    </row>
    <row r="45" spans="1:37" x14ac:dyDescent="0.25">
      <c r="A45" s="4"/>
      <c r="B45" s="119" t="s">
        <v>124</v>
      </c>
      <c r="C45" s="120" t="s">
        <v>125</v>
      </c>
      <c r="D45" s="14">
        <f>VLOOKUP("A"&amp;B45,[2]ETF!$A$4:$M$10000,13,FALSE)</f>
        <v>20000</v>
      </c>
      <c r="E45" s="1">
        <f>[1]!'139250:VOL'+0</f>
        <v>26487</v>
      </c>
      <c r="F45" s="121" t="s">
        <v>64</v>
      </c>
      <c r="G45" s="122">
        <f>IF([1]!'019875^139250:SELL_TDY_QTY'="NO", 0, [1]!'019875^139250:SELL_TDY_QTY')</f>
        <v>28</v>
      </c>
      <c r="H45" s="122">
        <f>IF([1]!'019875^139250:SELL_TDY_AMT'="NO", 0, [1]!'019875^139250:SELL_TDY_AMT')</f>
        <v>490040</v>
      </c>
      <c r="I45" s="122">
        <f t="shared" si="20"/>
        <v>17501.428571428572</v>
      </c>
      <c r="J45" s="123">
        <f>IF([1]!'019875^139250:BUY_TDY_QTY'="NO", 0, [1]!'019875^139250:BUY_TDY_QTY')</f>
        <v>28</v>
      </c>
      <c r="K45" s="122">
        <f>IF([1]!'019875^139250:BUY_TDY_AMT'="NO", 0, [1]!'019875^139250:BUY_TDY_AMT')</f>
        <v>500640</v>
      </c>
      <c r="L45" s="124">
        <f t="shared" si="21"/>
        <v>17880</v>
      </c>
      <c r="M45" s="125">
        <f t="shared" si="22"/>
        <v>0</v>
      </c>
      <c r="N45" s="126">
        <f t="shared" si="23"/>
        <v>0</v>
      </c>
      <c r="O45" s="127">
        <f t="shared" si="24"/>
        <v>0</v>
      </c>
      <c r="P45" s="1">
        <f>[1]!'139250:LAST'+0</f>
        <v>17470</v>
      </c>
      <c r="Q45" s="95">
        <f>[1]!'139250:NAV'+0</f>
        <v>17462.38</v>
      </c>
      <c r="R45" s="14">
        <f t="shared" si="11"/>
        <v>880.0000000000291</v>
      </c>
      <c r="S45" s="1">
        <f t="shared" si="12"/>
        <v>-11480</v>
      </c>
      <c r="T45" s="15">
        <f t="shared" si="13"/>
        <v>-10599.999999999971</v>
      </c>
      <c r="U45" s="128">
        <f>_xlfn.IFNA(VLOOKUP(B45,[2]베타!$A$2:$C$1000,3,FALSE),0)</f>
        <v>0.26619999999999999</v>
      </c>
      <c r="V45" s="128">
        <f>_xlfn.IFNA(VLOOKUP(B45,[2]베타!$A$2:$D$1000,4,FALSE),0)</f>
        <v>0.3982</v>
      </c>
      <c r="W45" s="128">
        <f>_xlfn.IFNA(VLOOKUP(B45,[2]베타!$A$2:$E$1000,5,FALSE),0)</f>
        <v>0.61780000000000002</v>
      </c>
      <c r="X45" s="1">
        <f t="shared" si="14"/>
        <v>0</v>
      </c>
      <c r="Y45" s="15">
        <f t="shared" si="15"/>
        <v>0</v>
      </c>
      <c r="Z45" s="13">
        <f t="shared" si="16"/>
        <v>0</v>
      </c>
      <c r="AA45" s="129">
        <f t="shared" si="3"/>
        <v>0</v>
      </c>
      <c r="AB45" s="129">
        <f t="shared" si="4"/>
        <v>0</v>
      </c>
      <c r="AC45" s="130">
        <f t="shared" si="5"/>
        <v>0</v>
      </c>
      <c r="AD45" s="131">
        <f t="shared" si="6"/>
        <v>0</v>
      </c>
      <c r="AF45" s="133"/>
      <c r="AG45" s="1" t="str">
        <f t="shared" si="18"/>
        <v>139250</v>
      </c>
      <c r="AH45" s="1">
        <f t="shared" si="19"/>
        <v>0</v>
      </c>
      <c r="AJ45" s="95">
        <f>ROUNDUP(VLOOKUP(B45,[2]베타!$A$2:$L$1000,12,FALSE),0)</f>
        <v>19</v>
      </c>
      <c r="AK45" s="95">
        <f>ROUNDUP(VLOOKUP(B45,[2]베타!$A$2:$M$1000,13,FALSE),0)</f>
        <v>-34</v>
      </c>
    </row>
    <row r="46" spans="1:37" x14ac:dyDescent="0.25">
      <c r="A46" s="4"/>
      <c r="B46" s="119" t="s">
        <v>126</v>
      </c>
      <c r="C46" s="120" t="s">
        <v>127</v>
      </c>
      <c r="D46" s="14">
        <f>VLOOKUP("A"&amp;B46,[2]ETF!$A$4:$M$10000,13,FALSE)</f>
        <v>20000</v>
      </c>
      <c r="E46" s="1">
        <f>[1]!'138530:VOL'+0</f>
        <v>52718</v>
      </c>
      <c r="F46" s="121" t="s">
        <v>64</v>
      </c>
      <c r="G46" s="122">
        <f>IF([1]!'019875^138530:SELL_TDY_QTY'="NO", 0, [1]!'019875^138530:SELL_TDY_QTY')</f>
        <v>80</v>
      </c>
      <c r="H46" s="122">
        <f>IF([1]!'019875^138530:SELL_TDY_AMT'="NO", 0, [1]!'019875^138530:SELL_TDY_AMT')</f>
        <v>985960</v>
      </c>
      <c r="I46" s="122">
        <f t="shared" si="20"/>
        <v>12324.5</v>
      </c>
      <c r="J46" s="123">
        <f>IF([1]!'019875^138530:BUY_TDY_QTY'="NO", 0, [1]!'019875^138530:BUY_TDY_QTY')</f>
        <v>80</v>
      </c>
      <c r="K46" s="122">
        <f>IF([1]!'019875^138530:BUY_TDY_AMT'="NO", 0, [1]!'019875^138530:BUY_TDY_AMT')</f>
        <v>996400</v>
      </c>
      <c r="L46" s="124">
        <f t="shared" si="21"/>
        <v>12455</v>
      </c>
      <c r="M46" s="125">
        <f t="shared" si="22"/>
        <v>0</v>
      </c>
      <c r="N46" s="126">
        <f t="shared" si="23"/>
        <v>0</v>
      </c>
      <c r="O46" s="127">
        <f t="shared" si="24"/>
        <v>0</v>
      </c>
      <c r="P46" s="1">
        <f>[1]!'138530:LAST'+0</f>
        <v>12255</v>
      </c>
      <c r="Q46" s="95">
        <f>[1]!'138530:NAV'+0</f>
        <v>12299.11</v>
      </c>
      <c r="R46" s="14">
        <f t="shared" si="11"/>
        <v>5560</v>
      </c>
      <c r="S46" s="1">
        <f t="shared" si="12"/>
        <v>-16000</v>
      </c>
      <c r="T46" s="15">
        <f t="shared" si="13"/>
        <v>-10440</v>
      </c>
      <c r="U46" s="128">
        <f>_xlfn.IFNA(VLOOKUP(B46,[2]베타!$A$2:$C$1000,3,FALSE),0)</f>
        <v>0.31769999999999998</v>
      </c>
      <c r="V46" s="128">
        <f>_xlfn.IFNA(VLOOKUP(B46,[2]베타!$A$2:$D$1000,4,FALSE),0)</f>
        <v>0.23619999999999999</v>
      </c>
      <c r="W46" s="128">
        <f>_xlfn.IFNA(VLOOKUP(B46,[2]베타!$A$2:$E$1000,5,FALSE),0)</f>
        <v>0.30009999999999998</v>
      </c>
      <c r="X46" s="1">
        <f t="shared" si="14"/>
        <v>0</v>
      </c>
      <c r="Y46" s="15">
        <f t="shared" si="15"/>
        <v>0</v>
      </c>
      <c r="Z46" s="13">
        <f t="shared" si="16"/>
        <v>0</v>
      </c>
      <c r="AA46" s="129">
        <f t="shared" si="3"/>
        <v>0</v>
      </c>
      <c r="AB46" s="129">
        <f t="shared" si="4"/>
        <v>0</v>
      </c>
      <c r="AC46" s="130">
        <f t="shared" si="5"/>
        <v>0</v>
      </c>
      <c r="AD46" s="131">
        <f t="shared" si="6"/>
        <v>0</v>
      </c>
      <c r="AF46" s="133"/>
      <c r="AG46" s="1" t="str">
        <f t="shared" si="18"/>
        <v>138530</v>
      </c>
      <c r="AH46" s="1">
        <f t="shared" si="19"/>
        <v>0</v>
      </c>
      <c r="AJ46" s="95">
        <f>ROUNDUP(VLOOKUP(B46,[2]베타!$A$2:$L$1000,12,FALSE),0)</f>
        <v>6</v>
      </c>
      <c r="AK46" s="95">
        <f>ROUNDUP(VLOOKUP(B46,[2]베타!$A$2:$M$1000,13,FALSE),0)</f>
        <v>-29</v>
      </c>
    </row>
    <row r="47" spans="1:37" x14ac:dyDescent="0.25">
      <c r="A47" s="4"/>
      <c r="B47" s="119" t="s">
        <v>128</v>
      </c>
      <c r="C47" s="120" t="s">
        <v>129</v>
      </c>
      <c r="D47" s="14">
        <f>VLOOKUP("A"&amp;B47,[2]ETF!$A$4:$M$10000,13,FALSE)</f>
        <v>50000</v>
      </c>
      <c r="E47" s="1">
        <f>[1]!'364960:VOL'+0</f>
        <v>2677</v>
      </c>
      <c r="F47" s="121" t="s">
        <v>64</v>
      </c>
      <c r="G47" s="122">
        <f>IF([1]!'019875^364960:SELL_TDY_QTY'="NO", 0, [1]!'019875^364960:SELL_TDY_QTY')</f>
        <v>37</v>
      </c>
      <c r="H47" s="122">
        <f>IF([1]!'019875^364960:SELL_TDY_AMT'="NO", 0, [1]!'019875^364960:SELL_TDY_AMT')</f>
        <v>240895</v>
      </c>
      <c r="I47" s="122">
        <f t="shared" si="20"/>
        <v>6510.6756756756758</v>
      </c>
      <c r="J47" s="123">
        <f>IF([1]!'019875^364960:BUY_TDY_QTY'="NO", 0, [1]!'019875^364960:BUY_TDY_QTY')</f>
        <v>37</v>
      </c>
      <c r="K47" s="122">
        <f>IF([1]!'019875^364960:BUY_TDY_AMT'="NO", 0, [1]!'019875^364960:BUY_TDY_AMT')</f>
        <v>240605</v>
      </c>
      <c r="L47" s="124">
        <f t="shared" si="21"/>
        <v>6502.8378378378375</v>
      </c>
      <c r="M47" s="125">
        <f t="shared" si="22"/>
        <v>0</v>
      </c>
      <c r="N47" s="126">
        <f t="shared" si="23"/>
        <v>0</v>
      </c>
      <c r="O47" s="127">
        <f t="shared" si="24"/>
        <v>0</v>
      </c>
      <c r="P47" s="1">
        <f>[1]!'364960:LAST'+0</f>
        <v>6465</v>
      </c>
      <c r="Q47" s="95">
        <f>[1]!'364960:NAV'+0</f>
        <v>6482.97</v>
      </c>
      <c r="R47" s="14">
        <f t="shared" si="11"/>
        <v>1690.0000000000064</v>
      </c>
      <c r="S47" s="1">
        <f t="shared" si="12"/>
        <v>-1399.9999999999864</v>
      </c>
      <c r="T47" s="15">
        <f t="shared" si="13"/>
        <v>290.00000000002001</v>
      </c>
      <c r="U47" s="128">
        <f>_xlfn.IFNA(VLOOKUP(B47,[2]베타!$A$2:$C$1000,3,FALSE),0)</f>
        <v>1.49E-2</v>
      </c>
      <c r="V47" s="128">
        <f>_xlfn.IFNA(VLOOKUP(B47,[2]베타!$A$2:$D$1000,4,FALSE),0)</f>
        <v>0.48199999999999998</v>
      </c>
      <c r="W47" s="128">
        <f>_xlfn.IFNA(VLOOKUP(B47,[2]베타!$A$2:$E$1000,5,FALSE),0)</f>
        <v>0.53969999999999996</v>
      </c>
      <c r="X47" s="1">
        <f t="shared" si="14"/>
        <v>0</v>
      </c>
      <c r="Y47" s="15">
        <f t="shared" si="15"/>
        <v>0</v>
      </c>
      <c r="Z47" s="13">
        <f t="shared" si="16"/>
        <v>0</v>
      </c>
      <c r="AA47" s="129">
        <f t="shared" si="3"/>
        <v>0</v>
      </c>
      <c r="AB47" s="129">
        <f t="shared" si="4"/>
        <v>0</v>
      </c>
      <c r="AC47" s="130">
        <f t="shared" si="5"/>
        <v>0</v>
      </c>
      <c r="AD47" s="131">
        <f t="shared" si="6"/>
        <v>0</v>
      </c>
      <c r="AF47" s="133"/>
      <c r="AG47" s="1" t="str">
        <f t="shared" si="18"/>
        <v>364960</v>
      </c>
      <c r="AH47" s="1">
        <f t="shared" si="19"/>
        <v>0</v>
      </c>
      <c r="AJ47" s="95">
        <f>ROUNDUP(VLOOKUP(B47,[2]베타!$A$2:$L$1000,12,FALSE),0)</f>
        <v>14</v>
      </c>
      <c r="AK47" s="95">
        <f>ROUNDUP(VLOOKUP(B47,[2]베타!$A$2:$M$1000,13,FALSE),0)</f>
        <v>-36</v>
      </c>
    </row>
    <row r="48" spans="1:37" x14ac:dyDescent="0.25">
      <c r="A48" s="4"/>
      <c r="B48" s="119" t="s">
        <v>130</v>
      </c>
      <c r="C48" s="120" t="s">
        <v>131</v>
      </c>
      <c r="D48" s="14">
        <f>VLOOKUP("A"&amp;B48,[2]ETF!$A$4:$M$10000,13,FALSE)</f>
        <v>50000</v>
      </c>
      <c r="E48" s="1">
        <f>[1]!'400970:VOL'+0</f>
        <v>5652</v>
      </c>
      <c r="F48" s="121" t="s">
        <v>64</v>
      </c>
      <c r="G48" s="122">
        <f>IF([1]!'019875^400970:SELL_TDY_QTY'="NO", 0, [1]!'019875^400970:SELL_TDY_QTY')</f>
        <v>1</v>
      </c>
      <c r="H48" s="122">
        <f>IF([1]!'019875^400970:SELL_TDY_AMT'="NO", 0, [1]!'019875^400970:SELL_TDY_AMT')</f>
        <v>7375</v>
      </c>
      <c r="I48" s="122">
        <f t="shared" si="20"/>
        <v>7375</v>
      </c>
      <c r="J48" s="123">
        <f>IF([1]!'019875^400970:BUY_TDY_QTY'="NO", 0, [1]!'019875^400970:BUY_TDY_QTY')</f>
        <v>1</v>
      </c>
      <c r="K48" s="122">
        <f>IF([1]!'019875^400970:BUY_TDY_AMT'="NO", 0, [1]!'019875^400970:BUY_TDY_AMT')</f>
        <v>7395</v>
      </c>
      <c r="L48" s="124">
        <f t="shared" si="21"/>
        <v>7395</v>
      </c>
      <c r="M48" s="125">
        <f t="shared" si="22"/>
        <v>0</v>
      </c>
      <c r="N48" s="126">
        <f t="shared" si="23"/>
        <v>0</v>
      </c>
      <c r="O48" s="127">
        <f t="shared" si="24"/>
        <v>0</v>
      </c>
      <c r="P48" s="1">
        <f>[1]!'400970:LAST'+0</f>
        <v>7380</v>
      </c>
      <c r="Q48" s="95">
        <f>[1]!'400970:NAV'+0</f>
        <v>7365.93</v>
      </c>
      <c r="R48" s="14">
        <f t="shared" si="11"/>
        <v>-5</v>
      </c>
      <c r="S48" s="1">
        <f t="shared" si="12"/>
        <v>-15</v>
      </c>
      <c r="T48" s="15">
        <f t="shared" si="13"/>
        <v>-20</v>
      </c>
      <c r="U48" s="128">
        <f>_xlfn.IFNA(VLOOKUP(B48,[2]베타!$A$2:$C$1000,3,FALSE),0)</f>
        <v>8.1000000000000003E-2</v>
      </c>
      <c r="V48" s="128">
        <f>_xlfn.IFNA(VLOOKUP(B48,[2]베타!$A$2:$D$1000,4,FALSE),0)</f>
        <v>0.376</v>
      </c>
      <c r="W48" s="128">
        <f>_xlfn.IFNA(VLOOKUP(B48,[2]베타!$A$2:$E$1000,5,FALSE),0)</f>
        <v>0.38679999999999998</v>
      </c>
      <c r="X48" s="1">
        <f t="shared" si="14"/>
        <v>0</v>
      </c>
      <c r="Y48" s="15">
        <f t="shared" si="15"/>
        <v>0</v>
      </c>
      <c r="Z48" s="13">
        <f t="shared" si="16"/>
        <v>0</v>
      </c>
      <c r="AA48" s="129">
        <f t="shared" si="3"/>
        <v>0</v>
      </c>
      <c r="AB48" s="129">
        <f t="shared" si="4"/>
        <v>0</v>
      </c>
      <c r="AC48" s="130">
        <f t="shared" si="5"/>
        <v>0</v>
      </c>
      <c r="AD48" s="131">
        <f t="shared" si="6"/>
        <v>0</v>
      </c>
      <c r="AF48" s="133"/>
      <c r="AG48" s="1" t="str">
        <f t="shared" si="18"/>
        <v>400970</v>
      </c>
      <c r="AH48" s="1">
        <f t="shared" si="19"/>
        <v>0</v>
      </c>
      <c r="AJ48" s="95">
        <f>ROUNDUP(VLOOKUP(B48,[2]베타!$A$2:$L$1000,12,FALSE),0)</f>
        <v>13</v>
      </c>
      <c r="AK48" s="95">
        <f>ROUNDUP(VLOOKUP(B48,[2]베타!$A$2:$M$1000,13,FALSE),0)</f>
        <v>-32</v>
      </c>
    </row>
    <row r="49" spans="1:37" x14ac:dyDescent="0.25">
      <c r="A49" s="4"/>
      <c r="B49" s="119" t="s">
        <v>132</v>
      </c>
      <c r="C49" s="120" t="s">
        <v>133</v>
      </c>
      <c r="D49" s="14">
        <f>VLOOKUP("A"&amp;B49,[2]ETF!$A$4:$M$10000,13,FALSE)</f>
        <v>20000</v>
      </c>
      <c r="E49" s="1">
        <f>[1]!'227540:VOL'+0</f>
        <v>10132</v>
      </c>
      <c r="F49" s="121" t="s">
        <v>64</v>
      </c>
      <c r="G49" s="122">
        <f>IF([1]!'019875^227540:SELL_TDY_QTY'="NO", 0, [1]!'019875^227540:SELL_TDY_QTY')</f>
        <v>0</v>
      </c>
      <c r="H49" s="122">
        <f>IF([1]!'019875^227540:SELL_TDY_AMT'="NO", 0, [1]!'019875^227540:SELL_TDY_AMT')</f>
        <v>0</v>
      </c>
      <c r="I49" s="122">
        <f t="shared" si="20"/>
        <v>0</v>
      </c>
      <c r="J49" s="123">
        <f>IF([1]!'019875^227540:BUY_TDY_QTY'="NO", 0, [1]!'019875^227540:BUY_TDY_QTY')</f>
        <v>0</v>
      </c>
      <c r="K49" s="122">
        <f>IF([1]!'019875^227540:BUY_TDY_AMT'="NO", 0, [1]!'019875^227540:BUY_TDY_AMT')</f>
        <v>0</v>
      </c>
      <c r="L49" s="124">
        <f t="shared" si="21"/>
        <v>0</v>
      </c>
      <c r="M49" s="125">
        <f t="shared" si="22"/>
        <v>0</v>
      </c>
      <c r="N49" s="126">
        <f t="shared" si="23"/>
        <v>0</v>
      </c>
      <c r="O49" s="127">
        <f t="shared" si="24"/>
        <v>0</v>
      </c>
      <c r="P49" s="1">
        <f>[1]!'227540:LAST'+0</f>
        <v>19445</v>
      </c>
      <c r="Q49" s="95">
        <f>[1]!'227540:NAV'+0</f>
        <v>19424.169999999998</v>
      </c>
      <c r="R49" s="14">
        <f t="shared" si="11"/>
        <v>0</v>
      </c>
      <c r="S49" s="1">
        <f t="shared" si="12"/>
        <v>0</v>
      </c>
      <c r="T49" s="15">
        <f t="shared" si="13"/>
        <v>0</v>
      </c>
      <c r="U49" s="128">
        <f>_xlfn.IFNA(VLOOKUP(B49,[2]베타!$A$2:$C$1000,3,FALSE),0)</f>
        <v>-6.9900000000000004E-2</v>
      </c>
      <c r="V49" s="128">
        <f>_xlfn.IFNA(VLOOKUP(B49,[2]베타!$A$2:$D$1000,4,FALSE),0)</f>
        <v>0.4929</v>
      </c>
      <c r="W49" s="128">
        <f>_xlfn.IFNA(VLOOKUP(B49,[2]베타!$A$2:$E$1000,5,FALSE),0)</f>
        <v>0.38879999999999998</v>
      </c>
      <c r="X49" s="1">
        <f t="shared" si="14"/>
        <v>0</v>
      </c>
      <c r="Y49" s="15">
        <f t="shared" si="15"/>
        <v>0</v>
      </c>
      <c r="Z49" s="13">
        <f t="shared" si="16"/>
        <v>0</v>
      </c>
      <c r="AA49" s="129">
        <f t="shared" si="3"/>
        <v>0</v>
      </c>
      <c r="AB49" s="129">
        <f t="shared" si="4"/>
        <v>0</v>
      </c>
      <c r="AC49" s="130">
        <f t="shared" si="5"/>
        <v>0</v>
      </c>
      <c r="AD49" s="131">
        <f t="shared" si="6"/>
        <v>0</v>
      </c>
      <c r="AF49" s="133"/>
      <c r="AG49" s="1" t="str">
        <f t="shared" si="18"/>
        <v>227540</v>
      </c>
      <c r="AH49" s="1">
        <f t="shared" si="19"/>
        <v>0</v>
      </c>
      <c r="AJ49" s="95">
        <f>ROUNDUP(VLOOKUP(B49,[2]베타!$A$2:$L$1000,12,FALSE),0)</f>
        <v>9</v>
      </c>
      <c r="AK49" s="95">
        <f>ROUNDUP(VLOOKUP(B49,[2]베타!$A$2:$M$1000,13,FALSE),0)</f>
        <v>-30</v>
      </c>
    </row>
    <row r="50" spans="1:37" x14ac:dyDescent="0.25">
      <c r="A50" s="4"/>
      <c r="B50" s="119" t="s">
        <v>134</v>
      </c>
      <c r="C50" s="120" t="s">
        <v>135</v>
      </c>
      <c r="D50" s="14">
        <f>VLOOKUP("A"&amp;B50,[2]ETF!$A$4:$M$10000,13,FALSE)</f>
        <v>30000</v>
      </c>
      <c r="E50" s="1">
        <f>[1]!'150460:VOL'+0</f>
        <v>33139</v>
      </c>
      <c r="F50" s="121" t="s">
        <v>64</v>
      </c>
      <c r="G50" s="122">
        <f>IF([1]!'019875^150460:SELL_TDY_QTY'="NO", 0, [1]!'019875^150460:SELL_TDY_QTY')</f>
        <v>185</v>
      </c>
      <c r="H50" s="122">
        <f>IF([1]!'019875^150460:SELL_TDY_AMT'="NO", 0, [1]!'019875^150460:SELL_TDY_AMT')</f>
        <v>1468005</v>
      </c>
      <c r="I50" s="122">
        <f t="shared" si="20"/>
        <v>7935.1621621621625</v>
      </c>
      <c r="J50" s="123">
        <f>IF([1]!'019875^150460:BUY_TDY_QTY'="NO", 0, [1]!'019875^150460:BUY_TDY_QTY')</f>
        <v>209</v>
      </c>
      <c r="K50" s="122">
        <f>IF([1]!'019875^150460:BUY_TDY_AMT'="NO", 0, [1]!'019875^150460:BUY_TDY_AMT')</f>
        <v>1659340</v>
      </c>
      <c r="L50" s="124">
        <f t="shared" si="21"/>
        <v>7939.4258373205739</v>
      </c>
      <c r="M50" s="125">
        <f t="shared" si="22"/>
        <v>24</v>
      </c>
      <c r="N50" s="126">
        <f t="shared" si="23"/>
        <v>189600</v>
      </c>
      <c r="O50" s="127">
        <f t="shared" si="24"/>
        <v>8.0000000000000004E-4</v>
      </c>
      <c r="P50" s="1">
        <f>[1]!'150460:LAST'+0</f>
        <v>7900</v>
      </c>
      <c r="Q50" s="95">
        <f>[1]!'150460:NAV'+0</f>
        <v>7925.97</v>
      </c>
      <c r="R50" s="14">
        <f t="shared" si="11"/>
        <v>6505.0000000000682</v>
      </c>
      <c r="S50" s="1">
        <f t="shared" si="12"/>
        <v>-8239.9999999999491</v>
      </c>
      <c r="T50" s="15">
        <f t="shared" si="13"/>
        <v>-1734.9999999998809</v>
      </c>
      <c r="U50" s="128">
        <f>_xlfn.IFNA(VLOOKUP(B50,[2]베타!$A$2:$C$1000,3,FALSE),0)</f>
        <v>-0.127</v>
      </c>
      <c r="V50" s="128">
        <f>_xlfn.IFNA(VLOOKUP(B50,[2]베타!$A$2:$D$1000,4,FALSE),0)</f>
        <v>0.4531</v>
      </c>
      <c r="W50" s="128">
        <f>_xlfn.IFNA(VLOOKUP(B50,[2]베타!$A$2:$E$1000,5,FALSE),0)</f>
        <v>0.40360000000000001</v>
      </c>
      <c r="X50" s="1">
        <f t="shared" si="14"/>
        <v>-24158.35656</v>
      </c>
      <c r="Y50" s="15">
        <f t="shared" si="15"/>
        <v>86190.168168000004</v>
      </c>
      <c r="Z50" s="13">
        <f t="shared" si="16"/>
        <v>127568.188392</v>
      </c>
      <c r="AA50" s="129">
        <f t="shared" si="3"/>
        <v>0</v>
      </c>
      <c r="AB50" s="129">
        <f t="shared" si="4"/>
        <v>10.118059999999787</v>
      </c>
      <c r="AC50" s="130">
        <f t="shared" si="5"/>
        <v>0</v>
      </c>
      <c r="AD50" s="131">
        <f t="shared" si="6"/>
        <v>12.76570564864589</v>
      </c>
      <c r="AF50" s="133"/>
      <c r="AG50" s="1" t="str">
        <f t="shared" si="18"/>
        <v>150460</v>
      </c>
      <c r="AH50" s="1">
        <f t="shared" si="19"/>
        <v>-24</v>
      </c>
      <c r="AJ50" s="95">
        <f>ROUNDUP(VLOOKUP(B50,[2]베타!$A$2:$L$1000,12,FALSE),0)</f>
        <v>11</v>
      </c>
      <c r="AK50" s="95">
        <f>ROUNDUP(VLOOKUP(B50,[2]베타!$A$2:$M$1000,13,FALSE),0)</f>
        <v>-39</v>
      </c>
    </row>
    <row r="51" spans="1:37" x14ac:dyDescent="0.25">
      <c r="A51" s="4"/>
      <c r="B51" s="119" t="s">
        <v>136</v>
      </c>
      <c r="C51" s="120" t="s">
        <v>137</v>
      </c>
      <c r="D51" s="14">
        <f>VLOOKUP("A"&amp;B51,[2]ETF!$A$4:$M$10000,13,FALSE)</f>
        <v>50000</v>
      </c>
      <c r="E51" s="1">
        <f>[1]!'417630:VOL'+0</f>
        <v>518</v>
      </c>
      <c r="F51" s="121" t="s">
        <v>64</v>
      </c>
      <c r="G51" s="122">
        <f>IF([1]!'019875^417630:SELL_TDY_QTY'="NO", 0, [1]!'019875^417630:SELL_TDY_QTY')</f>
        <v>0</v>
      </c>
      <c r="H51" s="122">
        <f>IF([1]!'019875^417630:SELL_TDY_AMT'="NO", 0, [1]!'019875^417630:SELL_TDY_AMT')</f>
        <v>0</v>
      </c>
      <c r="I51" s="122">
        <f t="shared" si="20"/>
        <v>0</v>
      </c>
      <c r="J51" s="123">
        <f>IF([1]!'019875^417630:BUY_TDY_QTY'="NO", 0, [1]!'019875^417630:BUY_TDY_QTY')</f>
        <v>0</v>
      </c>
      <c r="K51" s="122">
        <f>IF([1]!'019875^417630:BUY_TDY_AMT'="NO", 0, [1]!'019875^417630:BUY_TDY_AMT')</f>
        <v>0</v>
      </c>
      <c r="L51" s="124">
        <f t="shared" si="21"/>
        <v>0</v>
      </c>
      <c r="M51" s="125">
        <f t="shared" si="22"/>
        <v>0</v>
      </c>
      <c r="N51" s="126">
        <f t="shared" si="23"/>
        <v>0</v>
      </c>
      <c r="O51" s="127">
        <f t="shared" si="24"/>
        <v>0</v>
      </c>
      <c r="P51" s="1">
        <f>[1]!'417630:LAST'+0</f>
        <v>19425</v>
      </c>
      <c r="Q51" s="95">
        <f>[1]!'417630:NAV'+0</f>
        <v>19501.52</v>
      </c>
      <c r="R51" s="14">
        <f t="shared" si="11"/>
        <v>0</v>
      </c>
      <c r="S51" s="1">
        <f t="shared" si="12"/>
        <v>0</v>
      </c>
      <c r="T51" s="15">
        <f t="shared" si="13"/>
        <v>0</v>
      </c>
      <c r="U51" s="128">
        <f>_xlfn.IFNA(VLOOKUP(B51,[2]베타!$A$2:$C$1000,3,FALSE),0)</f>
        <v>0.29110000000000003</v>
      </c>
      <c r="V51" s="128">
        <f>_xlfn.IFNA(VLOOKUP(B51,[2]베타!$A$2:$D$1000,4,FALSE),0)</f>
        <v>0.39179999999999998</v>
      </c>
      <c r="W51" s="128">
        <f>_xlfn.IFNA(VLOOKUP(B51,[2]베타!$A$2:$E$1000,5,FALSE),0)</f>
        <v>0.80649999999999999</v>
      </c>
      <c r="X51" s="1">
        <f t="shared" si="14"/>
        <v>0</v>
      </c>
      <c r="Y51" s="15">
        <f t="shared" si="15"/>
        <v>0</v>
      </c>
      <c r="Z51" s="13">
        <f t="shared" si="16"/>
        <v>0</v>
      </c>
      <c r="AA51" s="129">
        <f t="shared" si="3"/>
        <v>0</v>
      </c>
      <c r="AB51" s="129">
        <f t="shared" si="4"/>
        <v>0</v>
      </c>
      <c r="AC51" s="130">
        <f t="shared" si="5"/>
        <v>0</v>
      </c>
      <c r="AD51" s="131">
        <f t="shared" si="6"/>
        <v>0</v>
      </c>
      <c r="AF51" s="133"/>
      <c r="AG51" s="1" t="str">
        <f t="shared" si="18"/>
        <v>417630</v>
      </c>
      <c r="AH51" s="1">
        <f t="shared" si="19"/>
        <v>0</v>
      </c>
      <c r="AJ51" s="95">
        <f>ROUNDUP(VLOOKUP(B51,[2]베타!$A$2:$L$1000,12,FALSE),0)</f>
        <v>17</v>
      </c>
      <c r="AK51" s="95">
        <f>ROUNDUP(VLOOKUP(B51,[2]베타!$A$2:$M$1000,13,FALSE),0)</f>
        <v>-39</v>
      </c>
    </row>
    <row r="52" spans="1:37" x14ac:dyDescent="0.25">
      <c r="B52" s="132" t="s">
        <v>138</v>
      </c>
      <c r="C52" s="120" t="s">
        <v>139</v>
      </c>
      <c r="D52" s="14">
        <f>VLOOKUP("A"&amp;B52,[2]ETF!$A$4:$M$10000,13,FALSE)</f>
        <v>50000</v>
      </c>
      <c r="E52" s="1">
        <f>[1]!'0148J0:VOL'+0</f>
        <v>1945442</v>
      </c>
      <c r="F52" s="121" t="s">
        <v>64</v>
      </c>
      <c r="G52" s="122">
        <f>IF([1]!'019875^0148J0:SELL_TDY_QTY'="NO", 0, [1]!'019875^0148J0:SELL_TDY_QTY')</f>
        <v>12285</v>
      </c>
      <c r="H52" s="122">
        <f>IF([1]!'019875^0148J0:SELL_TDY_AMT'="NO", 0, [1]!'019875^0148J0:SELL_TDY_AMT')</f>
        <v>106481965</v>
      </c>
      <c r="I52" s="122">
        <f>IFERROR(H52/G52,0)</f>
        <v>8667.6406186406184</v>
      </c>
      <c r="J52" s="123">
        <f>IF([1]!'019875^0148J0:BUY_TDY_QTY'="NO", 0, [1]!'019875^0148J0:BUY_TDY_QTY')</f>
        <v>12285</v>
      </c>
      <c r="K52" s="122">
        <f>IF([1]!'019875^0148J0:BUY_TDY_AMT'="NO", 0, [1]!'019875^0148J0:BUY_TDY_AMT')</f>
        <v>106624234</v>
      </c>
      <c r="L52" s="124">
        <f>IFERROR(K52/J52,0)</f>
        <v>8679.2213268213272</v>
      </c>
      <c r="M52" s="125">
        <f>J52-G52</f>
        <v>0</v>
      </c>
      <c r="N52" s="126">
        <f>M52*P52</f>
        <v>0</v>
      </c>
      <c r="O52" s="127">
        <f>M52/D52</f>
        <v>0</v>
      </c>
      <c r="P52" s="1">
        <f>[1]!'0148J0:LAST'+0</f>
        <v>8565</v>
      </c>
      <c r="Q52" s="95">
        <f>[1]!'0148J0:NAV'+0</f>
        <v>8572.4599999999991</v>
      </c>
      <c r="R52" s="14">
        <f>(P52-I52)*-1*G52</f>
        <v>1260939.9999999972</v>
      </c>
      <c r="S52" s="1">
        <f>(P52-L52)*J52</f>
        <v>-1403209.0000000051</v>
      </c>
      <c r="T52" s="15">
        <f>R52+S52</f>
        <v>-142269.00000000792</v>
      </c>
      <c r="U52" s="128">
        <f>_xlfn.IFNA(VLOOKUP(B52,[2]베타!$A$2:$C$1000,3,FALSE),0)</f>
        <v>0.4052</v>
      </c>
      <c r="V52" s="128">
        <f>_xlfn.IFNA(VLOOKUP(B52,[2]베타!$A$2:$D$1000,4,FALSE),0)</f>
        <v>0.59460000000000002</v>
      </c>
      <c r="W52" s="128">
        <f>_xlfn.IFNA(VLOOKUP(B52,[2]베타!$A$2:$E$1000,5,FALSE),0)</f>
        <v>0.5292</v>
      </c>
      <c r="X52" s="1">
        <f>M52*Q52*U52</f>
        <v>0</v>
      </c>
      <c r="Y52" s="15">
        <f>M52*Q52*V52</f>
        <v>0</v>
      </c>
      <c r="Z52" s="13">
        <f>(P52*M52)-(X52+Y52)</f>
        <v>0</v>
      </c>
      <c r="AA52" s="129">
        <f t="shared" si="3"/>
        <v>0</v>
      </c>
      <c r="AB52" s="129">
        <f t="shared" si="4"/>
        <v>0</v>
      </c>
      <c r="AC52" s="130">
        <f t="shared" si="5"/>
        <v>0</v>
      </c>
      <c r="AD52" s="131">
        <f t="shared" si="6"/>
        <v>0</v>
      </c>
      <c r="AG52" s="1" t="str">
        <f t="shared" si="18"/>
        <v>0148J0</v>
      </c>
      <c r="AH52" s="1">
        <f t="shared" si="19"/>
        <v>0</v>
      </c>
      <c r="AJ52" s="95">
        <f>ROUNDUP(VLOOKUP(B52,[2]베타!$A$2:$L$1000,12,FALSE),0)</f>
        <v>8</v>
      </c>
      <c r="AK52" s="95">
        <f>ROUNDUP(VLOOKUP(B52,[2]베타!$A$2:$M$1000,13,FALSE),0)</f>
        <v>-27</v>
      </c>
    </row>
  </sheetData>
  <mergeCells count="22">
    <mergeCell ref="Q7:Q8"/>
    <mergeCell ref="R7:R8"/>
    <mergeCell ref="S7:S8"/>
    <mergeCell ref="T7:T8"/>
    <mergeCell ref="U7:U8"/>
    <mergeCell ref="T12:V12"/>
    <mergeCell ref="K7:K8"/>
    <mergeCell ref="L7:L8"/>
    <mergeCell ref="M7:M8"/>
    <mergeCell ref="N7:N8"/>
    <mergeCell ref="O7:O8"/>
    <mergeCell ref="P7:P8"/>
    <mergeCell ref="U4:U5"/>
    <mergeCell ref="B7:B8"/>
    <mergeCell ref="C7:C8"/>
    <mergeCell ref="D7:D8"/>
    <mergeCell ref="E7:E8"/>
    <mergeCell ref="F7:F8"/>
    <mergeCell ref="G7:G8"/>
    <mergeCell ref="H7:H8"/>
    <mergeCell ref="I7:I8"/>
    <mergeCell ref="J7:J8"/>
  </mergeCells>
  <phoneticPr fontId="1" type="noConversion"/>
  <conditionalFormatting sqref="E15:E52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P15:P52">
    <cfRule type="cellIs" dxfId="13" priority="5" operator="greaterThan">
      <formula>29999</formula>
    </cfRule>
  </conditionalFormatting>
  <conditionalFormatting sqref="T4:T5">
    <cfRule type="cellIs" dxfId="12" priority="2" operator="lessThan">
      <formula>-0.99</formula>
    </cfRule>
    <cfRule type="cellIs" dxfId="11" priority="3" operator="greaterThan">
      <formula>0.99</formula>
    </cfRule>
  </conditionalFormatting>
  <conditionalFormatting sqref="T15:T52">
    <cfRule type="cellIs" dxfId="10" priority="6" operator="lessThan">
      <formula>0</formula>
    </cfRule>
    <cfRule type="cellIs" dxfId="9" priority="7" operator="greaterThan">
      <formula>0</formula>
    </cfRule>
  </conditionalFormatting>
  <conditionalFormatting sqref="W15:W52">
    <cfRule type="cellIs" dxfId="8" priority="1" operator="greaterThan">
      <formula>0.6</formula>
    </cfRule>
    <cfRule type="cellIs" dxfId="7" priority="4" operator="lessThan">
      <formula>0.6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BCE21-4F3C-41AD-98DF-0D28F9825179}">
  <dimension ref="A1:AL52"/>
  <sheetViews>
    <sheetView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E31" sqref="E31"/>
    </sheetView>
  </sheetViews>
  <sheetFormatPr defaultRowHeight="16.5" x14ac:dyDescent="0.3"/>
  <cols>
    <col min="1" max="1" width="4" style="1" customWidth="1"/>
    <col min="2" max="2" width="9.25" style="2" bestFit="1" customWidth="1"/>
    <col min="3" max="3" width="23.25" style="3" customWidth="1"/>
    <col min="4" max="4" width="7.125" style="1" customWidth="1"/>
    <col min="5" max="5" width="10" style="1" customWidth="1"/>
    <col min="6" max="6" width="9" style="2"/>
    <col min="7" max="7" width="13.375" style="1" bestFit="1" customWidth="1"/>
    <col min="8" max="8" width="13.875" style="1" bestFit="1" customWidth="1"/>
    <col min="9" max="9" width="9.375" style="1" customWidth="1"/>
    <col min="10" max="10" width="13.125" style="1" bestFit="1" customWidth="1"/>
    <col min="11" max="11" width="13.625" style="1" bestFit="1" customWidth="1"/>
    <col min="12" max="12" width="9.125" style="1" customWidth="1"/>
    <col min="13" max="13" width="10.125" style="1" bestFit="1" customWidth="1"/>
    <col min="14" max="14" width="13" style="1" bestFit="1" customWidth="1"/>
    <col min="15" max="15" width="11.625" style="1" customWidth="1"/>
    <col min="16" max="16" width="13" style="1" bestFit="1" customWidth="1"/>
    <col min="17" max="17" width="13" style="1" customWidth="1"/>
    <col min="18" max="19" width="13.25" style="1" bestFit="1" customWidth="1"/>
    <col min="20" max="20" width="10.5" style="1" customWidth="1"/>
    <col min="21" max="21" width="12.125" style="1" customWidth="1"/>
    <col min="22" max="22" width="13.125" style="1" bestFit="1" customWidth="1"/>
    <col min="23" max="23" width="13.125" style="1" customWidth="1"/>
    <col min="24" max="24" width="12.625" style="1" bestFit="1" customWidth="1"/>
    <col min="25" max="25" width="12.625" style="1" customWidth="1"/>
    <col min="26" max="26" width="13.25" style="1" bestFit="1" customWidth="1"/>
    <col min="27" max="27" width="9.5" style="1" bestFit="1" customWidth="1"/>
    <col min="28" max="28" width="9.25" style="1" customWidth="1"/>
    <col min="29" max="29" width="10.375" style="1" bestFit="1" customWidth="1"/>
    <col min="30" max="30" width="10.375" style="1" customWidth="1"/>
    <col min="31" max="31" width="12.25" style="1" bestFit="1" customWidth="1"/>
    <col min="32" max="16384" width="9" style="1"/>
  </cols>
  <sheetData>
    <row r="1" spans="1:38" x14ac:dyDescent="0.3">
      <c r="E1" s="4"/>
      <c r="F1" s="5"/>
      <c r="J1" s="2"/>
      <c r="R1" s="6">
        <v>0.9</v>
      </c>
    </row>
    <row r="2" spans="1:38" x14ac:dyDescent="0.3">
      <c r="E2" s="4"/>
      <c r="F2" s="7"/>
      <c r="G2" s="4"/>
      <c r="J2" s="4"/>
      <c r="P2" s="1">
        <v>0</v>
      </c>
      <c r="Q2" s="1">
        <v>0</v>
      </c>
      <c r="R2" s="1">
        <v>0</v>
      </c>
    </row>
    <row r="3" spans="1:38" x14ac:dyDescent="0.3">
      <c r="F3" s="7"/>
      <c r="J3" s="1" t="s">
        <v>0</v>
      </c>
      <c r="K3" s="1">
        <v>0</v>
      </c>
      <c r="O3" s="8" t="s">
        <v>1</v>
      </c>
      <c r="P3" s="9" t="s">
        <v>2</v>
      </c>
      <c r="Q3" s="10" t="s">
        <v>3</v>
      </c>
      <c r="R3" s="11" t="s">
        <v>4</v>
      </c>
      <c r="S3" s="9" t="s">
        <v>5</v>
      </c>
      <c r="T3" s="11" t="s">
        <v>6</v>
      </c>
      <c r="U3" s="11" t="s">
        <v>7</v>
      </c>
      <c r="V3" s="1" t="s">
        <v>8</v>
      </c>
    </row>
    <row r="4" spans="1:38" x14ac:dyDescent="0.3">
      <c r="J4" s="1" t="s">
        <v>9</v>
      </c>
      <c r="K4" s="1">
        <v>0</v>
      </c>
      <c r="N4" s="12" t="e">
        <v>#DIV/0!</v>
      </c>
      <c r="O4" s="13" t="s">
        <v>10</v>
      </c>
      <c r="P4" s="14">
        <v>0</v>
      </c>
      <c r="Q4" s="1">
        <v>0</v>
      </c>
      <c r="R4" s="15">
        <v>0</v>
      </c>
      <c r="S4" s="16">
        <v>0</v>
      </c>
      <c r="T4" s="17">
        <v>0</v>
      </c>
      <c r="U4" s="18">
        <v>6087242.0000005383</v>
      </c>
      <c r="V4" s="1" t="s">
        <v>11</v>
      </c>
    </row>
    <row r="5" spans="1:38" x14ac:dyDescent="0.3">
      <c r="G5" s="4"/>
      <c r="J5" s="1" t="s">
        <v>12</v>
      </c>
      <c r="K5" s="1">
        <v>0</v>
      </c>
      <c r="N5" s="12" t="e">
        <v>#DIV/0!</v>
      </c>
      <c r="O5" s="19" t="s">
        <v>13</v>
      </c>
      <c r="P5" s="20">
        <v>0</v>
      </c>
      <c r="Q5" s="21">
        <v>0</v>
      </c>
      <c r="R5" s="22">
        <v>0</v>
      </c>
      <c r="S5" s="23">
        <v>0</v>
      </c>
      <c r="T5" s="24">
        <v>0</v>
      </c>
      <c r="U5" s="25"/>
      <c r="V5" s="1" t="s">
        <v>14</v>
      </c>
    </row>
    <row r="7" spans="1:38" x14ac:dyDescent="0.3">
      <c r="B7" s="26" t="s">
        <v>15</v>
      </c>
      <c r="C7" s="27" t="s">
        <v>16</v>
      </c>
      <c r="D7" s="28" t="s">
        <v>17</v>
      </c>
      <c r="E7" s="29" t="s">
        <v>18</v>
      </c>
      <c r="F7" s="30" t="s">
        <v>19</v>
      </c>
      <c r="G7" s="31" t="s">
        <v>20</v>
      </c>
      <c r="H7" s="32" t="s">
        <v>21</v>
      </c>
      <c r="I7" s="33" t="s">
        <v>22</v>
      </c>
      <c r="J7" s="31" t="s">
        <v>23</v>
      </c>
      <c r="K7" s="32" t="s">
        <v>24</v>
      </c>
      <c r="L7" s="33" t="s">
        <v>25</v>
      </c>
      <c r="M7" s="34" t="s">
        <v>26</v>
      </c>
      <c r="N7" s="35" t="s">
        <v>27</v>
      </c>
      <c r="O7" s="33" t="s">
        <v>28</v>
      </c>
      <c r="P7" s="36" t="s">
        <v>29</v>
      </c>
      <c r="Q7" s="28" t="s">
        <v>30</v>
      </c>
      <c r="R7" s="29" t="s">
        <v>31</v>
      </c>
      <c r="S7" s="37" t="s">
        <v>7</v>
      </c>
      <c r="T7" s="28" t="s">
        <v>32</v>
      </c>
      <c r="U7" s="37" t="s">
        <v>33</v>
      </c>
    </row>
    <row r="8" spans="1:38" x14ac:dyDescent="0.3">
      <c r="B8" s="38"/>
      <c r="C8" s="39"/>
      <c r="D8" s="40"/>
      <c r="E8" s="41"/>
      <c r="F8" s="42"/>
      <c r="G8" s="43"/>
      <c r="H8" s="44"/>
      <c r="I8" s="45"/>
      <c r="J8" s="43"/>
      <c r="K8" s="44"/>
      <c r="L8" s="45"/>
      <c r="M8" s="43"/>
      <c r="N8" s="44"/>
      <c r="O8" s="45"/>
      <c r="P8" s="46"/>
      <c r="Q8" s="40"/>
      <c r="R8" s="41"/>
      <c r="S8" s="47"/>
      <c r="T8" s="40"/>
      <c r="U8" s="47"/>
    </row>
    <row r="9" spans="1:38" x14ac:dyDescent="0.3">
      <c r="B9" s="48" t="s">
        <v>34</v>
      </c>
      <c r="C9" s="49" t="s">
        <v>34</v>
      </c>
      <c r="D9" s="50" t="s">
        <v>34</v>
      </c>
      <c r="E9" s="51" t="s">
        <v>34</v>
      </c>
      <c r="F9" s="52" t="s">
        <v>34</v>
      </c>
      <c r="G9" s="53">
        <v>93</v>
      </c>
      <c r="H9" s="54">
        <v>2938118000</v>
      </c>
      <c r="I9" s="55" t="s">
        <v>34</v>
      </c>
      <c r="J9" s="53">
        <v>93</v>
      </c>
      <c r="K9" s="54">
        <v>2928765000</v>
      </c>
      <c r="L9" s="56" t="s">
        <v>34</v>
      </c>
      <c r="M9" s="53">
        <v>0</v>
      </c>
      <c r="N9" s="54">
        <v>0</v>
      </c>
      <c r="O9" s="55" t="s">
        <v>34</v>
      </c>
      <c r="P9" s="57" t="s">
        <v>34</v>
      </c>
      <c r="Q9" s="50">
        <v>25948000.000000298</v>
      </c>
      <c r="R9" s="51">
        <v>-16595000.000000255</v>
      </c>
      <c r="S9" s="58">
        <v>9353000.000000041</v>
      </c>
      <c r="T9" s="50">
        <v>65473000</v>
      </c>
      <c r="U9" s="59">
        <v>0</v>
      </c>
    </row>
    <row r="10" spans="1:38" x14ac:dyDescent="0.3">
      <c r="B10" s="60" t="s">
        <v>35</v>
      </c>
      <c r="C10" s="61" t="s">
        <v>36</v>
      </c>
      <c r="D10" s="62">
        <v>0</v>
      </c>
      <c r="E10" s="63" t="s">
        <v>34</v>
      </c>
      <c r="F10" s="64" t="s">
        <v>37</v>
      </c>
      <c r="G10" s="65">
        <v>43</v>
      </c>
      <c r="H10" s="66">
        <v>2242428000</v>
      </c>
      <c r="I10" s="67">
        <v>1042.9897674418605</v>
      </c>
      <c r="J10" s="68">
        <v>43</v>
      </c>
      <c r="K10" s="69">
        <v>2233695000</v>
      </c>
      <c r="L10" s="70">
        <v>1038.9279069767442</v>
      </c>
      <c r="M10" s="71">
        <v>0</v>
      </c>
      <c r="N10" s="72">
        <v>0</v>
      </c>
      <c r="O10" s="73" t="s">
        <v>34</v>
      </c>
      <c r="P10" s="74">
        <v>1032.8</v>
      </c>
      <c r="Q10" s="62">
        <v>21908000.00000022</v>
      </c>
      <c r="R10" s="63">
        <v>-13175000.000000183</v>
      </c>
      <c r="S10" s="75">
        <v>8733000.0000000373</v>
      </c>
      <c r="T10" s="62">
        <v>51640000</v>
      </c>
      <c r="U10" s="75">
        <v>0</v>
      </c>
    </row>
    <row r="11" spans="1:38" x14ac:dyDescent="0.3">
      <c r="B11" s="76" t="s">
        <v>38</v>
      </c>
      <c r="C11" s="77" t="s">
        <v>39</v>
      </c>
      <c r="D11" s="20">
        <v>0</v>
      </c>
      <c r="E11" s="21" t="s">
        <v>34</v>
      </c>
      <c r="F11" s="78" t="s">
        <v>37</v>
      </c>
      <c r="G11" s="79">
        <v>50</v>
      </c>
      <c r="H11" s="80">
        <v>695690000</v>
      </c>
      <c r="I11" s="81">
        <v>1391.38</v>
      </c>
      <c r="J11" s="82">
        <v>50</v>
      </c>
      <c r="K11" s="83">
        <v>695070000</v>
      </c>
      <c r="L11" s="84">
        <v>1390.14</v>
      </c>
      <c r="M11" s="85">
        <v>0</v>
      </c>
      <c r="N11" s="86">
        <v>0</v>
      </c>
      <c r="O11" s="87" t="s">
        <v>34</v>
      </c>
      <c r="P11" s="88">
        <v>1383.3</v>
      </c>
      <c r="Q11" s="20">
        <v>4040000.0000000773</v>
      </c>
      <c r="R11" s="21">
        <v>-3420000.0000000726</v>
      </c>
      <c r="S11" s="22">
        <v>620000.00000000466</v>
      </c>
      <c r="T11" s="20">
        <v>13833000</v>
      </c>
      <c r="U11" s="22">
        <v>0</v>
      </c>
    </row>
    <row r="12" spans="1:38" x14ac:dyDescent="0.3">
      <c r="B12" s="89"/>
      <c r="F12" s="89"/>
      <c r="G12" s="90" t="s">
        <v>40</v>
      </c>
      <c r="H12" s="91"/>
      <c r="I12" s="92"/>
      <c r="J12" s="91"/>
      <c r="K12" s="91"/>
      <c r="L12" s="92"/>
      <c r="M12" s="91"/>
      <c r="N12" s="93">
        <v>0</v>
      </c>
      <c r="O12" s="94"/>
      <c r="P12" s="95"/>
      <c r="Q12" s="95"/>
      <c r="T12" s="96" t="s">
        <v>41</v>
      </c>
      <c r="U12" s="96"/>
      <c r="V12" s="96"/>
      <c r="W12" s="97"/>
      <c r="AA12" s="1" t="s">
        <v>42</v>
      </c>
    </row>
    <row r="13" spans="1:38" ht="26.25" customHeight="1" x14ac:dyDescent="0.3">
      <c r="B13" s="98" t="s">
        <v>15</v>
      </c>
      <c r="C13" s="99" t="s">
        <v>16</v>
      </c>
      <c r="D13" s="9" t="s">
        <v>17</v>
      </c>
      <c r="E13" s="10" t="s">
        <v>18</v>
      </c>
      <c r="F13" s="100" t="s">
        <v>19</v>
      </c>
      <c r="G13" s="10" t="s">
        <v>43</v>
      </c>
      <c r="H13" s="10" t="s">
        <v>44</v>
      </c>
      <c r="I13" s="101" t="s">
        <v>22</v>
      </c>
      <c r="J13" s="9" t="s">
        <v>45</v>
      </c>
      <c r="K13" s="10" t="s">
        <v>46</v>
      </c>
      <c r="L13" s="102" t="s">
        <v>25</v>
      </c>
      <c r="M13" s="103" t="s">
        <v>26</v>
      </c>
      <c r="N13" s="104" t="s">
        <v>47</v>
      </c>
      <c r="O13" s="11" t="s">
        <v>28</v>
      </c>
      <c r="P13" s="101" t="s">
        <v>29</v>
      </c>
      <c r="Q13" s="101" t="s">
        <v>48</v>
      </c>
      <c r="R13" s="9" t="s">
        <v>30</v>
      </c>
      <c r="S13" s="10" t="s">
        <v>31</v>
      </c>
      <c r="T13" s="11" t="s">
        <v>7</v>
      </c>
      <c r="U13" s="1" t="s">
        <v>49</v>
      </c>
      <c r="V13" s="1" t="s">
        <v>50</v>
      </c>
      <c r="W13" s="1" t="s">
        <v>51</v>
      </c>
      <c r="X13" s="10" t="s">
        <v>52</v>
      </c>
      <c r="Y13" s="11" t="s">
        <v>53</v>
      </c>
      <c r="Z13" s="105" t="s">
        <v>54</v>
      </c>
      <c r="AA13" s="106" t="s">
        <v>55</v>
      </c>
      <c r="AB13" s="106" t="s">
        <v>56</v>
      </c>
      <c r="AC13" s="106" t="s">
        <v>55</v>
      </c>
      <c r="AD13" s="106" t="s">
        <v>56</v>
      </c>
      <c r="AE13" s="106" t="s">
        <v>57</v>
      </c>
    </row>
    <row r="14" spans="1:38" x14ac:dyDescent="0.3">
      <c r="B14" s="107" t="s">
        <v>34</v>
      </c>
      <c r="C14" s="108" t="s">
        <v>34</v>
      </c>
      <c r="D14" s="109" t="s">
        <v>34</v>
      </c>
      <c r="E14" s="110" t="s">
        <v>34</v>
      </c>
      <c r="F14" s="111" t="s">
        <v>34</v>
      </c>
      <c r="G14" s="110">
        <v>218583</v>
      </c>
      <c r="H14" s="110">
        <v>4781740996</v>
      </c>
      <c r="I14" s="110" t="s">
        <v>34</v>
      </c>
      <c r="J14" s="109">
        <v>218583</v>
      </c>
      <c r="K14" s="110">
        <v>4785006754</v>
      </c>
      <c r="L14" s="112" t="s">
        <v>34</v>
      </c>
      <c r="M14" s="109">
        <v>0</v>
      </c>
      <c r="N14" s="113">
        <v>0</v>
      </c>
      <c r="O14" s="113" t="s">
        <v>34</v>
      </c>
      <c r="P14" s="110" t="s">
        <v>34</v>
      </c>
      <c r="Q14" s="110" t="s">
        <v>34</v>
      </c>
      <c r="R14" s="109">
        <v>45624941.000000291</v>
      </c>
      <c r="S14" s="110">
        <v>-48890698.999999814</v>
      </c>
      <c r="T14" s="114">
        <v>-3265757.9999995031</v>
      </c>
      <c r="U14" s="115">
        <v>0.25538684210526313</v>
      </c>
      <c r="V14" s="116">
        <v>0.46778684210526306</v>
      </c>
      <c r="W14" s="116">
        <v>0.57290000000000008</v>
      </c>
      <c r="X14" s="110">
        <v>0</v>
      </c>
      <c r="Y14" s="113">
        <v>0</v>
      </c>
      <c r="Z14" s="113">
        <v>0</v>
      </c>
      <c r="AA14" s="117">
        <v>0</v>
      </c>
      <c r="AB14" s="117">
        <v>0</v>
      </c>
      <c r="AC14" s="118">
        <v>0</v>
      </c>
      <c r="AD14" s="118">
        <v>0</v>
      </c>
      <c r="AE14" s="1">
        <v>0</v>
      </c>
      <c r="AG14" s="1" t="s">
        <v>58</v>
      </c>
      <c r="AH14" s="1" t="s">
        <v>59</v>
      </c>
      <c r="AJ14" s="1" t="s">
        <v>60</v>
      </c>
      <c r="AK14" s="1" t="s">
        <v>61</v>
      </c>
    </row>
    <row r="15" spans="1:38" x14ac:dyDescent="0.25">
      <c r="A15" s="4"/>
      <c r="B15" s="119" t="s">
        <v>62</v>
      </c>
      <c r="C15" s="120" t="s">
        <v>63</v>
      </c>
      <c r="D15" s="14">
        <v>50000</v>
      </c>
      <c r="E15" s="1">
        <v>7272468</v>
      </c>
      <c r="F15" s="121" t="s">
        <v>64</v>
      </c>
      <c r="G15" s="122">
        <v>78372</v>
      </c>
      <c r="H15" s="122">
        <v>2680505060</v>
      </c>
      <c r="I15" s="122">
        <v>34202.330679324252</v>
      </c>
      <c r="J15" s="123">
        <v>78372</v>
      </c>
      <c r="K15" s="122">
        <v>2686885015</v>
      </c>
      <c r="L15" s="124">
        <v>34283.736729954573</v>
      </c>
      <c r="M15" s="125">
        <v>0</v>
      </c>
      <c r="N15" s="126">
        <v>0</v>
      </c>
      <c r="O15" s="127">
        <v>0</v>
      </c>
      <c r="P15" s="1">
        <v>33910</v>
      </c>
      <c r="Q15" s="95">
        <v>33974.39</v>
      </c>
      <c r="R15" s="14">
        <v>22910540.000000264</v>
      </c>
      <c r="S15" s="1">
        <v>-29290494.999999803</v>
      </c>
      <c r="T15" s="15">
        <v>-6379954.9999995381</v>
      </c>
      <c r="U15" s="128">
        <v>1.1174999999999999</v>
      </c>
      <c r="V15" s="128">
        <v>0.1842</v>
      </c>
      <c r="W15" s="128">
        <v>0.9274</v>
      </c>
      <c r="X15" s="1">
        <v>0</v>
      </c>
      <c r="Y15" s="15">
        <v>0</v>
      </c>
      <c r="Z15" s="13">
        <v>0</v>
      </c>
      <c r="AA15" s="129">
        <v>0</v>
      </c>
      <c r="AB15" s="129">
        <v>0</v>
      </c>
      <c r="AC15" s="130">
        <v>0</v>
      </c>
      <c r="AD15" s="131">
        <v>0</v>
      </c>
      <c r="AE15" s="1">
        <v>0</v>
      </c>
      <c r="AG15" s="1" t="s">
        <v>62</v>
      </c>
      <c r="AH15" s="1">
        <v>0</v>
      </c>
      <c r="AJ15" s="95">
        <v>-3</v>
      </c>
      <c r="AK15" s="95">
        <v>-20</v>
      </c>
      <c r="AL15" s="95"/>
    </row>
    <row r="16" spans="1:38" x14ac:dyDescent="0.25">
      <c r="A16" s="4"/>
      <c r="B16" s="119" t="s">
        <v>65</v>
      </c>
      <c r="C16" s="120" t="s">
        <v>66</v>
      </c>
      <c r="D16" s="14">
        <v>30000</v>
      </c>
      <c r="E16" s="1">
        <v>9774397</v>
      </c>
      <c r="F16" s="121" t="s">
        <v>64</v>
      </c>
      <c r="G16" s="122">
        <v>4059</v>
      </c>
      <c r="H16" s="122">
        <v>19281855</v>
      </c>
      <c r="I16" s="122">
        <v>4750.3954175905392</v>
      </c>
      <c r="J16" s="123">
        <v>4059</v>
      </c>
      <c r="K16" s="122">
        <v>19323495</v>
      </c>
      <c r="L16" s="124">
        <v>4760.6541019955657</v>
      </c>
      <c r="M16" s="125">
        <v>0</v>
      </c>
      <c r="N16" s="126">
        <v>0</v>
      </c>
      <c r="O16" s="127">
        <v>0</v>
      </c>
      <c r="P16" s="1">
        <v>4720</v>
      </c>
      <c r="Q16" s="95">
        <v>4730.4799999999996</v>
      </c>
      <c r="R16" s="14">
        <v>123374.99999999854</v>
      </c>
      <c r="S16" s="1">
        <v>-165015.00000000128</v>
      </c>
      <c r="T16" s="15">
        <v>-41640.000000002736</v>
      </c>
      <c r="U16" s="128">
        <v>-0.21099999999999999</v>
      </c>
      <c r="V16" s="128">
        <v>0.58509999999999995</v>
      </c>
      <c r="W16" s="128">
        <v>0.35670000000000002</v>
      </c>
      <c r="X16" s="1">
        <v>0</v>
      </c>
      <c r="Y16" s="15">
        <v>0</v>
      </c>
      <c r="Z16" s="13">
        <v>0</v>
      </c>
      <c r="AA16" s="129">
        <v>0</v>
      </c>
      <c r="AB16" s="129">
        <v>0</v>
      </c>
      <c r="AC16" s="130">
        <v>0</v>
      </c>
      <c r="AD16" s="131">
        <v>0</v>
      </c>
      <c r="AE16" s="1">
        <v>0</v>
      </c>
      <c r="AG16" s="1" t="s">
        <v>65</v>
      </c>
      <c r="AH16" s="1">
        <v>0</v>
      </c>
      <c r="AJ16" s="95">
        <v>14</v>
      </c>
      <c r="AK16" s="95">
        <v>-28</v>
      </c>
      <c r="AL16" s="95"/>
    </row>
    <row r="17" spans="1:38" x14ac:dyDescent="0.25">
      <c r="A17" s="4"/>
      <c r="B17" s="119" t="s">
        <v>67</v>
      </c>
      <c r="C17" s="120" t="s">
        <v>68</v>
      </c>
      <c r="D17" s="14">
        <v>50000</v>
      </c>
      <c r="E17" s="1">
        <v>2593180</v>
      </c>
      <c r="F17" s="121" t="s">
        <v>64</v>
      </c>
      <c r="G17" s="122">
        <v>1767</v>
      </c>
      <c r="H17" s="122">
        <v>8706400</v>
      </c>
      <c r="I17" s="122">
        <v>4927.2212790039612</v>
      </c>
      <c r="J17" s="123">
        <v>1767</v>
      </c>
      <c r="K17" s="122">
        <v>8494840</v>
      </c>
      <c r="L17" s="124">
        <v>4807.4929258630445</v>
      </c>
      <c r="M17" s="125">
        <v>0</v>
      </c>
      <c r="N17" s="126">
        <v>0</v>
      </c>
      <c r="O17" s="127">
        <v>0</v>
      </c>
      <c r="P17" s="1">
        <v>4775</v>
      </c>
      <c r="Q17" s="95">
        <v>4779.8</v>
      </c>
      <c r="R17" s="14">
        <v>268974.99999999942</v>
      </c>
      <c r="S17" s="1">
        <v>-57414.999999999716</v>
      </c>
      <c r="T17" s="15">
        <v>211559.99999999971</v>
      </c>
      <c r="U17" s="128">
        <v>5.9400000000000001E-2</v>
      </c>
      <c r="V17" s="128">
        <v>0.84150000000000003</v>
      </c>
      <c r="W17" s="128">
        <v>0.61739999999999995</v>
      </c>
      <c r="X17" s="1">
        <v>0</v>
      </c>
      <c r="Y17" s="15">
        <v>0</v>
      </c>
      <c r="Z17" s="13">
        <v>0</v>
      </c>
      <c r="AA17" s="129">
        <v>0</v>
      </c>
      <c r="AB17" s="129">
        <v>0</v>
      </c>
      <c r="AC17" s="130">
        <v>0</v>
      </c>
      <c r="AD17" s="131">
        <v>0</v>
      </c>
      <c r="AE17" s="1">
        <v>0</v>
      </c>
      <c r="AG17" s="1" t="s">
        <v>67</v>
      </c>
      <c r="AH17" s="1">
        <v>0</v>
      </c>
      <c r="AJ17" s="95">
        <v>10</v>
      </c>
      <c r="AK17" s="95">
        <v>-29</v>
      </c>
      <c r="AL17" s="95"/>
    </row>
    <row r="18" spans="1:38" x14ac:dyDescent="0.25">
      <c r="A18" s="4"/>
      <c r="B18" s="132" t="s">
        <v>69</v>
      </c>
      <c r="C18" s="120" t="s">
        <v>70</v>
      </c>
      <c r="D18" s="14">
        <v>50000</v>
      </c>
      <c r="E18" s="1">
        <v>4056999</v>
      </c>
      <c r="F18" s="121" t="s">
        <v>64</v>
      </c>
      <c r="G18" s="122">
        <v>47838</v>
      </c>
      <c r="H18" s="122">
        <v>495100400</v>
      </c>
      <c r="I18" s="122">
        <v>10349.521301057737</v>
      </c>
      <c r="J18" s="123">
        <v>47838</v>
      </c>
      <c r="K18" s="122">
        <v>492394585</v>
      </c>
      <c r="L18" s="124">
        <v>10292.959258330198</v>
      </c>
      <c r="M18" s="125">
        <v>0</v>
      </c>
      <c r="N18" s="126">
        <v>0</v>
      </c>
      <c r="O18" s="127">
        <v>0</v>
      </c>
      <c r="P18" s="1">
        <v>10180</v>
      </c>
      <c r="Q18" s="95">
        <v>10199.49</v>
      </c>
      <c r="R18" s="14">
        <v>8109560.0000000335</v>
      </c>
      <c r="S18" s="1">
        <v>-5403745.0000000251</v>
      </c>
      <c r="T18" s="15">
        <v>2705815.0000000084</v>
      </c>
      <c r="U18" s="128">
        <v>6.9900000000000004E-2</v>
      </c>
      <c r="V18" s="128">
        <v>0.68940000000000001</v>
      </c>
      <c r="W18" s="128">
        <v>0.48870000000000002</v>
      </c>
      <c r="X18" s="1">
        <v>0</v>
      </c>
      <c r="Y18" s="15">
        <v>0</v>
      </c>
      <c r="Z18" s="13">
        <v>0</v>
      </c>
      <c r="AA18" s="129">
        <v>0</v>
      </c>
      <c r="AB18" s="129">
        <v>0</v>
      </c>
      <c r="AC18" s="130">
        <v>0</v>
      </c>
      <c r="AD18" s="131">
        <v>0</v>
      </c>
      <c r="AE18" s="1">
        <v>0</v>
      </c>
      <c r="AG18" s="1" t="s">
        <v>69</v>
      </c>
      <c r="AH18" s="1">
        <v>0</v>
      </c>
      <c r="AJ18" s="95">
        <v>9</v>
      </c>
      <c r="AK18" s="95">
        <v>-28</v>
      </c>
      <c r="AL18" s="95"/>
    </row>
    <row r="19" spans="1:38" x14ac:dyDescent="0.25">
      <c r="A19" s="4"/>
      <c r="B19" s="132" t="s">
        <v>71</v>
      </c>
      <c r="C19" s="120" t="s">
        <v>72</v>
      </c>
      <c r="D19" s="14">
        <v>50000</v>
      </c>
      <c r="E19" s="1">
        <v>1104092</v>
      </c>
      <c r="F19" s="121" t="s">
        <v>64</v>
      </c>
      <c r="G19" s="122">
        <v>2729</v>
      </c>
      <c r="H19" s="122">
        <v>49657675</v>
      </c>
      <c r="I19" s="122">
        <v>18196.289849761819</v>
      </c>
      <c r="J19" s="123">
        <v>2729</v>
      </c>
      <c r="K19" s="122">
        <v>50436405</v>
      </c>
      <c r="L19" s="124">
        <v>18481.643459142542</v>
      </c>
      <c r="M19" s="125">
        <v>0</v>
      </c>
      <c r="N19" s="126">
        <v>0</v>
      </c>
      <c r="O19" s="127">
        <v>0</v>
      </c>
      <c r="P19" s="1">
        <v>17950</v>
      </c>
      <c r="Q19" s="95">
        <v>17963.400000000001</v>
      </c>
      <c r="R19" s="14">
        <v>672125.00000000384</v>
      </c>
      <c r="S19" s="1">
        <v>-1450854.9999999979</v>
      </c>
      <c r="T19" s="15">
        <v>-778729.99999999406</v>
      </c>
      <c r="U19" s="128">
        <v>0.41439999999999999</v>
      </c>
      <c r="V19" s="128">
        <v>0.71550000000000002</v>
      </c>
      <c r="W19" s="128">
        <v>0.6341</v>
      </c>
      <c r="X19" s="1">
        <v>0</v>
      </c>
      <c r="Y19" s="15">
        <v>0</v>
      </c>
      <c r="Z19" s="13">
        <v>0</v>
      </c>
      <c r="AA19" s="129">
        <v>0</v>
      </c>
      <c r="AB19" s="129">
        <v>0</v>
      </c>
      <c r="AC19" s="130">
        <v>0</v>
      </c>
      <c r="AD19" s="131">
        <v>0</v>
      </c>
      <c r="AE19" s="1">
        <v>0</v>
      </c>
      <c r="AG19" s="1" t="s">
        <v>71</v>
      </c>
      <c r="AH19" s="1">
        <v>0</v>
      </c>
      <c r="AJ19" s="95">
        <v>7</v>
      </c>
      <c r="AK19" s="95">
        <v>-27</v>
      </c>
      <c r="AL19" s="95"/>
    </row>
    <row r="20" spans="1:38" x14ac:dyDescent="0.25">
      <c r="A20" s="4"/>
      <c r="B20" s="119" t="s">
        <v>73</v>
      </c>
      <c r="C20" s="120" t="s">
        <v>74</v>
      </c>
      <c r="D20" s="14">
        <v>50000</v>
      </c>
      <c r="E20" s="1">
        <v>571319</v>
      </c>
      <c r="F20" s="121" t="s">
        <v>64</v>
      </c>
      <c r="G20" s="122">
        <v>1001</v>
      </c>
      <c r="H20" s="122">
        <v>19023575</v>
      </c>
      <c r="I20" s="122">
        <v>19004.570429570431</v>
      </c>
      <c r="J20" s="123">
        <v>1001</v>
      </c>
      <c r="K20" s="122">
        <v>18953575</v>
      </c>
      <c r="L20" s="124">
        <v>18934.640359640358</v>
      </c>
      <c r="M20" s="125">
        <v>0</v>
      </c>
      <c r="N20" s="126">
        <v>0</v>
      </c>
      <c r="O20" s="127">
        <v>0</v>
      </c>
      <c r="P20" s="1">
        <v>18450</v>
      </c>
      <c r="Q20" s="95">
        <v>18449.599999999999</v>
      </c>
      <c r="R20" s="14">
        <v>555125.00000000128</v>
      </c>
      <c r="S20" s="1">
        <v>-485124.99999999831</v>
      </c>
      <c r="T20" s="15">
        <v>70000.000000002969</v>
      </c>
      <c r="U20" s="128">
        <v>4.1599999999999998E-2</v>
      </c>
      <c r="V20" s="128">
        <v>0.70489999999999997</v>
      </c>
      <c r="W20" s="128">
        <v>0.53190000000000004</v>
      </c>
      <c r="X20" s="1">
        <v>0</v>
      </c>
      <c r="Y20" s="15">
        <v>0</v>
      </c>
      <c r="Z20" s="13">
        <v>0</v>
      </c>
      <c r="AA20" s="129">
        <v>0</v>
      </c>
      <c r="AB20" s="129">
        <v>0</v>
      </c>
      <c r="AC20" s="130">
        <v>0</v>
      </c>
      <c r="AD20" s="131">
        <v>0</v>
      </c>
      <c r="AE20" s="1">
        <v>0</v>
      </c>
      <c r="AG20" s="1" t="s">
        <v>73</v>
      </c>
      <c r="AH20" s="1">
        <v>0</v>
      </c>
      <c r="AJ20" s="95">
        <v>9</v>
      </c>
      <c r="AK20" s="95">
        <v>-28</v>
      </c>
      <c r="AL20" s="95"/>
    </row>
    <row r="21" spans="1:38" x14ac:dyDescent="0.25">
      <c r="A21" s="4"/>
      <c r="B21" s="119" t="s">
        <v>75</v>
      </c>
      <c r="C21" s="120" t="s">
        <v>76</v>
      </c>
      <c r="D21" s="14">
        <v>50000</v>
      </c>
      <c r="E21" s="1">
        <v>410617</v>
      </c>
      <c r="F21" s="121" t="s">
        <v>64</v>
      </c>
      <c r="G21" s="122">
        <v>20807</v>
      </c>
      <c r="H21" s="122">
        <v>436190212</v>
      </c>
      <c r="I21" s="122">
        <v>20963.628202047388</v>
      </c>
      <c r="J21" s="123">
        <v>20807</v>
      </c>
      <c r="K21" s="122">
        <v>433007335</v>
      </c>
      <c r="L21" s="124">
        <v>20810.656750132166</v>
      </c>
      <c r="M21" s="125">
        <v>0</v>
      </c>
      <c r="N21" s="126">
        <v>0</v>
      </c>
      <c r="O21" s="127">
        <v>0</v>
      </c>
      <c r="P21" s="1">
        <v>20730</v>
      </c>
      <c r="Q21" s="95">
        <v>20733.82</v>
      </c>
      <c r="R21" s="14">
        <v>4861102.0000000056</v>
      </c>
      <c r="S21" s="1">
        <v>-1678224.999999979</v>
      </c>
      <c r="T21" s="15">
        <v>3182877.0000000265</v>
      </c>
      <c r="U21" s="128">
        <v>0.16980000000000001</v>
      </c>
      <c r="V21" s="128">
        <v>0.41810000000000003</v>
      </c>
      <c r="W21" s="128">
        <v>0.38540000000000002</v>
      </c>
      <c r="X21" s="1">
        <v>0</v>
      </c>
      <c r="Y21" s="15">
        <v>0</v>
      </c>
      <c r="Z21" s="13">
        <v>0</v>
      </c>
      <c r="AA21" s="129">
        <v>0</v>
      </c>
      <c r="AB21" s="129">
        <v>0</v>
      </c>
      <c r="AC21" s="130">
        <v>0</v>
      </c>
      <c r="AD21" s="131">
        <v>0</v>
      </c>
      <c r="AE21" s="1">
        <v>0</v>
      </c>
      <c r="AG21" s="1" t="s">
        <v>75</v>
      </c>
      <c r="AH21" s="1">
        <v>0</v>
      </c>
      <c r="AJ21" s="95">
        <v>5</v>
      </c>
      <c r="AK21" s="95">
        <v>-26</v>
      </c>
      <c r="AL21" s="95"/>
    </row>
    <row r="22" spans="1:38" x14ac:dyDescent="0.25">
      <c r="A22" s="4"/>
      <c r="B22" s="119" t="s">
        <v>77</v>
      </c>
      <c r="C22" s="120" t="s">
        <v>78</v>
      </c>
      <c r="D22" s="14">
        <v>50000</v>
      </c>
      <c r="E22" s="1">
        <v>1567969</v>
      </c>
      <c r="F22" s="121" t="s">
        <v>64</v>
      </c>
      <c r="G22" s="122">
        <v>20055</v>
      </c>
      <c r="H22" s="122">
        <v>149019704</v>
      </c>
      <c r="I22" s="122">
        <v>7430.5511842433307</v>
      </c>
      <c r="J22" s="123">
        <v>20055</v>
      </c>
      <c r="K22" s="122">
        <v>148868755</v>
      </c>
      <c r="L22" s="124">
        <v>7423.0244328097733</v>
      </c>
      <c r="M22" s="125">
        <v>0</v>
      </c>
      <c r="N22" s="126">
        <v>0</v>
      </c>
      <c r="O22" s="127">
        <v>0</v>
      </c>
      <c r="P22" s="1">
        <v>7330</v>
      </c>
      <c r="Q22" s="95">
        <v>7336.02</v>
      </c>
      <c r="R22" s="14">
        <v>2016553.9999999967</v>
      </c>
      <c r="S22" s="1">
        <v>-1865605.000000004</v>
      </c>
      <c r="T22" s="15">
        <v>150948.99999999278</v>
      </c>
      <c r="U22" s="128">
        <v>-5.0900000000000001E-2</v>
      </c>
      <c r="V22" s="128">
        <v>0.58489999999999998</v>
      </c>
      <c r="W22" s="128">
        <v>0.51549999999999996</v>
      </c>
      <c r="X22" s="1">
        <v>0</v>
      </c>
      <c r="Y22" s="15">
        <v>0</v>
      </c>
      <c r="Z22" s="13">
        <v>0</v>
      </c>
      <c r="AA22" s="129">
        <v>0</v>
      </c>
      <c r="AB22" s="129">
        <v>0</v>
      </c>
      <c r="AC22" s="130">
        <v>0</v>
      </c>
      <c r="AD22" s="131">
        <v>0</v>
      </c>
      <c r="AE22" s="1">
        <v>0</v>
      </c>
      <c r="AF22" s="133"/>
      <c r="AG22" s="1" t="s">
        <v>77</v>
      </c>
      <c r="AH22" s="1">
        <v>0</v>
      </c>
      <c r="AJ22" s="95">
        <v>5</v>
      </c>
      <c r="AK22" s="95">
        <v>-26</v>
      </c>
      <c r="AL22" s="95"/>
    </row>
    <row r="23" spans="1:38" x14ac:dyDescent="0.25">
      <c r="A23" s="4"/>
      <c r="B23" s="119" t="s">
        <v>79</v>
      </c>
      <c r="C23" s="120" t="s">
        <v>80</v>
      </c>
      <c r="D23" s="14">
        <v>50000</v>
      </c>
      <c r="E23" s="1">
        <v>844367</v>
      </c>
      <c r="F23" s="121" t="s">
        <v>64</v>
      </c>
      <c r="G23" s="122">
        <v>0</v>
      </c>
      <c r="H23" s="122">
        <v>0</v>
      </c>
      <c r="I23" s="122">
        <v>0</v>
      </c>
      <c r="J23" s="123">
        <v>0</v>
      </c>
      <c r="K23" s="122">
        <v>0</v>
      </c>
      <c r="L23" s="124">
        <v>0</v>
      </c>
      <c r="M23" s="125">
        <v>0</v>
      </c>
      <c r="N23" s="126">
        <v>0</v>
      </c>
      <c r="O23" s="127">
        <v>0</v>
      </c>
      <c r="P23" s="1">
        <v>15865</v>
      </c>
      <c r="Q23" s="95">
        <v>15872.83</v>
      </c>
      <c r="R23" s="14">
        <v>0</v>
      </c>
      <c r="S23" s="1">
        <v>0</v>
      </c>
      <c r="T23" s="15">
        <v>0</v>
      </c>
      <c r="U23" s="128">
        <v>0.20449999999999999</v>
      </c>
      <c r="V23" s="128">
        <v>0.81730000000000003</v>
      </c>
      <c r="W23" s="128">
        <v>0.62590000000000001</v>
      </c>
      <c r="X23" s="1">
        <v>0</v>
      </c>
      <c r="Y23" s="15">
        <v>0</v>
      </c>
      <c r="Z23" s="13">
        <v>0</v>
      </c>
      <c r="AA23" s="129">
        <v>0</v>
      </c>
      <c r="AB23" s="129">
        <v>0</v>
      </c>
      <c r="AC23" s="130">
        <v>0</v>
      </c>
      <c r="AD23" s="131">
        <v>0</v>
      </c>
      <c r="AE23" s="1">
        <v>0</v>
      </c>
      <c r="AF23" s="133"/>
      <c r="AG23" s="1" t="s">
        <v>79</v>
      </c>
      <c r="AH23" s="1">
        <v>0</v>
      </c>
      <c r="AJ23" s="95">
        <v>10</v>
      </c>
      <c r="AK23" s="95">
        <v>-31</v>
      </c>
    </row>
    <row r="24" spans="1:38" x14ac:dyDescent="0.25">
      <c r="A24" s="4"/>
      <c r="B24" s="119" t="s">
        <v>81</v>
      </c>
      <c r="C24" s="120" t="s">
        <v>82</v>
      </c>
      <c r="D24" s="14">
        <v>50000</v>
      </c>
      <c r="E24" s="1">
        <v>280457</v>
      </c>
      <c r="F24" s="121" t="s">
        <v>64</v>
      </c>
      <c r="G24" s="122">
        <v>3783</v>
      </c>
      <c r="H24" s="122">
        <v>137718750</v>
      </c>
      <c r="I24" s="122">
        <v>36404.639175257733</v>
      </c>
      <c r="J24" s="123">
        <v>3783</v>
      </c>
      <c r="K24" s="122">
        <v>138696635</v>
      </c>
      <c r="L24" s="124">
        <v>36663.133756278083</v>
      </c>
      <c r="M24" s="125">
        <v>0</v>
      </c>
      <c r="N24" s="126">
        <v>0</v>
      </c>
      <c r="O24" s="127">
        <v>0</v>
      </c>
      <c r="P24" s="1">
        <v>36275</v>
      </c>
      <c r="Q24" s="95">
        <v>36312.879999999997</v>
      </c>
      <c r="R24" s="14">
        <v>490425.00000000338</v>
      </c>
      <c r="S24" s="1">
        <v>-1468309.999999987</v>
      </c>
      <c r="T24" s="15">
        <v>-977884.99999998359</v>
      </c>
      <c r="U24" s="128">
        <v>0.96609999999999996</v>
      </c>
      <c r="V24" s="128">
        <v>-1.1599999999999999E-2</v>
      </c>
      <c r="W24" s="128">
        <v>0.98060000000000003</v>
      </c>
      <c r="X24" s="1">
        <v>0</v>
      </c>
      <c r="Y24" s="15">
        <v>0</v>
      </c>
      <c r="Z24" s="13">
        <v>0</v>
      </c>
      <c r="AA24" s="129">
        <v>0</v>
      </c>
      <c r="AB24" s="129">
        <v>0</v>
      </c>
      <c r="AC24" s="130">
        <v>0</v>
      </c>
      <c r="AD24" s="131">
        <v>0</v>
      </c>
      <c r="AE24" s="1">
        <v>0</v>
      </c>
      <c r="AF24" s="133"/>
      <c r="AG24" s="1" t="s">
        <v>81</v>
      </c>
      <c r="AH24" s="1">
        <v>0</v>
      </c>
      <c r="AJ24" s="95">
        <v>3</v>
      </c>
      <c r="AK24" s="95">
        <v>-22</v>
      </c>
    </row>
    <row r="25" spans="1:38" x14ac:dyDescent="0.25">
      <c r="A25" s="4"/>
      <c r="B25" s="119" t="s">
        <v>83</v>
      </c>
      <c r="C25" s="120" t="s">
        <v>84</v>
      </c>
      <c r="D25" s="14">
        <v>20000</v>
      </c>
      <c r="E25" s="1">
        <v>67303</v>
      </c>
      <c r="F25" s="121" t="s">
        <v>64</v>
      </c>
      <c r="G25" s="122">
        <v>0</v>
      </c>
      <c r="H25" s="122">
        <v>0</v>
      </c>
      <c r="I25" s="122">
        <v>0</v>
      </c>
      <c r="J25" s="123">
        <v>0</v>
      </c>
      <c r="K25" s="122">
        <v>0</v>
      </c>
      <c r="L25" s="124">
        <v>0</v>
      </c>
      <c r="M25" s="125">
        <v>0</v>
      </c>
      <c r="N25" s="126">
        <v>0</v>
      </c>
      <c r="O25" s="127">
        <v>0</v>
      </c>
      <c r="P25" s="1">
        <v>12340</v>
      </c>
      <c r="Q25" s="95">
        <v>12340.11</v>
      </c>
      <c r="R25" s="14">
        <v>0</v>
      </c>
      <c r="S25" s="1">
        <v>0</v>
      </c>
      <c r="T25" s="15">
        <v>0</v>
      </c>
      <c r="U25" s="128">
        <v>0.2392</v>
      </c>
      <c r="V25" s="128">
        <v>0.53339999999999999</v>
      </c>
      <c r="W25" s="128">
        <v>0.6099</v>
      </c>
      <c r="X25" s="1">
        <v>0</v>
      </c>
      <c r="Y25" s="15">
        <v>0</v>
      </c>
      <c r="Z25" s="13">
        <v>0</v>
      </c>
      <c r="AA25" s="129">
        <v>0</v>
      </c>
      <c r="AB25" s="129">
        <v>0</v>
      </c>
      <c r="AC25" s="130">
        <v>0</v>
      </c>
      <c r="AD25" s="131">
        <v>0</v>
      </c>
      <c r="AE25" s="1">
        <v>0</v>
      </c>
      <c r="AF25" s="133"/>
      <c r="AG25" s="1" t="s">
        <v>83</v>
      </c>
      <c r="AH25" s="1">
        <v>0</v>
      </c>
      <c r="AJ25" s="95">
        <v>12</v>
      </c>
      <c r="AK25" s="95">
        <v>-29</v>
      </c>
    </row>
    <row r="26" spans="1:38" x14ac:dyDescent="0.25">
      <c r="A26" s="4"/>
      <c r="B26" s="119" t="s">
        <v>85</v>
      </c>
      <c r="C26" s="120" t="s">
        <v>86</v>
      </c>
      <c r="D26" s="14">
        <v>50000</v>
      </c>
      <c r="E26" s="1">
        <v>44273</v>
      </c>
      <c r="F26" s="121" t="s">
        <v>64</v>
      </c>
      <c r="G26" s="122">
        <v>2</v>
      </c>
      <c r="H26" s="122">
        <v>9570</v>
      </c>
      <c r="I26" s="122">
        <v>4785</v>
      </c>
      <c r="J26" s="123">
        <v>2</v>
      </c>
      <c r="K26" s="122">
        <v>9435</v>
      </c>
      <c r="L26" s="124">
        <v>4717.5</v>
      </c>
      <c r="M26" s="125">
        <v>0</v>
      </c>
      <c r="N26" s="126">
        <v>0</v>
      </c>
      <c r="O26" s="127">
        <v>0</v>
      </c>
      <c r="P26" s="1">
        <v>4715</v>
      </c>
      <c r="Q26" s="95">
        <v>4712.38</v>
      </c>
      <c r="R26" s="14">
        <v>140</v>
      </c>
      <c r="S26" s="1">
        <v>-5</v>
      </c>
      <c r="T26" s="15">
        <v>135</v>
      </c>
      <c r="U26" s="128">
        <v>-7.5999999999999998E-2</v>
      </c>
      <c r="V26" s="128">
        <v>0.32800000000000001</v>
      </c>
      <c r="W26" s="128">
        <v>0.15820000000000001</v>
      </c>
      <c r="X26" s="1">
        <v>0</v>
      </c>
      <c r="Y26" s="15">
        <v>0</v>
      </c>
      <c r="Z26" s="13">
        <v>0</v>
      </c>
      <c r="AA26" s="129">
        <v>0</v>
      </c>
      <c r="AB26" s="129">
        <v>0</v>
      </c>
      <c r="AC26" s="130">
        <v>0</v>
      </c>
      <c r="AD26" s="131">
        <v>0</v>
      </c>
      <c r="AE26" s="1">
        <v>0</v>
      </c>
      <c r="AF26" s="133"/>
      <c r="AG26" s="1" t="s">
        <v>85</v>
      </c>
      <c r="AH26" s="1">
        <v>0</v>
      </c>
      <c r="AJ26" s="95">
        <v>19</v>
      </c>
      <c r="AK26" s="95">
        <v>-35</v>
      </c>
    </row>
    <row r="27" spans="1:38" x14ac:dyDescent="0.25">
      <c r="A27" s="4"/>
      <c r="B27" s="119" t="s">
        <v>87</v>
      </c>
      <c r="C27" s="120" t="s">
        <v>88</v>
      </c>
      <c r="D27" s="14">
        <v>20000</v>
      </c>
      <c r="E27" s="1">
        <v>154086</v>
      </c>
      <c r="F27" s="121" t="s">
        <v>64</v>
      </c>
      <c r="G27" s="122">
        <v>288</v>
      </c>
      <c r="H27" s="122">
        <v>3510810</v>
      </c>
      <c r="I27" s="122">
        <v>12190.3125</v>
      </c>
      <c r="J27" s="123">
        <v>288</v>
      </c>
      <c r="K27" s="122">
        <v>3498030</v>
      </c>
      <c r="L27" s="124">
        <v>12145.9375</v>
      </c>
      <c r="M27" s="125">
        <v>0</v>
      </c>
      <c r="N27" s="126">
        <v>0</v>
      </c>
      <c r="O27" s="127">
        <v>0</v>
      </c>
      <c r="P27" s="1">
        <v>12105</v>
      </c>
      <c r="Q27" s="95">
        <v>12122.45</v>
      </c>
      <c r="R27" s="14">
        <v>24570</v>
      </c>
      <c r="S27" s="1">
        <v>-11790</v>
      </c>
      <c r="T27" s="15">
        <v>12780</v>
      </c>
      <c r="U27" s="128">
        <v>0.47989999999999999</v>
      </c>
      <c r="V27" s="128">
        <v>0.40539999999999998</v>
      </c>
      <c r="W27" s="128">
        <v>0.62919999999999998</v>
      </c>
      <c r="X27" s="1">
        <v>0</v>
      </c>
      <c r="Y27" s="15">
        <v>0</v>
      </c>
      <c r="Z27" s="13">
        <v>0</v>
      </c>
      <c r="AA27" s="129">
        <v>0</v>
      </c>
      <c r="AB27" s="129">
        <v>0</v>
      </c>
      <c r="AC27" s="130">
        <v>0</v>
      </c>
      <c r="AD27" s="131">
        <v>0</v>
      </c>
      <c r="AE27" s="1">
        <v>0</v>
      </c>
      <c r="AF27" s="133"/>
      <c r="AG27" s="1" t="s">
        <v>87</v>
      </c>
      <c r="AH27" s="1">
        <v>0</v>
      </c>
      <c r="AJ27" s="95">
        <v>6</v>
      </c>
      <c r="AK27" s="95">
        <v>-30</v>
      </c>
    </row>
    <row r="28" spans="1:38" x14ac:dyDescent="0.25">
      <c r="A28" s="4"/>
      <c r="B28" s="119" t="s">
        <v>89</v>
      </c>
      <c r="C28" s="120" t="s">
        <v>90</v>
      </c>
      <c r="D28" s="14">
        <v>30000</v>
      </c>
      <c r="E28" s="1">
        <v>198471</v>
      </c>
      <c r="F28" s="121" t="s">
        <v>64</v>
      </c>
      <c r="G28" s="122">
        <v>1531</v>
      </c>
      <c r="H28" s="122">
        <v>4726290</v>
      </c>
      <c r="I28" s="122">
        <v>3087.060744611365</v>
      </c>
      <c r="J28" s="123">
        <v>1531</v>
      </c>
      <c r="K28" s="122">
        <v>4816365</v>
      </c>
      <c r="L28" s="124">
        <v>3145.8948399738733</v>
      </c>
      <c r="M28" s="125">
        <v>0</v>
      </c>
      <c r="N28" s="126">
        <v>0</v>
      </c>
      <c r="O28" s="127">
        <v>0</v>
      </c>
      <c r="P28" s="1">
        <v>3080</v>
      </c>
      <c r="Q28" s="95">
        <v>3078.25</v>
      </c>
      <c r="R28" s="14">
        <v>10809.999999999744</v>
      </c>
      <c r="S28" s="1">
        <v>-100885.00000000007</v>
      </c>
      <c r="T28" s="15">
        <v>-90075.000000000335</v>
      </c>
      <c r="U28" s="128">
        <v>-0.1847</v>
      </c>
      <c r="V28" s="128">
        <v>0.69120000000000004</v>
      </c>
      <c r="W28" s="128">
        <v>0.53849999999999998</v>
      </c>
      <c r="X28" s="1">
        <v>0</v>
      </c>
      <c r="Y28" s="15">
        <v>0</v>
      </c>
      <c r="Z28" s="13">
        <v>0</v>
      </c>
      <c r="AA28" s="129">
        <v>0</v>
      </c>
      <c r="AB28" s="129">
        <v>0</v>
      </c>
      <c r="AC28" s="130">
        <v>0</v>
      </c>
      <c r="AD28" s="131">
        <v>0</v>
      </c>
      <c r="AE28" s="1">
        <v>0</v>
      </c>
      <c r="AF28" s="133"/>
      <c r="AG28" s="1" t="s">
        <v>89</v>
      </c>
      <c r="AH28" s="1">
        <v>0</v>
      </c>
      <c r="AJ28" s="95">
        <v>20</v>
      </c>
      <c r="AK28" s="95">
        <v>-33</v>
      </c>
    </row>
    <row r="29" spans="1:38" x14ac:dyDescent="0.25">
      <c r="A29" s="4"/>
      <c r="B29" s="134" t="s">
        <v>91</v>
      </c>
      <c r="C29" s="135" t="s">
        <v>92</v>
      </c>
      <c r="D29" s="136">
        <v>10000</v>
      </c>
      <c r="E29" s="137">
        <v>3302935</v>
      </c>
      <c r="F29" s="138" t="s">
        <v>93</v>
      </c>
      <c r="G29" s="122">
        <v>3619</v>
      </c>
      <c r="H29" s="122">
        <v>70494880</v>
      </c>
      <c r="I29" s="122">
        <v>19479.10472506217</v>
      </c>
      <c r="J29" s="123">
        <v>3619</v>
      </c>
      <c r="K29" s="122">
        <v>70823770</v>
      </c>
      <c r="L29" s="124">
        <v>19569.983420834484</v>
      </c>
      <c r="M29" s="125">
        <v>0</v>
      </c>
      <c r="N29" s="126">
        <v>0</v>
      </c>
      <c r="O29" s="127">
        <v>0</v>
      </c>
      <c r="P29" s="1">
        <v>19435</v>
      </c>
      <c r="Q29" s="95">
        <v>19430.150000000001</v>
      </c>
      <c r="R29" s="14">
        <v>159614.99999999494</v>
      </c>
      <c r="S29" s="1">
        <v>-488504.99999999651</v>
      </c>
      <c r="T29" s="15">
        <v>-328890.00000000157</v>
      </c>
      <c r="U29" s="128">
        <v>0.98040000000000005</v>
      </c>
      <c r="V29" s="128">
        <v>-8.0000000000000004E-4</v>
      </c>
      <c r="W29" s="128">
        <v>0.98619999999999997</v>
      </c>
      <c r="X29" s="1">
        <v>0</v>
      </c>
      <c r="Y29" s="15">
        <v>0</v>
      </c>
      <c r="Z29" s="13">
        <v>0</v>
      </c>
      <c r="AA29" s="129">
        <v>0</v>
      </c>
      <c r="AB29" s="129">
        <v>0</v>
      </c>
      <c r="AC29" s="130">
        <v>0</v>
      </c>
      <c r="AD29" s="131">
        <v>0</v>
      </c>
      <c r="AE29" s="1">
        <v>0</v>
      </c>
      <c r="AF29" s="133"/>
      <c r="AG29" s="1" t="s">
        <v>91</v>
      </c>
      <c r="AH29" s="1">
        <v>0</v>
      </c>
      <c r="AJ29" s="95">
        <v>11</v>
      </c>
      <c r="AK29" s="95">
        <v>-15</v>
      </c>
    </row>
    <row r="30" spans="1:38" x14ac:dyDescent="0.25">
      <c r="A30" s="4"/>
      <c r="B30" s="119" t="s">
        <v>94</v>
      </c>
      <c r="C30" s="120" t="s">
        <v>95</v>
      </c>
      <c r="D30" s="14">
        <v>50000</v>
      </c>
      <c r="E30" s="1">
        <v>208433</v>
      </c>
      <c r="F30" s="121" t="s">
        <v>64</v>
      </c>
      <c r="G30" s="122">
        <v>16</v>
      </c>
      <c r="H30" s="122">
        <v>352265</v>
      </c>
      <c r="I30" s="122">
        <v>22016.5625</v>
      </c>
      <c r="J30" s="123">
        <v>16</v>
      </c>
      <c r="K30" s="122">
        <v>351560</v>
      </c>
      <c r="L30" s="124">
        <v>21972.5</v>
      </c>
      <c r="M30" s="125">
        <v>0</v>
      </c>
      <c r="N30" s="126">
        <v>0</v>
      </c>
      <c r="O30" s="127">
        <v>0</v>
      </c>
      <c r="P30" s="1">
        <v>21900</v>
      </c>
      <c r="Q30" s="95">
        <v>21923.78</v>
      </c>
      <c r="R30" s="14">
        <v>1865</v>
      </c>
      <c r="S30" s="1">
        <v>-1160</v>
      </c>
      <c r="T30" s="15">
        <v>705</v>
      </c>
      <c r="U30" s="128">
        <v>0.36370000000000002</v>
      </c>
      <c r="V30" s="128">
        <v>0.38030000000000003</v>
      </c>
      <c r="W30" s="128">
        <v>0.75039999999999996</v>
      </c>
      <c r="X30" s="1">
        <v>0</v>
      </c>
      <c r="Y30" s="15">
        <v>0</v>
      </c>
      <c r="Z30" s="13">
        <v>0</v>
      </c>
      <c r="AA30" s="129">
        <v>0</v>
      </c>
      <c r="AB30" s="129">
        <v>0</v>
      </c>
      <c r="AC30" s="130">
        <v>0</v>
      </c>
      <c r="AD30" s="131">
        <v>0</v>
      </c>
      <c r="AE30" s="1">
        <v>0</v>
      </c>
      <c r="AF30" s="133"/>
      <c r="AG30" s="1" t="s">
        <v>94</v>
      </c>
      <c r="AH30" s="1">
        <v>0</v>
      </c>
      <c r="AJ30" s="95">
        <v>5</v>
      </c>
      <c r="AK30" s="95">
        <v>-30</v>
      </c>
    </row>
    <row r="31" spans="1:38" x14ac:dyDescent="0.25">
      <c r="A31" s="4"/>
      <c r="B31" s="119" t="s">
        <v>96</v>
      </c>
      <c r="C31" s="120" t="s">
        <v>97</v>
      </c>
      <c r="D31" s="14">
        <v>20000</v>
      </c>
      <c r="E31" s="1" t="s">
        <v>141</v>
      </c>
      <c r="F31" s="121" t="s">
        <v>64</v>
      </c>
      <c r="G31" s="122">
        <v>1356</v>
      </c>
      <c r="H31" s="122">
        <v>11287817</v>
      </c>
      <c r="I31" s="122">
        <v>8324.3488200589964</v>
      </c>
      <c r="J31" s="123">
        <v>1356</v>
      </c>
      <c r="K31" s="122">
        <v>11265965</v>
      </c>
      <c r="L31" s="124">
        <v>8308.2337758112099</v>
      </c>
      <c r="M31" s="125">
        <v>0</v>
      </c>
      <c r="N31" s="126">
        <v>0</v>
      </c>
      <c r="O31" s="127">
        <v>0</v>
      </c>
      <c r="P31" s="1">
        <v>8290</v>
      </c>
      <c r="Q31" s="95">
        <v>8297.4699999999993</v>
      </c>
      <c r="R31" s="14">
        <v>46576.999999999054</v>
      </c>
      <c r="S31" s="1">
        <v>-24725.00000000056</v>
      </c>
      <c r="T31" s="15">
        <v>21851.999999998494</v>
      </c>
      <c r="U31" s="128">
        <v>0.18590000000000001</v>
      </c>
      <c r="V31" s="128">
        <v>0.29980000000000001</v>
      </c>
      <c r="W31" s="128">
        <v>0.36320000000000002</v>
      </c>
      <c r="X31" s="1">
        <v>0</v>
      </c>
      <c r="Y31" s="15">
        <v>0</v>
      </c>
      <c r="Z31" s="13">
        <v>0</v>
      </c>
      <c r="AA31" s="129">
        <v>0</v>
      </c>
      <c r="AB31" s="129">
        <v>0</v>
      </c>
      <c r="AC31" s="130">
        <v>0</v>
      </c>
      <c r="AD31" s="131">
        <v>0</v>
      </c>
      <c r="AE31" s="1">
        <v>0</v>
      </c>
      <c r="AF31" s="133"/>
      <c r="AG31" s="1" t="s">
        <v>96</v>
      </c>
      <c r="AH31" s="1">
        <v>0</v>
      </c>
      <c r="AJ31" s="95">
        <v>11</v>
      </c>
      <c r="AK31" s="95">
        <v>-33</v>
      </c>
    </row>
    <row r="32" spans="1:38" x14ac:dyDescent="0.25">
      <c r="A32" s="4"/>
      <c r="B32" s="119" t="s">
        <v>98</v>
      </c>
      <c r="C32" s="120" t="s">
        <v>99</v>
      </c>
      <c r="D32" s="14">
        <v>50000</v>
      </c>
      <c r="E32" s="1">
        <v>635046</v>
      </c>
      <c r="F32" s="121" t="s">
        <v>64</v>
      </c>
      <c r="G32" s="122">
        <v>1921</v>
      </c>
      <c r="H32" s="122">
        <v>27119665</v>
      </c>
      <c r="I32" s="122">
        <v>14117.472670484123</v>
      </c>
      <c r="J32" s="123">
        <v>1921</v>
      </c>
      <c r="K32" s="122">
        <v>27435130</v>
      </c>
      <c r="L32" s="124">
        <v>14281.691827173347</v>
      </c>
      <c r="M32" s="125">
        <v>0</v>
      </c>
      <c r="N32" s="126">
        <v>0</v>
      </c>
      <c r="O32" s="127">
        <v>0</v>
      </c>
      <c r="P32" s="1">
        <v>14190</v>
      </c>
      <c r="Q32" s="95">
        <v>14224.8</v>
      </c>
      <c r="R32" s="14">
        <v>-139324.99999999927</v>
      </c>
      <c r="S32" s="1">
        <v>-176139.99999999884</v>
      </c>
      <c r="T32" s="15">
        <v>-315464.99999999814</v>
      </c>
      <c r="U32" s="128">
        <v>0.51119999999999999</v>
      </c>
      <c r="V32" s="128">
        <v>0.81110000000000004</v>
      </c>
      <c r="W32" s="128">
        <v>0.79849999999999999</v>
      </c>
      <c r="X32" s="1">
        <v>0</v>
      </c>
      <c r="Y32" s="15">
        <v>0</v>
      </c>
      <c r="Z32" s="13">
        <v>0</v>
      </c>
      <c r="AA32" s="129">
        <v>0</v>
      </c>
      <c r="AB32" s="129">
        <v>0</v>
      </c>
      <c r="AC32" s="130">
        <v>0</v>
      </c>
      <c r="AD32" s="131">
        <v>0</v>
      </c>
      <c r="AE32" s="1">
        <v>0</v>
      </c>
      <c r="AF32" s="133"/>
      <c r="AG32" s="1" t="s">
        <v>98</v>
      </c>
      <c r="AH32" s="1">
        <v>0</v>
      </c>
      <c r="AJ32" s="95">
        <v>7</v>
      </c>
      <c r="AK32" s="95">
        <v>-30</v>
      </c>
    </row>
    <row r="33" spans="1:37" x14ac:dyDescent="0.25">
      <c r="A33" s="4"/>
      <c r="B33" s="119" t="s">
        <v>100</v>
      </c>
      <c r="C33" s="120" t="s">
        <v>101</v>
      </c>
      <c r="D33" s="14">
        <v>50000</v>
      </c>
      <c r="E33" s="1">
        <v>57305</v>
      </c>
      <c r="F33" s="121" t="s">
        <v>64</v>
      </c>
      <c r="G33" s="122">
        <v>280</v>
      </c>
      <c r="H33" s="122">
        <v>4361740</v>
      </c>
      <c r="I33" s="122">
        <v>15577.642857142857</v>
      </c>
      <c r="J33" s="123">
        <v>280</v>
      </c>
      <c r="K33" s="122">
        <v>4343975</v>
      </c>
      <c r="L33" s="124">
        <v>15514.196428571429</v>
      </c>
      <c r="M33" s="125">
        <v>0</v>
      </c>
      <c r="N33" s="126">
        <v>0</v>
      </c>
      <c r="O33" s="127">
        <v>0</v>
      </c>
      <c r="P33" s="1">
        <v>15475</v>
      </c>
      <c r="Q33" s="95">
        <v>15481.76</v>
      </c>
      <c r="R33" s="14">
        <v>28739.999999999927</v>
      </c>
      <c r="S33" s="1">
        <v>-10975.000000000218</v>
      </c>
      <c r="T33" s="15">
        <v>17764.999999999709</v>
      </c>
      <c r="U33" s="128">
        <v>0.1038</v>
      </c>
      <c r="V33" s="128">
        <v>0.22789999999999999</v>
      </c>
      <c r="W33" s="128">
        <v>0.4037</v>
      </c>
      <c r="X33" s="1">
        <v>0</v>
      </c>
      <c r="Y33" s="15">
        <v>0</v>
      </c>
      <c r="Z33" s="13">
        <v>0</v>
      </c>
      <c r="AA33" s="129">
        <v>0</v>
      </c>
      <c r="AB33" s="129">
        <v>0</v>
      </c>
      <c r="AC33" s="130">
        <v>0</v>
      </c>
      <c r="AD33" s="131">
        <v>0</v>
      </c>
      <c r="AE33" s="1">
        <v>0</v>
      </c>
      <c r="AF33" s="133"/>
      <c r="AG33" s="1" t="s">
        <v>100</v>
      </c>
      <c r="AH33" s="1">
        <v>0</v>
      </c>
      <c r="AJ33" s="95">
        <v>6</v>
      </c>
      <c r="AK33" s="95">
        <v>-23</v>
      </c>
    </row>
    <row r="34" spans="1:37" x14ac:dyDescent="0.25">
      <c r="A34" s="4"/>
      <c r="B34" s="119" t="s">
        <v>102</v>
      </c>
      <c r="C34" s="120" t="s">
        <v>103</v>
      </c>
      <c r="D34" s="14">
        <v>50000</v>
      </c>
      <c r="E34" s="1">
        <v>810965</v>
      </c>
      <c r="F34" s="121" t="s">
        <v>64</v>
      </c>
      <c r="G34" s="122">
        <v>6383</v>
      </c>
      <c r="H34" s="122">
        <v>173165013</v>
      </c>
      <c r="I34" s="122">
        <v>27129.094939683535</v>
      </c>
      <c r="J34" s="123">
        <v>6383</v>
      </c>
      <c r="K34" s="122">
        <v>172349100</v>
      </c>
      <c r="L34" s="124">
        <v>27001.268995770013</v>
      </c>
      <c r="M34" s="125">
        <v>0</v>
      </c>
      <c r="N34" s="126">
        <v>0</v>
      </c>
      <c r="O34" s="127">
        <v>0</v>
      </c>
      <c r="P34" s="1">
        <v>26785</v>
      </c>
      <c r="Q34" s="95">
        <v>26777.4</v>
      </c>
      <c r="R34" s="14">
        <v>2196358.0000000033</v>
      </c>
      <c r="S34" s="1">
        <v>-1380444.9999999939</v>
      </c>
      <c r="T34" s="15">
        <v>815913.00000000931</v>
      </c>
      <c r="U34" s="128">
        <v>0.1052</v>
      </c>
      <c r="V34" s="128">
        <v>0.17249999999999999</v>
      </c>
      <c r="W34" s="128">
        <v>0.25840000000000002</v>
      </c>
      <c r="X34" s="1">
        <v>0</v>
      </c>
      <c r="Y34" s="15">
        <v>0</v>
      </c>
      <c r="Z34" s="13">
        <v>0</v>
      </c>
      <c r="AA34" s="129">
        <v>0</v>
      </c>
      <c r="AB34" s="129">
        <v>0</v>
      </c>
      <c r="AC34" s="130">
        <v>0</v>
      </c>
      <c r="AD34" s="131">
        <v>0</v>
      </c>
      <c r="AE34" s="1">
        <v>0</v>
      </c>
      <c r="AF34" s="133"/>
      <c r="AG34" s="1" t="s">
        <v>102</v>
      </c>
      <c r="AH34" s="1">
        <v>0</v>
      </c>
      <c r="AJ34" s="95">
        <v>4</v>
      </c>
      <c r="AK34" s="95">
        <v>-22</v>
      </c>
    </row>
    <row r="35" spans="1:37" x14ac:dyDescent="0.25">
      <c r="A35" s="4"/>
      <c r="B35" s="119" t="s">
        <v>104</v>
      </c>
      <c r="C35" s="120" t="s">
        <v>105</v>
      </c>
      <c r="D35" s="14">
        <v>20000</v>
      </c>
      <c r="E35" s="1">
        <v>317711</v>
      </c>
      <c r="F35" s="121" t="s">
        <v>64</v>
      </c>
      <c r="G35" s="122">
        <v>0</v>
      </c>
      <c r="H35" s="122">
        <v>0</v>
      </c>
      <c r="I35" s="122">
        <v>0</v>
      </c>
      <c r="J35" s="123">
        <v>0</v>
      </c>
      <c r="K35" s="122">
        <v>0</v>
      </c>
      <c r="L35" s="124">
        <v>0</v>
      </c>
      <c r="M35" s="125">
        <v>0</v>
      </c>
      <c r="N35" s="126">
        <v>0</v>
      </c>
      <c r="O35" s="127">
        <v>0</v>
      </c>
      <c r="P35" s="1">
        <v>7400</v>
      </c>
      <c r="Q35" s="95">
        <v>7404.52</v>
      </c>
      <c r="R35" s="14">
        <v>0</v>
      </c>
      <c r="S35" s="1">
        <v>0</v>
      </c>
      <c r="T35" s="15">
        <v>0</v>
      </c>
      <c r="U35" s="128">
        <v>0.42380000000000001</v>
      </c>
      <c r="V35" s="128">
        <v>0.51680000000000004</v>
      </c>
      <c r="W35" s="128">
        <v>0.61819999999999997</v>
      </c>
      <c r="X35" s="1">
        <v>0</v>
      </c>
      <c r="Y35" s="15">
        <v>0</v>
      </c>
      <c r="Z35" s="13">
        <v>0</v>
      </c>
      <c r="AA35" s="129">
        <v>0</v>
      </c>
      <c r="AB35" s="129">
        <v>0</v>
      </c>
      <c r="AC35" s="130">
        <v>0</v>
      </c>
      <c r="AD35" s="131">
        <v>0</v>
      </c>
      <c r="AE35" s="1">
        <v>0</v>
      </c>
      <c r="AF35" s="133"/>
      <c r="AG35" s="1" t="s">
        <v>104</v>
      </c>
      <c r="AH35" s="1">
        <v>0</v>
      </c>
      <c r="AJ35" s="95">
        <v>12</v>
      </c>
      <c r="AK35" s="95">
        <v>-32</v>
      </c>
    </row>
    <row r="36" spans="1:37" x14ac:dyDescent="0.25">
      <c r="A36" s="4"/>
      <c r="B36" s="119" t="s">
        <v>106</v>
      </c>
      <c r="C36" s="120" t="s">
        <v>107</v>
      </c>
      <c r="D36" s="14">
        <v>50000</v>
      </c>
      <c r="E36" s="1">
        <v>130272</v>
      </c>
      <c r="F36" s="121" t="s">
        <v>64</v>
      </c>
      <c r="G36" s="122">
        <v>30</v>
      </c>
      <c r="H36" s="122">
        <v>106825</v>
      </c>
      <c r="I36" s="122">
        <v>3560.8333333333335</v>
      </c>
      <c r="J36" s="123">
        <v>30</v>
      </c>
      <c r="K36" s="122">
        <v>105470</v>
      </c>
      <c r="L36" s="124">
        <v>3515.6666666666665</v>
      </c>
      <c r="M36" s="125">
        <v>0</v>
      </c>
      <c r="N36" s="126">
        <v>0</v>
      </c>
      <c r="O36" s="127">
        <v>0</v>
      </c>
      <c r="P36" s="1">
        <v>3510</v>
      </c>
      <c r="Q36" s="95">
        <v>3506.08</v>
      </c>
      <c r="R36" s="14">
        <v>1525.0000000000045</v>
      </c>
      <c r="S36" s="1">
        <v>-169.99999999999545</v>
      </c>
      <c r="T36" s="15">
        <v>1355.0000000000091</v>
      </c>
      <c r="U36" s="128">
        <v>8.0299999999999996E-2</v>
      </c>
      <c r="V36" s="128">
        <v>0.50600000000000001</v>
      </c>
      <c r="W36" s="128">
        <v>0.56220000000000003</v>
      </c>
      <c r="X36" s="1">
        <v>0</v>
      </c>
      <c r="Y36" s="15">
        <v>0</v>
      </c>
      <c r="Z36" s="13">
        <v>0</v>
      </c>
      <c r="AA36" s="129">
        <v>0</v>
      </c>
      <c r="AB36" s="129">
        <v>0</v>
      </c>
      <c r="AC36" s="130">
        <v>0</v>
      </c>
      <c r="AD36" s="131">
        <v>0</v>
      </c>
      <c r="AE36" s="1">
        <v>0</v>
      </c>
      <c r="AF36" s="133"/>
      <c r="AG36" s="1" t="s">
        <v>106</v>
      </c>
      <c r="AH36" s="1">
        <v>0</v>
      </c>
      <c r="AJ36" s="95">
        <v>17</v>
      </c>
      <c r="AK36" s="95">
        <v>-38</v>
      </c>
    </row>
    <row r="37" spans="1:37" x14ac:dyDescent="0.25">
      <c r="A37" s="4"/>
      <c r="B37" s="119" t="s">
        <v>108</v>
      </c>
      <c r="C37" s="120" t="s">
        <v>109</v>
      </c>
      <c r="D37" s="14">
        <v>30000</v>
      </c>
      <c r="E37" s="1">
        <v>142297</v>
      </c>
      <c r="F37" s="121" t="s">
        <v>64</v>
      </c>
      <c r="G37" s="122">
        <v>1177</v>
      </c>
      <c r="H37" s="122">
        <v>3209970</v>
      </c>
      <c r="I37" s="122">
        <v>2727.247238742566</v>
      </c>
      <c r="J37" s="123">
        <v>1177</v>
      </c>
      <c r="K37" s="122">
        <v>3195555</v>
      </c>
      <c r="L37" s="124">
        <v>2715</v>
      </c>
      <c r="M37" s="125">
        <v>0</v>
      </c>
      <c r="N37" s="126">
        <v>0</v>
      </c>
      <c r="O37" s="127">
        <v>0</v>
      </c>
      <c r="P37" s="1">
        <v>2725</v>
      </c>
      <c r="Q37" s="95">
        <v>2719.22</v>
      </c>
      <c r="R37" s="14">
        <v>2645.0000000001455</v>
      </c>
      <c r="S37" s="1">
        <v>11770</v>
      </c>
      <c r="T37" s="15">
        <v>14415.000000000146</v>
      </c>
      <c r="U37" s="128">
        <v>-1.7500000000000002E-2</v>
      </c>
      <c r="V37" s="128">
        <v>0.375</v>
      </c>
      <c r="W37" s="128">
        <v>0.33329999999999999</v>
      </c>
      <c r="X37" s="1">
        <v>0</v>
      </c>
      <c r="Y37" s="15">
        <v>0</v>
      </c>
      <c r="Z37" s="13">
        <v>0</v>
      </c>
      <c r="AA37" s="129">
        <v>0</v>
      </c>
      <c r="AB37" s="129">
        <v>0</v>
      </c>
      <c r="AC37" s="130">
        <v>0</v>
      </c>
      <c r="AD37" s="131">
        <v>0</v>
      </c>
      <c r="AE37" s="1">
        <v>0</v>
      </c>
      <c r="AF37" s="133"/>
      <c r="AG37" s="1" t="s">
        <v>108</v>
      </c>
      <c r="AH37" s="1">
        <v>0</v>
      </c>
      <c r="AJ37" s="95">
        <v>18</v>
      </c>
      <c r="AK37" s="95">
        <v>-32</v>
      </c>
    </row>
    <row r="38" spans="1:37" x14ac:dyDescent="0.25">
      <c r="A38" s="4"/>
      <c r="B38" s="119" t="s">
        <v>110</v>
      </c>
      <c r="C38" s="120" t="s">
        <v>111</v>
      </c>
      <c r="D38" s="14">
        <v>20000</v>
      </c>
      <c r="E38" s="1">
        <v>121690</v>
      </c>
      <c r="F38" s="121" t="s">
        <v>64</v>
      </c>
      <c r="G38" s="122">
        <v>669</v>
      </c>
      <c r="H38" s="122">
        <v>32521825</v>
      </c>
      <c r="I38" s="122">
        <v>48612.593423019433</v>
      </c>
      <c r="J38" s="123">
        <v>669</v>
      </c>
      <c r="K38" s="122">
        <v>32922975</v>
      </c>
      <c r="L38" s="124">
        <v>49212.219730941702</v>
      </c>
      <c r="M38" s="125">
        <v>0</v>
      </c>
      <c r="N38" s="126">
        <v>0</v>
      </c>
      <c r="O38" s="127">
        <v>0</v>
      </c>
      <c r="P38" s="1">
        <v>48300</v>
      </c>
      <c r="Q38" s="95">
        <v>48323.91</v>
      </c>
      <c r="R38" s="14">
        <v>209125.00000000035</v>
      </c>
      <c r="S38" s="1">
        <v>-610274.99999999895</v>
      </c>
      <c r="T38" s="15">
        <v>-401149.9999999986</v>
      </c>
      <c r="U38" s="128">
        <v>0.37590000000000001</v>
      </c>
      <c r="V38" s="128">
        <v>0.29299999999999998</v>
      </c>
      <c r="W38" s="128">
        <v>0.53720000000000001</v>
      </c>
      <c r="X38" s="1">
        <v>0</v>
      </c>
      <c r="Y38" s="15">
        <v>0</v>
      </c>
      <c r="Z38" s="13">
        <v>0</v>
      </c>
      <c r="AA38" s="129">
        <v>0</v>
      </c>
      <c r="AB38" s="129">
        <v>0</v>
      </c>
      <c r="AC38" s="130">
        <v>0</v>
      </c>
      <c r="AD38" s="131">
        <v>0</v>
      </c>
      <c r="AF38" s="133"/>
      <c r="AG38" s="1" t="s">
        <v>110</v>
      </c>
      <c r="AH38" s="1">
        <v>0</v>
      </c>
      <c r="AJ38" s="95">
        <v>5</v>
      </c>
      <c r="AK38" s="95">
        <v>-24</v>
      </c>
    </row>
    <row r="39" spans="1:37" x14ac:dyDescent="0.25">
      <c r="A39" s="4"/>
      <c r="B39" s="119" t="s">
        <v>112</v>
      </c>
      <c r="C39" s="120" t="s">
        <v>113</v>
      </c>
      <c r="D39" s="14">
        <v>50000</v>
      </c>
      <c r="E39" s="1">
        <v>76744</v>
      </c>
      <c r="F39" s="121" t="s">
        <v>64</v>
      </c>
      <c r="G39" s="122">
        <v>1</v>
      </c>
      <c r="H39" s="122">
        <v>23940</v>
      </c>
      <c r="I39" s="122">
        <v>23940</v>
      </c>
      <c r="J39" s="123">
        <v>1</v>
      </c>
      <c r="K39" s="122">
        <v>23360</v>
      </c>
      <c r="L39" s="124">
        <v>23360</v>
      </c>
      <c r="M39" s="125">
        <v>0</v>
      </c>
      <c r="N39" s="126">
        <v>0</v>
      </c>
      <c r="O39" s="127">
        <v>0</v>
      </c>
      <c r="P39" s="1">
        <v>23265</v>
      </c>
      <c r="Q39" s="95">
        <v>23270.46</v>
      </c>
      <c r="R39" s="14">
        <v>675</v>
      </c>
      <c r="S39" s="1">
        <v>-95</v>
      </c>
      <c r="T39" s="15">
        <v>580</v>
      </c>
      <c r="U39" s="128">
        <v>0.20130000000000001</v>
      </c>
      <c r="V39" s="128">
        <v>0.81720000000000004</v>
      </c>
      <c r="W39" s="128">
        <v>0.6391</v>
      </c>
      <c r="X39" s="1">
        <v>0</v>
      </c>
      <c r="Y39" s="15">
        <v>0</v>
      </c>
      <c r="Z39" s="13">
        <v>0</v>
      </c>
      <c r="AA39" s="129">
        <v>0</v>
      </c>
      <c r="AB39" s="129">
        <v>0</v>
      </c>
      <c r="AC39" s="130">
        <v>0</v>
      </c>
      <c r="AD39" s="131">
        <v>0</v>
      </c>
      <c r="AE39" s="1">
        <v>0</v>
      </c>
      <c r="AF39" s="133"/>
      <c r="AG39" s="1" t="s">
        <v>112</v>
      </c>
      <c r="AH39" s="1">
        <v>0</v>
      </c>
      <c r="AJ39" s="95">
        <v>10</v>
      </c>
      <c r="AK39" s="95">
        <v>-30</v>
      </c>
    </row>
    <row r="40" spans="1:37" x14ac:dyDescent="0.25">
      <c r="A40" s="4"/>
      <c r="B40" s="139" t="s">
        <v>114</v>
      </c>
      <c r="C40" s="140" t="s">
        <v>115</v>
      </c>
      <c r="D40" s="14">
        <v>50000</v>
      </c>
      <c r="E40" s="141">
        <v>859501</v>
      </c>
      <c r="F40" s="142" t="s">
        <v>64</v>
      </c>
      <c r="G40" s="122">
        <v>5293</v>
      </c>
      <c r="H40" s="122">
        <v>285275550</v>
      </c>
      <c r="I40" s="122">
        <v>53896.759871528433</v>
      </c>
      <c r="J40" s="123">
        <v>5293</v>
      </c>
      <c r="K40" s="122">
        <v>285914745</v>
      </c>
      <c r="L40" s="124">
        <v>54017.52219913093</v>
      </c>
      <c r="M40" s="125">
        <v>0</v>
      </c>
      <c r="N40" s="126">
        <v>0</v>
      </c>
      <c r="O40" s="127">
        <v>0</v>
      </c>
      <c r="P40" s="1">
        <v>53570</v>
      </c>
      <c r="Q40" s="95">
        <v>53669.75</v>
      </c>
      <c r="R40" s="14">
        <v>1729539.9999999958</v>
      </c>
      <c r="S40" s="1">
        <v>-2368735.0000000121</v>
      </c>
      <c r="T40" s="15">
        <v>-639195.0000000163</v>
      </c>
      <c r="U40" s="128">
        <v>1.1755</v>
      </c>
      <c r="V40" s="128">
        <v>9.7100000000000006E-2</v>
      </c>
      <c r="W40" s="128">
        <v>0.91379999999999995</v>
      </c>
      <c r="X40" s="1">
        <v>0</v>
      </c>
      <c r="Y40" s="15">
        <v>0</v>
      </c>
      <c r="Z40" s="13">
        <v>0</v>
      </c>
      <c r="AA40" s="129">
        <v>0</v>
      </c>
      <c r="AB40" s="129">
        <v>0</v>
      </c>
      <c r="AC40" s="130">
        <v>0</v>
      </c>
      <c r="AD40" s="131">
        <v>0</v>
      </c>
      <c r="AE40" s="1">
        <v>0</v>
      </c>
      <c r="AG40" s="1" t="s">
        <v>114</v>
      </c>
      <c r="AH40" s="1">
        <v>0</v>
      </c>
      <c r="AJ40" s="95">
        <v>2</v>
      </c>
      <c r="AK40" s="95">
        <v>-23</v>
      </c>
    </row>
    <row r="41" spans="1:37" x14ac:dyDescent="0.25">
      <c r="A41" s="4"/>
      <c r="B41" s="143" t="s">
        <v>116</v>
      </c>
      <c r="C41" s="77" t="s">
        <v>117</v>
      </c>
      <c r="D41" s="14">
        <v>20000</v>
      </c>
      <c r="E41" s="21">
        <v>90828</v>
      </c>
      <c r="F41" s="144" t="s">
        <v>64</v>
      </c>
      <c r="G41" s="80">
        <v>0</v>
      </c>
      <c r="H41" s="80">
        <v>0</v>
      </c>
      <c r="I41" s="80">
        <v>0</v>
      </c>
      <c r="J41" s="79">
        <v>0</v>
      </c>
      <c r="K41" s="80">
        <v>0</v>
      </c>
      <c r="L41" s="145">
        <v>0</v>
      </c>
      <c r="M41" s="146">
        <v>0</v>
      </c>
      <c r="N41" s="147">
        <v>0</v>
      </c>
      <c r="O41" s="148">
        <v>0</v>
      </c>
      <c r="P41" s="21">
        <v>17085</v>
      </c>
      <c r="Q41" s="149">
        <v>17091.669999999998</v>
      </c>
      <c r="R41" s="14">
        <v>0</v>
      </c>
      <c r="S41" s="1">
        <v>0</v>
      </c>
      <c r="T41" s="15">
        <v>0</v>
      </c>
      <c r="U41" s="128">
        <v>4.8599999999999997E-2</v>
      </c>
      <c r="V41" s="128">
        <v>0.2094</v>
      </c>
      <c r="W41" s="128">
        <v>0.18690000000000001</v>
      </c>
      <c r="X41" s="1">
        <v>0</v>
      </c>
      <c r="Y41" s="15">
        <v>0</v>
      </c>
      <c r="Z41" s="13">
        <v>0</v>
      </c>
      <c r="AA41" s="129">
        <v>0</v>
      </c>
      <c r="AB41" s="129">
        <v>0</v>
      </c>
      <c r="AC41" s="130">
        <v>0</v>
      </c>
      <c r="AD41" s="131">
        <v>0</v>
      </c>
      <c r="AE41" s="1">
        <v>0</v>
      </c>
      <c r="AG41" s="1" t="s">
        <v>116</v>
      </c>
      <c r="AH41" s="1">
        <v>0</v>
      </c>
      <c r="AJ41" s="95">
        <v>8</v>
      </c>
      <c r="AK41" s="95">
        <v>-30</v>
      </c>
    </row>
    <row r="42" spans="1:37" x14ac:dyDescent="0.25">
      <c r="A42" s="4"/>
      <c r="B42" s="119" t="s">
        <v>118</v>
      </c>
      <c r="C42" s="120" t="s">
        <v>119</v>
      </c>
      <c r="D42" s="14">
        <v>20000</v>
      </c>
      <c r="E42" s="1">
        <v>380643</v>
      </c>
      <c r="F42" s="121" t="s">
        <v>64</v>
      </c>
      <c r="G42" s="122">
        <v>2000</v>
      </c>
      <c r="H42" s="122">
        <v>25149875</v>
      </c>
      <c r="I42" s="122">
        <v>12574.9375</v>
      </c>
      <c r="J42" s="123">
        <v>2000</v>
      </c>
      <c r="K42" s="122">
        <v>25504225</v>
      </c>
      <c r="L42" s="124">
        <v>12752.112499999999</v>
      </c>
      <c r="M42" s="125">
        <v>0</v>
      </c>
      <c r="N42" s="126">
        <v>0</v>
      </c>
      <c r="O42" s="127">
        <v>0</v>
      </c>
      <c r="P42" s="1">
        <v>12365</v>
      </c>
      <c r="Q42" s="95">
        <v>12384.66</v>
      </c>
      <c r="R42" s="14">
        <v>419875</v>
      </c>
      <c r="S42" s="1">
        <v>-774224.9999999986</v>
      </c>
      <c r="T42" s="15">
        <v>-354349.9999999986</v>
      </c>
      <c r="U42" s="128">
        <v>-0.26229999999999998</v>
      </c>
      <c r="V42" s="128">
        <v>1.0610999999999999</v>
      </c>
      <c r="W42" s="128">
        <v>0.69730000000000003</v>
      </c>
      <c r="X42" s="1">
        <v>0</v>
      </c>
      <c r="Y42" s="15">
        <v>0</v>
      </c>
      <c r="Z42" s="13">
        <v>0</v>
      </c>
      <c r="AA42" s="129">
        <v>0</v>
      </c>
      <c r="AB42" s="129">
        <v>0</v>
      </c>
      <c r="AC42" s="130">
        <v>0</v>
      </c>
      <c r="AD42" s="131">
        <v>0</v>
      </c>
      <c r="AF42" s="133"/>
      <c r="AG42" s="1" t="s">
        <v>118</v>
      </c>
      <c r="AH42" s="1">
        <v>0</v>
      </c>
      <c r="AJ42" s="95">
        <v>11</v>
      </c>
      <c r="AK42" s="95">
        <v>-35</v>
      </c>
    </row>
    <row r="43" spans="1:37" x14ac:dyDescent="0.25">
      <c r="A43" s="4"/>
      <c r="B43" s="119" t="s">
        <v>120</v>
      </c>
      <c r="C43" s="120" t="s">
        <v>121</v>
      </c>
      <c r="D43" s="14">
        <v>20000</v>
      </c>
      <c r="E43" s="1">
        <v>16483</v>
      </c>
      <c r="F43" s="121" t="s">
        <v>64</v>
      </c>
      <c r="G43" s="122">
        <v>10</v>
      </c>
      <c r="H43" s="122">
        <v>227890</v>
      </c>
      <c r="I43" s="122">
        <v>22789</v>
      </c>
      <c r="J43" s="123">
        <v>10</v>
      </c>
      <c r="K43" s="122">
        <v>226850</v>
      </c>
      <c r="L43" s="124">
        <v>22685</v>
      </c>
      <c r="M43" s="125">
        <v>0</v>
      </c>
      <c r="N43" s="126">
        <v>0</v>
      </c>
      <c r="O43" s="127">
        <v>0</v>
      </c>
      <c r="P43" s="1">
        <v>22825</v>
      </c>
      <c r="Q43" s="95">
        <v>22872.240000000002</v>
      </c>
      <c r="R43" s="14">
        <v>-360</v>
      </c>
      <c r="S43" s="1">
        <v>1400</v>
      </c>
      <c r="T43" s="15">
        <v>1040</v>
      </c>
      <c r="U43" s="128">
        <v>0.20930000000000001</v>
      </c>
      <c r="V43" s="128">
        <v>1.0199</v>
      </c>
      <c r="W43" s="128">
        <v>0.83720000000000006</v>
      </c>
      <c r="X43" s="1">
        <v>0</v>
      </c>
      <c r="Y43" s="15">
        <v>0</v>
      </c>
      <c r="Z43" s="13">
        <v>0</v>
      </c>
      <c r="AA43" s="129">
        <v>0</v>
      </c>
      <c r="AB43" s="129">
        <v>0</v>
      </c>
      <c r="AC43" s="130">
        <v>0</v>
      </c>
      <c r="AD43" s="131">
        <v>0</v>
      </c>
      <c r="AF43" s="133"/>
      <c r="AG43" s="1" t="s">
        <v>120</v>
      </c>
      <c r="AH43" s="1">
        <v>0</v>
      </c>
      <c r="AJ43" s="95">
        <v>18</v>
      </c>
      <c r="AK43" s="95">
        <v>-42</v>
      </c>
    </row>
    <row r="44" spans="1:37" x14ac:dyDescent="0.25">
      <c r="A44" s="4"/>
      <c r="B44" s="119" t="s">
        <v>122</v>
      </c>
      <c r="C44" s="120" t="s">
        <v>123</v>
      </c>
      <c r="D44" s="14">
        <v>20000</v>
      </c>
      <c r="E44" s="1">
        <v>16928</v>
      </c>
      <c r="F44" s="121" t="s">
        <v>64</v>
      </c>
      <c r="G44" s="122">
        <v>980</v>
      </c>
      <c r="H44" s="122">
        <v>35319200</v>
      </c>
      <c r="I44" s="122">
        <v>36040</v>
      </c>
      <c r="J44" s="123">
        <v>980</v>
      </c>
      <c r="K44" s="122">
        <v>35321430</v>
      </c>
      <c r="L44" s="124">
        <v>36042.275510204083</v>
      </c>
      <c r="M44" s="125">
        <v>0</v>
      </c>
      <c r="N44" s="126">
        <v>0</v>
      </c>
      <c r="O44" s="127">
        <v>0</v>
      </c>
      <c r="P44" s="1">
        <v>35950</v>
      </c>
      <c r="Q44" s="95">
        <v>35945.379999999997</v>
      </c>
      <c r="R44" s="14">
        <v>88200</v>
      </c>
      <c r="S44" s="1">
        <v>-90430.000000001164</v>
      </c>
      <c r="T44" s="15">
        <v>-2230.0000000011642</v>
      </c>
      <c r="U44" s="128">
        <v>0.80069999999999997</v>
      </c>
      <c r="V44" s="128">
        <v>7.7499999999999999E-2</v>
      </c>
      <c r="W44" s="128">
        <v>0.91269999999999996</v>
      </c>
      <c r="X44" s="1">
        <v>0</v>
      </c>
      <c r="Y44" s="15">
        <v>0</v>
      </c>
      <c r="Z44" s="13">
        <v>0</v>
      </c>
      <c r="AA44" s="129">
        <v>0</v>
      </c>
      <c r="AB44" s="129">
        <v>0</v>
      </c>
      <c r="AC44" s="130">
        <v>0</v>
      </c>
      <c r="AD44" s="131">
        <v>0</v>
      </c>
      <c r="AF44" s="133"/>
      <c r="AG44" s="1" t="s">
        <v>122</v>
      </c>
      <c r="AH44" s="1">
        <v>0</v>
      </c>
      <c r="AJ44" s="95">
        <v>12</v>
      </c>
      <c r="AK44" s="95">
        <v>-32</v>
      </c>
    </row>
    <row r="45" spans="1:37" x14ac:dyDescent="0.25">
      <c r="A45" s="4"/>
      <c r="B45" s="119" t="s">
        <v>124</v>
      </c>
      <c r="C45" s="120" t="s">
        <v>125</v>
      </c>
      <c r="D45" s="14">
        <v>20000</v>
      </c>
      <c r="E45" s="1">
        <v>21626</v>
      </c>
      <c r="F45" s="121" t="s">
        <v>64</v>
      </c>
      <c r="G45" s="122">
        <v>28</v>
      </c>
      <c r="H45" s="122">
        <v>490040</v>
      </c>
      <c r="I45" s="122">
        <v>17501.428571428572</v>
      </c>
      <c r="J45" s="123">
        <v>28</v>
      </c>
      <c r="K45" s="122">
        <v>500640</v>
      </c>
      <c r="L45" s="124">
        <v>17880</v>
      </c>
      <c r="M45" s="125">
        <v>0</v>
      </c>
      <c r="N45" s="126">
        <v>0</v>
      </c>
      <c r="O45" s="127">
        <v>0</v>
      </c>
      <c r="P45" s="1">
        <v>17420</v>
      </c>
      <c r="Q45" s="95">
        <v>17452.419999999998</v>
      </c>
      <c r="R45" s="14">
        <v>2280.0000000000291</v>
      </c>
      <c r="S45" s="1">
        <v>-12880</v>
      </c>
      <c r="T45" s="15">
        <v>-10599.999999999971</v>
      </c>
      <c r="U45" s="128">
        <v>0.26619999999999999</v>
      </c>
      <c r="V45" s="128">
        <v>0.3982</v>
      </c>
      <c r="W45" s="128">
        <v>0.61780000000000002</v>
      </c>
      <c r="X45" s="1">
        <v>0</v>
      </c>
      <c r="Y45" s="15">
        <v>0</v>
      </c>
      <c r="Z45" s="13">
        <v>0</v>
      </c>
      <c r="AA45" s="129">
        <v>0</v>
      </c>
      <c r="AB45" s="129">
        <v>0</v>
      </c>
      <c r="AC45" s="130">
        <v>0</v>
      </c>
      <c r="AD45" s="131">
        <v>0</v>
      </c>
      <c r="AF45" s="133"/>
      <c r="AG45" s="1" t="s">
        <v>124</v>
      </c>
      <c r="AH45" s="1">
        <v>0</v>
      </c>
      <c r="AJ45" s="95">
        <v>19</v>
      </c>
      <c r="AK45" s="95">
        <v>-34</v>
      </c>
    </row>
    <row r="46" spans="1:37" x14ac:dyDescent="0.25">
      <c r="A46" s="4"/>
      <c r="B46" s="119" t="s">
        <v>126</v>
      </c>
      <c r="C46" s="120" t="s">
        <v>127</v>
      </c>
      <c r="D46" s="14">
        <v>20000</v>
      </c>
      <c r="E46" s="1">
        <v>49426</v>
      </c>
      <c r="F46" s="121" t="s">
        <v>64</v>
      </c>
      <c r="G46" s="122">
        <v>80</v>
      </c>
      <c r="H46" s="122">
        <v>985960</v>
      </c>
      <c r="I46" s="122">
        <v>12324.5</v>
      </c>
      <c r="J46" s="123">
        <v>80</v>
      </c>
      <c r="K46" s="122">
        <v>996400</v>
      </c>
      <c r="L46" s="124">
        <v>12455</v>
      </c>
      <c r="M46" s="125">
        <v>0</v>
      </c>
      <c r="N46" s="126">
        <v>0</v>
      </c>
      <c r="O46" s="127">
        <v>0</v>
      </c>
      <c r="P46" s="1">
        <v>12295</v>
      </c>
      <c r="Q46" s="95">
        <v>12303.7</v>
      </c>
      <c r="R46" s="14">
        <v>2360</v>
      </c>
      <c r="S46" s="1">
        <v>-12800</v>
      </c>
      <c r="T46" s="15">
        <v>-10440</v>
      </c>
      <c r="U46" s="128">
        <v>0.31769999999999998</v>
      </c>
      <c r="V46" s="128">
        <v>0.23619999999999999</v>
      </c>
      <c r="W46" s="128">
        <v>0.30009999999999998</v>
      </c>
      <c r="X46" s="1">
        <v>0</v>
      </c>
      <c r="Y46" s="15">
        <v>0</v>
      </c>
      <c r="Z46" s="13">
        <v>0</v>
      </c>
      <c r="AA46" s="129">
        <v>0</v>
      </c>
      <c r="AB46" s="129">
        <v>0</v>
      </c>
      <c r="AC46" s="130">
        <v>0</v>
      </c>
      <c r="AD46" s="131">
        <v>0</v>
      </c>
      <c r="AF46" s="133"/>
      <c r="AG46" s="1" t="s">
        <v>126</v>
      </c>
      <c r="AH46" s="1">
        <v>0</v>
      </c>
      <c r="AJ46" s="95">
        <v>6</v>
      </c>
      <c r="AK46" s="95">
        <v>-29</v>
      </c>
    </row>
    <row r="47" spans="1:37" x14ac:dyDescent="0.25">
      <c r="A47" s="4"/>
      <c r="B47" s="119" t="s">
        <v>128</v>
      </c>
      <c r="C47" s="120" t="s">
        <v>129</v>
      </c>
      <c r="D47" s="14">
        <v>50000</v>
      </c>
      <c r="E47" s="1">
        <v>2178</v>
      </c>
      <c r="F47" s="121" t="s">
        <v>64</v>
      </c>
      <c r="G47" s="122">
        <v>37</v>
      </c>
      <c r="H47" s="122">
        <v>240895</v>
      </c>
      <c r="I47" s="122">
        <v>6510.6756756756758</v>
      </c>
      <c r="J47" s="123">
        <v>37</v>
      </c>
      <c r="K47" s="122">
        <v>240605</v>
      </c>
      <c r="L47" s="124">
        <v>6502.8378378378375</v>
      </c>
      <c r="M47" s="125">
        <v>0</v>
      </c>
      <c r="N47" s="126">
        <v>0</v>
      </c>
      <c r="O47" s="127">
        <v>0</v>
      </c>
      <c r="P47" s="1">
        <v>6485</v>
      </c>
      <c r="Q47" s="95">
        <v>6485.53</v>
      </c>
      <c r="R47" s="14">
        <v>950.00000000000637</v>
      </c>
      <c r="S47" s="1">
        <v>-659.99999999998636</v>
      </c>
      <c r="T47" s="15">
        <v>290.00000000002001</v>
      </c>
      <c r="U47" s="128">
        <v>1.49E-2</v>
      </c>
      <c r="V47" s="128">
        <v>0.48199999999999998</v>
      </c>
      <c r="W47" s="128">
        <v>0.53969999999999996</v>
      </c>
      <c r="X47" s="1">
        <v>0</v>
      </c>
      <c r="Y47" s="15">
        <v>0</v>
      </c>
      <c r="Z47" s="13">
        <v>0</v>
      </c>
      <c r="AA47" s="129">
        <v>0</v>
      </c>
      <c r="AB47" s="129">
        <v>0</v>
      </c>
      <c r="AC47" s="130">
        <v>0</v>
      </c>
      <c r="AD47" s="131">
        <v>0</v>
      </c>
      <c r="AF47" s="133"/>
      <c r="AG47" s="1" t="s">
        <v>128</v>
      </c>
      <c r="AH47" s="1">
        <v>0</v>
      </c>
      <c r="AJ47" s="95">
        <v>14</v>
      </c>
      <c r="AK47" s="95">
        <v>-36</v>
      </c>
    </row>
    <row r="48" spans="1:37" x14ac:dyDescent="0.25">
      <c r="A48" s="4"/>
      <c r="B48" s="119" t="s">
        <v>130</v>
      </c>
      <c r="C48" s="120" t="s">
        <v>131</v>
      </c>
      <c r="D48" s="14">
        <v>50000</v>
      </c>
      <c r="E48" s="1">
        <v>5304</v>
      </c>
      <c r="F48" s="121" t="s">
        <v>64</v>
      </c>
      <c r="G48" s="122">
        <v>1</v>
      </c>
      <c r="H48" s="122">
        <v>7375</v>
      </c>
      <c r="I48" s="122">
        <v>7375</v>
      </c>
      <c r="J48" s="123">
        <v>1</v>
      </c>
      <c r="K48" s="122">
        <v>7395</v>
      </c>
      <c r="L48" s="124">
        <v>7395</v>
      </c>
      <c r="M48" s="125">
        <v>0</v>
      </c>
      <c r="N48" s="126">
        <v>0</v>
      </c>
      <c r="O48" s="127">
        <v>0</v>
      </c>
      <c r="P48" s="1">
        <v>7375</v>
      </c>
      <c r="Q48" s="95">
        <v>7381.15</v>
      </c>
      <c r="R48" s="14">
        <v>0</v>
      </c>
      <c r="S48" s="1">
        <v>-20</v>
      </c>
      <c r="T48" s="15">
        <v>-20</v>
      </c>
      <c r="U48" s="128">
        <v>8.1000000000000003E-2</v>
      </c>
      <c r="V48" s="128">
        <v>0.376</v>
      </c>
      <c r="W48" s="128">
        <v>0.38679999999999998</v>
      </c>
      <c r="X48" s="1">
        <v>0</v>
      </c>
      <c r="Y48" s="15">
        <v>0</v>
      </c>
      <c r="Z48" s="13">
        <v>0</v>
      </c>
      <c r="AA48" s="129">
        <v>0</v>
      </c>
      <c r="AB48" s="129">
        <v>0</v>
      </c>
      <c r="AC48" s="130">
        <v>0</v>
      </c>
      <c r="AD48" s="131">
        <v>0</v>
      </c>
      <c r="AF48" s="133"/>
      <c r="AG48" s="1" t="s">
        <v>130</v>
      </c>
      <c r="AH48" s="1">
        <v>0</v>
      </c>
      <c r="AJ48" s="95">
        <v>13</v>
      </c>
      <c r="AK48" s="95">
        <v>-32</v>
      </c>
    </row>
    <row r="49" spans="1:37" x14ac:dyDescent="0.25">
      <c r="A49" s="4"/>
      <c r="B49" s="119" t="s">
        <v>132</v>
      </c>
      <c r="C49" s="120" t="s">
        <v>133</v>
      </c>
      <c r="D49" s="14">
        <v>20000</v>
      </c>
      <c r="E49" s="1">
        <v>9328</v>
      </c>
      <c r="F49" s="121" t="s">
        <v>64</v>
      </c>
      <c r="G49" s="122">
        <v>0</v>
      </c>
      <c r="H49" s="122">
        <v>0</v>
      </c>
      <c r="I49" s="122">
        <v>0</v>
      </c>
      <c r="J49" s="123">
        <v>0</v>
      </c>
      <c r="K49" s="122">
        <v>0</v>
      </c>
      <c r="L49" s="124">
        <v>0</v>
      </c>
      <c r="M49" s="125">
        <v>0</v>
      </c>
      <c r="N49" s="126">
        <v>0</v>
      </c>
      <c r="O49" s="127">
        <v>0</v>
      </c>
      <c r="P49" s="1">
        <v>19480</v>
      </c>
      <c r="Q49" s="95">
        <v>19464.259999999998</v>
      </c>
      <c r="R49" s="14">
        <v>0</v>
      </c>
      <c r="S49" s="1">
        <v>0</v>
      </c>
      <c r="T49" s="15">
        <v>0</v>
      </c>
      <c r="U49" s="128">
        <v>-6.9900000000000004E-2</v>
      </c>
      <c r="V49" s="128">
        <v>0.4929</v>
      </c>
      <c r="W49" s="128">
        <v>0.38879999999999998</v>
      </c>
      <c r="X49" s="1">
        <v>0</v>
      </c>
      <c r="Y49" s="15">
        <v>0</v>
      </c>
      <c r="Z49" s="13">
        <v>0</v>
      </c>
      <c r="AA49" s="129">
        <v>0</v>
      </c>
      <c r="AB49" s="129">
        <v>0</v>
      </c>
      <c r="AC49" s="130">
        <v>0</v>
      </c>
      <c r="AD49" s="131">
        <v>0</v>
      </c>
      <c r="AF49" s="133"/>
      <c r="AG49" s="1" t="s">
        <v>132</v>
      </c>
      <c r="AH49" s="1">
        <v>0</v>
      </c>
      <c r="AJ49" s="95">
        <v>9</v>
      </c>
      <c r="AK49" s="95">
        <v>-30</v>
      </c>
    </row>
    <row r="50" spans="1:37" x14ac:dyDescent="0.25">
      <c r="A50" s="4"/>
      <c r="B50" s="119" t="s">
        <v>134</v>
      </c>
      <c r="C50" s="120" t="s">
        <v>135</v>
      </c>
      <c r="D50" s="14">
        <v>30000</v>
      </c>
      <c r="E50" s="1">
        <v>32258</v>
      </c>
      <c r="F50" s="121" t="s">
        <v>64</v>
      </c>
      <c r="G50" s="122">
        <v>185</v>
      </c>
      <c r="H50" s="122">
        <v>1468005</v>
      </c>
      <c r="I50" s="122">
        <v>7935.1621621621625</v>
      </c>
      <c r="J50" s="123">
        <v>185</v>
      </c>
      <c r="K50" s="122">
        <v>1468900</v>
      </c>
      <c r="L50" s="124">
        <v>7940</v>
      </c>
      <c r="M50" s="125">
        <v>0</v>
      </c>
      <c r="N50" s="126">
        <v>0</v>
      </c>
      <c r="O50" s="127">
        <v>0</v>
      </c>
      <c r="P50" s="1">
        <v>7935</v>
      </c>
      <c r="Q50" s="95">
        <v>7944.95</v>
      </c>
      <c r="R50" s="14">
        <v>30.000000000068212</v>
      </c>
      <c r="S50" s="1">
        <v>-925</v>
      </c>
      <c r="T50" s="15">
        <v>-894.99999999993179</v>
      </c>
      <c r="U50" s="128">
        <v>-0.127</v>
      </c>
      <c r="V50" s="128">
        <v>0.4531</v>
      </c>
      <c r="W50" s="128">
        <v>0.40360000000000001</v>
      </c>
      <c r="X50" s="1">
        <v>0</v>
      </c>
      <c r="Y50" s="15">
        <v>0</v>
      </c>
      <c r="Z50" s="13">
        <v>0</v>
      </c>
      <c r="AA50" s="129">
        <v>0</v>
      </c>
      <c r="AB50" s="129">
        <v>0</v>
      </c>
      <c r="AC50" s="130">
        <v>0</v>
      </c>
      <c r="AD50" s="131">
        <v>0</v>
      </c>
      <c r="AF50" s="133"/>
      <c r="AG50" s="1" t="s">
        <v>134</v>
      </c>
      <c r="AH50" s="1">
        <v>0</v>
      </c>
      <c r="AJ50" s="95">
        <v>11</v>
      </c>
      <c r="AK50" s="95">
        <v>-39</v>
      </c>
    </row>
    <row r="51" spans="1:37" x14ac:dyDescent="0.25">
      <c r="A51" s="4"/>
      <c r="B51" s="119" t="s">
        <v>136</v>
      </c>
      <c r="C51" s="120" t="s">
        <v>137</v>
      </c>
      <c r="D51" s="14">
        <v>50000</v>
      </c>
      <c r="E51" s="1">
        <v>450</v>
      </c>
      <c r="F51" s="121" t="s">
        <v>64</v>
      </c>
      <c r="G51" s="122">
        <v>0</v>
      </c>
      <c r="H51" s="122">
        <v>0</v>
      </c>
      <c r="I51" s="122">
        <v>0</v>
      </c>
      <c r="J51" s="123">
        <v>0</v>
      </c>
      <c r="K51" s="122">
        <v>0</v>
      </c>
      <c r="L51" s="124">
        <v>0</v>
      </c>
      <c r="M51" s="125">
        <v>0</v>
      </c>
      <c r="N51" s="126">
        <v>0</v>
      </c>
      <c r="O51" s="127">
        <v>0</v>
      </c>
      <c r="P51" s="1">
        <v>19585</v>
      </c>
      <c r="Q51" s="95">
        <v>19540.259999999998</v>
      </c>
      <c r="R51" s="14">
        <v>0</v>
      </c>
      <c r="S51" s="1">
        <v>0</v>
      </c>
      <c r="T51" s="15">
        <v>0</v>
      </c>
      <c r="U51" s="128">
        <v>0.29110000000000003</v>
      </c>
      <c r="V51" s="128">
        <v>0.39179999999999998</v>
      </c>
      <c r="W51" s="128">
        <v>0.80649999999999999</v>
      </c>
      <c r="X51" s="1">
        <v>0</v>
      </c>
      <c r="Y51" s="15">
        <v>0</v>
      </c>
      <c r="Z51" s="13">
        <v>0</v>
      </c>
      <c r="AA51" s="129">
        <v>0</v>
      </c>
      <c r="AB51" s="129">
        <v>0</v>
      </c>
      <c r="AC51" s="130">
        <v>0</v>
      </c>
      <c r="AD51" s="131">
        <v>0</v>
      </c>
      <c r="AF51" s="133"/>
      <c r="AG51" s="1" t="s">
        <v>136</v>
      </c>
      <c r="AH51" s="1">
        <v>0</v>
      </c>
      <c r="AJ51" s="95">
        <v>17</v>
      </c>
      <c r="AK51" s="95">
        <v>-39</v>
      </c>
    </row>
    <row r="52" spans="1:37" x14ac:dyDescent="0.25">
      <c r="B52" s="132" t="s">
        <v>138</v>
      </c>
      <c r="C52" s="120" t="s">
        <v>139</v>
      </c>
      <c r="D52" s="14">
        <v>50000</v>
      </c>
      <c r="E52" s="1">
        <v>1841657</v>
      </c>
      <c r="F52" s="121" t="s">
        <v>64</v>
      </c>
      <c r="G52" s="122">
        <v>12285</v>
      </c>
      <c r="H52" s="122">
        <v>106481965</v>
      </c>
      <c r="I52" s="122">
        <v>8667.6406186406184</v>
      </c>
      <c r="J52" s="123">
        <v>12285</v>
      </c>
      <c r="K52" s="122">
        <v>106624234</v>
      </c>
      <c r="L52" s="124">
        <v>8679.2213268213272</v>
      </c>
      <c r="M52" s="125">
        <v>0</v>
      </c>
      <c r="N52" s="126">
        <v>0</v>
      </c>
      <c r="O52" s="127">
        <v>0</v>
      </c>
      <c r="P52" s="1">
        <v>8600</v>
      </c>
      <c r="Q52" s="95">
        <v>8618.31</v>
      </c>
      <c r="R52" s="14">
        <v>830964.99999999721</v>
      </c>
      <c r="S52" s="1">
        <v>-973234.00000000512</v>
      </c>
      <c r="T52" s="15">
        <v>-142269.00000000792</v>
      </c>
      <c r="U52" s="128">
        <v>0.4052</v>
      </c>
      <c r="V52" s="128">
        <v>0.59460000000000002</v>
      </c>
      <c r="W52" s="128">
        <v>0.5292</v>
      </c>
      <c r="X52" s="1">
        <v>0</v>
      </c>
      <c r="Y52" s="15">
        <v>0</v>
      </c>
      <c r="Z52" s="13">
        <v>0</v>
      </c>
      <c r="AA52" s="129">
        <v>0</v>
      </c>
      <c r="AB52" s="129">
        <v>0</v>
      </c>
      <c r="AC52" s="130">
        <v>0</v>
      </c>
      <c r="AD52" s="131">
        <v>0</v>
      </c>
      <c r="AG52" s="1" t="s">
        <v>140</v>
      </c>
      <c r="AH52" s="1">
        <v>0</v>
      </c>
      <c r="AJ52" s="95">
        <v>8</v>
      </c>
      <c r="AK52" s="95">
        <v>-27</v>
      </c>
    </row>
  </sheetData>
  <mergeCells count="22">
    <mergeCell ref="Q7:Q8"/>
    <mergeCell ref="R7:R8"/>
    <mergeCell ref="S7:S8"/>
    <mergeCell ref="T7:T8"/>
    <mergeCell ref="U7:U8"/>
    <mergeCell ref="T12:V12"/>
    <mergeCell ref="K7:K8"/>
    <mergeCell ref="L7:L8"/>
    <mergeCell ref="M7:M8"/>
    <mergeCell ref="N7:N8"/>
    <mergeCell ref="O7:O8"/>
    <mergeCell ref="P7:P8"/>
    <mergeCell ref="U4:U5"/>
    <mergeCell ref="B7:B8"/>
    <mergeCell ref="C7:C8"/>
    <mergeCell ref="D7:D8"/>
    <mergeCell ref="E7:E8"/>
    <mergeCell ref="F7:F8"/>
    <mergeCell ref="G7:G8"/>
    <mergeCell ref="H7:H8"/>
    <mergeCell ref="I7:I8"/>
    <mergeCell ref="J7:J8"/>
  </mergeCells>
  <phoneticPr fontId="1" type="noConversion"/>
  <conditionalFormatting sqref="E15:E52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P15:P52">
    <cfRule type="cellIs" dxfId="6" priority="5" operator="greaterThan">
      <formula>29999</formula>
    </cfRule>
  </conditionalFormatting>
  <conditionalFormatting sqref="T4:T5">
    <cfRule type="cellIs" dxfId="5" priority="2" operator="lessThan">
      <formula>-0.99</formula>
    </cfRule>
    <cfRule type="cellIs" dxfId="4" priority="3" operator="greaterThan">
      <formula>0.99</formula>
    </cfRule>
  </conditionalFormatting>
  <conditionalFormatting sqref="T15:T52">
    <cfRule type="cellIs" dxfId="3" priority="6" operator="lessThan">
      <formula>0</formula>
    </cfRule>
    <cfRule type="cellIs" dxfId="2" priority="7" operator="greaterThan">
      <formula>0</formula>
    </cfRule>
  </conditionalFormatting>
  <conditionalFormatting sqref="W15:W52">
    <cfRule type="cellIs" dxfId="1" priority="1" operator="greaterThan">
      <formula>0.6</formula>
    </cfRule>
    <cfRule type="cellIs" dxfId="0" priority="4" operator="lessThan">
      <formula>0.6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E8CF2-FBE5-4FDB-918F-FA5EF6A8F4AA}">
  <dimension ref="A1:AA2070"/>
  <sheetViews>
    <sheetView workbookViewId="0">
      <selection sqref="A1:AB2071"/>
    </sheetView>
  </sheetViews>
  <sheetFormatPr defaultRowHeight="16.5" x14ac:dyDescent="0.3"/>
  <cols>
    <col min="4" max="4" width="9" style="7"/>
  </cols>
  <sheetData>
    <row r="1" spans="1:27" x14ac:dyDescent="0.3">
      <c r="A1" t="s">
        <v>142</v>
      </c>
      <c r="B1" t="s">
        <v>143</v>
      </c>
      <c r="C1" t="s">
        <v>144</v>
      </c>
      <c r="D1" s="7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  <c r="S1" t="s">
        <v>160</v>
      </c>
      <c r="T1" t="s">
        <v>161</v>
      </c>
      <c r="U1" t="s">
        <v>162</v>
      </c>
      <c r="V1" t="s">
        <v>163</v>
      </c>
      <c r="W1" t="s">
        <v>164</v>
      </c>
      <c r="X1" t="s">
        <v>165</v>
      </c>
      <c r="Y1" t="s">
        <v>166</v>
      </c>
      <c r="Z1" t="s">
        <v>167</v>
      </c>
      <c r="AA1" t="s">
        <v>168</v>
      </c>
    </row>
    <row r="2" spans="1:27" x14ac:dyDescent="0.3">
      <c r="A2">
        <v>1</v>
      </c>
      <c r="B2" t="s">
        <v>169</v>
      </c>
      <c r="C2">
        <v>99019875</v>
      </c>
      <c r="D2" s="7" t="s">
        <v>65</v>
      </c>
      <c r="E2" t="s">
        <v>66</v>
      </c>
      <c r="F2" t="s">
        <v>170</v>
      </c>
      <c r="G2" t="s">
        <v>171</v>
      </c>
      <c r="H2" s="133">
        <v>1000</v>
      </c>
      <c r="I2">
        <v>0</v>
      </c>
      <c r="J2" s="133">
        <v>1000</v>
      </c>
      <c r="K2" s="133">
        <v>4715</v>
      </c>
      <c r="L2" s="133">
        <v>4715</v>
      </c>
      <c r="M2" s="150">
        <v>0.37541666666666668</v>
      </c>
      <c r="N2" s="150">
        <v>0.37542824074074077</v>
      </c>
      <c r="O2" t="s">
        <v>172</v>
      </c>
      <c r="Q2">
        <v>4088</v>
      </c>
      <c r="R2">
        <v>4088</v>
      </c>
      <c r="S2">
        <v>0</v>
      </c>
      <c r="T2">
        <v>0</v>
      </c>
      <c r="U2" t="s">
        <v>173</v>
      </c>
      <c r="V2">
        <v>0</v>
      </c>
      <c r="W2" t="s">
        <v>174</v>
      </c>
      <c r="X2">
        <v>0</v>
      </c>
      <c r="Z2" t="s">
        <v>175</v>
      </c>
      <c r="AA2" t="s">
        <v>173</v>
      </c>
    </row>
    <row r="3" spans="1:27" x14ac:dyDescent="0.3">
      <c r="A3">
        <v>2</v>
      </c>
      <c r="B3" t="s">
        <v>169</v>
      </c>
      <c r="C3">
        <v>99019875</v>
      </c>
      <c r="D3" s="7" t="s">
        <v>69</v>
      </c>
      <c r="E3" t="s">
        <v>70</v>
      </c>
      <c r="F3" t="s">
        <v>176</v>
      </c>
      <c r="G3" t="s">
        <v>171</v>
      </c>
      <c r="H3" s="133">
        <v>1000</v>
      </c>
      <c r="I3">
        <v>0</v>
      </c>
      <c r="J3">
        <v>404</v>
      </c>
      <c r="K3" s="133">
        <v>10515</v>
      </c>
      <c r="L3" s="133">
        <v>10515</v>
      </c>
      <c r="M3" s="150">
        <v>0.37541666666666668</v>
      </c>
      <c r="N3" s="150">
        <v>0.37542824074074077</v>
      </c>
      <c r="O3" t="s">
        <v>172</v>
      </c>
      <c r="Q3">
        <v>4103</v>
      </c>
      <c r="R3">
        <v>4103</v>
      </c>
      <c r="S3">
        <v>0</v>
      </c>
      <c r="T3">
        <v>596</v>
      </c>
      <c r="U3" t="s">
        <v>173</v>
      </c>
      <c r="V3">
        <v>0</v>
      </c>
      <c r="W3" t="s">
        <v>174</v>
      </c>
      <c r="X3">
        <v>0</v>
      </c>
      <c r="Z3" t="s">
        <v>175</v>
      </c>
      <c r="AA3" t="s">
        <v>173</v>
      </c>
    </row>
    <row r="4" spans="1:27" x14ac:dyDescent="0.3">
      <c r="A4">
        <v>3</v>
      </c>
      <c r="B4" t="s">
        <v>169</v>
      </c>
      <c r="C4">
        <v>99019875</v>
      </c>
      <c r="D4" s="7" t="s">
        <v>100</v>
      </c>
      <c r="E4" t="s">
        <v>101</v>
      </c>
      <c r="F4" t="s">
        <v>176</v>
      </c>
      <c r="G4" t="s">
        <v>171</v>
      </c>
      <c r="H4" s="133">
        <v>1000</v>
      </c>
      <c r="I4">
        <v>0</v>
      </c>
      <c r="J4">
        <v>1</v>
      </c>
      <c r="K4" s="133">
        <v>15525</v>
      </c>
      <c r="L4" s="133">
        <v>15525</v>
      </c>
      <c r="M4" s="150">
        <v>0.37541666666666668</v>
      </c>
      <c r="N4" s="150">
        <v>0.37542824074074077</v>
      </c>
      <c r="O4" t="s">
        <v>172</v>
      </c>
      <c r="Q4">
        <v>4109</v>
      </c>
      <c r="R4">
        <v>4109</v>
      </c>
      <c r="S4">
        <v>0</v>
      </c>
      <c r="T4">
        <v>999</v>
      </c>
      <c r="U4" t="s">
        <v>173</v>
      </c>
      <c r="V4">
        <v>0</v>
      </c>
      <c r="W4" t="s">
        <v>174</v>
      </c>
      <c r="X4">
        <v>0</v>
      </c>
      <c r="Z4" t="s">
        <v>175</v>
      </c>
      <c r="AA4" t="s">
        <v>173</v>
      </c>
    </row>
    <row r="5" spans="1:27" x14ac:dyDescent="0.3">
      <c r="A5">
        <v>4</v>
      </c>
      <c r="B5" t="s">
        <v>169</v>
      </c>
      <c r="C5">
        <v>99019875</v>
      </c>
      <c r="D5" s="7" t="s">
        <v>69</v>
      </c>
      <c r="E5" t="s">
        <v>70</v>
      </c>
      <c r="F5" t="s">
        <v>176</v>
      </c>
      <c r="G5" t="s">
        <v>177</v>
      </c>
      <c r="H5" s="133">
        <v>1000</v>
      </c>
      <c r="I5">
        <v>0</v>
      </c>
      <c r="J5">
        <v>1</v>
      </c>
      <c r="K5" s="133">
        <v>10500</v>
      </c>
      <c r="L5" s="133">
        <v>10500</v>
      </c>
      <c r="M5" s="150">
        <v>0.37542824074074077</v>
      </c>
      <c r="N5" s="150">
        <v>0.37543981481481481</v>
      </c>
      <c r="O5" t="s">
        <v>172</v>
      </c>
      <c r="Q5">
        <v>4194</v>
      </c>
      <c r="R5">
        <v>4194</v>
      </c>
      <c r="S5">
        <v>4103</v>
      </c>
      <c r="T5">
        <v>595</v>
      </c>
      <c r="U5" t="s">
        <v>173</v>
      </c>
      <c r="V5">
        <v>404</v>
      </c>
      <c r="W5" t="s">
        <v>174</v>
      </c>
      <c r="X5">
        <v>4103</v>
      </c>
      <c r="Z5" t="s">
        <v>175</v>
      </c>
      <c r="AA5" t="s">
        <v>173</v>
      </c>
    </row>
    <row r="6" spans="1:27" x14ac:dyDescent="0.3">
      <c r="A6">
        <v>5</v>
      </c>
      <c r="B6" t="s">
        <v>169</v>
      </c>
      <c r="C6">
        <v>99019875</v>
      </c>
      <c r="D6" s="7" t="s">
        <v>140</v>
      </c>
      <c r="E6" t="s">
        <v>178</v>
      </c>
      <c r="F6" t="s">
        <v>170</v>
      </c>
      <c r="G6" t="s">
        <v>177</v>
      </c>
      <c r="H6" s="133">
        <v>1000</v>
      </c>
      <c r="I6">
        <v>0</v>
      </c>
      <c r="J6" s="133">
        <v>1000</v>
      </c>
      <c r="K6" s="133">
        <v>8630</v>
      </c>
      <c r="L6" s="133">
        <v>8630</v>
      </c>
      <c r="M6" s="150">
        <v>0.37542824074074077</v>
      </c>
      <c r="N6" s="150">
        <v>0.37542824074074077</v>
      </c>
      <c r="O6" t="s">
        <v>172</v>
      </c>
      <c r="Q6">
        <v>4318</v>
      </c>
      <c r="R6">
        <v>4318</v>
      </c>
      <c r="S6">
        <v>4271</v>
      </c>
      <c r="T6">
        <v>0</v>
      </c>
      <c r="U6" t="s">
        <v>173</v>
      </c>
      <c r="V6">
        <v>0</v>
      </c>
      <c r="W6" t="s">
        <v>174</v>
      </c>
      <c r="X6">
        <v>4271</v>
      </c>
      <c r="Z6" t="s">
        <v>175</v>
      </c>
      <c r="AA6" t="s">
        <v>173</v>
      </c>
    </row>
    <row r="7" spans="1:27" x14ac:dyDescent="0.3">
      <c r="A7">
        <v>6</v>
      </c>
      <c r="B7" t="s">
        <v>169</v>
      </c>
      <c r="C7">
        <v>99019875</v>
      </c>
      <c r="D7" s="7" t="s">
        <v>77</v>
      </c>
      <c r="E7" t="s">
        <v>78</v>
      </c>
      <c r="F7" t="s">
        <v>176</v>
      </c>
      <c r="G7" t="s">
        <v>177</v>
      </c>
      <c r="H7" s="133">
        <v>1000</v>
      </c>
      <c r="I7">
        <v>0</v>
      </c>
      <c r="J7">
        <v>980</v>
      </c>
      <c r="K7" s="133">
        <v>7265</v>
      </c>
      <c r="L7" s="133">
        <v>7265</v>
      </c>
      <c r="M7" s="150">
        <v>0.37543981481481481</v>
      </c>
      <c r="N7" s="150">
        <v>0.37543981481481481</v>
      </c>
      <c r="O7" t="s">
        <v>172</v>
      </c>
      <c r="Q7">
        <v>4470</v>
      </c>
      <c r="R7">
        <v>4470</v>
      </c>
      <c r="S7">
        <v>4211</v>
      </c>
      <c r="T7">
        <v>20</v>
      </c>
      <c r="U7" t="s">
        <v>173</v>
      </c>
      <c r="V7">
        <v>0</v>
      </c>
      <c r="W7" t="s">
        <v>174</v>
      </c>
      <c r="X7">
        <v>4211</v>
      </c>
      <c r="Z7" t="s">
        <v>175</v>
      </c>
      <c r="AA7" t="s">
        <v>173</v>
      </c>
    </row>
    <row r="8" spans="1:27" x14ac:dyDescent="0.3">
      <c r="A8">
        <v>7</v>
      </c>
      <c r="B8" t="s">
        <v>169</v>
      </c>
      <c r="C8">
        <v>99019875</v>
      </c>
      <c r="D8" s="7" t="s">
        <v>94</v>
      </c>
      <c r="E8" t="s">
        <v>95</v>
      </c>
      <c r="F8" t="s">
        <v>176</v>
      </c>
      <c r="G8" t="s">
        <v>177</v>
      </c>
      <c r="H8" s="133">
        <v>1000</v>
      </c>
      <c r="I8">
        <v>0</v>
      </c>
      <c r="J8">
        <v>14</v>
      </c>
      <c r="K8" s="133">
        <v>22000</v>
      </c>
      <c r="L8" s="133">
        <v>22000</v>
      </c>
      <c r="M8" s="150">
        <v>0.3754513888888889</v>
      </c>
      <c r="N8" s="150">
        <v>0.3754513888888889</v>
      </c>
      <c r="O8" t="s">
        <v>172</v>
      </c>
      <c r="Q8">
        <v>4762</v>
      </c>
      <c r="R8">
        <v>4762</v>
      </c>
      <c r="S8">
        <v>4748</v>
      </c>
      <c r="T8">
        <v>986</v>
      </c>
      <c r="U8" t="s">
        <v>173</v>
      </c>
      <c r="V8">
        <v>0</v>
      </c>
      <c r="W8" t="s">
        <v>174</v>
      </c>
      <c r="X8">
        <v>4748</v>
      </c>
      <c r="Z8" t="s">
        <v>175</v>
      </c>
      <c r="AA8" t="s">
        <v>173</v>
      </c>
    </row>
    <row r="9" spans="1:27" x14ac:dyDescent="0.3">
      <c r="A9">
        <v>8</v>
      </c>
      <c r="B9" t="s">
        <v>169</v>
      </c>
      <c r="C9">
        <v>99019875</v>
      </c>
      <c r="D9" s="7" t="s">
        <v>89</v>
      </c>
      <c r="E9" t="s">
        <v>90</v>
      </c>
      <c r="F9" t="s">
        <v>170</v>
      </c>
      <c r="G9" t="s">
        <v>177</v>
      </c>
      <c r="H9" s="133">
        <v>1000</v>
      </c>
      <c r="I9">
        <v>0</v>
      </c>
      <c r="J9">
        <v>30</v>
      </c>
      <c r="K9" s="133">
        <v>3080</v>
      </c>
      <c r="L9" s="133">
        <v>3080</v>
      </c>
      <c r="M9" s="150">
        <v>0.3754513888888889</v>
      </c>
      <c r="N9" s="150">
        <v>0.3755324074074074</v>
      </c>
      <c r="O9" t="s">
        <v>172</v>
      </c>
      <c r="Q9">
        <v>5067</v>
      </c>
      <c r="R9">
        <v>5067</v>
      </c>
      <c r="S9">
        <v>4823</v>
      </c>
      <c r="T9">
        <v>970</v>
      </c>
      <c r="U9" t="s">
        <v>173</v>
      </c>
      <c r="V9">
        <v>0</v>
      </c>
      <c r="W9" t="s">
        <v>174</v>
      </c>
      <c r="X9">
        <v>4823</v>
      </c>
      <c r="Z9" t="s">
        <v>175</v>
      </c>
      <c r="AA9" t="s">
        <v>173</v>
      </c>
    </row>
    <row r="10" spans="1:27" x14ac:dyDescent="0.3">
      <c r="A10">
        <v>9</v>
      </c>
      <c r="B10" t="s">
        <v>169</v>
      </c>
      <c r="C10">
        <v>99019875</v>
      </c>
      <c r="D10" s="7" t="s">
        <v>114</v>
      </c>
      <c r="E10" t="s">
        <v>115</v>
      </c>
      <c r="F10" t="s">
        <v>176</v>
      </c>
      <c r="G10" t="s">
        <v>177</v>
      </c>
      <c r="H10" s="133">
        <v>1000</v>
      </c>
      <c r="I10">
        <v>0</v>
      </c>
      <c r="J10" s="133">
        <v>1000</v>
      </c>
      <c r="K10" s="133">
        <v>53880</v>
      </c>
      <c r="L10" s="133">
        <v>53880</v>
      </c>
      <c r="M10" s="150">
        <v>0.37546296296296294</v>
      </c>
      <c r="N10" s="150">
        <v>0.37547453703703698</v>
      </c>
      <c r="O10" t="s">
        <v>172</v>
      </c>
      <c r="Q10">
        <v>5319</v>
      </c>
      <c r="R10">
        <v>5319</v>
      </c>
      <c r="S10">
        <v>5291</v>
      </c>
      <c r="T10">
        <v>0</v>
      </c>
      <c r="U10" t="s">
        <v>173</v>
      </c>
      <c r="V10">
        <v>0</v>
      </c>
      <c r="W10" t="s">
        <v>174</v>
      </c>
      <c r="X10">
        <v>5291</v>
      </c>
      <c r="Z10" t="s">
        <v>175</v>
      </c>
      <c r="AA10" t="s">
        <v>173</v>
      </c>
    </row>
    <row r="11" spans="1:27" x14ac:dyDescent="0.3">
      <c r="A11">
        <v>10</v>
      </c>
      <c r="B11" t="s">
        <v>169</v>
      </c>
      <c r="C11">
        <v>99019875</v>
      </c>
      <c r="D11" s="7" t="s">
        <v>120</v>
      </c>
      <c r="E11" t="s">
        <v>121</v>
      </c>
      <c r="F11" t="s">
        <v>176</v>
      </c>
      <c r="G11" t="s">
        <v>177</v>
      </c>
      <c r="H11" s="133">
        <v>1000</v>
      </c>
      <c r="I11">
        <v>0</v>
      </c>
      <c r="J11">
        <v>1</v>
      </c>
      <c r="K11" s="133">
        <v>22180</v>
      </c>
      <c r="L11" s="133">
        <v>22180</v>
      </c>
      <c r="M11" s="150">
        <v>0.37546296296296294</v>
      </c>
      <c r="N11" s="150">
        <v>0.37546296296296294</v>
      </c>
      <c r="O11" t="s">
        <v>172</v>
      </c>
      <c r="Q11">
        <v>5357</v>
      </c>
      <c r="R11">
        <v>5357</v>
      </c>
      <c r="S11">
        <v>5355</v>
      </c>
      <c r="T11">
        <v>999</v>
      </c>
      <c r="U11" t="s">
        <v>173</v>
      </c>
      <c r="V11">
        <v>0</v>
      </c>
      <c r="W11" t="s">
        <v>174</v>
      </c>
      <c r="X11">
        <v>5355</v>
      </c>
      <c r="Z11" t="s">
        <v>175</v>
      </c>
      <c r="AA11" t="s">
        <v>173</v>
      </c>
    </row>
    <row r="12" spans="1:27" x14ac:dyDescent="0.3">
      <c r="A12">
        <v>11</v>
      </c>
      <c r="B12" t="s">
        <v>169</v>
      </c>
      <c r="C12">
        <v>99019875</v>
      </c>
      <c r="D12" s="7" t="s">
        <v>126</v>
      </c>
      <c r="E12" t="s">
        <v>127</v>
      </c>
      <c r="F12" t="s">
        <v>176</v>
      </c>
      <c r="G12" t="s">
        <v>177</v>
      </c>
      <c r="H12" s="133">
        <v>1000</v>
      </c>
      <c r="I12">
        <v>0</v>
      </c>
      <c r="J12">
        <v>1</v>
      </c>
      <c r="K12" s="133">
        <v>12430</v>
      </c>
      <c r="L12" s="133">
        <v>12430</v>
      </c>
      <c r="M12" s="150">
        <v>0.37546296296296294</v>
      </c>
      <c r="N12" s="150">
        <v>0.37546296296296294</v>
      </c>
      <c r="O12" t="s">
        <v>172</v>
      </c>
      <c r="Q12">
        <v>5413</v>
      </c>
      <c r="R12">
        <v>5413</v>
      </c>
      <c r="S12">
        <v>5350</v>
      </c>
      <c r="T12">
        <v>999</v>
      </c>
      <c r="U12" t="s">
        <v>173</v>
      </c>
      <c r="V12">
        <v>0</v>
      </c>
      <c r="W12" t="s">
        <v>174</v>
      </c>
      <c r="X12">
        <v>5350</v>
      </c>
      <c r="Z12" t="s">
        <v>175</v>
      </c>
      <c r="AA12" t="s">
        <v>173</v>
      </c>
    </row>
    <row r="13" spans="1:27" x14ac:dyDescent="0.3">
      <c r="A13">
        <v>12</v>
      </c>
      <c r="B13" t="s">
        <v>169</v>
      </c>
      <c r="C13">
        <v>99019875</v>
      </c>
      <c r="D13" s="7" t="s">
        <v>62</v>
      </c>
      <c r="E13" t="s">
        <v>63</v>
      </c>
      <c r="F13" t="s">
        <v>170</v>
      </c>
      <c r="G13" t="s">
        <v>177</v>
      </c>
      <c r="H13" s="133">
        <v>1000</v>
      </c>
      <c r="I13">
        <v>0</v>
      </c>
      <c r="J13" s="133">
        <v>1000</v>
      </c>
      <c r="K13" s="133">
        <v>33990</v>
      </c>
      <c r="L13" s="133">
        <v>33990</v>
      </c>
      <c r="M13" s="150">
        <v>0.37550925925925926</v>
      </c>
      <c r="N13" s="150">
        <v>0.3755208333333333</v>
      </c>
      <c r="O13" t="s">
        <v>172</v>
      </c>
      <c r="Q13">
        <v>7051</v>
      </c>
      <c r="R13">
        <v>7051</v>
      </c>
      <c r="S13">
        <v>7044</v>
      </c>
      <c r="T13">
        <v>0</v>
      </c>
      <c r="U13" t="s">
        <v>173</v>
      </c>
      <c r="V13">
        <v>0</v>
      </c>
      <c r="W13" t="s">
        <v>174</v>
      </c>
      <c r="X13">
        <v>7044</v>
      </c>
      <c r="Z13" t="s">
        <v>175</v>
      </c>
      <c r="AA13" t="s">
        <v>173</v>
      </c>
    </row>
    <row r="14" spans="1:27" x14ac:dyDescent="0.3">
      <c r="A14">
        <v>13</v>
      </c>
      <c r="B14" t="s">
        <v>169</v>
      </c>
      <c r="C14">
        <v>99019875</v>
      </c>
      <c r="D14" s="7" t="s">
        <v>87</v>
      </c>
      <c r="E14" t="s">
        <v>88</v>
      </c>
      <c r="F14" t="s">
        <v>176</v>
      </c>
      <c r="G14" t="s">
        <v>177</v>
      </c>
      <c r="H14" s="133">
        <v>1000</v>
      </c>
      <c r="I14">
        <v>0</v>
      </c>
      <c r="J14">
        <v>1</v>
      </c>
      <c r="K14" s="133">
        <v>12250</v>
      </c>
      <c r="L14" s="133">
        <v>12250</v>
      </c>
      <c r="M14" s="150">
        <v>0.3755324074074074</v>
      </c>
      <c r="N14" s="150">
        <v>0.3755324074074074</v>
      </c>
      <c r="O14" t="s">
        <v>172</v>
      </c>
      <c r="Q14">
        <v>7510</v>
      </c>
      <c r="R14">
        <v>7510</v>
      </c>
      <c r="S14">
        <v>7493</v>
      </c>
      <c r="T14">
        <v>999</v>
      </c>
      <c r="U14" t="s">
        <v>173</v>
      </c>
      <c r="V14">
        <v>0</v>
      </c>
      <c r="W14" t="s">
        <v>174</v>
      </c>
      <c r="X14">
        <v>7493</v>
      </c>
      <c r="Z14" t="s">
        <v>175</v>
      </c>
      <c r="AA14" t="s">
        <v>173</v>
      </c>
    </row>
    <row r="15" spans="1:27" x14ac:dyDescent="0.3">
      <c r="A15">
        <v>14</v>
      </c>
      <c r="B15" t="s">
        <v>169</v>
      </c>
      <c r="C15">
        <v>99019875</v>
      </c>
      <c r="D15" s="7" t="s">
        <v>75</v>
      </c>
      <c r="E15" t="s">
        <v>76</v>
      </c>
      <c r="F15" t="s">
        <v>170</v>
      </c>
      <c r="G15" t="s">
        <v>177</v>
      </c>
      <c r="H15" s="133">
        <v>1000</v>
      </c>
      <c r="I15">
        <v>0</v>
      </c>
      <c r="J15">
        <v>172</v>
      </c>
      <c r="K15" s="133">
        <v>21195</v>
      </c>
      <c r="L15" s="133">
        <v>21195</v>
      </c>
      <c r="M15" s="150">
        <v>0.37556712962962963</v>
      </c>
      <c r="N15" s="150">
        <v>0.37557870370370372</v>
      </c>
      <c r="O15" t="s">
        <v>172</v>
      </c>
      <c r="Q15">
        <v>8421</v>
      </c>
      <c r="R15">
        <v>8421</v>
      </c>
      <c r="S15">
        <v>8413</v>
      </c>
      <c r="T15">
        <v>828</v>
      </c>
      <c r="U15" t="s">
        <v>173</v>
      </c>
      <c r="V15">
        <v>0</v>
      </c>
      <c r="W15" t="s">
        <v>174</v>
      </c>
      <c r="X15">
        <v>8413</v>
      </c>
      <c r="Z15" t="s">
        <v>175</v>
      </c>
      <c r="AA15" t="s">
        <v>173</v>
      </c>
    </row>
    <row r="16" spans="1:27" x14ac:dyDescent="0.3">
      <c r="A16">
        <v>15</v>
      </c>
      <c r="B16" t="s">
        <v>169</v>
      </c>
      <c r="C16">
        <v>99019875</v>
      </c>
      <c r="D16" s="7" t="s">
        <v>67</v>
      </c>
      <c r="E16" t="s">
        <v>68</v>
      </c>
      <c r="F16" t="s">
        <v>176</v>
      </c>
      <c r="G16" t="s">
        <v>177</v>
      </c>
      <c r="H16" s="133">
        <v>1000</v>
      </c>
      <c r="I16">
        <v>0</v>
      </c>
      <c r="J16">
        <v>16</v>
      </c>
      <c r="K16" s="133">
        <v>4940</v>
      </c>
      <c r="L16" s="133">
        <v>4940</v>
      </c>
      <c r="M16" s="150">
        <v>0.37562500000000004</v>
      </c>
      <c r="N16" s="150">
        <v>0.37567129629629631</v>
      </c>
      <c r="O16" t="s">
        <v>172</v>
      </c>
      <c r="Q16">
        <v>9711</v>
      </c>
      <c r="R16">
        <v>9711</v>
      </c>
      <c r="S16">
        <v>9667</v>
      </c>
      <c r="T16">
        <v>984</v>
      </c>
      <c r="U16" t="s">
        <v>173</v>
      </c>
      <c r="V16">
        <v>0</v>
      </c>
      <c r="W16" t="s">
        <v>174</v>
      </c>
      <c r="X16">
        <v>9667</v>
      </c>
      <c r="Z16" t="s">
        <v>175</v>
      </c>
      <c r="AA16" t="s">
        <v>173</v>
      </c>
    </row>
    <row r="17" spans="1:27" x14ac:dyDescent="0.3">
      <c r="A17">
        <v>16</v>
      </c>
      <c r="B17" t="s">
        <v>169</v>
      </c>
      <c r="C17">
        <v>99019875</v>
      </c>
      <c r="D17" s="7" t="s">
        <v>81</v>
      </c>
      <c r="E17" t="s">
        <v>82</v>
      </c>
      <c r="F17" t="s">
        <v>170</v>
      </c>
      <c r="G17" t="s">
        <v>177</v>
      </c>
      <c r="H17" s="133">
        <v>1000</v>
      </c>
      <c r="I17">
        <v>0</v>
      </c>
      <c r="J17">
        <v>477</v>
      </c>
      <c r="K17" s="133">
        <v>36685</v>
      </c>
      <c r="L17" s="133">
        <v>36685</v>
      </c>
      <c r="M17" s="150">
        <v>0.37564814814814818</v>
      </c>
      <c r="N17" s="150">
        <v>0.37564814814814818</v>
      </c>
      <c r="O17" t="s">
        <v>172</v>
      </c>
      <c r="Q17">
        <v>10114</v>
      </c>
      <c r="R17">
        <v>10114</v>
      </c>
      <c r="S17">
        <v>10090</v>
      </c>
      <c r="T17">
        <v>523</v>
      </c>
      <c r="U17" t="s">
        <v>173</v>
      </c>
      <c r="V17">
        <v>0</v>
      </c>
      <c r="W17" t="s">
        <v>174</v>
      </c>
      <c r="X17">
        <v>10090</v>
      </c>
      <c r="Z17" t="s">
        <v>175</v>
      </c>
      <c r="AA17" t="s">
        <v>173</v>
      </c>
    </row>
    <row r="18" spans="1:27" x14ac:dyDescent="0.3">
      <c r="A18">
        <v>17</v>
      </c>
      <c r="B18" t="s">
        <v>169</v>
      </c>
      <c r="C18">
        <v>99019875</v>
      </c>
      <c r="D18" s="7" t="s">
        <v>102</v>
      </c>
      <c r="E18" t="s">
        <v>103</v>
      </c>
      <c r="F18" t="s">
        <v>170</v>
      </c>
      <c r="G18" t="s">
        <v>177</v>
      </c>
      <c r="H18" s="133">
        <v>1000</v>
      </c>
      <c r="I18">
        <v>0</v>
      </c>
      <c r="J18">
        <v>220</v>
      </c>
      <c r="K18" s="133">
        <v>26755</v>
      </c>
      <c r="L18" s="133">
        <v>26755</v>
      </c>
      <c r="M18" s="150">
        <v>0.3757523148148148</v>
      </c>
      <c r="N18" s="150">
        <v>0.3757523148148148</v>
      </c>
      <c r="O18" t="s">
        <v>172</v>
      </c>
      <c r="Q18">
        <v>12224</v>
      </c>
      <c r="R18">
        <v>12224</v>
      </c>
      <c r="S18">
        <v>12183</v>
      </c>
      <c r="T18">
        <v>780</v>
      </c>
      <c r="U18" t="s">
        <v>173</v>
      </c>
      <c r="V18">
        <v>0</v>
      </c>
      <c r="W18" t="s">
        <v>174</v>
      </c>
      <c r="X18">
        <v>12183</v>
      </c>
      <c r="Z18" t="s">
        <v>175</v>
      </c>
      <c r="AA18" t="s">
        <v>173</v>
      </c>
    </row>
    <row r="19" spans="1:27" x14ac:dyDescent="0.3">
      <c r="A19">
        <v>18</v>
      </c>
      <c r="B19" t="s">
        <v>169</v>
      </c>
      <c r="C19">
        <v>99019875</v>
      </c>
      <c r="D19" s="7" t="s">
        <v>69</v>
      </c>
      <c r="E19" t="s">
        <v>70</v>
      </c>
      <c r="F19" t="s">
        <v>176</v>
      </c>
      <c r="G19" t="s">
        <v>177</v>
      </c>
      <c r="H19" s="133">
        <v>1000</v>
      </c>
      <c r="I19">
        <v>0</v>
      </c>
      <c r="J19" s="133">
        <v>1000</v>
      </c>
      <c r="K19" s="133">
        <v>10525</v>
      </c>
      <c r="L19" s="133">
        <v>10525</v>
      </c>
      <c r="M19" s="150">
        <v>0.37577546296296299</v>
      </c>
      <c r="N19" s="150">
        <v>0.37577546296296299</v>
      </c>
      <c r="O19" t="s">
        <v>172</v>
      </c>
      <c r="Q19">
        <v>12808</v>
      </c>
      <c r="R19">
        <v>12808</v>
      </c>
      <c r="S19">
        <v>12618</v>
      </c>
      <c r="T19">
        <v>0</v>
      </c>
      <c r="U19" t="s">
        <v>173</v>
      </c>
      <c r="V19">
        <v>0</v>
      </c>
      <c r="W19" t="s">
        <v>174</v>
      </c>
      <c r="X19">
        <v>12618</v>
      </c>
      <c r="Z19" t="s">
        <v>175</v>
      </c>
      <c r="AA19" t="s">
        <v>173</v>
      </c>
    </row>
    <row r="20" spans="1:27" x14ac:dyDescent="0.3">
      <c r="A20">
        <v>19</v>
      </c>
      <c r="B20" t="s">
        <v>169</v>
      </c>
      <c r="C20">
        <v>99019875</v>
      </c>
      <c r="D20" s="7" t="s">
        <v>100</v>
      </c>
      <c r="E20" t="s">
        <v>101</v>
      </c>
      <c r="F20" t="s">
        <v>176</v>
      </c>
      <c r="G20" t="s">
        <v>177</v>
      </c>
      <c r="H20" s="133">
        <v>1000</v>
      </c>
      <c r="I20">
        <v>0</v>
      </c>
      <c r="J20">
        <v>1</v>
      </c>
      <c r="K20" s="133">
        <v>15520</v>
      </c>
      <c r="L20" s="133">
        <v>15520</v>
      </c>
      <c r="M20" s="150">
        <v>0.37579861111111112</v>
      </c>
      <c r="N20" s="150">
        <v>0.37579861111111112</v>
      </c>
      <c r="O20" t="s">
        <v>172</v>
      </c>
      <c r="Q20">
        <v>13372</v>
      </c>
      <c r="R20">
        <v>13372</v>
      </c>
      <c r="S20">
        <v>13325</v>
      </c>
      <c r="T20">
        <v>999</v>
      </c>
      <c r="U20" t="s">
        <v>173</v>
      </c>
      <c r="V20">
        <v>0</v>
      </c>
      <c r="W20" t="s">
        <v>174</v>
      </c>
      <c r="X20">
        <v>13325</v>
      </c>
      <c r="Z20" t="s">
        <v>175</v>
      </c>
      <c r="AA20" t="s">
        <v>173</v>
      </c>
    </row>
    <row r="21" spans="1:27" x14ac:dyDescent="0.3">
      <c r="A21">
        <v>20</v>
      </c>
      <c r="B21" t="s">
        <v>169</v>
      </c>
      <c r="C21">
        <v>99019875</v>
      </c>
      <c r="D21" s="7" t="s">
        <v>108</v>
      </c>
      <c r="E21" t="s">
        <v>109</v>
      </c>
      <c r="F21" t="s">
        <v>176</v>
      </c>
      <c r="G21" t="s">
        <v>177</v>
      </c>
      <c r="H21" s="133">
        <v>1000</v>
      </c>
      <c r="I21">
        <v>0</v>
      </c>
      <c r="J21">
        <v>5</v>
      </c>
      <c r="K21" s="133">
        <v>2685</v>
      </c>
      <c r="L21" s="133">
        <v>2685</v>
      </c>
      <c r="M21" s="150">
        <v>0.37579861111111112</v>
      </c>
      <c r="N21" s="150">
        <v>0.37581018518518516</v>
      </c>
      <c r="O21" t="s">
        <v>172</v>
      </c>
      <c r="Q21">
        <v>13506</v>
      </c>
      <c r="R21">
        <v>13506</v>
      </c>
      <c r="S21">
        <v>9454</v>
      </c>
      <c r="T21">
        <v>995</v>
      </c>
      <c r="U21" t="s">
        <v>173</v>
      </c>
      <c r="V21">
        <v>0</v>
      </c>
      <c r="W21" t="s">
        <v>174</v>
      </c>
      <c r="X21">
        <v>9454</v>
      </c>
      <c r="Z21" t="s">
        <v>175</v>
      </c>
      <c r="AA21" t="s">
        <v>173</v>
      </c>
    </row>
    <row r="22" spans="1:27" x14ac:dyDescent="0.3">
      <c r="A22">
        <v>21</v>
      </c>
      <c r="B22" t="s">
        <v>169</v>
      </c>
      <c r="C22">
        <v>99019875</v>
      </c>
      <c r="D22" s="7" t="s">
        <v>126</v>
      </c>
      <c r="E22" t="s">
        <v>127</v>
      </c>
      <c r="F22" t="s">
        <v>176</v>
      </c>
      <c r="G22" t="s">
        <v>177</v>
      </c>
      <c r="H22" s="133">
        <v>1000</v>
      </c>
      <c r="I22">
        <v>0</v>
      </c>
      <c r="J22">
        <v>3</v>
      </c>
      <c r="K22" s="133">
        <v>12465</v>
      </c>
      <c r="L22" s="133">
        <v>12465</v>
      </c>
      <c r="M22" s="150">
        <v>0.3759143518518519</v>
      </c>
      <c r="N22" s="150">
        <v>0.37592592592592594</v>
      </c>
      <c r="O22" t="s">
        <v>172</v>
      </c>
      <c r="Q22">
        <v>16497</v>
      </c>
      <c r="R22">
        <v>16497</v>
      </c>
      <c r="S22">
        <v>16435</v>
      </c>
      <c r="T22">
        <v>997</v>
      </c>
      <c r="U22" t="s">
        <v>173</v>
      </c>
      <c r="V22">
        <v>0</v>
      </c>
      <c r="W22" t="s">
        <v>174</v>
      </c>
      <c r="X22">
        <v>16435</v>
      </c>
      <c r="Z22" t="s">
        <v>175</v>
      </c>
      <c r="AA22" t="s">
        <v>173</v>
      </c>
    </row>
    <row r="23" spans="1:27" x14ac:dyDescent="0.3">
      <c r="A23">
        <v>22</v>
      </c>
      <c r="B23" t="s">
        <v>169</v>
      </c>
      <c r="C23">
        <v>99019875</v>
      </c>
      <c r="D23" s="7" t="s">
        <v>77</v>
      </c>
      <c r="E23" t="s">
        <v>78</v>
      </c>
      <c r="F23" t="s">
        <v>176</v>
      </c>
      <c r="G23" t="s">
        <v>177</v>
      </c>
      <c r="H23" s="133">
        <v>1000</v>
      </c>
      <c r="I23">
        <v>0</v>
      </c>
      <c r="J23">
        <v>1</v>
      </c>
      <c r="K23" s="133">
        <v>7290</v>
      </c>
      <c r="L23" s="133">
        <v>7290</v>
      </c>
      <c r="M23" s="150">
        <v>0.37597222222222221</v>
      </c>
      <c r="N23" s="150">
        <v>0.37598379629629625</v>
      </c>
      <c r="O23" t="s">
        <v>172</v>
      </c>
      <c r="Q23">
        <v>18131</v>
      </c>
      <c r="R23">
        <v>18131</v>
      </c>
      <c r="S23">
        <v>17781</v>
      </c>
      <c r="T23">
        <v>999</v>
      </c>
      <c r="U23" t="s">
        <v>173</v>
      </c>
      <c r="V23">
        <v>0</v>
      </c>
      <c r="W23" t="s">
        <v>174</v>
      </c>
      <c r="X23">
        <v>17781</v>
      </c>
      <c r="Z23" t="s">
        <v>175</v>
      </c>
      <c r="AA23" t="s">
        <v>173</v>
      </c>
    </row>
    <row r="24" spans="1:27" x14ac:dyDescent="0.3">
      <c r="A24">
        <v>23</v>
      </c>
      <c r="B24" t="s">
        <v>169</v>
      </c>
      <c r="C24">
        <v>99019875</v>
      </c>
      <c r="D24" s="7" t="s">
        <v>81</v>
      </c>
      <c r="E24" t="s">
        <v>82</v>
      </c>
      <c r="F24" t="s">
        <v>170</v>
      </c>
      <c r="G24" t="s">
        <v>177</v>
      </c>
      <c r="H24" s="133">
        <v>1000</v>
      </c>
      <c r="I24">
        <v>0</v>
      </c>
      <c r="J24" s="133">
        <v>1000</v>
      </c>
      <c r="K24" s="133">
        <v>36680</v>
      </c>
      <c r="L24" s="133">
        <v>36680</v>
      </c>
      <c r="M24" s="150">
        <v>0.37613425925925931</v>
      </c>
      <c r="N24" s="150">
        <v>0.37614583333333335</v>
      </c>
      <c r="O24" t="s">
        <v>172</v>
      </c>
      <c r="Q24">
        <v>22295</v>
      </c>
      <c r="R24">
        <v>22295</v>
      </c>
      <c r="S24">
        <v>22199</v>
      </c>
      <c r="T24">
        <v>0</v>
      </c>
      <c r="U24" t="s">
        <v>173</v>
      </c>
      <c r="V24">
        <v>0</v>
      </c>
      <c r="W24" t="s">
        <v>174</v>
      </c>
      <c r="X24">
        <v>22199</v>
      </c>
      <c r="Z24" t="s">
        <v>175</v>
      </c>
      <c r="AA24" t="s">
        <v>173</v>
      </c>
    </row>
    <row r="25" spans="1:27" x14ac:dyDescent="0.3">
      <c r="A25">
        <v>24</v>
      </c>
      <c r="B25" t="s">
        <v>169</v>
      </c>
      <c r="C25">
        <v>99019875</v>
      </c>
      <c r="D25" s="7" t="s">
        <v>67</v>
      </c>
      <c r="E25" t="s">
        <v>68</v>
      </c>
      <c r="F25" t="s">
        <v>176</v>
      </c>
      <c r="G25" t="s">
        <v>177</v>
      </c>
      <c r="H25" s="133">
        <v>1000</v>
      </c>
      <c r="I25">
        <v>0</v>
      </c>
      <c r="J25">
        <v>403</v>
      </c>
      <c r="K25" s="133">
        <v>4965</v>
      </c>
      <c r="L25" s="133">
        <v>4965</v>
      </c>
      <c r="M25" s="150">
        <v>0.37613425925925931</v>
      </c>
      <c r="N25" s="150">
        <v>0.37616898148148148</v>
      </c>
      <c r="O25" t="s">
        <v>172</v>
      </c>
      <c r="Q25">
        <v>22369</v>
      </c>
      <c r="R25">
        <v>22369</v>
      </c>
      <c r="S25">
        <v>21061</v>
      </c>
      <c r="T25">
        <v>597</v>
      </c>
      <c r="U25" t="s">
        <v>173</v>
      </c>
      <c r="V25">
        <v>0</v>
      </c>
      <c r="W25" t="s">
        <v>174</v>
      </c>
      <c r="X25">
        <v>21061</v>
      </c>
      <c r="Z25" t="s">
        <v>175</v>
      </c>
      <c r="AA25" t="s">
        <v>173</v>
      </c>
    </row>
    <row r="26" spans="1:27" x14ac:dyDescent="0.3">
      <c r="A26">
        <v>25</v>
      </c>
      <c r="B26" t="s">
        <v>169</v>
      </c>
      <c r="C26">
        <v>99019875</v>
      </c>
      <c r="D26" s="7" t="s">
        <v>100</v>
      </c>
      <c r="E26" t="s">
        <v>101</v>
      </c>
      <c r="F26" t="s">
        <v>176</v>
      </c>
      <c r="G26" t="s">
        <v>171</v>
      </c>
      <c r="H26" s="133">
        <v>1000</v>
      </c>
      <c r="I26">
        <v>0</v>
      </c>
      <c r="J26">
        <v>89</v>
      </c>
      <c r="K26" s="133">
        <v>15525</v>
      </c>
      <c r="L26" s="133">
        <v>15525</v>
      </c>
      <c r="M26" s="150">
        <v>0.37614583333333335</v>
      </c>
      <c r="N26" s="150">
        <v>0.37614583333333335</v>
      </c>
      <c r="O26" t="s">
        <v>172</v>
      </c>
      <c r="Q26">
        <v>22466</v>
      </c>
      <c r="R26">
        <v>22466</v>
      </c>
      <c r="S26">
        <v>0</v>
      </c>
      <c r="T26">
        <v>911</v>
      </c>
      <c r="U26" t="s">
        <v>173</v>
      </c>
      <c r="V26">
        <v>0</v>
      </c>
      <c r="W26" t="s">
        <v>174</v>
      </c>
      <c r="X26">
        <v>0</v>
      </c>
      <c r="Z26" t="s">
        <v>175</v>
      </c>
      <c r="AA26" t="s">
        <v>173</v>
      </c>
    </row>
    <row r="27" spans="1:27" x14ac:dyDescent="0.3">
      <c r="A27">
        <v>26</v>
      </c>
      <c r="B27" t="s">
        <v>169</v>
      </c>
      <c r="C27">
        <v>99019875</v>
      </c>
      <c r="D27" s="7" t="s">
        <v>102</v>
      </c>
      <c r="E27" t="s">
        <v>103</v>
      </c>
      <c r="F27" t="s">
        <v>176</v>
      </c>
      <c r="G27" t="s">
        <v>177</v>
      </c>
      <c r="H27" s="133">
        <v>1000</v>
      </c>
      <c r="I27">
        <v>0</v>
      </c>
      <c r="J27" s="133">
        <v>1000</v>
      </c>
      <c r="K27" s="133">
        <v>26940</v>
      </c>
      <c r="L27" s="133">
        <v>26940</v>
      </c>
      <c r="M27" s="150">
        <v>0.37615740740740744</v>
      </c>
      <c r="N27" s="150">
        <v>0.37640046296296298</v>
      </c>
      <c r="O27" t="s">
        <v>172</v>
      </c>
      <c r="Q27">
        <v>22828</v>
      </c>
      <c r="R27">
        <v>22828</v>
      </c>
      <c r="S27">
        <v>22824</v>
      </c>
      <c r="T27">
        <v>0</v>
      </c>
      <c r="U27" t="s">
        <v>173</v>
      </c>
      <c r="V27">
        <v>0</v>
      </c>
      <c r="W27" t="s">
        <v>174</v>
      </c>
      <c r="X27">
        <v>22824</v>
      </c>
      <c r="Z27" t="s">
        <v>175</v>
      </c>
      <c r="AA27" t="s">
        <v>173</v>
      </c>
    </row>
    <row r="28" spans="1:27" x14ac:dyDescent="0.3">
      <c r="A28">
        <v>27</v>
      </c>
      <c r="B28" t="s">
        <v>169</v>
      </c>
      <c r="C28">
        <v>99019875</v>
      </c>
      <c r="D28" s="7" t="s">
        <v>102</v>
      </c>
      <c r="E28" t="s">
        <v>103</v>
      </c>
      <c r="F28" t="s">
        <v>170</v>
      </c>
      <c r="G28" t="s">
        <v>177</v>
      </c>
      <c r="H28" s="133">
        <v>1000</v>
      </c>
      <c r="I28">
        <v>0</v>
      </c>
      <c r="J28" s="133">
        <v>1000</v>
      </c>
      <c r="K28" s="133">
        <v>26855</v>
      </c>
      <c r="L28" s="133">
        <v>26855</v>
      </c>
      <c r="M28" s="150">
        <v>0.37615740740740744</v>
      </c>
      <c r="N28" s="150">
        <v>0.37615740740740744</v>
      </c>
      <c r="O28" t="s">
        <v>172</v>
      </c>
      <c r="Q28">
        <v>22829</v>
      </c>
      <c r="R28">
        <v>22829</v>
      </c>
      <c r="S28">
        <v>22691</v>
      </c>
      <c r="T28">
        <v>0</v>
      </c>
      <c r="U28" t="s">
        <v>173</v>
      </c>
      <c r="V28">
        <v>0</v>
      </c>
      <c r="W28" t="s">
        <v>174</v>
      </c>
      <c r="X28">
        <v>22691</v>
      </c>
      <c r="Z28" t="s">
        <v>175</v>
      </c>
      <c r="AA28" t="s">
        <v>173</v>
      </c>
    </row>
    <row r="29" spans="1:27" x14ac:dyDescent="0.3">
      <c r="A29">
        <v>28</v>
      </c>
      <c r="B29" t="s">
        <v>169</v>
      </c>
      <c r="C29">
        <v>99019875</v>
      </c>
      <c r="D29" s="7" t="s">
        <v>108</v>
      </c>
      <c r="E29" t="s">
        <v>109</v>
      </c>
      <c r="F29" t="s">
        <v>176</v>
      </c>
      <c r="G29" t="s">
        <v>177</v>
      </c>
      <c r="H29" s="133">
        <v>1000</v>
      </c>
      <c r="I29">
        <v>0</v>
      </c>
      <c r="J29">
        <v>37</v>
      </c>
      <c r="K29" s="133">
        <v>2680</v>
      </c>
      <c r="L29" s="133">
        <v>2680</v>
      </c>
      <c r="M29" s="150">
        <v>0.37616898148148148</v>
      </c>
      <c r="N29" s="150">
        <v>0.37619212962962961</v>
      </c>
      <c r="O29" t="s">
        <v>172</v>
      </c>
      <c r="Q29">
        <v>23196</v>
      </c>
      <c r="R29">
        <v>23196</v>
      </c>
      <c r="S29">
        <v>23195</v>
      </c>
      <c r="T29">
        <v>963</v>
      </c>
      <c r="U29" t="s">
        <v>173</v>
      </c>
      <c r="V29">
        <v>0</v>
      </c>
      <c r="W29" t="s">
        <v>174</v>
      </c>
      <c r="X29">
        <v>23195</v>
      </c>
      <c r="Z29" t="s">
        <v>175</v>
      </c>
      <c r="AA29" t="s">
        <v>173</v>
      </c>
    </row>
    <row r="30" spans="1:27" x14ac:dyDescent="0.3">
      <c r="A30">
        <v>29</v>
      </c>
      <c r="B30" t="s">
        <v>169</v>
      </c>
      <c r="C30">
        <v>99019875</v>
      </c>
      <c r="D30" s="7" t="s">
        <v>75</v>
      </c>
      <c r="E30" t="s">
        <v>76</v>
      </c>
      <c r="F30" t="s">
        <v>170</v>
      </c>
      <c r="G30" t="s">
        <v>177</v>
      </c>
      <c r="H30" s="133">
        <v>1000</v>
      </c>
      <c r="I30">
        <v>0</v>
      </c>
      <c r="J30" s="133">
        <v>1000</v>
      </c>
      <c r="K30" s="133">
        <v>21225</v>
      </c>
      <c r="L30" s="133">
        <v>21225</v>
      </c>
      <c r="M30" s="150">
        <v>0.37635416666666671</v>
      </c>
      <c r="N30" s="150">
        <v>0.37636574074074075</v>
      </c>
      <c r="O30" t="s">
        <v>172</v>
      </c>
      <c r="Q30">
        <v>26834</v>
      </c>
      <c r="R30">
        <v>26834</v>
      </c>
      <c r="S30">
        <v>26773</v>
      </c>
      <c r="T30">
        <v>0</v>
      </c>
      <c r="U30" t="s">
        <v>173</v>
      </c>
      <c r="V30">
        <v>0</v>
      </c>
      <c r="W30" t="s">
        <v>174</v>
      </c>
      <c r="X30">
        <v>26773</v>
      </c>
      <c r="Z30" t="s">
        <v>175</v>
      </c>
      <c r="AA30" t="s">
        <v>173</v>
      </c>
    </row>
    <row r="31" spans="1:27" x14ac:dyDescent="0.3">
      <c r="A31">
        <v>30</v>
      </c>
      <c r="B31" t="s">
        <v>169</v>
      </c>
      <c r="C31">
        <v>99019875</v>
      </c>
      <c r="D31" s="7" t="s">
        <v>126</v>
      </c>
      <c r="E31" t="s">
        <v>127</v>
      </c>
      <c r="F31" t="s">
        <v>170</v>
      </c>
      <c r="G31" t="s">
        <v>177</v>
      </c>
      <c r="H31" s="133">
        <v>1000</v>
      </c>
      <c r="I31">
        <v>0</v>
      </c>
      <c r="J31">
        <v>80</v>
      </c>
      <c r="K31" s="133">
        <v>12455</v>
      </c>
      <c r="L31" s="133">
        <v>12455</v>
      </c>
      <c r="M31" s="150">
        <v>0.37636574074074075</v>
      </c>
      <c r="N31" s="150">
        <v>0.37636574074074075</v>
      </c>
      <c r="O31" t="s">
        <v>172</v>
      </c>
      <c r="Q31">
        <v>27126</v>
      </c>
      <c r="R31">
        <v>27126</v>
      </c>
      <c r="S31">
        <v>26854</v>
      </c>
      <c r="T31">
        <v>920</v>
      </c>
      <c r="U31" t="s">
        <v>173</v>
      </c>
      <c r="V31">
        <v>0</v>
      </c>
      <c r="W31" t="s">
        <v>174</v>
      </c>
      <c r="X31">
        <v>26854</v>
      </c>
      <c r="Z31" t="s">
        <v>175</v>
      </c>
      <c r="AA31" t="s">
        <v>173</v>
      </c>
    </row>
    <row r="32" spans="1:27" x14ac:dyDescent="0.3">
      <c r="A32">
        <v>31</v>
      </c>
      <c r="B32" t="s">
        <v>169</v>
      </c>
      <c r="C32">
        <v>99019875</v>
      </c>
      <c r="D32" s="7" t="s">
        <v>65</v>
      </c>
      <c r="E32" t="s">
        <v>66</v>
      </c>
      <c r="F32" t="s">
        <v>176</v>
      </c>
      <c r="G32" t="s">
        <v>177</v>
      </c>
      <c r="H32" s="133">
        <v>1000</v>
      </c>
      <c r="I32">
        <v>0</v>
      </c>
      <c r="J32">
        <v>185</v>
      </c>
      <c r="K32" s="133">
        <v>4740</v>
      </c>
      <c r="L32" s="133">
        <v>4740</v>
      </c>
      <c r="M32" s="150">
        <v>0.37638888888888888</v>
      </c>
      <c r="N32" s="150">
        <v>0.37643518518518521</v>
      </c>
      <c r="O32" t="s">
        <v>172</v>
      </c>
      <c r="Q32">
        <v>27838</v>
      </c>
      <c r="R32">
        <v>27838</v>
      </c>
      <c r="S32">
        <v>27410</v>
      </c>
      <c r="T32">
        <v>815</v>
      </c>
      <c r="U32" t="s">
        <v>173</v>
      </c>
      <c r="V32">
        <v>0</v>
      </c>
      <c r="W32" t="s">
        <v>174</v>
      </c>
      <c r="X32">
        <v>27410</v>
      </c>
      <c r="Z32" t="s">
        <v>175</v>
      </c>
      <c r="AA32" t="s">
        <v>173</v>
      </c>
    </row>
    <row r="33" spans="1:27" x14ac:dyDescent="0.3">
      <c r="A33">
        <v>32</v>
      </c>
      <c r="B33" t="s">
        <v>169</v>
      </c>
      <c r="C33">
        <v>99019875</v>
      </c>
      <c r="D33" s="7" t="s">
        <v>106</v>
      </c>
      <c r="E33" t="s">
        <v>107</v>
      </c>
      <c r="F33" t="s">
        <v>176</v>
      </c>
      <c r="G33" t="s">
        <v>177</v>
      </c>
      <c r="H33" s="133">
        <v>1000</v>
      </c>
      <c r="I33">
        <v>0</v>
      </c>
      <c r="J33">
        <v>29</v>
      </c>
      <c r="K33" s="133">
        <v>3560</v>
      </c>
      <c r="L33" s="133">
        <v>3560</v>
      </c>
      <c r="M33" s="150">
        <v>0.37638888888888888</v>
      </c>
      <c r="N33" s="150">
        <v>0.37645833333333334</v>
      </c>
      <c r="O33" t="s">
        <v>172</v>
      </c>
      <c r="Q33">
        <v>27859</v>
      </c>
      <c r="R33">
        <v>27859</v>
      </c>
      <c r="S33">
        <v>26963</v>
      </c>
      <c r="T33">
        <v>971</v>
      </c>
      <c r="U33" t="s">
        <v>173</v>
      </c>
      <c r="V33">
        <v>0</v>
      </c>
      <c r="W33" t="s">
        <v>174</v>
      </c>
      <c r="X33">
        <v>26963</v>
      </c>
      <c r="Z33" t="s">
        <v>175</v>
      </c>
      <c r="AA33" t="s">
        <v>173</v>
      </c>
    </row>
    <row r="34" spans="1:27" x14ac:dyDescent="0.3">
      <c r="A34">
        <v>33</v>
      </c>
      <c r="B34" t="s">
        <v>169</v>
      </c>
      <c r="C34">
        <v>99019875</v>
      </c>
      <c r="D34" s="7" t="s">
        <v>94</v>
      </c>
      <c r="E34" t="s">
        <v>95</v>
      </c>
      <c r="F34" t="s">
        <v>176</v>
      </c>
      <c r="G34" t="s">
        <v>177</v>
      </c>
      <c r="H34" s="133">
        <v>1000</v>
      </c>
      <c r="I34">
        <v>0</v>
      </c>
      <c r="J34">
        <v>1</v>
      </c>
      <c r="K34" s="133">
        <v>22075</v>
      </c>
      <c r="L34" s="133">
        <v>22075</v>
      </c>
      <c r="M34" s="150">
        <v>0.37641203703703702</v>
      </c>
      <c r="N34" s="150">
        <v>0.37642361111111106</v>
      </c>
      <c r="O34" t="s">
        <v>172</v>
      </c>
      <c r="Q34">
        <v>28229</v>
      </c>
      <c r="R34">
        <v>28229</v>
      </c>
      <c r="S34">
        <v>28190</v>
      </c>
      <c r="T34">
        <v>999</v>
      </c>
      <c r="U34" t="s">
        <v>173</v>
      </c>
      <c r="V34">
        <v>0</v>
      </c>
      <c r="W34" t="s">
        <v>174</v>
      </c>
      <c r="X34">
        <v>28190</v>
      </c>
      <c r="Z34" t="s">
        <v>175</v>
      </c>
      <c r="AA34" t="s">
        <v>173</v>
      </c>
    </row>
    <row r="35" spans="1:27" x14ac:dyDescent="0.3">
      <c r="A35">
        <v>34</v>
      </c>
      <c r="B35" t="s">
        <v>169</v>
      </c>
      <c r="C35">
        <v>99019875</v>
      </c>
      <c r="D35" s="7" t="s">
        <v>110</v>
      </c>
      <c r="E35" t="s">
        <v>179</v>
      </c>
      <c r="F35" t="s">
        <v>176</v>
      </c>
      <c r="G35" t="s">
        <v>177</v>
      </c>
      <c r="H35">
        <v>500</v>
      </c>
      <c r="I35">
        <v>0</v>
      </c>
      <c r="J35">
        <v>5</v>
      </c>
      <c r="K35" s="133">
        <v>49545</v>
      </c>
      <c r="L35" s="133">
        <v>49550</v>
      </c>
      <c r="M35" s="150">
        <v>0.37641203703703702</v>
      </c>
      <c r="N35" s="150">
        <v>0.37641203703703702</v>
      </c>
      <c r="O35" t="s">
        <v>172</v>
      </c>
      <c r="Q35">
        <v>28258</v>
      </c>
      <c r="R35">
        <v>28258</v>
      </c>
      <c r="S35">
        <v>28223</v>
      </c>
      <c r="T35">
        <v>495</v>
      </c>
      <c r="U35" t="s">
        <v>173</v>
      </c>
      <c r="V35">
        <v>0</v>
      </c>
      <c r="W35" t="s">
        <v>174</v>
      </c>
      <c r="X35">
        <v>28223</v>
      </c>
      <c r="Z35" t="s">
        <v>175</v>
      </c>
      <c r="AA35" t="s">
        <v>173</v>
      </c>
    </row>
    <row r="36" spans="1:27" x14ac:dyDescent="0.3">
      <c r="A36">
        <v>35</v>
      </c>
      <c r="B36" t="s">
        <v>169</v>
      </c>
      <c r="C36">
        <v>99019875</v>
      </c>
      <c r="D36" s="7" t="s">
        <v>140</v>
      </c>
      <c r="E36" t="s">
        <v>178</v>
      </c>
      <c r="F36" t="s">
        <v>176</v>
      </c>
      <c r="G36" t="s">
        <v>177</v>
      </c>
      <c r="H36" s="133">
        <v>1000</v>
      </c>
      <c r="I36">
        <v>0</v>
      </c>
      <c r="J36">
        <v>285</v>
      </c>
      <c r="K36" s="133">
        <v>8660</v>
      </c>
      <c r="L36" s="133">
        <v>8660</v>
      </c>
      <c r="M36" s="150">
        <v>0.37644675925925924</v>
      </c>
      <c r="N36" s="150">
        <v>0.37645833333333334</v>
      </c>
      <c r="O36" t="s">
        <v>172</v>
      </c>
      <c r="Q36">
        <v>28860</v>
      </c>
      <c r="R36">
        <v>28860</v>
      </c>
      <c r="S36">
        <v>27886</v>
      </c>
      <c r="T36">
        <v>715</v>
      </c>
      <c r="U36" t="s">
        <v>173</v>
      </c>
      <c r="V36">
        <v>0</v>
      </c>
      <c r="W36" t="s">
        <v>174</v>
      </c>
      <c r="X36">
        <v>27886</v>
      </c>
      <c r="Z36" t="s">
        <v>175</v>
      </c>
      <c r="AA36" t="s">
        <v>173</v>
      </c>
    </row>
    <row r="37" spans="1:27" x14ac:dyDescent="0.3">
      <c r="A37">
        <v>36</v>
      </c>
      <c r="B37" t="s">
        <v>169</v>
      </c>
      <c r="C37">
        <v>99019875</v>
      </c>
      <c r="D37" s="7" t="s">
        <v>112</v>
      </c>
      <c r="E37" t="s">
        <v>113</v>
      </c>
      <c r="F37" t="s">
        <v>176</v>
      </c>
      <c r="G37" t="s">
        <v>177</v>
      </c>
      <c r="H37" s="133">
        <v>1000</v>
      </c>
      <c r="I37">
        <v>0</v>
      </c>
      <c r="J37">
        <v>1</v>
      </c>
      <c r="K37" s="133">
        <v>23940</v>
      </c>
      <c r="L37" s="133">
        <v>23940</v>
      </c>
      <c r="M37" s="150">
        <v>0.37645833333333334</v>
      </c>
      <c r="N37" s="150">
        <v>0.37645833333333334</v>
      </c>
      <c r="O37" t="s">
        <v>172</v>
      </c>
      <c r="Q37">
        <v>29273</v>
      </c>
      <c r="R37">
        <v>29273</v>
      </c>
      <c r="S37">
        <v>29271</v>
      </c>
      <c r="T37">
        <v>999</v>
      </c>
      <c r="U37" t="s">
        <v>173</v>
      </c>
      <c r="V37">
        <v>0</v>
      </c>
      <c r="W37" t="s">
        <v>174</v>
      </c>
      <c r="X37">
        <v>29271</v>
      </c>
      <c r="Z37" t="s">
        <v>175</v>
      </c>
      <c r="AA37" t="s">
        <v>173</v>
      </c>
    </row>
    <row r="38" spans="1:27" x14ac:dyDescent="0.3">
      <c r="A38">
        <v>37</v>
      </c>
      <c r="B38" t="s">
        <v>169</v>
      </c>
      <c r="C38">
        <v>99019875</v>
      </c>
      <c r="D38" s="7" t="s">
        <v>71</v>
      </c>
      <c r="E38" t="s">
        <v>72</v>
      </c>
      <c r="F38" t="s">
        <v>176</v>
      </c>
      <c r="G38" t="s">
        <v>177</v>
      </c>
      <c r="H38" s="133">
        <v>1000</v>
      </c>
      <c r="I38">
        <v>0</v>
      </c>
      <c r="J38">
        <v>799</v>
      </c>
      <c r="K38" s="133">
        <v>18210</v>
      </c>
      <c r="L38" s="133">
        <v>18210</v>
      </c>
      <c r="M38" s="150">
        <v>0.37646990740740738</v>
      </c>
      <c r="N38" s="150">
        <v>0.37646990740740738</v>
      </c>
      <c r="O38" t="s">
        <v>172</v>
      </c>
      <c r="Q38">
        <v>29395</v>
      </c>
      <c r="R38">
        <v>29395</v>
      </c>
      <c r="S38">
        <v>29343</v>
      </c>
      <c r="T38">
        <v>201</v>
      </c>
      <c r="U38" t="s">
        <v>173</v>
      </c>
      <c r="V38">
        <v>0</v>
      </c>
      <c r="W38" t="s">
        <v>174</v>
      </c>
      <c r="X38">
        <v>29343</v>
      </c>
      <c r="Z38" t="s">
        <v>175</v>
      </c>
      <c r="AA38" t="s">
        <v>173</v>
      </c>
    </row>
    <row r="39" spans="1:27" x14ac:dyDescent="0.3">
      <c r="A39">
        <v>38</v>
      </c>
      <c r="B39" t="s">
        <v>169</v>
      </c>
      <c r="C39">
        <v>99019875</v>
      </c>
      <c r="D39" s="7" t="s">
        <v>81</v>
      </c>
      <c r="E39" t="s">
        <v>82</v>
      </c>
      <c r="F39" t="s">
        <v>170</v>
      </c>
      <c r="G39" t="s">
        <v>177</v>
      </c>
      <c r="H39" s="133">
        <v>1000</v>
      </c>
      <c r="I39">
        <v>0</v>
      </c>
      <c r="J39">
        <v>35</v>
      </c>
      <c r="K39" s="133">
        <v>36590</v>
      </c>
      <c r="L39" s="133">
        <v>36590</v>
      </c>
      <c r="M39" s="150">
        <v>0.37648148148148147</v>
      </c>
      <c r="N39" s="150">
        <v>0.37649305555555551</v>
      </c>
      <c r="O39" t="s">
        <v>172</v>
      </c>
      <c r="Q39">
        <v>29774</v>
      </c>
      <c r="R39">
        <v>29774</v>
      </c>
      <c r="S39">
        <v>29746</v>
      </c>
      <c r="T39">
        <v>965</v>
      </c>
      <c r="U39" t="s">
        <v>173</v>
      </c>
      <c r="V39">
        <v>0</v>
      </c>
      <c r="W39" t="s">
        <v>174</v>
      </c>
      <c r="X39">
        <v>29746</v>
      </c>
      <c r="Z39" t="s">
        <v>175</v>
      </c>
      <c r="AA39" t="s">
        <v>173</v>
      </c>
    </row>
    <row r="40" spans="1:27" x14ac:dyDescent="0.3">
      <c r="A40">
        <v>39</v>
      </c>
      <c r="B40" t="s">
        <v>169</v>
      </c>
      <c r="C40">
        <v>99019875</v>
      </c>
      <c r="D40" s="7" t="s">
        <v>96</v>
      </c>
      <c r="E40" t="s">
        <v>97</v>
      </c>
      <c r="F40" t="s">
        <v>176</v>
      </c>
      <c r="G40" t="s">
        <v>177</v>
      </c>
      <c r="H40" s="133">
        <v>1000</v>
      </c>
      <c r="I40">
        <v>0</v>
      </c>
      <c r="J40">
        <v>1</v>
      </c>
      <c r="K40" s="133">
        <v>8370</v>
      </c>
      <c r="L40" s="133">
        <v>8370</v>
      </c>
      <c r="M40" s="150">
        <v>0.37655092592592593</v>
      </c>
      <c r="N40" s="150">
        <v>0.37655092592592593</v>
      </c>
      <c r="O40" t="s">
        <v>172</v>
      </c>
      <c r="Q40">
        <v>30928</v>
      </c>
      <c r="R40">
        <v>30928</v>
      </c>
      <c r="S40">
        <v>30926</v>
      </c>
      <c r="T40">
        <v>999</v>
      </c>
      <c r="U40" t="s">
        <v>173</v>
      </c>
      <c r="V40">
        <v>0</v>
      </c>
      <c r="W40" t="s">
        <v>174</v>
      </c>
      <c r="X40">
        <v>30926</v>
      </c>
      <c r="Z40" t="s">
        <v>175</v>
      </c>
      <c r="AA40" t="s">
        <v>173</v>
      </c>
    </row>
    <row r="41" spans="1:27" x14ac:dyDescent="0.3">
      <c r="A41">
        <v>40</v>
      </c>
      <c r="B41" t="s">
        <v>169</v>
      </c>
      <c r="C41">
        <v>99019875</v>
      </c>
      <c r="D41" s="7" t="s">
        <v>77</v>
      </c>
      <c r="E41" t="s">
        <v>78</v>
      </c>
      <c r="F41" t="s">
        <v>176</v>
      </c>
      <c r="G41" t="s">
        <v>177</v>
      </c>
      <c r="H41" s="133">
        <v>1000</v>
      </c>
      <c r="I41">
        <v>0</v>
      </c>
      <c r="J41">
        <v>40</v>
      </c>
      <c r="K41" s="133">
        <v>7280</v>
      </c>
      <c r="L41" s="133">
        <v>7280</v>
      </c>
      <c r="M41" s="150">
        <v>0.37656249999999997</v>
      </c>
      <c r="N41" s="150">
        <v>0.37660879629629629</v>
      </c>
      <c r="O41" t="s">
        <v>172</v>
      </c>
      <c r="Q41">
        <v>31115</v>
      </c>
      <c r="R41">
        <v>31115</v>
      </c>
      <c r="S41">
        <v>31006</v>
      </c>
      <c r="T41">
        <v>960</v>
      </c>
      <c r="U41" t="s">
        <v>173</v>
      </c>
      <c r="V41">
        <v>0</v>
      </c>
      <c r="W41" t="s">
        <v>174</v>
      </c>
      <c r="X41">
        <v>31006</v>
      </c>
      <c r="Z41" t="s">
        <v>175</v>
      </c>
      <c r="AA41" t="s">
        <v>173</v>
      </c>
    </row>
    <row r="42" spans="1:27" x14ac:dyDescent="0.3">
      <c r="A42">
        <v>41</v>
      </c>
      <c r="B42" t="s">
        <v>169</v>
      </c>
      <c r="C42">
        <v>99019875</v>
      </c>
      <c r="D42" s="7" t="s">
        <v>67</v>
      </c>
      <c r="E42" t="s">
        <v>68</v>
      </c>
      <c r="F42" t="s">
        <v>176</v>
      </c>
      <c r="G42" t="s">
        <v>177</v>
      </c>
      <c r="H42" s="133">
        <v>1000</v>
      </c>
      <c r="I42">
        <v>0</v>
      </c>
      <c r="J42">
        <v>61</v>
      </c>
      <c r="K42" s="133">
        <v>4975</v>
      </c>
      <c r="L42" s="133">
        <v>4975</v>
      </c>
      <c r="M42" s="150">
        <v>0.37663194444444442</v>
      </c>
      <c r="N42" s="150">
        <v>0.37670138888888888</v>
      </c>
      <c r="O42" t="s">
        <v>172</v>
      </c>
      <c r="Q42">
        <v>32230</v>
      </c>
      <c r="R42">
        <v>32230</v>
      </c>
      <c r="S42">
        <v>31547</v>
      </c>
      <c r="T42">
        <v>939</v>
      </c>
      <c r="U42" t="s">
        <v>173</v>
      </c>
      <c r="V42">
        <v>0</v>
      </c>
      <c r="W42" t="s">
        <v>174</v>
      </c>
      <c r="X42">
        <v>31547</v>
      </c>
      <c r="Z42" t="s">
        <v>175</v>
      </c>
      <c r="AA42" t="s">
        <v>173</v>
      </c>
    </row>
    <row r="43" spans="1:27" x14ac:dyDescent="0.3">
      <c r="A43">
        <v>42</v>
      </c>
      <c r="B43" t="s">
        <v>169</v>
      </c>
      <c r="C43">
        <v>99019875</v>
      </c>
      <c r="D43" s="7" t="s">
        <v>100</v>
      </c>
      <c r="E43" t="s">
        <v>101</v>
      </c>
      <c r="F43" t="s">
        <v>176</v>
      </c>
      <c r="G43" t="s">
        <v>177</v>
      </c>
      <c r="H43" s="133">
        <v>1000</v>
      </c>
      <c r="I43">
        <v>0</v>
      </c>
      <c r="J43">
        <v>2</v>
      </c>
      <c r="K43" s="133">
        <v>15550</v>
      </c>
      <c r="L43" s="133">
        <v>15550</v>
      </c>
      <c r="M43" s="150">
        <v>0.37668981481481478</v>
      </c>
      <c r="N43" s="150">
        <v>0.37668981481481478</v>
      </c>
      <c r="O43" t="s">
        <v>172</v>
      </c>
      <c r="Q43">
        <v>33109</v>
      </c>
      <c r="R43">
        <v>33109</v>
      </c>
      <c r="S43">
        <v>32947</v>
      </c>
      <c r="T43">
        <v>998</v>
      </c>
      <c r="U43" t="s">
        <v>173</v>
      </c>
      <c r="V43">
        <v>0</v>
      </c>
      <c r="W43" t="s">
        <v>174</v>
      </c>
      <c r="X43">
        <v>32947</v>
      </c>
      <c r="Z43" t="s">
        <v>175</v>
      </c>
      <c r="AA43" t="s">
        <v>173</v>
      </c>
    </row>
    <row r="44" spans="1:27" x14ac:dyDescent="0.3">
      <c r="A44">
        <v>43</v>
      </c>
      <c r="B44" t="s">
        <v>169</v>
      </c>
      <c r="C44">
        <v>99019875</v>
      </c>
      <c r="D44" s="7" t="s">
        <v>114</v>
      </c>
      <c r="E44" t="s">
        <v>115</v>
      </c>
      <c r="F44" t="s">
        <v>176</v>
      </c>
      <c r="G44" t="s">
        <v>177</v>
      </c>
      <c r="H44" s="133">
        <v>1000</v>
      </c>
      <c r="I44">
        <v>0</v>
      </c>
      <c r="J44">
        <v>3</v>
      </c>
      <c r="K44" s="133">
        <v>53695</v>
      </c>
      <c r="L44" s="133">
        <v>53695</v>
      </c>
      <c r="M44" s="150">
        <v>0.37670138888888888</v>
      </c>
      <c r="N44" s="150">
        <v>0.37670138888888888</v>
      </c>
      <c r="O44" t="s">
        <v>172</v>
      </c>
      <c r="Q44">
        <v>33340</v>
      </c>
      <c r="R44">
        <v>33340</v>
      </c>
      <c r="S44">
        <v>33314</v>
      </c>
      <c r="T44">
        <v>997</v>
      </c>
      <c r="U44" t="s">
        <v>173</v>
      </c>
      <c r="V44">
        <v>0</v>
      </c>
      <c r="W44" t="s">
        <v>174</v>
      </c>
      <c r="X44">
        <v>33314</v>
      </c>
      <c r="Z44" t="s">
        <v>175</v>
      </c>
      <c r="AA44" t="s">
        <v>173</v>
      </c>
    </row>
    <row r="45" spans="1:27" x14ac:dyDescent="0.3">
      <c r="A45">
        <v>44</v>
      </c>
      <c r="B45" t="s">
        <v>169</v>
      </c>
      <c r="C45">
        <v>99019875</v>
      </c>
      <c r="D45" s="7" t="s">
        <v>62</v>
      </c>
      <c r="E45" t="s">
        <v>63</v>
      </c>
      <c r="F45" t="s">
        <v>176</v>
      </c>
      <c r="G45" t="s">
        <v>177</v>
      </c>
      <c r="H45" s="133">
        <v>1000</v>
      </c>
      <c r="I45">
        <v>0</v>
      </c>
      <c r="J45" s="133">
        <v>1000</v>
      </c>
      <c r="K45" s="133">
        <v>33950</v>
      </c>
      <c r="L45" s="133">
        <v>33950</v>
      </c>
      <c r="M45" s="150">
        <v>0.37677083333333333</v>
      </c>
      <c r="N45" s="150">
        <v>0.37677083333333333</v>
      </c>
      <c r="O45" t="s">
        <v>172</v>
      </c>
      <c r="Q45">
        <v>34344</v>
      </c>
      <c r="R45">
        <v>34344</v>
      </c>
      <c r="S45">
        <v>34258</v>
      </c>
      <c r="T45">
        <v>0</v>
      </c>
      <c r="U45" t="s">
        <v>173</v>
      </c>
      <c r="V45">
        <v>0</v>
      </c>
      <c r="W45" t="s">
        <v>174</v>
      </c>
      <c r="X45">
        <v>34258</v>
      </c>
      <c r="Z45" t="s">
        <v>175</v>
      </c>
      <c r="AA45" t="s">
        <v>173</v>
      </c>
    </row>
    <row r="46" spans="1:27" x14ac:dyDescent="0.3">
      <c r="A46">
        <v>45</v>
      </c>
      <c r="B46" t="s">
        <v>169</v>
      </c>
      <c r="C46">
        <v>99019875</v>
      </c>
      <c r="D46" s="7" t="s">
        <v>89</v>
      </c>
      <c r="E46" t="s">
        <v>90</v>
      </c>
      <c r="F46" t="s">
        <v>176</v>
      </c>
      <c r="G46" t="s">
        <v>177</v>
      </c>
      <c r="H46" s="133">
        <v>1000</v>
      </c>
      <c r="I46">
        <v>0</v>
      </c>
      <c r="J46">
        <v>5</v>
      </c>
      <c r="K46" s="133">
        <v>3100</v>
      </c>
      <c r="L46" s="133">
        <v>3100</v>
      </c>
      <c r="M46" s="150">
        <v>0.37680555555555556</v>
      </c>
      <c r="N46" s="150">
        <v>0.37689814814814815</v>
      </c>
      <c r="O46" t="s">
        <v>172</v>
      </c>
      <c r="Q46">
        <v>34975</v>
      </c>
      <c r="R46">
        <v>34975</v>
      </c>
      <c r="S46">
        <v>34837</v>
      </c>
      <c r="T46">
        <v>995</v>
      </c>
      <c r="U46" t="s">
        <v>173</v>
      </c>
      <c r="V46">
        <v>0</v>
      </c>
      <c r="W46" t="s">
        <v>174</v>
      </c>
      <c r="X46">
        <v>34837</v>
      </c>
      <c r="Z46" t="s">
        <v>175</v>
      </c>
      <c r="AA46" t="s">
        <v>173</v>
      </c>
    </row>
    <row r="47" spans="1:27" x14ac:dyDescent="0.3">
      <c r="A47">
        <v>46</v>
      </c>
      <c r="B47" t="s">
        <v>169</v>
      </c>
      <c r="C47">
        <v>99019875</v>
      </c>
      <c r="D47" s="7" t="s">
        <v>69</v>
      </c>
      <c r="E47" t="s">
        <v>70</v>
      </c>
      <c r="F47" t="s">
        <v>170</v>
      </c>
      <c r="G47" t="s">
        <v>177</v>
      </c>
      <c r="H47" s="133">
        <v>1000</v>
      </c>
      <c r="I47">
        <v>0</v>
      </c>
      <c r="J47" s="133">
        <v>1000</v>
      </c>
      <c r="K47" s="133">
        <v>10445</v>
      </c>
      <c r="L47" s="133">
        <v>10445</v>
      </c>
      <c r="M47" s="150">
        <v>0.37690972222222219</v>
      </c>
      <c r="N47" s="150">
        <v>0.37692129629629628</v>
      </c>
      <c r="O47" t="s">
        <v>172</v>
      </c>
      <c r="Q47">
        <v>36858</v>
      </c>
      <c r="R47">
        <v>36858</v>
      </c>
      <c r="S47">
        <v>36758</v>
      </c>
      <c r="T47">
        <v>0</v>
      </c>
      <c r="U47" t="s">
        <v>173</v>
      </c>
      <c r="V47">
        <v>0</v>
      </c>
      <c r="W47" t="s">
        <v>174</v>
      </c>
      <c r="X47">
        <v>36758</v>
      </c>
      <c r="Z47" t="s">
        <v>175</v>
      </c>
      <c r="AA47" t="s">
        <v>173</v>
      </c>
    </row>
    <row r="48" spans="1:27" x14ac:dyDescent="0.3">
      <c r="A48">
        <v>47</v>
      </c>
      <c r="B48" t="s">
        <v>169</v>
      </c>
      <c r="C48">
        <v>99019875</v>
      </c>
      <c r="D48" s="7" t="s">
        <v>140</v>
      </c>
      <c r="E48" t="s">
        <v>178</v>
      </c>
      <c r="F48" t="s">
        <v>176</v>
      </c>
      <c r="G48" t="s">
        <v>177</v>
      </c>
      <c r="H48" s="133">
        <v>1000</v>
      </c>
      <c r="I48">
        <v>0</v>
      </c>
      <c r="J48">
        <v>95</v>
      </c>
      <c r="K48" s="133">
        <v>8625</v>
      </c>
      <c r="L48" s="133">
        <v>8625</v>
      </c>
      <c r="M48" s="150">
        <v>0.37692129629629628</v>
      </c>
      <c r="N48" s="150">
        <v>0.37693287037037032</v>
      </c>
      <c r="O48" t="s">
        <v>172</v>
      </c>
      <c r="Q48">
        <v>36998</v>
      </c>
      <c r="R48">
        <v>36998</v>
      </c>
      <c r="S48">
        <v>36807</v>
      </c>
      <c r="T48">
        <v>905</v>
      </c>
      <c r="U48" t="s">
        <v>173</v>
      </c>
      <c r="V48">
        <v>0</v>
      </c>
      <c r="W48" t="s">
        <v>174</v>
      </c>
      <c r="X48">
        <v>36807</v>
      </c>
      <c r="Z48" t="s">
        <v>175</v>
      </c>
      <c r="AA48" t="s">
        <v>173</v>
      </c>
    </row>
    <row r="49" spans="1:27" x14ac:dyDescent="0.3">
      <c r="A49">
        <v>48</v>
      </c>
      <c r="B49" t="s">
        <v>169</v>
      </c>
      <c r="C49">
        <v>99019875</v>
      </c>
      <c r="D49" s="7" t="s">
        <v>124</v>
      </c>
      <c r="E49" t="s">
        <v>125</v>
      </c>
      <c r="F49" t="s">
        <v>170</v>
      </c>
      <c r="G49" t="s">
        <v>177</v>
      </c>
      <c r="H49" s="133">
        <v>1000</v>
      </c>
      <c r="I49">
        <v>0</v>
      </c>
      <c r="J49">
        <v>28</v>
      </c>
      <c r="K49" s="133">
        <v>17880</v>
      </c>
      <c r="L49" s="133">
        <v>17880</v>
      </c>
      <c r="M49" s="150">
        <v>0.37693287037037032</v>
      </c>
      <c r="N49" s="150">
        <v>0.37694444444444447</v>
      </c>
      <c r="O49" t="s">
        <v>172</v>
      </c>
      <c r="Q49">
        <v>37314</v>
      </c>
      <c r="R49">
        <v>37314</v>
      </c>
      <c r="S49">
        <v>37294</v>
      </c>
      <c r="T49">
        <v>972</v>
      </c>
      <c r="U49" t="s">
        <v>173</v>
      </c>
      <c r="V49">
        <v>0</v>
      </c>
      <c r="W49" t="s">
        <v>174</v>
      </c>
      <c r="X49">
        <v>37294</v>
      </c>
      <c r="Z49" t="s">
        <v>175</v>
      </c>
      <c r="AA49" t="s">
        <v>173</v>
      </c>
    </row>
    <row r="50" spans="1:27" x14ac:dyDescent="0.3">
      <c r="A50">
        <v>49</v>
      </c>
      <c r="B50" t="s">
        <v>169</v>
      </c>
      <c r="C50">
        <v>99019875</v>
      </c>
      <c r="D50" s="7" t="s">
        <v>110</v>
      </c>
      <c r="E50" t="s">
        <v>179</v>
      </c>
      <c r="F50" t="s">
        <v>170</v>
      </c>
      <c r="G50" t="s">
        <v>177</v>
      </c>
      <c r="H50">
        <v>500</v>
      </c>
      <c r="I50">
        <v>0</v>
      </c>
      <c r="J50">
        <v>1</v>
      </c>
      <c r="K50" s="133">
        <v>49385</v>
      </c>
      <c r="L50" s="133">
        <v>49385</v>
      </c>
      <c r="M50" s="150">
        <v>0.3769675925925926</v>
      </c>
      <c r="N50" s="150">
        <v>0.3769675925925926</v>
      </c>
      <c r="O50" t="s">
        <v>172</v>
      </c>
      <c r="Q50">
        <v>37812</v>
      </c>
      <c r="R50">
        <v>37812</v>
      </c>
      <c r="S50">
        <v>37796</v>
      </c>
      <c r="T50">
        <v>499</v>
      </c>
      <c r="U50" t="s">
        <v>173</v>
      </c>
      <c r="V50">
        <v>0</v>
      </c>
      <c r="W50" t="s">
        <v>174</v>
      </c>
      <c r="X50">
        <v>37796</v>
      </c>
      <c r="Z50" t="s">
        <v>175</v>
      </c>
      <c r="AA50" t="s">
        <v>173</v>
      </c>
    </row>
    <row r="51" spans="1:27" x14ac:dyDescent="0.3">
      <c r="A51">
        <v>50</v>
      </c>
      <c r="B51" t="s">
        <v>169</v>
      </c>
      <c r="C51">
        <v>99019875</v>
      </c>
      <c r="D51" s="7" t="s">
        <v>96</v>
      </c>
      <c r="E51" t="s">
        <v>97</v>
      </c>
      <c r="F51" t="s">
        <v>176</v>
      </c>
      <c r="G51" t="s">
        <v>177</v>
      </c>
      <c r="H51" s="133">
        <v>1000</v>
      </c>
      <c r="I51">
        <v>0</v>
      </c>
      <c r="J51">
        <v>14</v>
      </c>
      <c r="K51" s="133">
        <v>8375</v>
      </c>
      <c r="L51" s="133">
        <v>8375</v>
      </c>
      <c r="M51" s="150">
        <v>0.37697916666666664</v>
      </c>
      <c r="N51" s="150">
        <v>0.37697916666666664</v>
      </c>
      <c r="O51" t="s">
        <v>172</v>
      </c>
      <c r="Q51">
        <v>37989</v>
      </c>
      <c r="R51">
        <v>37989</v>
      </c>
      <c r="S51">
        <v>37572</v>
      </c>
      <c r="T51">
        <v>986</v>
      </c>
      <c r="U51" t="s">
        <v>173</v>
      </c>
      <c r="V51">
        <v>0</v>
      </c>
      <c r="W51" t="s">
        <v>174</v>
      </c>
      <c r="X51">
        <v>37572</v>
      </c>
      <c r="Z51" t="s">
        <v>175</v>
      </c>
      <c r="AA51" t="s">
        <v>173</v>
      </c>
    </row>
    <row r="52" spans="1:27" x14ac:dyDescent="0.3">
      <c r="A52">
        <v>51</v>
      </c>
      <c r="B52" t="s">
        <v>169</v>
      </c>
      <c r="C52">
        <v>99019875</v>
      </c>
      <c r="D52" s="7" t="s">
        <v>100</v>
      </c>
      <c r="E52" t="s">
        <v>101</v>
      </c>
      <c r="F52" t="s">
        <v>176</v>
      </c>
      <c r="G52" t="s">
        <v>177</v>
      </c>
      <c r="H52" s="133">
        <v>1000</v>
      </c>
      <c r="I52">
        <v>0</v>
      </c>
      <c r="J52">
        <v>1</v>
      </c>
      <c r="K52" s="133">
        <v>15545</v>
      </c>
      <c r="L52" s="133">
        <v>15545</v>
      </c>
      <c r="M52" s="150">
        <v>0.37703703703703706</v>
      </c>
      <c r="N52" s="150">
        <v>0.3770486111111111</v>
      </c>
      <c r="O52" t="s">
        <v>172</v>
      </c>
      <c r="Q52">
        <v>39089</v>
      </c>
      <c r="R52">
        <v>39089</v>
      </c>
      <c r="S52">
        <v>39000</v>
      </c>
      <c r="T52">
        <v>999</v>
      </c>
      <c r="U52" t="s">
        <v>173</v>
      </c>
      <c r="V52">
        <v>0</v>
      </c>
      <c r="W52" t="s">
        <v>174</v>
      </c>
      <c r="X52">
        <v>39000</v>
      </c>
      <c r="Z52" t="s">
        <v>175</v>
      </c>
      <c r="AA52" t="s">
        <v>173</v>
      </c>
    </row>
    <row r="53" spans="1:27" x14ac:dyDescent="0.3">
      <c r="A53">
        <v>52</v>
      </c>
      <c r="B53" t="s">
        <v>169</v>
      </c>
      <c r="C53">
        <v>99019875</v>
      </c>
      <c r="D53" s="7" t="s">
        <v>75</v>
      </c>
      <c r="E53" t="s">
        <v>76</v>
      </c>
      <c r="F53" t="s">
        <v>170</v>
      </c>
      <c r="G53" t="s">
        <v>177</v>
      </c>
      <c r="H53" s="133">
        <v>1000</v>
      </c>
      <c r="I53">
        <v>0</v>
      </c>
      <c r="J53">
        <v>493</v>
      </c>
      <c r="K53" s="133">
        <v>21170</v>
      </c>
      <c r="L53" s="133">
        <v>21170</v>
      </c>
      <c r="M53" s="150">
        <v>0.37706018518518519</v>
      </c>
      <c r="N53" s="150">
        <v>0.37706018518518519</v>
      </c>
      <c r="O53" t="s">
        <v>172</v>
      </c>
      <c r="Q53">
        <v>39293</v>
      </c>
      <c r="R53">
        <v>39293</v>
      </c>
      <c r="S53">
        <v>39256</v>
      </c>
      <c r="T53">
        <v>507</v>
      </c>
      <c r="U53" t="s">
        <v>173</v>
      </c>
      <c r="V53">
        <v>0</v>
      </c>
      <c r="W53" t="s">
        <v>174</v>
      </c>
      <c r="X53">
        <v>39256</v>
      </c>
      <c r="Z53" t="s">
        <v>175</v>
      </c>
      <c r="AA53" t="s">
        <v>173</v>
      </c>
    </row>
    <row r="54" spans="1:27" x14ac:dyDescent="0.3">
      <c r="A54">
        <v>53</v>
      </c>
      <c r="B54" t="s">
        <v>169</v>
      </c>
      <c r="C54">
        <v>99019875</v>
      </c>
      <c r="D54" s="7" t="s">
        <v>73</v>
      </c>
      <c r="E54" t="s">
        <v>74</v>
      </c>
      <c r="F54" t="s">
        <v>170</v>
      </c>
      <c r="G54" t="s">
        <v>177</v>
      </c>
      <c r="H54" s="133">
        <v>1000</v>
      </c>
      <c r="I54">
        <v>0</v>
      </c>
      <c r="J54" s="133">
        <v>1000</v>
      </c>
      <c r="K54" s="133">
        <v>18935</v>
      </c>
      <c r="L54" s="133">
        <v>18935</v>
      </c>
      <c r="M54" s="150">
        <v>0.37708333333333338</v>
      </c>
      <c r="N54" s="150">
        <v>0.37708333333333338</v>
      </c>
      <c r="O54" t="s">
        <v>172</v>
      </c>
      <c r="Q54">
        <v>39698</v>
      </c>
      <c r="R54">
        <v>39698</v>
      </c>
      <c r="S54">
        <v>39622</v>
      </c>
      <c r="T54">
        <v>0</v>
      </c>
      <c r="U54" t="s">
        <v>173</v>
      </c>
      <c r="V54">
        <v>0</v>
      </c>
      <c r="W54" t="s">
        <v>174</v>
      </c>
      <c r="X54">
        <v>39622</v>
      </c>
      <c r="Z54" t="s">
        <v>175</v>
      </c>
      <c r="AA54" t="s">
        <v>173</v>
      </c>
    </row>
    <row r="55" spans="1:27" x14ac:dyDescent="0.3">
      <c r="A55">
        <v>54</v>
      </c>
      <c r="B55" t="s">
        <v>169</v>
      </c>
      <c r="C55">
        <v>99019875</v>
      </c>
      <c r="D55" s="7" t="s">
        <v>73</v>
      </c>
      <c r="E55" t="s">
        <v>74</v>
      </c>
      <c r="F55" t="s">
        <v>176</v>
      </c>
      <c r="G55" t="s">
        <v>177</v>
      </c>
      <c r="H55" s="133">
        <v>1000</v>
      </c>
      <c r="I55">
        <v>0</v>
      </c>
      <c r="J55" s="133">
        <v>1000</v>
      </c>
      <c r="K55" s="133">
        <v>19005</v>
      </c>
      <c r="L55" s="133">
        <v>19005</v>
      </c>
      <c r="M55" s="150">
        <v>0.37708333333333338</v>
      </c>
      <c r="N55" s="150">
        <v>0.37717592592592591</v>
      </c>
      <c r="O55" t="s">
        <v>172</v>
      </c>
      <c r="Q55">
        <v>39745</v>
      </c>
      <c r="R55">
        <v>39745</v>
      </c>
      <c r="S55">
        <v>39697</v>
      </c>
      <c r="T55">
        <v>0</v>
      </c>
      <c r="U55" t="s">
        <v>173</v>
      </c>
      <c r="V55">
        <v>0</v>
      </c>
      <c r="W55" t="s">
        <v>174</v>
      </c>
      <c r="X55">
        <v>39697</v>
      </c>
      <c r="Z55" t="s">
        <v>175</v>
      </c>
      <c r="AA55" t="s">
        <v>173</v>
      </c>
    </row>
    <row r="56" spans="1:27" x14ac:dyDescent="0.3">
      <c r="A56">
        <v>55</v>
      </c>
      <c r="B56" t="s">
        <v>169</v>
      </c>
      <c r="C56">
        <v>99019875</v>
      </c>
      <c r="D56" s="7" t="s">
        <v>77</v>
      </c>
      <c r="E56" t="s">
        <v>78</v>
      </c>
      <c r="F56" t="s">
        <v>176</v>
      </c>
      <c r="G56" t="s">
        <v>177</v>
      </c>
      <c r="H56" s="133">
        <v>1000</v>
      </c>
      <c r="I56">
        <v>0</v>
      </c>
      <c r="J56">
        <v>1</v>
      </c>
      <c r="K56" s="133">
        <v>7260</v>
      </c>
      <c r="L56" s="133">
        <v>7260</v>
      </c>
      <c r="M56" s="150">
        <v>0.37708333333333338</v>
      </c>
      <c r="N56" s="150">
        <v>0.37710648148148151</v>
      </c>
      <c r="O56" t="s">
        <v>172</v>
      </c>
      <c r="Q56">
        <v>39759</v>
      </c>
      <c r="R56">
        <v>39759</v>
      </c>
      <c r="S56">
        <v>39632</v>
      </c>
      <c r="T56">
        <v>999</v>
      </c>
      <c r="U56" t="s">
        <v>173</v>
      </c>
      <c r="V56">
        <v>0</v>
      </c>
      <c r="W56" t="s">
        <v>174</v>
      </c>
      <c r="X56">
        <v>39632</v>
      </c>
      <c r="Z56" t="s">
        <v>175</v>
      </c>
      <c r="AA56" t="s">
        <v>173</v>
      </c>
    </row>
    <row r="57" spans="1:27" x14ac:dyDescent="0.3">
      <c r="A57">
        <v>56</v>
      </c>
      <c r="B57" t="s">
        <v>169</v>
      </c>
      <c r="C57">
        <v>99019875</v>
      </c>
      <c r="D57" s="7" t="s">
        <v>67</v>
      </c>
      <c r="E57" t="s">
        <v>68</v>
      </c>
      <c r="F57" t="s">
        <v>176</v>
      </c>
      <c r="G57" t="s">
        <v>177</v>
      </c>
      <c r="H57" s="133">
        <v>1000</v>
      </c>
      <c r="I57">
        <v>0</v>
      </c>
      <c r="J57">
        <v>3</v>
      </c>
      <c r="K57" s="133">
        <v>4945</v>
      </c>
      <c r="L57" s="133">
        <v>4945</v>
      </c>
      <c r="M57" s="150">
        <v>0.37717592592592591</v>
      </c>
      <c r="N57" s="150">
        <v>0.37724537037037037</v>
      </c>
      <c r="O57" t="s">
        <v>172</v>
      </c>
      <c r="Q57">
        <v>41562</v>
      </c>
      <c r="R57">
        <v>41562</v>
      </c>
      <c r="S57">
        <v>41536</v>
      </c>
      <c r="T57">
        <v>997</v>
      </c>
      <c r="U57" t="s">
        <v>173</v>
      </c>
      <c r="V57">
        <v>0</v>
      </c>
      <c r="W57" t="s">
        <v>174</v>
      </c>
      <c r="X57">
        <v>41536</v>
      </c>
      <c r="Z57" t="s">
        <v>175</v>
      </c>
      <c r="AA57" t="s">
        <v>173</v>
      </c>
    </row>
    <row r="58" spans="1:27" x14ac:dyDescent="0.3">
      <c r="A58">
        <v>57</v>
      </c>
      <c r="B58" t="s">
        <v>169</v>
      </c>
      <c r="C58">
        <v>99019875</v>
      </c>
      <c r="D58" s="7" t="s">
        <v>65</v>
      </c>
      <c r="E58" t="s">
        <v>66</v>
      </c>
      <c r="F58" t="s">
        <v>176</v>
      </c>
      <c r="G58" t="s">
        <v>177</v>
      </c>
      <c r="H58" s="133">
        <v>1000</v>
      </c>
      <c r="I58">
        <v>0</v>
      </c>
      <c r="J58">
        <v>3</v>
      </c>
      <c r="K58" s="133">
        <v>4775</v>
      </c>
      <c r="L58" s="133">
        <v>4775</v>
      </c>
      <c r="M58" s="150">
        <v>0.37733796296296296</v>
      </c>
      <c r="N58" s="150">
        <v>0.37736111111111109</v>
      </c>
      <c r="O58" t="s">
        <v>172</v>
      </c>
      <c r="Q58">
        <v>44605</v>
      </c>
      <c r="R58">
        <v>44605</v>
      </c>
      <c r="S58">
        <v>44571</v>
      </c>
      <c r="T58">
        <v>997</v>
      </c>
      <c r="U58" t="s">
        <v>173</v>
      </c>
      <c r="V58">
        <v>0</v>
      </c>
      <c r="W58" t="s">
        <v>174</v>
      </c>
      <c r="X58">
        <v>44571</v>
      </c>
      <c r="Z58" t="s">
        <v>175</v>
      </c>
      <c r="AA58" t="s">
        <v>173</v>
      </c>
    </row>
    <row r="59" spans="1:27" x14ac:dyDescent="0.3">
      <c r="A59">
        <v>58</v>
      </c>
      <c r="B59" t="s">
        <v>169</v>
      </c>
      <c r="C59">
        <v>99019875</v>
      </c>
      <c r="D59" s="7" t="s">
        <v>140</v>
      </c>
      <c r="E59" t="s">
        <v>178</v>
      </c>
      <c r="F59" t="s">
        <v>176</v>
      </c>
      <c r="G59" t="s">
        <v>177</v>
      </c>
      <c r="H59" s="133">
        <v>1000</v>
      </c>
      <c r="I59">
        <v>0</v>
      </c>
      <c r="J59">
        <v>1</v>
      </c>
      <c r="K59" s="133">
        <v>8595</v>
      </c>
      <c r="L59" s="133">
        <v>8595</v>
      </c>
      <c r="M59" s="150">
        <v>0.37734953703703705</v>
      </c>
      <c r="N59" s="150">
        <v>0.37736111111111109</v>
      </c>
      <c r="O59" t="s">
        <v>172</v>
      </c>
      <c r="Q59">
        <v>44796</v>
      </c>
      <c r="R59">
        <v>44796</v>
      </c>
      <c r="S59">
        <v>44780</v>
      </c>
      <c r="T59">
        <v>999</v>
      </c>
      <c r="U59" t="s">
        <v>173</v>
      </c>
      <c r="V59">
        <v>0</v>
      </c>
      <c r="W59" t="s">
        <v>174</v>
      </c>
      <c r="X59">
        <v>44780</v>
      </c>
      <c r="Z59" t="s">
        <v>175</v>
      </c>
      <c r="AA59" t="s">
        <v>173</v>
      </c>
    </row>
    <row r="60" spans="1:27" x14ac:dyDescent="0.3">
      <c r="A60">
        <v>59</v>
      </c>
      <c r="B60" t="s">
        <v>169</v>
      </c>
      <c r="C60">
        <v>99019875</v>
      </c>
      <c r="D60" s="7" t="s">
        <v>100</v>
      </c>
      <c r="E60" t="s">
        <v>101</v>
      </c>
      <c r="F60" t="s">
        <v>170</v>
      </c>
      <c r="G60" t="s">
        <v>177</v>
      </c>
      <c r="H60" s="133">
        <v>1000</v>
      </c>
      <c r="I60">
        <v>0</v>
      </c>
      <c r="J60">
        <v>4</v>
      </c>
      <c r="K60" s="133">
        <v>15490</v>
      </c>
      <c r="L60" s="133">
        <v>15490</v>
      </c>
      <c r="M60" s="150">
        <v>0.37738425925925928</v>
      </c>
      <c r="N60" s="150">
        <v>0.37739583333333332</v>
      </c>
      <c r="O60" t="s">
        <v>172</v>
      </c>
      <c r="Q60">
        <v>45470</v>
      </c>
      <c r="R60">
        <v>45470</v>
      </c>
      <c r="S60">
        <v>45432</v>
      </c>
      <c r="T60">
        <v>996</v>
      </c>
      <c r="U60" t="s">
        <v>173</v>
      </c>
      <c r="V60">
        <v>0</v>
      </c>
      <c r="W60" t="s">
        <v>174</v>
      </c>
      <c r="X60">
        <v>45432</v>
      </c>
      <c r="Z60" t="s">
        <v>175</v>
      </c>
      <c r="AA60" t="s">
        <v>173</v>
      </c>
    </row>
    <row r="61" spans="1:27" x14ac:dyDescent="0.3">
      <c r="A61">
        <v>60</v>
      </c>
      <c r="B61" t="s">
        <v>169</v>
      </c>
      <c r="C61">
        <v>99019875</v>
      </c>
      <c r="D61" s="7" t="s">
        <v>81</v>
      </c>
      <c r="E61" t="s">
        <v>82</v>
      </c>
      <c r="F61" t="s">
        <v>170</v>
      </c>
      <c r="G61" t="s">
        <v>177</v>
      </c>
      <c r="H61" s="133">
        <v>1000</v>
      </c>
      <c r="I61">
        <v>0</v>
      </c>
      <c r="J61">
        <v>32</v>
      </c>
      <c r="K61" s="133">
        <v>36620</v>
      </c>
      <c r="L61" s="133">
        <v>36620</v>
      </c>
      <c r="M61" s="150">
        <v>0.37739583333333332</v>
      </c>
      <c r="N61" s="150">
        <v>0.37741898148148145</v>
      </c>
      <c r="O61" t="s">
        <v>172</v>
      </c>
      <c r="Q61">
        <v>45728</v>
      </c>
      <c r="R61">
        <v>45728</v>
      </c>
      <c r="S61">
        <v>45712</v>
      </c>
      <c r="T61">
        <v>968</v>
      </c>
      <c r="U61" t="s">
        <v>173</v>
      </c>
      <c r="V61">
        <v>0</v>
      </c>
      <c r="W61" t="s">
        <v>174</v>
      </c>
      <c r="X61">
        <v>45712</v>
      </c>
      <c r="Z61" t="s">
        <v>175</v>
      </c>
      <c r="AA61" t="s">
        <v>173</v>
      </c>
    </row>
    <row r="62" spans="1:27" x14ac:dyDescent="0.3">
      <c r="A62">
        <v>61</v>
      </c>
      <c r="B62" t="s">
        <v>169</v>
      </c>
      <c r="C62">
        <v>99019875</v>
      </c>
      <c r="D62" s="7" t="s">
        <v>110</v>
      </c>
      <c r="E62" t="s">
        <v>179</v>
      </c>
      <c r="F62" t="s">
        <v>170</v>
      </c>
      <c r="G62" t="s">
        <v>177</v>
      </c>
      <c r="H62">
        <v>500</v>
      </c>
      <c r="I62">
        <v>0</v>
      </c>
      <c r="J62">
        <v>9</v>
      </c>
      <c r="K62" s="133">
        <v>49355</v>
      </c>
      <c r="L62" s="133">
        <v>49355</v>
      </c>
      <c r="M62" s="150">
        <v>0.37741898148148145</v>
      </c>
      <c r="N62" s="150">
        <v>0.37741898148148145</v>
      </c>
      <c r="O62" t="s">
        <v>172</v>
      </c>
      <c r="Q62">
        <v>46168</v>
      </c>
      <c r="R62">
        <v>46168</v>
      </c>
      <c r="S62">
        <v>46129</v>
      </c>
      <c r="T62">
        <v>491</v>
      </c>
      <c r="U62" t="s">
        <v>173</v>
      </c>
      <c r="V62">
        <v>0</v>
      </c>
      <c r="W62" t="s">
        <v>174</v>
      </c>
      <c r="X62">
        <v>46129</v>
      </c>
      <c r="Z62" t="s">
        <v>175</v>
      </c>
      <c r="AA62" t="s">
        <v>173</v>
      </c>
    </row>
    <row r="63" spans="1:27" x14ac:dyDescent="0.3">
      <c r="A63">
        <v>62</v>
      </c>
      <c r="B63" t="s">
        <v>169</v>
      </c>
      <c r="C63">
        <v>99019875</v>
      </c>
      <c r="D63" s="7" t="s">
        <v>62</v>
      </c>
      <c r="E63" t="s">
        <v>63</v>
      </c>
      <c r="F63" t="s">
        <v>176</v>
      </c>
      <c r="G63" t="s">
        <v>177</v>
      </c>
      <c r="H63" s="133">
        <v>1000</v>
      </c>
      <c r="I63">
        <v>0</v>
      </c>
      <c r="J63" s="133">
        <v>1000</v>
      </c>
      <c r="K63" s="133">
        <v>33995</v>
      </c>
      <c r="L63" s="133">
        <v>33995</v>
      </c>
      <c r="M63" s="150">
        <v>0.37743055555555555</v>
      </c>
      <c r="N63" s="150">
        <v>0.37743055555555555</v>
      </c>
      <c r="O63" t="s">
        <v>172</v>
      </c>
      <c r="Q63">
        <v>46523</v>
      </c>
      <c r="R63">
        <v>46523</v>
      </c>
      <c r="S63">
        <v>46518</v>
      </c>
      <c r="T63">
        <v>0</v>
      </c>
      <c r="U63" t="s">
        <v>173</v>
      </c>
      <c r="V63">
        <v>0</v>
      </c>
      <c r="W63" t="s">
        <v>174</v>
      </c>
      <c r="X63">
        <v>46518</v>
      </c>
      <c r="Z63" t="s">
        <v>175</v>
      </c>
      <c r="AA63" t="s">
        <v>173</v>
      </c>
    </row>
    <row r="64" spans="1:27" x14ac:dyDescent="0.3">
      <c r="A64">
        <v>63</v>
      </c>
      <c r="B64" t="s">
        <v>169</v>
      </c>
      <c r="C64">
        <v>99019875</v>
      </c>
      <c r="D64" s="7" t="s">
        <v>65</v>
      </c>
      <c r="E64" t="s">
        <v>66</v>
      </c>
      <c r="F64" t="s">
        <v>170</v>
      </c>
      <c r="G64" t="s">
        <v>177</v>
      </c>
      <c r="H64" s="133">
        <v>1000</v>
      </c>
      <c r="I64">
        <v>0</v>
      </c>
      <c r="J64" s="133">
        <v>1000</v>
      </c>
      <c r="K64" s="133">
        <v>4755</v>
      </c>
      <c r="L64" s="133">
        <v>4755</v>
      </c>
      <c r="M64" s="150">
        <v>0.37778935185185186</v>
      </c>
      <c r="N64" s="150">
        <v>0.3778009259259259</v>
      </c>
      <c r="O64" t="s">
        <v>172</v>
      </c>
      <c r="Q64">
        <v>53158</v>
      </c>
      <c r="R64">
        <v>53158</v>
      </c>
      <c r="S64">
        <v>52912</v>
      </c>
      <c r="T64">
        <v>0</v>
      </c>
      <c r="U64" t="s">
        <v>173</v>
      </c>
      <c r="V64">
        <v>0</v>
      </c>
      <c r="W64" t="s">
        <v>174</v>
      </c>
      <c r="X64">
        <v>52912</v>
      </c>
      <c r="Z64" t="s">
        <v>175</v>
      </c>
      <c r="AA64" t="s">
        <v>173</v>
      </c>
    </row>
    <row r="65" spans="1:27" x14ac:dyDescent="0.3">
      <c r="A65">
        <v>64</v>
      </c>
      <c r="B65" t="s">
        <v>169</v>
      </c>
      <c r="C65">
        <v>99019875</v>
      </c>
      <c r="D65" s="7" t="s">
        <v>77</v>
      </c>
      <c r="E65" t="s">
        <v>78</v>
      </c>
      <c r="F65" t="s">
        <v>176</v>
      </c>
      <c r="G65" t="s">
        <v>177</v>
      </c>
      <c r="H65" s="133">
        <v>1000</v>
      </c>
      <c r="I65">
        <v>0</v>
      </c>
      <c r="J65">
        <v>44</v>
      </c>
      <c r="K65" s="133">
        <v>7275</v>
      </c>
      <c r="L65" s="133">
        <v>7275</v>
      </c>
      <c r="M65" s="150">
        <v>0.37791666666666668</v>
      </c>
      <c r="N65" s="150">
        <v>0.37792824074074072</v>
      </c>
      <c r="O65" t="s">
        <v>172</v>
      </c>
      <c r="Q65">
        <v>55438</v>
      </c>
      <c r="R65">
        <v>55438</v>
      </c>
      <c r="S65">
        <v>54653</v>
      </c>
      <c r="T65">
        <v>956</v>
      </c>
      <c r="U65" t="s">
        <v>173</v>
      </c>
      <c r="V65">
        <v>0</v>
      </c>
      <c r="W65" t="s">
        <v>174</v>
      </c>
      <c r="X65">
        <v>54653</v>
      </c>
      <c r="Z65" t="s">
        <v>175</v>
      </c>
      <c r="AA65" t="s">
        <v>173</v>
      </c>
    </row>
    <row r="66" spans="1:27" x14ac:dyDescent="0.3">
      <c r="A66">
        <v>65</v>
      </c>
      <c r="B66" t="s">
        <v>169</v>
      </c>
      <c r="C66">
        <v>99019875</v>
      </c>
      <c r="D66" s="7" t="s">
        <v>69</v>
      </c>
      <c r="E66" t="s">
        <v>70</v>
      </c>
      <c r="F66" t="s">
        <v>170</v>
      </c>
      <c r="G66" t="s">
        <v>177</v>
      </c>
      <c r="H66" s="133">
        <v>1000</v>
      </c>
      <c r="I66">
        <v>0</v>
      </c>
      <c r="J66" s="133">
        <v>1000</v>
      </c>
      <c r="K66" s="133">
        <v>10515</v>
      </c>
      <c r="L66" s="133">
        <v>10515</v>
      </c>
      <c r="M66" s="150">
        <v>0.37798611111111113</v>
      </c>
      <c r="N66" s="150">
        <v>0.37802083333333331</v>
      </c>
      <c r="O66" t="s">
        <v>172</v>
      </c>
      <c r="Q66">
        <v>56930</v>
      </c>
      <c r="R66">
        <v>56930</v>
      </c>
      <c r="S66">
        <v>56881</v>
      </c>
      <c r="T66">
        <v>0</v>
      </c>
      <c r="U66" t="s">
        <v>173</v>
      </c>
      <c r="V66">
        <v>0</v>
      </c>
      <c r="W66" t="s">
        <v>174</v>
      </c>
      <c r="X66">
        <v>56881</v>
      </c>
      <c r="Z66" t="s">
        <v>175</v>
      </c>
      <c r="AA66" t="s">
        <v>173</v>
      </c>
    </row>
    <row r="67" spans="1:27" x14ac:dyDescent="0.3">
      <c r="A67">
        <v>66</v>
      </c>
      <c r="B67" t="s">
        <v>169</v>
      </c>
      <c r="C67">
        <v>99019875</v>
      </c>
      <c r="D67" s="7" t="s">
        <v>100</v>
      </c>
      <c r="E67" t="s">
        <v>101</v>
      </c>
      <c r="F67" t="s">
        <v>170</v>
      </c>
      <c r="G67" t="s">
        <v>177</v>
      </c>
      <c r="H67" s="133">
        <v>1000</v>
      </c>
      <c r="I67">
        <v>0</v>
      </c>
      <c r="J67">
        <v>2</v>
      </c>
      <c r="K67" s="133">
        <v>15495</v>
      </c>
      <c r="L67" s="133">
        <v>15495</v>
      </c>
      <c r="M67" s="150">
        <v>0.37807870370370367</v>
      </c>
      <c r="N67" s="150">
        <v>0.37809027777777776</v>
      </c>
      <c r="O67" t="s">
        <v>172</v>
      </c>
      <c r="Q67">
        <v>58759</v>
      </c>
      <c r="R67">
        <v>58759</v>
      </c>
      <c r="S67">
        <v>58710</v>
      </c>
      <c r="T67">
        <v>998</v>
      </c>
      <c r="U67" t="s">
        <v>173</v>
      </c>
      <c r="V67">
        <v>0</v>
      </c>
      <c r="W67" t="s">
        <v>174</v>
      </c>
      <c r="X67">
        <v>58710</v>
      </c>
      <c r="Z67" t="s">
        <v>175</v>
      </c>
      <c r="AA67" t="s">
        <v>173</v>
      </c>
    </row>
    <row r="68" spans="1:27" x14ac:dyDescent="0.3">
      <c r="A68">
        <v>67</v>
      </c>
      <c r="B68" t="s">
        <v>169</v>
      </c>
      <c r="C68">
        <v>99019875</v>
      </c>
      <c r="D68" s="7" t="s">
        <v>89</v>
      </c>
      <c r="E68" t="s">
        <v>90</v>
      </c>
      <c r="F68" t="s">
        <v>176</v>
      </c>
      <c r="G68" t="s">
        <v>177</v>
      </c>
      <c r="H68" s="133">
        <v>1000</v>
      </c>
      <c r="I68">
        <v>0</v>
      </c>
      <c r="J68">
        <v>1</v>
      </c>
      <c r="K68" s="133">
        <v>3105</v>
      </c>
      <c r="L68" s="133">
        <v>3105</v>
      </c>
      <c r="M68" s="150">
        <v>0.37811342592592595</v>
      </c>
      <c r="N68" s="150">
        <v>0.37812499999999999</v>
      </c>
      <c r="O68" t="s">
        <v>172</v>
      </c>
      <c r="Q68">
        <v>59218</v>
      </c>
      <c r="R68">
        <v>59218</v>
      </c>
      <c r="S68">
        <v>57300</v>
      </c>
      <c r="T68">
        <v>999</v>
      </c>
      <c r="U68" t="s">
        <v>173</v>
      </c>
      <c r="V68">
        <v>0</v>
      </c>
      <c r="W68" t="s">
        <v>174</v>
      </c>
      <c r="X68">
        <v>57300</v>
      </c>
      <c r="Z68" t="s">
        <v>175</v>
      </c>
      <c r="AA68" t="s">
        <v>173</v>
      </c>
    </row>
    <row r="69" spans="1:27" x14ac:dyDescent="0.3">
      <c r="A69">
        <v>68</v>
      </c>
      <c r="B69" t="s">
        <v>169</v>
      </c>
      <c r="C69">
        <v>99019875</v>
      </c>
      <c r="D69" s="7" t="s">
        <v>62</v>
      </c>
      <c r="E69" t="s">
        <v>63</v>
      </c>
      <c r="F69" t="s">
        <v>176</v>
      </c>
      <c r="G69" t="s">
        <v>177</v>
      </c>
      <c r="H69" s="133">
        <v>1000</v>
      </c>
      <c r="I69">
        <v>0</v>
      </c>
      <c r="J69">
        <v>164</v>
      </c>
      <c r="K69" s="133">
        <v>33950</v>
      </c>
      <c r="L69" s="133">
        <v>33950</v>
      </c>
      <c r="M69" s="150">
        <v>0.3782638888888889</v>
      </c>
      <c r="N69" s="150">
        <v>0.3782638888888889</v>
      </c>
      <c r="O69" t="s">
        <v>172</v>
      </c>
      <c r="Q69">
        <v>62222</v>
      </c>
      <c r="R69">
        <v>62222</v>
      </c>
      <c r="S69">
        <v>62177</v>
      </c>
      <c r="T69">
        <v>836</v>
      </c>
      <c r="U69" t="s">
        <v>173</v>
      </c>
      <c r="V69">
        <v>0</v>
      </c>
      <c r="W69" t="s">
        <v>174</v>
      </c>
      <c r="X69">
        <v>62177</v>
      </c>
      <c r="Z69" t="s">
        <v>175</v>
      </c>
      <c r="AA69" t="s">
        <v>173</v>
      </c>
    </row>
    <row r="70" spans="1:27" x14ac:dyDescent="0.3">
      <c r="A70">
        <v>69</v>
      </c>
      <c r="B70" t="s">
        <v>169</v>
      </c>
      <c r="C70">
        <v>99019875</v>
      </c>
      <c r="D70" s="7" t="s">
        <v>130</v>
      </c>
      <c r="E70" t="s">
        <v>131</v>
      </c>
      <c r="F70" t="s">
        <v>170</v>
      </c>
      <c r="G70" t="s">
        <v>177</v>
      </c>
      <c r="H70" s="133">
        <v>1000</v>
      </c>
      <c r="I70">
        <v>0</v>
      </c>
      <c r="J70">
        <v>1</v>
      </c>
      <c r="K70" s="133">
        <v>7395</v>
      </c>
      <c r="L70" s="133">
        <v>7395</v>
      </c>
      <c r="M70" s="150">
        <v>0.37827546296296299</v>
      </c>
      <c r="N70" s="150">
        <v>0.3783217592592592</v>
      </c>
      <c r="O70" t="s">
        <v>172</v>
      </c>
      <c r="Q70">
        <v>62389</v>
      </c>
      <c r="R70">
        <v>62389</v>
      </c>
      <c r="S70">
        <v>62385</v>
      </c>
      <c r="T70">
        <v>999</v>
      </c>
      <c r="U70" t="s">
        <v>173</v>
      </c>
      <c r="V70">
        <v>0</v>
      </c>
      <c r="W70" t="s">
        <v>174</v>
      </c>
      <c r="X70">
        <v>62385</v>
      </c>
      <c r="Z70" t="s">
        <v>175</v>
      </c>
      <c r="AA70" t="s">
        <v>173</v>
      </c>
    </row>
    <row r="71" spans="1:27" x14ac:dyDescent="0.3">
      <c r="A71">
        <v>70</v>
      </c>
      <c r="B71" t="s">
        <v>180</v>
      </c>
      <c r="C71">
        <v>99019421</v>
      </c>
      <c r="D71" s="7" t="s">
        <v>185</v>
      </c>
      <c r="E71" t="s">
        <v>181</v>
      </c>
      <c r="F71" t="s">
        <v>176</v>
      </c>
      <c r="G71" t="s">
        <v>177</v>
      </c>
      <c r="H71" s="133">
        <v>10000</v>
      </c>
      <c r="I71">
        <v>0</v>
      </c>
      <c r="J71">
        <v>4</v>
      </c>
      <c r="K71" s="133">
        <v>13450</v>
      </c>
      <c r="L71" s="133">
        <v>13450</v>
      </c>
      <c r="M71" s="150">
        <v>0.37836805555555553</v>
      </c>
      <c r="N71" s="150">
        <v>0.37836805555555553</v>
      </c>
      <c r="O71" t="s">
        <v>172</v>
      </c>
      <c r="Q71">
        <v>64171</v>
      </c>
      <c r="R71">
        <v>64171</v>
      </c>
      <c r="S71">
        <v>64081</v>
      </c>
      <c r="T71" s="133">
        <v>9996</v>
      </c>
      <c r="U71" t="s">
        <v>173</v>
      </c>
      <c r="V71">
        <v>0</v>
      </c>
      <c r="W71" t="s">
        <v>174</v>
      </c>
      <c r="X71">
        <v>64081</v>
      </c>
      <c r="Y71" t="s">
        <v>182</v>
      </c>
      <c r="Z71" t="s">
        <v>183</v>
      </c>
      <c r="AA71" t="s">
        <v>173</v>
      </c>
    </row>
    <row r="72" spans="1:27" x14ac:dyDescent="0.3">
      <c r="A72">
        <v>71</v>
      </c>
      <c r="B72" t="s">
        <v>180</v>
      </c>
      <c r="C72">
        <v>99019421</v>
      </c>
      <c r="D72" s="7" t="s">
        <v>185</v>
      </c>
      <c r="E72" t="s">
        <v>181</v>
      </c>
      <c r="F72" t="s">
        <v>176</v>
      </c>
      <c r="G72" t="s">
        <v>177</v>
      </c>
      <c r="H72" s="133">
        <v>10000</v>
      </c>
      <c r="I72">
        <v>0</v>
      </c>
      <c r="J72" s="133">
        <v>10000</v>
      </c>
      <c r="K72" s="133">
        <v>13445</v>
      </c>
      <c r="L72" s="133">
        <v>13445</v>
      </c>
      <c r="M72" s="150">
        <v>0.37839120370370366</v>
      </c>
      <c r="N72" s="150">
        <v>0.37841435185185185</v>
      </c>
      <c r="O72" t="s">
        <v>172</v>
      </c>
      <c r="Q72">
        <v>64704</v>
      </c>
      <c r="R72">
        <v>64704</v>
      </c>
      <c r="S72">
        <v>64405</v>
      </c>
      <c r="T72">
        <v>0</v>
      </c>
      <c r="U72" t="s">
        <v>173</v>
      </c>
      <c r="V72">
        <v>0</v>
      </c>
      <c r="W72" t="s">
        <v>174</v>
      </c>
      <c r="X72">
        <v>64405</v>
      </c>
      <c r="Y72" t="s">
        <v>182</v>
      </c>
      <c r="Z72" t="s">
        <v>183</v>
      </c>
      <c r="AA72" t="s">
        <v>173</v>
      </c>
    </row>
    <row r="73" spans="1:27" x14ac:dyDescent="0.3">
      <c r="A73">
        <v>72</v>
      </c>
      <c r="B73" t="s">
        <v>180</v>
      </c>
      <c r="C73">
        <v>99019421</v>
      </c>
      <c r="D73" s="7" t="s">
        <v>185</v>
      </c>
      <c r="E73" t="s">
        <v>181</v>
      </c>
      <c r="F73" t="s">
        <v>176</v>
      </c>
      <c r="G73" t="s">
        <v>177</v>
      </c>
      <c r="H73" s="133">
        <v>10000</v>
      </c>
      <c r="I73">
        <v>0</v>
      </c>
      <c r="J73" s="133">
        <v>10000</v>
      </c>
      <c r="K73" s="133">
        <v>13450</v>
      </c>
      <c r="L73" s="133">
        <v>13450</v>
      </c>
      <c r="M73" s="150">
        <v>0.37840277777777781</v>
      </c>
      <c r="N73" s="150">
        <v>0.37841435185185185</v>
      </c>
      <c r="O73" t="s">
        <v>172</v>
      </c>
      <c r="Q73">
        <v>64838</v>
      </c>
      <c r="R73">
        <v>64838</v>
      </c>
      <c r="S73">
        <v>64823</v>
      </c>
      <c r="T73">
        <v>0</v>
      </c>
      <c r="U73" t="s">
        <v>173</v>
      </c>
      <c r="V73">
        <v>0</v>
      </c>
      <c r="W73" t="s">
        <v>174</v>
      </c>
      <c r="X73">
        <v>64823</v>
      </c>
      <c r="Y73" t="s">
        <v>182</v>
      </c>
      <c r="Z73" t="s">
        <v>183</v>
      </c>
      <c r="AA73" t="s">
        <v>173</v>
      </c>
    </row>
    <row r="74" spans="1:27" x14ac:dyDescent="0.3">
      <c r="A74">
        <v>73</v>
      </c>
      <c r="B74" t="s">
        <v>180</v>
      </c>
      <c r="C74">
        <v>99019421</v>
      </c>
      <c r="D74" s="7" t="s">
        <v>185</v>
      </c>
      <c r="E74" t="s">
        <v>181</v>
      </c>
      <c r="F74" t="s">
        <v>176</v>
      </c>
      <c r="G74" t="s">
        <v>171</v>
      </c>
      <c r="H74" s="133">
        <v>10000</v>
      </c>
      <c r="I74">
        <v>0</v>
      </c>
      <c r="J74" s="133">
        <v>10000</v>
      </c>
      <c r="K74" s="133">
        <v>13460</v>
      </c>
      <c r="L74" s="133">
        <v>13460</v>
      </c>
      <c r="M74" s="150">
        <v>0.37841435185185185</v>
      </c>
      <c r="N74" s="150">
        <v>0.37843749999999998</v>
      </c>
      <c r="O74" t="s">
        <v>172</v>
      </c>
      <c r="Q74">
        <v>65093</v>
      </c>
      <c r="R74">
        <v>65093</v>
      </c>
      <c r="S74">
        <v>0</v>
      </c>
      <c r="T74">
        <v>0</v>
      </c>
      <c r="U74" t="s">
        <v>173</v>
      </c>
      <c r="V74">
        <v>0</v>
      </c>
      <c r="W74" t="s">
        <v>174</v>
      </c>
      <c r="X74">
        <v>0</v>
      </c>
      <c r="Y74" t="s">
        <v>182</v>
      </c>
      <c r="Z74" t="s">
        <v>183</v>
      </c>
      <c r="AA74" t="s">
        <v>173</v>
      </c>
    </row>
    <row r="75" spans="1:27" x14ac:dyDescent="0.3">
      <c r="A75">
        <v>74</v>
      </c>
      <c r="B75" t="s">
        <v>180</v>
      </c>
      <c r="C75">
        <v>99019421</v>
      </c>
      <c r="D75" s="7" t="s">
        <v>185</v>
      </c>
      <c r="E75" t="s">
        <v>181</v>
      </c>
      <c r="F75" t="s">
        <v>176</v>
      </c>
      <c r="G75" t="s">
        <v>177</v>
      </c>
      <c r="H75" s="133">
        <v>10000</v>
      </c>
      <c r="I75">
        <v>0</v>
      </c>
      <c r="J75">
        <v>69</v>
      </c>
      <c r="K75" s="133">
        <v>13465</v>
      </c>
      <c r="L75" s="133">
        <v>13465</v>
      </c>
      <c r="M75" s="150">
        <v>0.37842592592592594</v>
      </c>
      <c r="N75" s="150">
        <v>0.37844907407407408</v>
      </c>
      <c r="O75" t="s">
        <v>172</v>
      </c>
      <c r="Q75">
        <v>65258</v>
      </c>
      <c r="R75">
        <v>65258</v>
      </c>
      <c r="S75">
        <v>65148</v>
      </c>
      <c r="T75" s="133">
        <v>9931</v>
      </c>
      <c r="U75" t="s">
        <v>173</v>
      </c>
      <c r="V75">
        <v>0</v>
      </c>
      <c r="W75" t="s">
        <v>174</v>
      </c>
      <c r="X75">
        <v>65148</v>
      </c>
      <c r="Y75" t="s">
        <v>182</v>
      </c>
      <c r="Z75" t="s">
        <v>183</v>
      </c>
      <c r="AA75" t="s">
        <v>173</v>
      </c>
    </row>
    <row r="76" spans="1:27" x14ac:dyDescent="0.3">
      <c r="A76">
        <v>75</v>
      </c>
      <c r="B76" t="s">
        <v>180</v>
      </c>
      <c r="C76">
        <v>99019421</v>
      </c>
      <c r="D76" s="7" t="s">
        <v>185</v>
      </c>
      <c r="E76" t="s">
        <v>181</v>
      </c>
      <c r="F76" t="s">
        <v>176</v>
      </c>
      <c r="G76" t="s">
        <v>171</v>
      </c>
      <c r="H76" s="133">
        <v>10000</v>
      </c>
      <c r="I76">
        <v>0</v>
      </c>
      <c r="J76">
        <v>468</v>
      </c>
      <c r="K76" s="133">
        <v>13470</v>
      </c>
      <c r="L76" s="133">
        <v>13470</v>
      </c>
      <c r="M76" s="150">
        <v>0.37844907407407408</v>
      </c>
      <c r="N76" s="150">
        <v>0.37844907407407408</v>
      </c>
      <c r="O76" t="s">
        <v>172</v>
      </c>
      <c r="Q76">
        <v>65494</v>
      </c>
      <c r="R76">
        <v>65494</v>
      </c>
      <c r="S76">
        <v>0</v>
      </c>
      <c r="T76" s="133">
        <v>9532</v>
      </c>
      <c r="U76" t="s">
        <v>173</v>
      </c>
      <c r="V76">
        <v>0</v>
      </c>
      <c r="W76" t="s">
        <v>174</v>
      </c>
      <c r="X76">
        <v>0</v>
      </c>
      <c r="Y76" t="s">
        <v>182</v>
      </c>
      <c r="Z76" t="s">
        <v>183</v>
      </c>
      <c r="AA76" t="s">
        <v>173</v>
      </c>
    </row>
    <row r="77" spans="1:27" x14ac:dyDescent="0.3">
      <c r="A77">
        <v>76</v>
      </c>
      <c r="B77" t="s">
        <v>169</v>
      </c>
      <c r="C77">
        <v>99019875</v>
      </c>
      <c r="D77" s="7" t="s">
        <v>98</v>
      </c>
      <c r="E77" t="s">
        <v>99</v>
      </c>
      <c r="F77" t="s">
        <v>176</v>
      </c>
      <c r="G77" t="s">
        <v>177</v>
      </c>
      <c r="H77" s="133">
        <v>1000</v>
      </c>
      <c r="I77">
        <v>0</v>
      </c>
      <c r="J77">
        <v>921</v>
      </c>
      <c r="K77" s="133">
        <v>13865</v>
      </c>
      <c r="L77" s="133">
        <v>13865</v>
      </c>
      <c r="M77" s="150">
        <v>0.37844907407407408</v>
      </c>
      <c r="N77" s="150">
        <v>0.37844907407407408</v>
      </c>
      <c r="O77" t="s">
        <v>172</v>
      </c>
      <c r="Q77">
        <v>65538</v>
      </c>
      <c r="R77">
        <v>65538</v>
      </c>
      <c r="S77">
        <v>65523</v>
      </c>
      <c r="T77">
        <v>79</v>
      </c>
      <c r="U77" t="s">
        <v>173</v>
      </c>
      <c r="V77">
        <v>0</v>
      </c>
      <c r="W77" t="s">
        <v>174</v>
      </c>
      <c r="X77">
        <v>65523</v>
      </c>
      <c r="Z77" t="s">
        <v>175</v>
      </c>
      <c r="AA77" t="s">
        <v>173</v>
      </c>
    </row>
    <row r="78" spans="1:27" x14ac:dyDescent="0.3">
      <c r="A78">
        <v>77</v>
      </c>
      <c r="B78" t="s">
        <v>169</v>
      </c>
      <c r="C78">
        <v>99019875</v>
      </c>
      <c r="D78" s="7" t="s">
        <v>140</v>
      </c>
      <c r="E78" t="s">
        <v>178</v>
      </c>
      <c r="F78" t="s">
        <v>176</v>
      </c>
      <c r="G78" t="s">
        <v>177</v>
      </c>
      <c r="H78" s="133">
        <v>1000</v>
      </c>
      <c r="I78">
        <v>0</v>
      </c>
      <c r="J78" s="133">
        <v>1000</v>
      </c>
      <c r="K78" s="133">
        <v>8570</v>
      </c>
      <c r="L78" s="133">
        <v>8570</v>
      </c>
      <c r="M78" s="150">
        <v>0.37846064814814812</v>
      </c>
      <c r="N78" s="150">
        <v>0.37846064814814812</v>
      </c>
      <c r="O78" t="s">
        <v>172</v>
      </c>
      <c r="Q78">
        <v>65630</v>
      </c>
      <c r="R78">
        <v>65630</v>
      </c>
      <c r="S78">
        <v>65245</v>
      </c>
      <c r="T78">
        <v>0</v>
      </c>
      <c r="U78" t="s">
        <v>173</v>
      </c>
      <c r="V78">
        <v>0</v>
      </c>
      <c r="W78" t="s">
        <v>174</v>
      </c>
      <c r="X78">
        <v>65245</v>
      </c>
      <c r="Z78" t="s">
        <v>175</v>
      </c>
      <c r="AA78" t="s">
        <v>173</v>
      </c>
    </row>
    <row r="79" spans="1:27" x14ac:dyDescent="0.3">
      <c r="A79">
        <v>78</v>
      </c>
      <c r="B79" t="s">
        <v>180</v>
      </c>
      <c r="C79">
        <v>99019421</v>
      </c>
      <c r="D79" s="7" t="s">
        <v>185</v>
      </c>
      <c r="E79" t="s">
        <v>181</v>
      </c>
      <c r="F79" t="s">
        <v>176</v>
      </c>
      <c r="G79" t="s">
        <v>177</v>
      </c>
      <c r="H79" s="133">
        <v>10000</v>
      </c>
      <c r="I79">
        <v>0</v>
      </c>
      <c r="J79">
        <v>122</v>
      </c>
      <c r="K79" s="133">
        <v>13470</v>
      </c>
      <c r="L79" s="133">
        <v>13470</v>
      </c>
      <c r="M79" s="150">
        <v>0.3784953703703704</v>
      </c>
      <c r="N79" s="150">
        <v>0.3784953703703704</v>
      </c>
      <c r="O79" t="s">
        <v>172</v>
      </c>
      <c r="Q79">
        <v>66531</v>
      </c>
      <c r="R79">
        <v>66531</v>
      </c>
      <c r="S79">
        <v>65847</v>
      </c>
      <c r="T79" s="133">
        <v>9878</v>
      </c>
      <c r="U79" t="s">
        <v>173</v>
      </c>
      <c r="V79">
        <v>0</v>
      </c>
      <c r="W79" t="s">
        <v>174</v>
      </c>
      <c r="X79">
        <v>65847</v>
      </c>
      <c r="Y79" t="s">
        <v>182</v>
      </c>
      <c r="Z79" t="s">
        <v>183</v>
      </c>
      <c r="AA79" t="s">
        <v>173</v>
      </c>
    </row>
    <row r="80" spans="1:27" x14ac:dyDescent="0.3">
      <c r="A80">
        <v>79</v>
      </c>
      <c r="B80" t="s">
        <v>180</v>
      </c>
      <c r="C80">
        <v>99019421</v>
      </c>
      <c r="D80" s="7" t="s">
        <v>185</v>
      </c>
      <c r="E80" t="s">
        <v>181</v>
      </c>
      <c r="F80" t="s">
        <v>176</v>
      </c>
      <c r="G80" t="s">
        <v>177</v>
      </c>
      <c r="H80" s="133">
        <v>10000</v>
      </c>
      <c r="I80">
        <v>0</v>
      </c>
      <c r="J80" s="133">
        <v>1981</v>
      </c>
      <c r="K80" s="133">
        <v>13450</v>
      </c>
      <c r="L80" s="133">
        <v>13450</v>
      </c>
      <c r="M80" s="150">
        <v>0.37850694444444444</v>
      </c>
      <c r="N80" s="150">
        <v>0.37850694444444444</v>
      </c>
      <c r="O80" t="s">
        <v>172</v>
      </c>
      <c r="Q80">
        <v>66811</v>
      </c>
      <c r="R80">
        <v>66811</v>
      </c>
      <c r="S80">
        <v>66757</v>
      </c>
      <c r="T80" s="133">
        <v>8019</v>
      </c>
      <c r="U80" t="s">
        <v>173</v>
      </c>
      <c r="V80">
        <v>0</v>
      </c>
      <c r="W80" t="s">
        <v>174</v>
      </c>
      <c r="X80">
        <v>66757</v>
      </c>
      <c r="Y80" t="s">
        <v>182</v>
      </c>
      <c r="Z80" t="s">
        <v>183</v>
      </c>
      <c r="AA80" t="s">
        <v>173</v>
      </c>
    </row>
    <row r="81" spans="1:27" x14ac:dyDescent="0.3">
      <c r="A81">
        <v>80</v>
      </c>
      <c r="B81" t="s">
        <v>180</v>
      </c>
      <c r="C81">
        <v>99019421</v>
      </c>
      <c r="D81" s="7" t="s">
        <v>185</v>
      </c>
      <c r="E81" t="s">
        <v>181</v>
      </c>
      <c r="F81" t="s">
        <v>176</v>
      </c>
      <c r="G81" t="s">
        <v>177</v>
      </c>
      <c r="H81" s="133">
        <v>10000</v>
      </c>
      <c r="I81">
        <v>0</v>
      </c>
      <c r="J81">
        <v>76</v>
      </c>
      <c r="K81" s="133">
        <v>13465</v>
      </c>
      <c r="L81" s="133">
        <v>13465</v>
      </c>
      <c r="M81" s="150">
        <v>0.37853009259259257</v>
      </c>
      <c r="N81" s="150">
        <v>0.37855324074074076</v>
      </c>
      <c r="O81" t="s">
        <v>172</v>
      </c>
      <c r="Q81">
        <v>67323</v>
      </c>
      <c r="R81">
        <v>67323</v>
      </c>
      <c r="S81">
        <v>67316</v>
      </c>
      <c r="T81" s="133">
        <v>9924</v>
      </c>
      <c r="U81" t="s">
        <v>173</v>
      </c>
      <c r="V81">
        <v>0</v>
      </c>
      <c r="W81" t="s">
        <v>174</v>
      </c>
      <c r="X81">
        <v>67316</v>
      </c>
      <c r="Y81" t="s">
        <v>182</v>
      </c>
      <c r="Z81" t="s">
        <v>183</v>
      </c>
      <c r="AA81" t="s">
        <v>173</v>
      </c>
    </row>
    <row r="82" spans="1:27" x14ac:dyDescent="0.3">
      <c r="A82">
        <v>81</v>
      </c>
      <c r="B82" t="s">
        <v>180</v>
      </c>
      <c r="C82">
        <v>99019421</v>
      </c>
      <c r="D82" s="7" t="s">
        <v>185</v>
      </c>
      <c r="E82" t="s">
        <v>181</v>
      </c>
      <c r="F82" t="s">
        <v>176</v>
      </c>
      <c r="G82" t="s">
        <v>177</v>
      </c>
      <c r="H82" s="133">
        <v>10000</v>
      </c>
      <c r="I82">
        <v>0</v>
      </c>
      <c r="J82" s="133">
        <v>10000</v>
      </c>
      <c r="K82" s="133">
        <v>13460</v>
      </c>
      <c r="L82" s="133">
        <v>13460</v>
      </c>
      <c r="M82" s="150">
        <v>0.37854166666666672</v>
      </c>
      <c r="N82" s="150">
        <v>0.37854166666666672</v>
      </c>
      <c r="O82" t="s">
        <v>172</v>
      </c>
      <c r="Q82">
        <v>67632</v>
      </c>
      <c r="R82">
        <v>67632</v>
      </c>
      <c r="S82">
        <v>67558</v>
      </c>
      <c r="T82">
        <v>0</v>
      </c>
      <c r="U82" t="s">
        <v>173</v>
      </c>
      <c r="V82">
        <v>0</v>
      </c>
      <c r="W82" t="s">
        <v>174</v>
      </c>
      <c r="X82">
        <v>67558</v>
      </c>
      <c r="Y82" t="s">
        <v>182</v>
      </c>
      <c r="Z82" t="s">
        <v>183</v>
      </c>
      <c r="AA82" t="s">
        <v>173</v>
      </c>
    </row>
    <row r="83" spans="1:27" x14ac:dyDescent="0.3">
      <c r="A83">
        <v>82</v>
      </c>
      <c r="B83" t="s">
        <v>169</v>
      </c>
      <c r="C83">
        <v>99019875</v>
      </c>
      <c r="D83" s="7" t="s">
        <v>96</v>
      </c>
      <c r="E83" t="s">
        <v>97</v>
      </c>
      <c r="F83" t="s">
        <v>176</v>
      </c>
      <c r="G83" t="s">
        <v>177</v>
      </c>
      <c r="H83" s="133">
        <v>1000</v>
      </c>
      <c r="I83">
        <v>0</v>
      </c>
      <c r="J83">
        <v>105</v>
      </c>
      <c r="K83" s="133">
        <v>8360</v>
      </c>
      <c r="L83" s="133">
        <v>8360</v>
      </c>
      <c r="M83" s="150">
        <v>0.37854166666666672</v>
      </c>
      <c r="N83" s="150">
        <v>0.37855324074074076</v>
      </c>
      <c r="O83" t="s">
        <v>172</v>
      </c>
      <c r="Q83">
        <v>67683</v>
      </c>
      <c r="R83">
        <v>67683</v>
      </c>
      <c r="S83">
        <v>67656</v>
      </c>
      <c r="T83">
        <v>895</v>
      </c>
      <c r="U83" t="s">
        <v>173</v>
      </c>
      <c r="V83">
        <v>0</v>
      </c>
      <c r="W83" t="s">
        <v>174</v>
      </c>
      <c r="X83">
        <v>67656</v>
      </c>
      <c r="Z83" t="s">
        <v>175</v>
      </c>
      <c r="AA83" t="s">
        <v>173</v>
      </c>
    </row>
    <row r="84" spans="1:27" x14ac:dyDescent="0.3">
      <c r="A84">
        <v>83</v>
      </c>
      <c r="B84" t="s">
        <v>180</v>
      </c>
      <c r="C84">
        <v>99019421</v>
      </c>
      <c r="D84" s="7" t="s">
        <v>185</v>
      </c>
      <c r="E84" t="s">
        <v>181</v>
      </c>
      <c r="F84" t="s">
        <v>176</v>
      </c>
      <c r="G84" t="s">
        <v>177</v>
      </c>
      <c r="H84" s="133">
        <v>10000</v>
      </c>
      <c r="I84">
        <v>0</v>
      </c>
      <c r="J84" s="133">
        <v>1311</v>
      </c>
      <c r="K84" s="133">
        <v>13465</v>
      </c>
      <c r="L84" s="133">
        <v>13465</v>
      </c>
      <c r="M84" s="150">
        <v>0.37858796296296293</v>
      </c>
      <c r="N84" s="150">
        <v>0.37859953703703703</v>
      </c>
      <c r="O84" t="s">
        <v>172</v>
      </c>
      <c r="Q84">
        <v>68470</v>
      </c>
      <c r="R84">
        <v>68470</v>
      </c>
      <c r="S84">
        <v>68441</v>
      </c>
      <c r="T84" s="133">
        <v>8689</v>
      </c>
      <c r="U84" t="s">
        <v>173</v>
      </c>
      <c r="V84">
        <v>0</v>
      </c>
      <c r="W84" t="s">
        <v>174</v>
      </c>
      <c r="X84">
        <v>68441</v>
      </c>
      <c r="Y84" t="s">
        <v>182</v>
      </c>
      <c r="Z84" t="s">
        <v>183</v>
      </c>
      <c r="AA84" t="s">
        <v>173</v>
      </c>
    </row>
    <row r="85" spans="1:27" x14ac:dyDescent="0.3">
      <c r="A85">
        <v>84</v>
      </c>
      <c r="B85" t="s">
        <v>169</v>
      </c>
      <c r="C85">
        <v>99019875</v>
      </c>
      <c r="D85" s="7" t="s">
        <v>100</v>
      </c>
      <c r="E85" t="s">
        <v>101</v>
      </c>
      <c r="F85" t="s">
        <v>176</v>
      </c>
      <c r="G85" t="s">
        <v>177</v>
      </c>
      <c r="H85" s="133">
        <v>1000</v>
      </c>
      <c r="I85">
        <v>0</v>
      </c>
      <c r="J85">
        <v>1</v>
      </c>
      <c r="K85" s="133">
        <v>15535</v>
      </c>
      <c r="L85" s="133">
        <v>15535</v>
      </c>
      <c r="M85" s="150">
        <v>0.37858796296296293</v>
      </c>
      <c r="N85" s="150">
        <v>0.37859953703703703</v>
      </c>
      <c r="O85" t="s">
        <v>172</v>
      </c>
      <c r="Q85">
        <v>68485</v>
      </c>
      <c r="R85">
        <v>68485</v>
      </c>
      <c r="S85">
        <v>68437</v>
      </c>
      <c r="T85">
        <v>999</v>
      </c>
      <c r="U85" t="s">
        <v>173</v>
      </c>
      <c r="V85">
        <v>0</v>
      </c>
      <c r="W85" t="s">
        <v>174</v>
      </c>
      <c r="X85">
        <v>68437</v>
      </c>
      <c r="Z85" t="s">
        <v>175</v>
      </c>
      <c r="AA85" t="s">
        <v>173</v>
      </c>
    </row>
    <row r="86" spans="1:27" x14ac:dyDescent="0.3">
      <c r="A86">
        <v>85</v>
      </c>
      <c r="B86" t="s">
        <v>169</v>
      </c>
      <c r="C86">
        <v>99019875</v>
      </c>
      <c r="D86" s="7" t="s">
        <v>102</v>
      </c>
      <c r="E86" t="s">
        <v>103</v>
      </c>
      <c r="F86" t="s">
        <v>176</v>
      </c>
      <c r="G86" t="s">
        <v>177</v>
      </c>
      <c r="H86" s="133">
        <v>1000</v>
      </c>
      <c r="I86">
        <v>0</v>
      </c>
      <c r="J86" s="133">
        <v>1000</v>
      </c>
      <c r="K86" s="133">
        <v>27000</v>
      </c>
      <c r="L86" s="133">
        <v>27000</v>
      </c>
      <c r="M86" s="150">
        <v>0.37862268518518521</v>
      </c>
      <c r="N86" s="150">
        <v>0.37863425925925925</v>
      </c>
      <c r="O86" t="s">
        <v>172</v>
      </c>
      <c r="Q86">
        <v>69002</v>
      </c>
      <c r="R86">
        <v>69002</v>
      </c>
      <c r="S86">
        <v>68951</v>
      </c>
      <c r="T86">
        <v>0</v>
      </c>
      <c r="U86" t="s">
        <v>173</v>
      </c>
      <c r="V86">
        <v>0</v>
      </c>
      <c r="W86" t="s">
        <v>174</v>
      </c>
      <c r="X86">
        <v>68951</v>
      </c>
      <c r="Z86" t="s">
        <v>175</v>
      </c>
      <c r="AA86" t="s">
        <v>173</v>
      </c>
    </row>
    <row r="87" spans="1:27" x14ac:dyDescent="0.3">
      <c r="A87">
        <v>86</v>
      </c>
      <c r="B87" t="s">
        <v>180</v>
      </c>
      <c r="C87">
        <v>99019421</v>
      </c>
      <c r="D87" s="7" t="s">
        <v>185</v>
      </c>
      <c r="E87" t="s">
        <v>181</v>
      </c>
      <c r="F87" t="s">
        <v>176</v>
      </c>
      <c r="G87" t="s">
        <v>177</v>
      </c>
      <c r="H87" s="133">
        <v>10000</v>
      </c>
      <c r="I87">
        <v>0</v>
      </c>
      <c r="J87" s="133">
        <v>10000</v>
      </c>
      <c r="K87" s="133">
        <v>13465</v>
      </c>
      <c r="L87" s="133">
        <v>13465</v>
      </c>
      <c r="M87" s="150">
        <v>0.37862268518518521</v>
      </c>
      <c r="N87" s="150">
        <v>0.37863425925925925</v>
      </c>
      <c r="O87" t="s">
        <v>172</v>
      </c>
      <c r="Q87">
        <v>69019</v>
      </c>
      <c r="R87">
        <v>69019</v>
      </c>
      <c r="S87">
        <v>68968</v>
      </c>
      <c r="T87">
        <v>0</v>
      </c>
      <c r="U87" t="s">
        <v>173</v>
      </c>
      <c r="V87">
        <v>0</v>
      </c>
      <c r="W87" t="s">
        <v>174</v>
      </c>
      <c r="X87">
        <v>68968</v>
      </c>
      <c r="Y87" t="s">
        <v>182</v>
      </c>
      <c r="Z87" t="s">
        <v>183</v>
      </c>
      <c r="AA87" t="s">
        <v>173</v>
      </c>
    </row>
    <row r="88" spans="1:27" x14ac:dyDescent="0.3">
      <c r="A88">
        <v>87</v>
      </c>
      <c r="B88" t="s">
        <v>180</v>
      </c>
      <c r="C88">
        <v>99019421</v>
      </c>
      <c r="D88" s="7" t="s">
        <v>185</v>
      </c>
      <c r="E88" t="s">
        <v>181</v>
      </c>
      <c r="F88" t="s">
        <v>176</v>
      </c>
      <c r="G88" t="s">
        <v>177</v>
      </c>
      <c r="H88" s="133">
        <v>10000</v>
      </c>
      <c r="I88">
        <v>0</v>
      </c>
      <c r="J88" s="133">
        <v>10000</v>
      </c>
      <c r="K88" s="133">
        <v>13470</v>
      </c>
      <c r="L88" s="133">
        <v>13470</v>
      </c>
      <c r="M88" s="150">
        <v>0.37870370370370371</v>
      </c>
      <c r="N88" s="150">
        <v>0.37876157407407413</v>
      </c>
      <c r="O88" t="s">
        <v>172</v>
      </c>
      <c r="Q88">
        <v>70820</v>
      </c>
      <c r="R88">
        <v>70820</v>
      </c>
      <c r="S88">
        <v>70372</v>
      </c>
      <c r="T88">
        <v>0</v>
      </c>
      <c r="U88" t="s">
        <v>173</v>
      </c>
      <c r="V88">
        <v>0</v>
      </c>
      <c r="W88" t="s">
        <v>174</v>
      </c>
      <c r="X88">
        <v>70372</v>
      </c>
      <c r="Y88" t="s">
        <v>182</v>
      </c>
      <c r="Z88" t="s">
        <v>183</v>
      </c>
      <c r="AA88" t="s">
        <v>173</v>
      </c>
    </row>
    <row r="89" spans="1:27" x14ac:dyDescent="0.3">
      <c r="A89">
        <v>88</v>
      </c>
      <c r="B89" t="s">
        <v>180</v>
      </c>
      <c r="C89">
        <v>99019421</v>
      </c>
      <c r="D89" s="7" t="s">
        <v>185</v>
      </c>
      <c r="E89" t="s">
        <v>181</v>
      </c>
      <c r="F89" t="s">
        <v>176</v>
      </c>
      <c r="G89" t="s">
        <v>177</v>
      </c>
      <c r="H89" s="133">
        <v>10000</v>
      </c>
      <c r="I89">
        <v>0</v>
      </c>
      <c r="J89" s="133">
        <v>10000</v>
      </c>
      <c r="K89" s="133">
        <v>13480</v>
      </c>
      <c r="L89" s="133">
        <v>13480</v>
      </c>
      <c r="M89" s="150">
        <v>0.37886574074074075</v>
      </c>
      <c r="N89" s="150">
        <v>0.37886574074074075</v>
      </c>
      <c r="O89" t="s">
        <v>172</v>
      </c>
      <c r="Q89">
        <v>73545</v>
      </c>
      <c r="R89">
        <v>73545</v>
      </c>
      <c r="S89">
        <v>73443</v>
      </c>
      <c r="T89">
        <v>0</v>
      </c>
      <c r="U89" t="s">
        <v>173</v>
      </c>
      <c r="V89">
        <v>0</v>
      </c>
      <c r="W89" t="s">
        <v>174</v>
      </c>
      <c r="X89">
        <v>73443</v>
      </c>
      <c r="Y89" t="s">
        <v>182</v>
      </c>
      <c r="Z89" t="s">
        <v>183</v>
      </c>
      <c r="AA89" t="s">
        <v>173</v>
      </c>
    </row>
    <row r="90" spans="1:27" x14ac:dyDescent="0.3">
      <c r="A90">
        <v>89</v>
      </c>
      <c r="B90" t="s">
        <v>169</v>
      </c>
      <c r="C90">
        <v>99019875</v>
      </c>
      <c r="D90" s="7" t="s">
        <v>140</v>
      </c>
      <c r="E90" t="s">
        <v>178</v>
      </c>
      <c r="F90" t="s">
        <v>176</v>
      </c>
      <c r="G90" t="s">
        <v>177</v>
      </c>
      <c r="H90" s="133">
        <v>1000</v>
      </c>
      <c r="I90">
        <v>0</v>
      </c>
      <c r="J90" s="133">
        <v>1000</v>
      </c>
      <c r="K90" s="133">
        <v>8575</v>
      </c>
      <c r="L90" s="133">
        <v>8575</v>
      </c>
      <c r="M90" s="150">
        <v>0.37886574074074075</v>
      </c>
      <c r="N90" s="150">
        <v>0.37887731481481479</v>
      </c>
      <c r="O90" t="s">
        <v>172</v>
      </c>
      <c r="Q90">
        <v>73663</v>
      </c>
      <c r="R90">
        <v>73663</v>
      </c>
      <c r="S90">
        <v>73557</v>
      </c>
      <c r="T90">
        <v>0</v>
      </c>
      <c r="U90" t="s">
        <v>173</v>
      </c>
      <c r="V90">
        <v>0</v>
      </c>
      <c r="W90" t="s">
        <v>174</v>
      </c>
      <c r="X90">
        <v>73557</v>
      </c>
      <c r="Z90" t="s">
        <v>175</v>
      </c>
      <c r="AA90" t="s">
        <v>173</v>
      </c>
    </row>
    <row r="91" spans="1:27" x14ac:dyDescent="0.3">
      <c r="A91">
        <v>90</v>
      </c>
      <c r="B91" t="s">
        <v>169</v>
      </c>
      <c r="C91">
        <v>99019875</v>
      </c>
      <c r="D91" s="7" t="s">
        <v>114</v>
      </c>
      <c r="E91" t="s">
        <v>115</v>
      </c>
      <c r="F91" t="s">
        <v>176</v>
      </c>
      <c r="G91" t="s">
        <v>177</v>
      </c>
      <c r="H91" s="133">
        <v>1000</v>
      </c>
      <c r="I91">
        <v>0</v>
      </c>
      <c r="J91">
        <v>6</v>
      </c>
      <c r="K91" s="133">
        <v>53765</v>
      </c>
      <c r="L91" s="133">
        <v>53765</v>
      </c>
      <c r="M91" s="150">
        <v>0.37886574074074075</v>
      </c>
      <c r="N91" s="150">
        <v>0.37888888888888889</v>
      </c>
      <c r="O91" t="s">
        <v>172</v>
      </c>
      <c r="Q91">
        <v>73678</v>
      </c>
      <c r="R91">
        <v>73678</v>
      </c>
      <c r="S91">
        <v>73658</v>
      </c>
      <c r="T91">
        <v>994</v>
      </c>
      <c r="U91" t="s">
        <v>173</v>
      </c>
      <c r="V91">
        <v>0</v>
      </c>
      <c r="W91" t="s">
        <v>174</v>
      </c>
      <c r="X91">
        <v>73658</v>
      </c>
      <c r="Z91" t="s">
        <v>175</v>
      </c>
      <c r="AA91" t="s">
        <v>173</v>
      </c>
    </row>
    <row r="92" spans="1:27" x14ac:dyDescent="0.3">
      <c r="A92">
        <v>91</v>
      </c>
      <c r="B92" t="s">
        <v>169</v>
      </c>
      <c r="C92">
        <v>99019875</v>
      </c>
      <c r="D92" s="7" t="s">
        <v>96</v>
      </c>
      <c r="E92" t="s">
        <v>97</v>
      </c>
      <c r="F92" t="s">
        <v>176</v>
      </c>
      <c r="G92" t="s">
        <v>177</v>
      </c>
      <c r="H92" s="133">
        <v>1000</v>
      </c>
      <c r="I92">
        <v>0</v>
      </c>
      <c r="J92">
        <v>17</v>
      </c>
      <c r="K92" s="133">
        <v>8355</v>
      </c>
      <c r="L92" s="133">
        <v>8355</v>
      </c>
      <c r="M92" s="150">
        <v>0.37899305555555557</v>
      </c>
      <c r="N92" s="150">
        <v>0.37899305555555557</v>
      </c>
      <c r="O92" t="s">
        <v>172</v>
      </c>
      <c r="Q92">
        <v>76069</v>
      </c>
      <c r="R92">
        <v>76069</v>
      </c>
      <c r="S92">
        <v>75549</v>
      </c>
      <c r="T92">
        <v>983</v>
      </c>
      <c r="U92" t="s">
        <v>173</v>
      </c>
      <c r="V92">
        <v>0</v>
      </c>
      <c r="W92" t="s">
        <v>174</v>
      </c>
      <c r="X92">
        <v>75549</v>
      </c>
      <c r="Z92" t="s">
        <v>175</v>
      </c>
      <c r="AA92" t="s">
        <v>173</v>
      </c>
    </row>
    <row r="93" spans="1:27" x14ac:dyDescent="0.3">
      <c r="A93">
        <v>92</v>
      </c>
      <c r="B93" t="s">
        <v>169</v>
      </c>
      <c r="C93">
        <v>99019875</v>
      </c>
      <c r="D93" s="7" t="s">
        <v>100</v>
      </c>
      <c r="E93" t="s">
        <v>101</v>
      </c>
      <c r="F93" t="s">
        <v>170</v>
      </c>
      <c r="G93" t="s">
        <v>177</v>
      </c>
      <c r="H93" s="133">
        <v>1000</v>
      </c>
      <c r="I93">
        <v>0</v>
      </c>
      <c r="J93">
        <v>22</v>
      </c>
      <c r="K93" s="133">
        <v>15515</v>
      </c>
      <c r="L93" s="133">
        <v>15515</v>
      </c>
      <c r="M93" s="150">
        <v>0.3790162037037037</v>
      </c>
      <c r="N93" s="150">
        <v>0.37902777777777774</v>
      </c>
      <c r="O93" t="s">
        <v>172</v>
      </c>
      <c r="Q93">
        <v>76857</v>
      </c>
      <c r="R93">
        <v>76857</v>
      </c>
      <c r="S93">
        <v>76773</v>
      </c>
      <c r="T93">
        <v>978</v>
      </c>
      <c r="U93" t="s">
        <v>173</v>
      </c>
      <c r="V93">
        <v>0</v>
      </c>
      <c r="W93" t="s">
        <v>174</v>
      </c>
      <c r="X93">
        <v>76773</v>
      </c>
      <c r="Z93" t="s">
        <v>175</v>
      </c>
      <c r="AA93" t="s">
        <v>173</v>
      </c>
    </row>
    <row r="94" spans="1:27" x14ac:dyDescent="0.3">
      <c r="A94">
        <v>93</v>
      </c>
      <c r="B94" t="s">
        <v>180</v>
      </c>
      <c r="C94">
        <v>99019421</v>
      </c>
      <c r="D94" s="7" t="s">
        <v>185</v>
      </c>
      <c r="E94" t="s">
        <v>181</v>
      </c>
      <c r="F94" t="s">
        <v>176</v>
      </c>
      <c r="G94" t="s">
        <v>177</v>
      </c>
      <c r="H94" s="133">
        <v>10000</v>
      </c>
      <c r="I94">
        <v>0</v>
      </c>
      <c r="J94" s="133">
        <v>2592</v>
      </c>
      <c r="K94" s="133">
        <v>13465</v>
      </c>
      <c r="L94" s="133">
        <v>13465</v>
      </c>
      <c r="M94" s="150">
        <v>0.37902777777777774</v>
      </c>
      <c r="N94" s="150">
        <v>0.37905092592592587</v>
      </c>
      <c r="O94" t="s">
        <v>172</v>
      </c>
      <c r="Q94">
        <v>77156</v>
      </c>
      <c r="R94">
        <v>77156</v>
      </c>
      <c r="S94">
        <v>76696</v>
      </c>
      <c r="T94" s="133">
        <v>7408</v>
      </c>
      <c r="U94" t="s">
        <v>173</v>
      </c>
      <c r="V94">
        <v>0</v>
      </c>
      <c r="W94" t="s">
        <v>174</v>
      </c>
      <c r="X94">
        <v>76696</v>
      </c>
      <c r="Y94" t="s">
        <v>182</v>
      </c>
      <c r="Z94" t="s">
        <v>183</v>
      </c>
      <c r="AA94" t="s">
        <v>173</v>
      </c>
    </row>
    <row r="95" spans="1:27" x14ac:dyDescent="0.3">
      <c r="A95">
        <v>94</v>
      </c>
      <c r="B95" t="s">
        <v>180</v>
      </c>
      <c r="C95">
        <v>99019421</v>
      </c>
      <c r="D95" s="7" t="s">
        <v>185</v>
      </c>
      <c r="E95" t="s">
        <v>181</v>
      </c>
      <c r="F95" t="s">
        <v>176</v>
      </c>
      <c r="G95" t="s">
        <v>177</v>
      </c>
      <c r="H95" s="133">
        <v>10000</v>
      </c>
      <c r="I95">
        <v>0</v>
      </c>
      <c r="J95" s="133">
        <v>10000</v>
      </c>
      <c r="K95" s="133">
        <v>13460</v>
      </c>
      <c r="L95" s="133">
        <v>13460</v>
      </c>
      <c r="M95" s="150">
        <v>0.37902777777777774</v>
      </c>
      <c r="N95" s="150">
        <v>0.37903935185185184</v>
      </c>
      <c r="O95" t="s">
        <v>172</v>
      </c>
      <c r="Q95">
        <v>77237</v>
      </c>
      <c r="R95">
        <v>77237</v>
      </c>
      <c r="S95">
        <v>77090</v>
      </c>
      <c r="T95">
        <v>0</v>
      </c>
      <c r="U95" t="s">
        <v>173</v>
      </c>
      <c r="V95">
        <v>0</v>
      </c>
      <c r="W95" t="s">
        <v>174</v>
      </c>
      <c r="X95">
        <v>77090</v>
      </c>
      <c r="Y95" t="s">
        <v>182</v>
      </c>
      <c r="Z95" t="s">
        <v>183</v>
      </c>
      <c r="AA95" t="s">
        <v>173</v>
      </c>
    </row>
    <row r="96" spans="1:27" x14ac:dyDescent="0.3">
      <c r="A96">
        <v>95</v>
      </c>
      <c r="B96" t="s">
        <v>180</v>
      </c>
      <c r="C96">
        <v>99019421</v>
      </c>
      <c r="D96" s="7" t="s">
        <v>185</v>
      </c>
      <c r="E96" t="s">
        <v>181</v>
      </c>
      <c r="F96" t="s">
        <v>176</v>
      </c>
      <c r="G96" t="s">
        <v>177</v>
      </c>
      <c r="H96" s="133">
        <v>10000</v>
      </c>
      <c r="I96">
        <v>0</v>
      </c>
      <c r="J96" s="133">
        <v>10000</v>
      </c>
      <c r="K96" s="133">
        <v>13455</v>
      </c>
      <c r="L96" s="133">
        <v>13455</v>
      </c>
      <c r="M96" s="150">
        <v>0.37910879629629629</v>
      </c>
      <c r="N96" s="150">
        <v>0.37914351851851852</v>
      </c>
      <c r="O96" t="s">
        <v>172</v>
      </c>
      <c r="Q96">
        <v>79016</v>
      </c>
      <c r="R96">
        <v>79016</v>
      </c>
      <c r="S96">
        <v>78095</v>
      </c>
      <c r="T96">
        <v>0</v>
      </c>
      <c r="U96" t="s">
        <v>173</v>
      </c>
      <c r="V96">
        <v>0</v>
      </c>
      <c r="W96" t="s">
        <v>174</v>
      </c>
      <c r="X96">
        <v>78095</v>
      </c>
      <c r="Y96" t="s">
        <v>182</v>
      </c>
      <c r="Z96" t="s">
        <v>183</v>
      </c>
      <c r="AA96" t="s">
        <v>173</v>
      </c>
    </row>
    <row r="97" spans="1:27" x14ac:dyDescent="0.3">
      <c r="A97">
        <v>96</v>
      </c>
      <c r="B97" t="s">
        <v>180</v>
      </c>
      <c r="C97">
        <v>99019421</v>
      </c>
      <c r="D97" s="7" t="s">
        <v>185</v>
      </c>
      <c r="E97" t="s">
        <v>181</v>
      </c>
      <c r="F97" t="s">
        <v>176</v>
      </c>
      <c r="G97" t="s">
        <v>177</v>
      </c>
      <c r="H97" s="133">
        <v>10000</v>
      </c>
      <c r="I97">
        <v>0</v>
      </c>
      <c r="J97" s="133">
        <v>2516</v>
      </c>
      <c r="K97" s="133">
        <v>13450</v>
      </c>
      <c r="L97" s="133">
        <v>13450</v>
      </c>
      <c r="M97" s="150">
        <v>0.37913194444444448</v>
      </c>
      <c r="N97" s="150">
        <v>0.37913194444444448</v>
      </c>
      <c r="O97" t="s">
        <v>172</v>
      </c>
      <c r="Q97">
        <v>79225</v>
      </c>
      <c r="R97">
        <v>79225</v>
      </c>
      <c r="S97">
        <v>79212</v>
      </c>
      <c r="T97" s="133">
        <v>7484</v>
      </c>
      <c r="U97" t="s">
        <v>173</v>
      </c>
      <c r="V97">
        <v>0</v>
      </c>
      <c r="W97" t="s">
        <v>174</v>
      </c>
      <c r="X97">
        <v>79212</v>
      </c>
      <c r="Y97" t="s">
        <v>182</v>
      </c>
      <c r="Z97" t="s">
        <v>183</v>
      </c>
      <c r="AA97" t="s">
        <v>173</v>
      </c>
    </row>
    <row r="98" spans="1:27" x14ac:dyDescent="0.3">
      <c r="A98">
        <v>97</v>
      </c>
      <c r="B98" t="s">
        <v>180</v>
      </c>
      <c r="C98">
        <v>99019421</v>
      </c>
      <c r="D98" s="7" t="s">
        <v>185</v>
      </c>
      <c r="E98" t="s">
        <v>181</v>
      </c>
      <c r="F98" t="s">
        <v>176</v>
      </c>
      <c r="G98" t="s">
        <v>177</v>
      </c>
      <c r="H98" s="133">
        <v>10000</v>
      </c>
      <c r="I98">
        <v>0</v>
      </c>
      <c r="J98">
        <v>690</v>
      </c>
      <c r="K98" s="133">
        <v>13445</v>
      </c>
      <c r="L98" s="133">
        <v>13445</v>
      </c>
      <c r="M98" s="150">
        <v>0.37921296296296297</v>
      </c>
      <c r="N98" s="150">
        <v>0.37922453703703707</v>
      </c>
      <c r="O98" t="s">
        <v>172</v>
      </c>
      <c r="Q98">
        <v>81213</v>
      </c>
      <c r="R98">
        <v>81213</v>
      </c>
      <c r="S98">
        <v>80841</v>
      </c>
      <c r="T98" s="133">
        <v>9310</v>
      </c>
      <c r="U98" t="s">
        <v>173</v>
      </c>
      <c r="V98">
        <v>0</v>
      </c>
      <c r="W98" t="s">
        <v>174</v>
      </c>
      <c r="X98">
        <v>80841</v>
      </c>
      <c r="Y98" t="s">
        <v>182</v>
      </c>
      <c r="Z98" t="s">
        <v>183</v>
      </c>
      <c r="AA98" t="s">
        <v>173</v>
      </c>
    </row>
    <row r="99" spans="1:27" x14ac:dyDescent="0.3">
      <c r="A99">
        <v>98</v>
      </c>
      <c r="B99" t="s">
        <v>180</v>
      </c>
      <c r="C99">
        <v>99019421</v>
      </c>
      <c r="D99" s="7" t="s">
        <v>185</v>
      </c>
      <c r="E99" t="s">
        <v>181</v>
      </c>
      <c r="F99" t="s">
        <v>176</v>
      </c>
      <c r="G99" t="s">
        <v>177</v>
      </c>
      <c r="H99" s="133">
        <v>10000</v>
      </c>
      <c r="I99">
        <v>0</v>
      </c>
      <c r="J99" s="133">
        <v>10000</v>
      </c>
      <c r="K99" s="133">
        <v>13435</v>
      </c>
      <c r="L99" s="133">
        <v>13435</v>
      </c>
      <c r="M99" s="150">
        <v>0.37922453703703707</v>
      </c>
      <c r="N99" s="150">
        <v>0.37923611111111111</v>
      </c>
      <c r="O99" t="s">
        <v>172</v>
      </c>
      <c r="Q99">
        <v>81544</v>
      </c>
      <c r="R99">
        <v>81544</v>
      </c>
      <c r="S99">
        <v>81495</v>
      </c>
      <c r="T99">
        <v>0</v>
      </c>
      <c r="U99" t="s">
        <v>173</v>
      </c>
      <c r="V99">
        <v>0</v>
      </c>
      <c r="W99" t="s">
        <v>174</v>
      </c>
      <c r="X99">
        <v>81495</v>
      </c>
      <c r="Y99" t="s">
        <v>182</v>
      </c>
      <c r="Z99" t="s">
        <v>183</v>
      </c>
      <c r="AA99" t="s">
        <v>173</v>
      </c>
    </row>
    <row r="100" spans="1:27" x14ac:dyDescent="0.3">
      <c r="A100">
        <v>99</v>
      </c>
      <c r="B100" t="s">
        <v>180</v>
      </c>
      <c r="C100">
        <v>99019421</v>
      </c>
      <c r="D100" s="7" t="s">
        <v>185</v>
      </c>
      <c r="E100" t="s">
        <v>181</v>
      </c>
      <c r="F100" t="s">
        <v>176</v>
      </c>
      <c r="G100" t="s">
        <v>177</v>
      </c>
      <c r="H100" s="133">
        <v>10000</v>
      </c>
      <c r="I100">
        <v>0</v>
      </c>
      <c r="J100">
        <v>980</v>
      </c>
      <c r="K100" s="133">
        <v>13435</v>
      </c>
      <c r="L100" s="133">
        <v>13435</v>
      </c>
      <c r="M100" s="150">
        <v>0.3792476851851852</v>
      </c>
      <c r="N100" s="150">
        <v>0.3792476851851852</v>
      </c>
      <c r="O100" t="s">
        <v>172</v>
      </c>
      <c r="Q100">
        <v>81947</v>
      </c>
      <c r="R100">
        <v>81947</v>
      </c>
      <c r="S100">
        <v>81872</v>
      </c>
      <c r="T100" s="133">
        <v>9020</v>
      </c>
      <c r="U100" t="s">
        <v>173</v>
      </c>
      <c r="V100">
        <v>0</v>
      </c>
      <c r="W100" t="s">
        <v>174</v>
      </c>
      <c r="X100">
        <v>81872</v>
      </c>
      <c r="Y100" t="s">
        <v>182</v>
      </c>
      <c r="Z100" t="s">
        <v>183</v>
      </c>
      <c r="AA100" t="s">
        <v>173</v>
      </c>
    </row>
    <row r="101" spans="1:27" x14ac:dyDescent="0.3">
      <c r="A101">
        <v>100</v>
      </c>
      <c r="B101" t="s">
        <v>180</v>
      </c>
      <c r="C101">
        <v>99019421</v>
      </c>
      <c r="D101" s="7" t="s">
        <v>185</v>
      </c>
      <c r="E101" t="s">
        <v>181</v>
      </c>
      <c r="F101" t="s">
        <v>176</v>
      </c>
      <c r="G101" t="s">
        <v>171</v>
      </c>
      <c r="H101" s="133">
        <v>10000</v>
      </c>
      <c r="I101">
        <v>0</v>
      </c>
      <c r="J101" s="133">
        <v>1003</v>
      </c>
      <c r="K101" s="133">
        <v>13445</v>
      </c>
      <c r="L101" s="133">
        <v>13445</v>
      </c>
      <c r="M101" s="150">
        <v>0.37925925925925924</v>
      </c>
      <c r="N101" s="150">
        <v>0.37927083333333328</v>
      </c>
      <c r="O101" t="s">
        <v>172</v>
      </c>
      <c r="Q101">
        <v>82267</v>
      </c>
      <c r="R101">
        <v>82267</v>
      </c>
      <c r="S101">
        <v>0</v>
      </c>
      <c r="T101" s="133">
        <v>8997</v>
      </c>
      <c r="U101" t="s">
        <v>173</v>
      </c>
      <c r="V101">
        <v>0</v>
      </c>
      <c r="W101" t="s">
        <v>174</v>
      </c>
      <c r="X101">
        <v>0</v>
      </c>
      <c r="Y101" t="s">
        <v>182</v>
      </c>
      <c r="Z101" t="s">
        <v>183</v>
      </c>
      <c r="AA101" t="s">
        <v>173</v>
      </c>
    </row>
    <row r="102" spans="1:27" x14ac:dyDescent="0.3">
      <c r="A102">
        <v>101</v>
      </c>
      <c r="B102" t="s">
        <v>180</v>
      </c>
      <c r="C102">
        <v>99019421</v>
      </c>
      <c r="D102" s="7" t="s">
        <v>185</v>
      </c>
      <c r="E102" t="s">
        <v>181</v>
      </c>
      <c r="F102" t="s">
        <v>176</v>
      </c>
      <c r="G102" t="s">
        <v>171</v>
      </c>
      <c r="H102" s="133">
        <v>10000</v>
      </c>
      <c r="I102">
        <v>0</v>
      </c>
      <c r="J102" s="133">
        <v>8403</v>
      </c>
      <c r="K102" s="133">
        <v>13440</v>
      </c>
      <c r="L102" s="133">
        <v>13440</v>
      </c>
      <c r="M102" s="150">
        <v>0.37925925925925924</v>
      </c>
      <c r="N102" s="150">
        <v>0.37925925925925924</v>
      </c>
      <c r="O102" t="s">
        <v>172</v>
      </c>
      <c r="Q102">
        <v>82285</v>
      </c>
      <c r="R102">
        <v>82285</v>
      </c>
      <c r="S102">
        <v>0</v>
      </c>
      <c r="T102" s="133">
        <v>1597</v>
      </c>
      <c r="U102" t="s">
        <v>173</v>
      </c>
      <c r="V102">
        <v>0</v>
      </c>
      <c r="W102" t="s">
        <v>174</v>
      </c>
      <c r="X102">
        <v>0</v>
      </c>
      <c r="Y102" t="s">
        <v>182</v>
      </c>
      <c r="Z102" t="s">
        <v>183</v>
      </c>
      <c r="AA102" t="s">
        <v>173</v>
      </c>
    </row>
    <row r="103" spans="1:27" x14ac:dyDescent="0.3">
      <c r="A103">
        <v>102</v>
      </c>
      <c r="B103" t="s">
        <v>180</v>
      </c>
      <c r="C103">
        <v>99019421</v>
      </c>
      <c r="D103" s="7" t="s">
        <v>185</v>
      </c>
      <c r="E103" t="s">
        <v>181</v>
      </c>
      <c r="F103" t="s">
        <v>176</v>
      </c>
      <c r="G103" t="s">
        <v>177</v>
      </c>
      <c r="H103" s="133">
        <v>10000</v>
      </c>
      <c r="I103">
        <v>0</v>
      </c>
      <c r="J103">
        <v>2</v>
      </c>
      <c r="K103" s="133">
        <v>13445</v>
      </c>
      <c r="L103" s="133">
        <v>13445</v>
      </c>
      <c r="M103" s="150">
        <v>0.37928240740740743</v>
      </c>
      <c r="N103" s="150">
        <v>0.37929398148148147</v>
      </c>
      <c r="O103" t="s">
        <v>172</v>
      </c>
      <c r="Q103">
        <v>82845</v>
      </c>
      <c r="R103">
        <v>82845</v>
      </c>
      <c r="S103">
        <v>82732</v>
      </c>
      <c r="T103" s="133">
        <v>9998</v>
      </c>
      <c r="U103" t="s">
        <v>173</v>
      </c>
      <c r="V103">
        <v>0</v>
      </c>
      <c r="W103" t="s">
        <v>174</v>
      </c>
      <c r="X103">
        <v>82732</v>
      </c>
      <c r="Y103" t="s">
        <v>182</v>
      </c>
      <c r="Z103" t="s">
        <v>183</v>
      </c>
      <c r="AA103" t="s">
        <v>173</v>
      </c>
    </row>
    <row r="104" spans="1:27" x14ac:dyDescent="0.3">
      <c r="A104">
        <v>103</v>
      </c>
      <c r="B104" t="s">
        <v>180</v>
      </c>
      <c r="C104">
        <v>99019421</v>
      </c>
      <c r="D104" s="7" t="s">
        <v>185</v>
      </c>
      <c r="E104" t="s">
        <v>181</v>
      </c>
      <c r="F104" t="s">
        <v>176</v>
      </c>
      <c r="G104" t="s">
        <v>171</v>
      </c>
      <c r="H104" s="133">
        <v>10000</v>
      </c>
      <c r="I104">
        <v>0</v>
      </c>
      <c r="J104" s="133">
        <v>10000</v>
      </c>
      <c r="K104" s="133">
        <v>13445</v>
      </c>
      <c r="L104" s="133">
        <v>13445</v>
      </c>
      <c r="M104" s="150">
        <v>0.37930555555555556</v>
      </c>
      <c r="N104" s="150">
        <v>0.3793171296296296</v>
      </c>
      <c r="O104" t="s">
        <v>172</v>
      </c>
      <c r="Q104">
        <v>83365</v>
      </c>
      <c r="R104">
        <v>83365</v>
      </c>
      <c r="S104">
        <v>0</v>
      </c>
      <c r="T104">
        <v>0</v>
      </c>
      <c r="U104" t="s">
        <v>173</v>
      </c>
      <c r="V104">
        <v>0</v>
      </c>
      <c r="W104" t="s">
        <v>174</v>
      </c>
      <c r="X104">
        <v>0</v>
      </c>
      <c r="Y104" t="s">
        <v>182</v>
      </c>
      <c r="Z104" t="s">
        <v>183</v>
      </c>
      <c r="AA104" t="s">
        <v>173</v>
      </c>
    </row>
    <row r="105" spans="1:27" x14ac:dyDescent="0.3">
      <c r="A105">
        <v>104</v>
      </c>
      <c r="B105" t="s">
        <v>180</v>
      </c>
      <c r="C105">
        <v>99019421</v>
      </c>
      <c r="D105" s="7" t="s">
        <v>185</v>
      </c>
      <c r="E105" t="s">
        <v>181</v>
      </c>
      <c r="F105" t="s">
        <v>176</v>
      </c>
      <c r="G105" t="s">
        <v>171</v>
      </c>
      <c r="H105" s="133">
        <v>10000</v>
      </c>
      <c r="I105">
        <v>0</v>
      </c>
      <c r="J105" s="133">
        <v>10000</v>
      </c>
      <c r="K105" s="133">
        <v>13440</v>
      </c>
      <c r="L105" s="133">
        <v>13440</v>
      </c>
      <c r="M105" s="150">
        <v>0.37930555555555556</v>
      </c>
      <c r="N105" s="150">
        <v>0.37930555555555556</v>
      </c>
      <c r="O105" t="s">
        <v>172</v>
      </c>
      <c r="Q105">
        <v>83371</v>
      </c>
      <c r="R105">
        <v>83371</v>
      </c>
      <c r="S105">
        <v>0</v>
      </c>
      <c r="T105">
        <v>0</v>
      </c>
      <c r="U105" t="s">
        <v>173</v>
      </c>
      <c r="V105">
        <v>0</v>
      </c>
      <c r="W105" t="s">
        <v>174</v>
      </c>
      <c r="X105">
        <v>0</v>
      </c>
      <c r="Y105" t="s">
        <v>182</v>
      </c>
      <c r="Z105" t="s">
        <v>183</v>
      </c>
      <c r="AA105" t="s">
        <v>173</v>
      </c>
    </row>
    <row r="106" spans="1:27" x14ac:dyDescent="0.3">
      <c r="A106">
        <v>105</v>
      </c>
      <c r="B106" t="s">
        <v>180</v>
      </c>
      <c r="C106">
        <v>99019421</v>
      </c>
      <c r="D106" s="7" t="s">
        <v>185</v>
      </c>
      <c r="E106" t="s">
        <v>181</v>
      </c>
      <c r="F106" t="s">
        <v>176</v>
      </c>
      <c r="G106" t="s">
        <v>171</v>
      </c>
      <c r="H106" s="133">
        <v>10000</v>
      </c>
      <c r="I106">
        <v>0</v>
      </c>
      <c r="J106" s="133">
        <v>1179</v>
      </c>
      <c r="K106" s="133">
        <v>13445</v>
      </c>
      <c r="L106" s="133">
        <v>13445</v>
      </c>
      <c r="M106" s="150">
        <v>0.3793171296296296</v>
      </c>
      <c r="N106" s="150">
        <v>0.3793287037037037</v>
      </c>
      <c r="O106" t="s">
        <v>172</v>
      </c>
      <c r="Q106">
        <v>83737</v>
      </c>
      <c r="R106">
        <v>83737</v>
      </c>
      <c r="S106">
        <v>0</v>
      </c>
      <c r="T106" s="133">
        <v>8821</v>
      </c>
      <c r="U106" t="s">
        <v>173</v>
      </c>
      <c r="V106">
        <v>0</v>
      </c>
      <c r="W106" t="s">
        <v>174</v>
      </c>
      <c r="X106">
        <v>0</v>
      </c>
      <c r="Y106" t="s">
        <v>182</v>
      </c>
      <c r="Z106" t="s">
        <v>183</v>
      </c>
      <c r="AA106" t="s">
        <v>173</v>
      </c>
    </row>
    <row r="107" spans="1:27" x14ac:dyDescent="0.3">
      <c r="A107">
        <v>106</v>
      </c>
      <c r="B107" t="s">
        <v>180</v>
      </c>
      <c r="C107">
        <v>99019421</v>
      </c>
      <c r="D107" s="7" t="s">
        <v>185</v>
      </c>
      <c r="E107" t="s">
        <v>181</v>
      </c>
      <c r="F107" t="s">
        <v>176</v>
      </c>
      <c r="G107" t="s">
        <v>177</v>
      </c>
      <c r="H107" s="133">
        <v>10000</v>
      </c>
      <c r="I107">
        <v>0</v>
      </c>
      <c r="J107" s="133">
        <v>10000</v>
      </c>
      <c r="K107" s="133">
        <v>13450</v>
      </c>
      <c r="L107" s="133">
        <v>13450</v>
      </c>
      <c r="M107" s="150">
        <v>0.37935185185185188</v>
      </c>
      <c r="N107" s="150">
        <v>0.37939814814814815</v>
      </c>
      <c r="O107" t="s">
        <v>172</v>
      </c>
      <c r="Q107">
        <v>84583</v>
      </c>
      <c r="R107">
        <v>84583</v>
      </c>
      <c r="S107">
        <v>84582</v>
      </c>
      <c r="T107">
        <v>0</v>
      </c>
      <c r="U107" t="s">
        <v>173</v>
      </c>
      <c r="V107">
        <v>0</v>
      </c>
      <c r="W107" t="s">
        <v>174</v>
      </c>
      <c r="X107">
        <v>84582</v>
      </c>
      <c r="Y107" t="s">
        <v>182</v>
      </c>
      <c r="Z107" t="s">
        <v>183</v>
      </c>
      <c r="AA107" t="s">
        <v>173</v>
      </c>
    </row>
    <row r="108" spans="1:27" x14ac:dyDescent="0.3">
      <c r="A108">
        <v>107</v>
      </c>
      <c r="B108" t="s">
        <v>180</v>
      </c>
      <c r="C108">
        <v>99019421</v>
      </c>
      <c r="D108" s="7" t="s">
        <v>185</v>
      </c>
      <c r="E108" t="s">
        <v>181</v>
      </c>
      <c r="F108" t="s">
        <v>176</v>
      </c>
      <c r="G108" t="s">
        <v>177</v>
      </c>
      <c r="H108" s="133">
        <v>10000</v>
      </c>
      <c r="I108">
        <v>0</v>
      </c>
      <c r="J108" s="133">
        <v>10000</v>
      </c>
      <c r="K108" s="133">
        <v>13445</v>
      </c>
      <c r="L108" s="133">
        <v>13445</v>
      </c>
      <c r="M108" s="150">
        <v>0.37937500000000002</v>
      </c>
      <c r="N108" s="150">
        <v>0.37938657407407406</v>
      </c>
      <c r="O108" t="s">
        <v>172</v>
      </c>
      <c r="Q108">
        <v>85063</v>
      </c>
      <c r="R108">
        <v>85063</v>
      </c>
      <c r="S108">
        <v>84881</v>
      </c>
      <c r="T108">
        <v>0</v>
      </c>
      <c r="U108" t="s">
        <v>173</v>
      </c>
      <c r="V108">
        <v>0</v>
      </c>
      <c r="W108" t="s">
        <v>174</v>
      </c>
      <c r="X108">
        <v>84881</v>
      </c>
      <c r="Y108" t="s">
        <v>182</v>
      </c>
      <c r="Z108" t="s">
        <v>183</v>
      </c>
      <c r="AA108" t="s">
        <v>173</v>
      </c>
    </row>
    <row r="109" spans="1:27" x14ac:dyDescent="0.3">
      <c r="A109">
        <v>108</v>
      </c>
      <c r="B109" t="s">
        <v>180</v>
      </c>
      <c r="C109">
        <v>99019421</v>
      </c>
      <c r="D109" s="7" t="s">
        <v>185</v>
      </c>
      <c r="E109" t="s">
        <v>181</v>
      </c>
      <c r="F109" t="s">
        <v>176</v>
      </c>
      <c r="G109" t="s">
        <v>177</v>
      </c>
      <c r="H109" s="133">
        <v>10000</v>
      </c>
      <c r="I109">
        <v>0</v>
      </c>
      <c r="J109" s="133">
        <v>10000</v>
      </c>
      <c r="K109" s="133">
        <v>13450</v>
      </c>
      <c r="L109" s="133">
        <v>13450</v>
      </c>
      <c r="M109" s="150">
        <v>0.37939814814814815</v>
      </c>
      <c r="N109" s="150">
        <v>0.37940972222222219</v>
      </c>
      <c r="O109" t="s">
        <v>172</v>
      </c>
      <c r="Q109">
        <v>85690</v>
      </c>
      <c r="R109">
        <v>85690</v>
      </c>
      <c r="S109">
        <v>85612</v>
      </c>
      <c r="T109">
        <v>0</v>
      </c>
      <c r="U109" t="s">
        <v>173</v>
      </c>
      <c r="V109">
        <v>0</v>
      </c>
      <c r="W109" t="s">
        <v>174</v>
      </c>
      <c r="X109">
        <v>85612</v>
      </c>
      <c r="Y109" t="s">
        <v>182</v>
      </c>
      <c r="Z109" t="s">
        <v>183</v>
      </c>
      <c r="AA109" t="s">
        <v>173</v>
      </c>
    </row>
    <row r="110" spans="1:27" x14ac:dyDescent="0.3">
      <c r="A110">
        <v>109</v>
      </c>
      <c r="B110" t="s">
        <v>169</v>
      </c>
      <c r="C110">
        <v>99019875</v>
      </c>
      <c r="D110" s="7" t="s">
        <v>100</v>
      </c>
      <c r="E110" t="s">
        <v>101</v>
      </c>
      <c r="F110" t="s">
        <v>170</v>
      </c>
      <c r="G110" t="s">
        <v>177</v>
      </c>
      <c r="H110" s="133">
        <v>1000</v>
      </c>
      <c r="I110">
        <v>0</v>
      </c>
      <c r="J110">
        <v>12</v>
      </c>
      <c r="K110" s="133">
        <v>15525</v>
      </c>
      <c r="L110" s="133">
        <v>15525</v>
      </c>
      <c r="M110" s="150">
        <v>0.37944444444444447</v>
      </c>
      <c r="N110" s="150">
        <v>0.37945601851851851</v>
      </c>
      <c r="O110" t="s">
        <v>172</v>
      </c>
      <c r="Q110">
        <v>86621</v>
      </c>
      <c r="R110">
        <v>86621</v>
      </c>
      <c r="S110">
        <v>86321</v>
      </c>
      <c r="T110">
        <v>988</v>
      </c>
      <c r="U110" t="s">
        <v>173</v>
      </c>
      <c r="V110">
        <v>0</v>
      </c>
      <c r="W110" t="s">
        <v>174</v>
      </c>
      <c r="X110">
        <v>86321</v>
      </c>
      <c r="Z110" t="s">
        <v>175</v>
      </c>
      <c r="AA110" t="s">
        <v>173</v>
      </c>
    </row>
    <row r="111" spans="1:27" x14ac:dyDescent="0.3">
      <c r="A111">
        <v>110</v>
      </c>
      <c r="B111" t="s">
        <v>180</v>
      </c>
      <c r="C111">
        <v>99019421</v>
      </c>
      <c r="D111" s="7" t="s">
        <v>185</v>
      </c>
      <c r="E111" t="s">
        <v>181</v>
      </c>
      <c r="F111" t="s">
        <v>176</v>
      </c>
      <c r="G111" t="s">
        <v>177</v>
      </c>
      <c r="H111" s="133">
        <v>10000</v>
      </c>
      <c r="I111">
        <v>0</v>
      </c>
      <c r="J111">
        <v>503</v>
      </c>
      <c r="K111" s="133">
        <v>13455</v>
      </c>
      <c r="L111" s="133">
        <v>13455</v>
      </c>
      <c r="M111" s="150">
        <v>0.37946759259259261</v>
      </c>
      <c r="N111" s="150">
        <v>0.3794907407407408</v>
      </c>
      <c r="O111" t="s">
        <v>172</v>
      </c>
      <c r="Q111">
        <v>87023</v>
      </c>
      <c r="R111">
        <v>87023</v>
      </c>
      <c r="S111">
        <v>86997</v>
      </c>
      <c r="T111" s="133">
        <v>9497</v>
      </c>
      <c r="U111" t="s">
        <v>173</v>
      </c>
      <c r="V111">
        <v>0</v>
      </c>
      <c r="W111" t="s">
        <v>174</v>
      </c>
      <c r="X111">
        <v>86997</v>
      </c>
      <c r="Y111" t="s">
        <v>182</v>
      </c>
      <c r="Z111" t="s">
        <v>183</v>
      </c>
      <c r="AA111" t="s">
        <v>173</v>
      </c>
    </row>
    <row r="112" spans="1:27" x14ac:dyDescent="0.3">
      <c r="A112">
        <v>111</v>
      </c>
      <c r="B112" t="s">
        <v>169</v>
      </c>
      <c r="C112">
        <v>99019875</v>
      </c>
      <c r="D112" s="7" t="s">
        <v>69</v>
      </c>
      <c r="E112" t="s">
        <v>70</v>
      </c>
      <c r="F112" t="s">
        <v>176</v>
      </c>
      <c r="G112" t="s">
        <v>177</v>
      </c>
      <c r="H112" s="133">
        <v>1000</v>
      </c>
      <c r="I112">
        <v>0</v>
      </c>
      <c r="J112" s="133">
        <v>1000</v>
      </c>
      <c r="K112" s="133">
        <v>10525</v>
      </c>
      <c r="L112" s="133">
        <v>10525</v>
      </c>
      <c r="M112" s="150">
        <v>0.3794907407407408</v>
      </c>
      <c r="N112" s="150">
        <v>0.3794907407407408</v>
      </c>
      <c r="O112" t="s">
        <v>172</v>
      </c>
      <c r="Q112">
        <v>87358</v>
      </c>
      <c r="R112">
        <v>87358</v>
      </c>
      <c r="S112">
        <v>87176</v>
      </c>
      <c r="T112">
        <v>0</v>
      </c>
      <c r="U112" t="s">
        <v>173</v>
      </c>
      <c r="V112">
        <v>0</v>
      </c>
      <c r="W112" t="s">
        <v>174</v>
      </c>
      <c r="X112">
        <v>87176</v>
      </c>
      <c r="Z112" t="s">
        <v>175</v>
      </c>
      <c r="AA112" t="s">
        <v>173</v>
      </c>
    </row>
    <row r="113" spans="1:27" x14ac:dyDescent="0.3">
      <c r="A113">
        <v>112</v>
      </c>
      <c r="B113" t="s">
        <v>180</v>
      </c>
      <c r="C113">
        <v>99019421</v>
      </c>
      <c r="D113" s="7" t="s">
        <v>185</v>
      </c>
      <c r="E113" t="s">
        <v>181</v>
      </c>
      <c r="F113" t="s">
        <v>176</v>
      </c>
      <c r="G113" t="s">
        <v>171</v>
      </c>
      <c r="H113" s="133">
        <v>10000</v>
      </c>
      <c r="I113">
        <v>0</v>
      </c>
      <c r="J113" s="133">
        <v>10000</v>
      </c>
      <c r="K113" s="133">
        <v>13445</v>
      </c>
      <c r="L113" s="133">
        <v>13445</v>
      </c>
      <c r="M113" s="150">
        <v>0.37950231481481483</v>
      </c>
      <c r="N113" s="150">
        <v>0.37950231481481483</v>
      </c>
      <c r="O113" t="s">
        <v>172</v>
      </c>
      <c r="Q113">
        <v>87727</v>
      </c>
      <c r="R113">
        <v>87727</v>
      </c>
      <c r="S113">
        <v>0</v>
      </c>
      <c r="T113">
        <v>0</v>
      </c>
      <c r="U113" t="s">
        <v>173</v>
      </c>
      <c r="V113">
        <v>0</v>
      </c>
      <c r="W113" t="s">
        <v>174</v>
      </c>
      <c r="X113">
        <v>0</v>
      </c>
      <c r="Y113" t="s">
        <v>182</v>
      </c>
      <c r="Z113" t="s">
        <v>183</v>
      </c>
      <c r="AA113" t="s">
        <v>173</v>
      </c>
    </row>
    <row r="114" spans="1:27" x14ac:dyDescent="0.3">
      <c r="A114">
        <v>113</v>
      </c>
      <c r="B114" t="s">
        <v>180</v>
      </c>
      <c r="C114">
        <v>99019421</v>
      </c>
      <c r="D114" s="7" t="s">
        <v>185</v>
      </c>
      <c r="E114" t="s">
        <v>181</v>
      </c>
      <c r="F114" t="s">
        <v>176</v>
      </c>
      <c r="G114" t="s">
        <v>171</v>
      </c>
      <c r="H114" s="133">
        <v>10000</v>
      </c>
      <c r="I114">
        <v>0</v>
      </c>
      <c r="J114" s="133">
        <v>10000</v>
      </c>
      <c r="K114" s="133">
        <v>13445</v>
      </c>
      <c r="L114" s="133">
        <v>13445</v>
      </c>
      <c r="M114" s="150">
        <v>0.37951388888888887</v>
      </c>
      <c r="N114" s="150">
        <v>0.37952546296296297</v>
      </c>
      <c r="O114" t="s">
        <v>172</v>
      </c>
      <c r="Q114">
        <v>88025</v>
      </c>
      <c r="R114">
        <v>88025</v>
      </c>
      <c r="S114">
        <v>0</v>
      </c>
      <c r="T114">
        <v>0</v>
      </c>
      <c r="U114" t="s">
        <v>173</v>
      </c>
      <c r="V114">
        <v>0</v>
      </c>
      <c r="W114" t="s">
        <v>174</v>
      </c>
      <c r="X114">
        <v>0</v>
      </c>
      <c r="Y114" t="s">
        <v>182</v>
      </c>
      <c r="Z114" t="s">
        <v>183</v>
      </c>
      <c r="AA114" t="s">
        <v>173</v>
      </c>
    </row>
    <row r="115" spans="1:27" x14ac:dyDescent="0.3">
      <c r="A115">
        <v>114</v>
      </c>
      <c r="B115" t="s">
        <v>180</v>
      </c>
      <c r="C115">
        <v>99019421</v>
      </c>
      <c r="D115" s="7" t="s">
        <v>185</v>
      </c>
      <c r="E115" t="s">
        <v>181</v>
      </c>
      <c r="F115" t="s">
        <v>176</v>
      </c>
      <c r="G115" t="s">
        <v>177</v>
      </c>
      <c r="H115" s="133">
        <v>10000</v>
      </c>
      <c r="I115">
        <v>0</v>
      </c>
      <c r="J115">
        <v>114</v>
      </c>
      <c r="K115" s="133">
        <v>13450</v>
      </c>
      <c r="L115" s="133">
        <v>13450</v>
      </c>
      <c r="M115" s="150">
        <v>0.37956018518518514</v>
      </c>
      <c r="N115" s="150">
        <v>0.37957175925925929</v>
      </c>
      <c r="O115" t="s">
        <v>172</v>
      </c>
      <c r="Q115">
        <v>88996</v>
      </c>
      <c r="R115">
        <v>88996</v>
      </c>
      <c r="S115">
        <v>88644</v>
      </c>
      <c r="T115" s="133">
        <v>9886</v>
      </c>
      <c r="U115" t="s">
        <v>173</v>
      </c>
      <c r="V115">
        <v>0</v>
      </c>
      <c r="W115" t="s">
        <v>174</v>
      </c>
      <c r="X115">
        <v>88644</v>
      </c>
      <c r="Y115" t="s">
        <v>182</v>
      </c>
      <c r="Z115" t="s">
        <v>183</v>
      </c>
      <c r="AA115" t="s">
        <v>173</v>
      </c>
    </row>
    <row r="116" spans="1:27" x14ac:dyDescent="0.3">
      <c r="A116">
        <v>115</v>
      </c>
      <c r="B116" t="s">
        <v>180</v>
      </c>
      <c r="C116">
        <v>99019421</v>
      </c>
      <c r="D116" s="7" t="s">
        <v>185</v>
      </c>
      <c r="E116" t="s">
        <v>181</v>
      </c>
      <c r="F116" t="s">
        <v>176</v>
      </c>
      <c r="G116" t="s">
        <v>177</v>
      </c>
      <c r="H116" s="133">
        <v>10000</v>
      </c>
      <c r="I116">
        <v>0</v>
      </c>
      <c r="J116" s="133">
        <v>2254</v>
      </c>
      <c r="K116" s="133">
        <v>13445</v>
      </c>
      <c r="L116" s="133">
        <v>13445</v>
      </c>
      <c r="M116" s="150">
        <v>0.37957175925925929</v>
      </c>
      <c r="N116" s="150">
        <v>0.37957175925925929</v>
      </c>
      <c r="O116" t="s">
        <v>172</v>
      </c>
      <c r="Q116">
        <v>89279</v>
      </c>
      <c r="R116">
        <v>89279</v>
      </c>
      <c r="S116">
        <v>89237</v>
      </c>
      <c r="T116" s="133">
        <v>7746</v>
      </c>
      <c r="U116" t="s">
        <v>173</v>
      </c>
      <c r="V116">
        <v>0</v>
      </c>
      <c r="W116" t="s">
        <v>174</v>
      </c>
      <c r="X116">
        <v>89237</v>
      </c>
      <c r="Y116" t="s">
        <v>182</v>
      </c>
      <c r="Z116" t="s">
        <v>183</v>
      </c>
      <c r="AA116" t="s">
        <v>173</v>
      </c>
    </row>
    <row r="117" spans="1:27" x14ac:dyDescent="0.3">
      <c r="A117">
        <v>116</v>
      </c>
      <c r="B117" t="s">
        <v>180</v>
      </c>
      <c r="C117">
        <v>99019421</v>
      </c>
      <c r="D117" s="7" t="s">
        <v>185</v>
      </c>
      <c r="E117" t="s">
        <v>181</v>
      </c>
      <c r="F117" t="s">
        <v>176</v>
      </c>
      <c r="G117" t="s">
        <v>177</v>
      </c>
      <c r="H117" s="133">
        <v>10000</v>
      </c>
      <c r="I117">
        <v>0</v>
      </c>
      <c r="J117">
        <v>94</v>
      </c>
      <c r="K117" s="133">
        <v>13450</v>
      </c>
      <c r="L117" s="133">
        <v>13450</v>
      </c>
      <c r="M117" s="150">
        <v>0.37960648148148146</v>
      </c>
      <c r="N117" s="150">
        <v>0.37960648148148146</v>
      </c>
      <c r="O117" t="s">
        <v>172</v>
      </c>
      <c r="Q117">
        <v>89848</v>
      </c>
      <c r="R117">
        <v>89848</v>
      </c>
      <c r="S117">
        <v>89783</v>
      </c>
      <c r="T117" s="133">
        <v>9906</v>
      </c>
      <c r="U117" t="s">
        <v>173</v>
      </c>
      <c r="V117">
        <v>0</v>
      </c>
      <c r="W117" t="s">
        <v>174</v>
      </c>
      <c r="X117">
        <v>89783</v>
      </c>
      <c r="Y117" t="s">
        <v>182</v>
      </c>
      <c r="Z117" t="s">
        <v>183</v>
      </c>
      <c r="AA117" t="s">
        <v>173</v>
      </c>
    </row>
    <row r="118" spans="1:27" x14ac:dyDescent="0.3">
      <c r="A118">
        <v>117</v>
      </c>
      <c r="B118" t="s">
        <v>180</v>
      </c>
      <c r="C118">
        <v>99019421</v>
      </c>
      <c r="D118" s="7" t="s">
        <v>185</v>
      </c>
      <c r="E118" t="s">
        <v>181</v>
      </c>
      <c r="F118" t="s">
        <v>176</v>
      </c>
      <c r="G118" t="s">
        <v>177</v>
      </c>
      <c r="H118" s="133">
        <v>10000</v>
      </c>
      <c r="I118">
        <v>0</v>
      </c>
      <c r="J118" s="133">
        <v>10000</v>
      </c>
      <c r="K118" s="133">
        <v>13445</v>
      </c>
      <c r="L118" s="133">
        <v>13445</v>
      </c>
      <c r="M118" s="150">
        <v>0.37961805555555556</v>
      </c>
      <c r="N118" s="150">
        <v>0.37962962962962959</v>
      </c>
      <c r="O118" t="s">
        <v>172</v>
      </c>
      <c r="Q118">
        <v>90330</v>
      </c>
      <c r="R118">
        <v>90330</v>
      </c>
      <c r="S118">
        <v>90328</v>
      </c>
      <c r="T118">
        <v>0</v>
      </c>
      <c r="U118" t="s">
        <v>173</v>
      </c>
      <c r="V118">
        <v>0</v>
      </c>
      <c r="W118" t="s">
        <v>174</v>
      </c>
      <c r="X118">
        <v>90328</v>
      </c>
      <c r="Y118" t="s">
        <v>182</v>
      </c>
      <c r="Z118" t="s">
        <v>183</v>
      </c>
      <c r="AA118" t="s">
        <v>173</v>
      </c>
    </row>
    <row r="119" spans="1:27" x14ac:dyDescent="0.3">
      <c r="A119">
        <v>118</v>
      </c>
      <c r="B119" t="s">
        <v>180</v>
      </c>
      <c r="C119">
        <v>99019421</v>
      </c>
      <c r="D119" s="7" t="s">
        <v>185</v>
      </c>
      <c r="E119" t="s">
        <v>181</v>
      </c>
      <c r="F119" t="s">
        <v>176</v>
      </c>
      <c r="G119" t="s">
        <v>171</v>
      </c>
      <c r="H119" s="133">
        <v>10000</v>
      </c>
      <c r="I119">
        <v>0</v>
      </c>
      <c r="J119" s="133">
        <v>10000</v>
      </c>
      <c r="K119" s="133">
        <v>13450</v>
      </c>
      <c r="L119" s="133">
        <v>13450</v>
      </c>
      <c r="M119" s="150">
        <v>0.37964120370370374</v>
      </c>
      <c r="N119" s="150">
        <v>0.37965277777777778</v>
      </c>
      <c r="O119" t="s">
        <v>172</v>
      </c>
      <c r="Q119">
        <v>90708</v>
      </c>
      <c r="R119">
        <v>90708</v>
      </c>
      <c r="S119">
        <v>0</v>
      </c>
      <c r="T119">
        <v>0</v>
      </c>
      <c r="U119" t="s">
        <v>173</v>
      </c>
      <c r="V119">
        <v>0</v>
      </c>
      <c r="W119" t="s">
        <v>174</v>
      </c>
      <c r="X119">
        <v>0</v>
      </c>
      <c r="Y119" t="s">
        <v>182</v>
      </c>
      <c r="Z119" t="s">
        <v>183</v>
      </c>
      <c r="AA119" t="s">
        <v>173</v>
      </c>
    </row>
    <row r="120" spans="1:27" x14ac:dyDescent="0.3">
      <c r="A120">
        <v>119</v>
      </c>
      <c r="B120" t="s">
        <v>180</v>
      </c>
      <c r="C120">
        <v>99019421</v>
      </c>
      <c r="D120" s="7" t="s">
        <v>185</v>
      </c>
      <c r="E120" t="s">
        <v>181</v>
      </c>
      <c r="F120" t="s">
        <v>176</v>
      </c>
      <c r="G120" t="s">
        <v>177</v>
      </c>
      <c r="H120" s="133">
        <v>10000</v>
      </c>
      <c r="I120">
        <v>0</v>
      </c>
      <c r="J120" s="133">
        <v>10000</v>
      </c>
      <c r="K120" s="133">
        <v>13455</v>
      </c>
      <c r="L120" s="133">
        <v>13455</v>
      </c>
      <c r="M120" s="150">
        <v>0.37964120370370374</v>
      </c>
      <c r="N120" s="150">
        <v>0.37966435185185188</v>
      </c>
      <c r="O120" t="s">
        <v>172</v>
      </c>
      <c r="Q120">
        <v>90806</v>
      </c>
      <c r="R120">
        <v>90806</v>
      </c>
      <c r="S120">
        <v>90729</v>
      </c>
      <c r="T120">
        <v>0</v>
      </c>
      <c r="U120" t="s">
        <v>173</v>
      </c>
      <c r="V120">
        <v>0</v>
      </c>
      <c r="W120" t="s">
        <v>174</v>
      </c>
      <c r="X120">
        <v>90729</v>
      </c>
      <c r="Y120" t="s">
        <v>182</v>
      </c>
      <c r="Z120" t="s">
        <v>183</v>
      </c>
      <c r="AA120" t="s">
        <v>173</v>
      </c>
    </row>
    <row r="121" spans="1:27" x14ac:dyDescent="0.3">
      <c r="A121">
        <v>120</v>
      </c>
      <c r="B121" t="s">
        <v>180</v>
      </c>
      <c r="C121">
        <v>99019421</v>
      </c>
      <c r="D121" s="7" t="s">
        <v>185</v>
      </c>
      <c r="E121" t="s">
        <v>181</v>
      </c>
      <c r="F121" t="s">
        <v>176</v>
      </c>
      <c r="G121" t="s">
        <v>177</v>
      </c>
      <c r="H121" s="133">
        <v>10000</v>
      </c>
      <c r="I121">
        <v>0</v>
      </c>
      <c r="J121" s="133">
        <v>4349</v>
      </c>
      <c r="K121" s="133">
        <v>13450</v>
      </c>
      <c r="L121" s="133">
        <v>13450</v>
      </c>
      <c r="M121" s="150">
        <v>0.37965277777777778</v>
      </c>
      <c r="N121" s="150">
        <v>0.37965277777777778</v>
      </c>
      <c r="O121" t="s">
        <v>172</v>
      </c>
      <c r="Q121">
        <v>91116</v>
      </c>
      <c r="R121">
        <v>91116</v>
      </c>
      <c r="S121">
        <v>91031</v>
      </c>
      <c r="T121" s="133">
        <v>5651</v>
      </c>
      <c r="U121" t="s">
        <v>173</v>
      </c>
      <c r="V121">
        <v>0</v>
      </c>
      <c r="W121" t="s">
        <v>174</v>
      </c>
      <c r="X121">
        <v>91031</v>
      </c>
      <c r="Y121" t="s">
        <v>182</v>
      </c>
      <c r="Z121" t="s">
        <v>183</v>
      </c>
      <c r="AA121" t="s">
        <v>173</v>
      </c>
    </row>
    <row r="122" spans="1:27" x14ac:dyDescent="0.3">
      <c r="A122">
        <v>121</v>
      </c>
      <c r="B122" t="s">
        <v>180</v>
      </c>
      <c r="C122">
        <v>99019421</v>
      </c>
      <c r="D122" s="7" t="s">
        <v>185</v>
      </c>
      <c r="E122" t="s">
        <v>181</v>
      </c>
      <c r="F122" t="s">
        <v>176</v>
      </c>
      <c r="G122" t="s">
        <v>177</v>
      </c>
      <c r="H122" s="133">
        <v>10000</v>
      </c>
      <c r="I122">
        <v>0</v>
      </c>
      <c r="J122" s="133">
        <v>3133</v>
      </c>
      <c r="K122" s="133">
        <v>13455</v>
      </c>
      <c r="L122" s="133">
        <v>13455</v>
      </c>
      <c r="M122" s="150">
        <v>0.3797106481481482</v>
      </c>
      <c r="N122" s="150">
        <v>0.37972222222222224</v>
      </c>
      <c r="O122" t="s">
        <v>172</v>
      </c>
      <c r="Q122">
        <v>92327</v>
      </c>
      <c r="R122">
        <v>92327</v>
      </c>
      <c r="S122">
        <v>92147</v>
      </c>
      <c r="T122" s="133">
        <v>6867</v>
      </c>
      <c r="U122" t="s">
        <v>173</v>
      </c>
      <c r="V122">
        <v>0</v>
      </c>
      <c r="W122" t="s">
        <v>174</v>
      </c>
      <c r="X122">
        <v>92147</v>
      </c>
      <c r="Y122" t="s">
        <v>182</v>
      </c>
      <c r="Z122" t="s">
        <v>183</v>
      </c>
      <c r="AA122" t="s">
        <v>173</v>
      </c>
    </row>
    <row r="123" spans="1:27" x14ac:dyDescent="0.3">
      <c r="A123">
        <v>122</v>
      </c>
      <c r="B123" t="s">
        <v>180</v>
      </c>
      <c r="C123">
        <v>99019421</v>
      </c>
      <c r="D123" s="7" t="s">
        <v>185</v>
      </c>
      <c r="E123" t="s">
        <v>181</v>
      </c>
      <c r="F123" t="s">
        <v>176</v>
      </c>
      <c r="G123" t="s">
        <v>177</v>
      </c>
      <c r="H123" s="133">
        <v>10000</v>
      </c>
      <c r="I123">
        <v>0</v>
      </c>
      <c r="J123" s="133">
        <v>10000</v>
      </c>
      <c r="K123" s="133">
        <v>13450</v>
      </c>
      <c r="L123" s="133">
        <v>13450</v>
      </c>
      <c r="M123" s="150">
        <v>0.37972222222222224</v>
      </c>
      <c r="N123" s="150">
        <v>0.37973379629629633</v>
      </c>
      <c r="O123" t="s">
        <v>172</v>
      </c>
      <c r="Q123">
        <v>92829</v>
      </c>
      <c r="R123">
        <v>92829</v>
      </c>
      <c r="S123">
        <v>92671</v>
      </c>
      <c r="T123">
        <v>0</v>
      </c>
      <c r="U123" t="s">
        <v>173</v>
      </c>
      <c r="V123">
        <v>0</v>
      </c>
      <c r="W123" t="s">
        <v>174</v>
      </c>
      <c r="X123">
        <v>92671</v>
      </c>
      <c r="Y123" t="s">
        <v>182</v>
      </c>
      <c r="Z123" t="s">
        <v>183</v>
      </c>
      <c r="AA123" t="s">
        <v>173</v>
      </c>
    </row>
    <row r="124" spans="1:27" x14ac:dyDescent="0.3">
      <c r="A124">
        <v>123</v>
      </c>
      <c r="B124" t="s">
        <v>180</v>
      </c>
      <c r="C124">
        <v>99019421</v>
      </c>
      <c r="D124" s="7" t="s">
        <v>185</v>
      </c>
      <c r="E124" t="s">
        <v>181</v>
      </c>
      <c r="F124" t="s">
        <v>176</v>
      </c>
      <c r="G124" t="s">
        <v>177</v>
      </c>
      <c r="H124" s="133">
        <v>10000</v>
      </c>
      <c r="I124">
        <v>0</v>
      </c>
      <c r="J124" s="133">
        <v>10000</v>
      </c>
      <c r="K124" s="133">
        <v>13440</v>
      </c>
      <c r="L124" s="133">
        <v>13440</v>
      </c>
      <c r="M124" s="150">
        <v>0.37974537037037037</v>
      </c>
      <c r="N124" s="150">
        <v>0.37974537037037037</v>
      </c>
      <c r="O124" t="s">
        <v>172</v>
      </c>
      <c r="Q124">
        <v>93389</v>
      </c>
      <c r="R124">
        <v>93389</v>
      </c>
      <c r="S124">
        <v>93212</v>
      </c>
      <c r="T124">
        <v>0</v>
      </c>
      <c r="U124" t="s">
        <v>173</v>
      </c>
      <c r="V124">
        <v>0</v>
      </c>
      <c r="W124" t="s">
        <v>174</v>
      </c>
      <c r="X124">
        <v>93212</v>
      </c>
      <c r="Y124" t="s">
        <v>182</v>
      </c>
      <c r="Z124" t="s">
        <v>183</v>
      </c>
      <c r="AA124" t="s">
        <v>173</v>
      </c>
    </row>
    <row r="125" spans="1:27" x14ac:dyDescent="0.3">
      <c r="A125">
        <v>124</v>
      </c>
      <c r="B125" t="s">
        <v>169</v>
      </c>
      <c r="C125">
        <v>99019875</v>
      </c>
      <c r="D125" s="7" t="s">
        <v>108</v>
      </c>
      <c r="E125" t="s">
        <v>109</v>
      </c>
      <c r="F125" t="s">
        <v>176</v>
      </c>
      <c r="G125" t="s">
        <v>177</v>
      </c>
      <c r="H125" s="133">
        <v>1000</v>
      </c>
      <c r="I125">
        <v>0</v>
      </c>
      <c r="J125">
        <v>26</v>
      </c>
      <c r="K125" s="133">
        <v>2685</v>
      </c>
      <c r="L125" s="133">
        <v>2685</v>
      </c>
      <c r="M125" s="150">
        <v>0.37974537037037037</v>
      </c>
      <c r="N125" s="150">
        <v>0.37982638888888887</v>
      </c>
      <c r="O125" t="s">
        <v>172</v>
      </c>
      <c r="Q125">
        <v>93527</v>
      </c>
      <c r="R125">
        <v>93527</v>
      </c>
      <c r="S125">
        <v>93500</v>
      </c>
      <c r="T125">
        <v>974</v>
      </c>
      <c r="U125" t="s">
        <v>173</v>
      </c>
      <c r="V125">
        <v>0</v>
      </c>
      <c r="W125" t="s">
        <v>174</v>
      </c>
      <c r="X125">
        <v>93500</v>
      </c>
      <c r="Z125" t="s">
        <v>175</v>
      </c>
      <c r="AA125" t="s">
        <v>173</v>
      </c>
    </row>
    <row r="126" spans="1:27" x14ac:dyDescent="0.3">
      <c r="A126">
        <v>125</v>
      </c>
      <c r="B126" t="s">
        <v>180</v>
      </c>
      <c r="C126">
        <v>99019421</v>
      </c>
      <c r="D126" s="7" t="s">
        <v>185</v>
      </c>
      <c r="E126" t="s">
        <v>181</v>
      </c>
      <c r="F126" t="s">
        <v>176</v>
      </c>
      <c r="G126" t="s">
        <v>177</v>
      </c>
      <c r="H126" s="133">
        <v>10000</v>
      </c>
      <c r="I126">
        <v>0</v>
      </c>
      <c r="J126" s="133">
        <v>10000</v>
      </c>
      <c r="K126" s="133">
        <v>13440</v>
      </c>
      <c r="L126" s="133">
        <v>13440</v>
      </c>
      <c r="M126" s="150">
        <v>0.37975694444444441</v>
      </c>
      <c r="N126" s="150">
        <v>0.37976851851851851</v>
      </c>
      <c r="O126" t="s">
        <v>172</v>
      </c>
      <c r="Q126">
        <v>93791</v>
      </c>
      <c r="R126">
        <v>93791</v>
      </c>
      <c r="S126">
        <v>93659</v>
      </c>
      <c r="T126">
        <v>0</v>
      </c>
      <c r="U126" t="s">
        <v>173</v>
      </c>
      <c r="V126">
        <v>0</v>
      </c>
      <c r="W126" t="s">
        <v>174</v>
      </c>
      <c r="X126">
        <v>93659</v>
      </c>
      <c r="Y126" t="s">
        <v>182</v>
      </c>
      <c r="Z126" t="s">
        <v>183</v>
      </c>
      <c r="AA126" t="s">
        <v>173</v>
      </c>
    </row>
    <row r="127" spans="1:27" x14ac:dyDescent="0.3">
      <c r="A127">
        <v>126</v>
      </c>
      <c r="B127" t="s">
        <v>180</v>
      </c>
      <c r="C127">
        <v>99019421</v>
      </c>
      <c r="D127" s="7" t="s">
        <v>185</v>
      </c>
      <c r="E127" t="s">
        <v>181</v>
      </c>
      <c r="F127" t="s">
        <v>176</v>
      </c>
      <c r="G127" t="s">
        <v>177</v>
      </c>
      <c r="H127" s="133">
        <v>10000</v>
      </c>
      <c r="I127">
        <v>0</v>
      </c>
      <c r="J127" s="133">
        <v>10000</v>
      </c>
      <c r="K127" s="133">
        <v>13440</v>
      </c>
      <c r="L127" s="133">
        <v>13440</v>
      </c>
      <c r="M127" s="150">
        <v>0.37978009259259254</v>
      </c>
      <c r="N127" s="150">
        <v>0.37978009259259254</v>
      </c>
      <c r="O127" t="s">
        <v>172</v>
      </c>
      <c r="Q127">
        <v>94123</v>
      </c>
      <c r="R127">
        <v>94123</v>
      </c>
      <c r="S127">
        <v>94062</v>
      </c>
      <c r="T127">
        <v>0</v>
      </c>
      <c r="U127" t="s">
        <v>173</v>
      </c>
      <c r="V127">
        <v>0</v>
      </c>
      <c r="W127" t="s">
        <v>174</v>
      </c>
      <c r="X127">
        <v>94062</v>
      </c>
      <c r="Y127" t="s">
        <v>182</v>
      </c>
      <c r="Z127" t="s">
        <v>183</v>
      </c>
      <c r="AA127" t="s">
        <v>173</v>
      </c>
    </row>
    <row r="128" spans="1:27" x14ac:dyDescent="0.3">
      <c r="A128">
        <v>127</v>
      </c>
      <c r="B128" t="s">
        <v>169</v>
      </c>
      <c r="C128">
        <v>99019875</v>
      </c>
      <c r="D128" s="7" t="s">
        <v>65</v>
      </c>
      <c r="E128" t="s">
        <v>66</v>
      </c>
      <c r="F128" t="s">
        <v>176</v>
      </c>
      <c r="G128" t="s">
        <v>177</v>
      </c>
      <c r="H128" s="133">
        <v>1000</v>
      </c>
      <c r="I128">
        <v>0</v>
      </c>
      <c r="J128" s="133">
        <v>1000</v>
      </c>
      <c r="K128" s="133">
        <v>4760</v>
      </c>
      <c r="L128" s="133">
        <v>4760</v>
      </c>
      <c r="M128" s="150">
        <v>0.37978009259259254</v>
      </c>
      <c r="N128" s="150">
        <v>0.379849537037037</v>
      </c>
      <c r="O128" t="s">
        <v>172</v>
      </c>
      <c r="Q128">
        <v>94168</v>
      </c>
      <c r="R128">
        <v>94168</v>
      </c>
      <c r="S128">
        <v>93849</v>
      </c>
      <c r="T128">
        <v>0</v>
      </c>
      <c r="U128" t="s">
        <v>173</v>
      </c>
      <c r="V128">
        <v>0</v>
      </c>
      <c r="W128" t="s">
        <v>174</v>
      </c>
      <c r="X128">
        <v>93849</v>
      </c>
      <c r="Z128" t="s">
        <v>175</v>
      </c>
      <c r="AA128" t="s">
        <v>173</v>
      </c>
    </row>
    <row r="129" spans="1:27" x14ac:dyDescent="0.3">
      <c r="A129">
        <v>128</v>
      </c>
      <c r="B129" t="s">
        <v>180</v>
      </c>
      <c r="C129">
        <v>99019421</v>
      </c>
      <c r="D129" s="7" t="s">
        <v>185</v>
      </c>
      <c r="E129" t="s">
        <v>181</v>
      </c>
      <c r="F129" t="s">
        <v>176</v>
      </c>
      <c r="G129" t="s">
        <v>177</v>
      </c>
      <c r="H129" s="133">
        <v>10000</v>
      </c>
      <c r="I129">
        <v>0</v>
      </c>
      <c r="J129" s="133">
        <v>10000</v>
      </c>
      <c r="K129" s="133">
        <v>13440</v>
      </c>
      <c r="L129" s="133">
        <v>13440</v>
      </c>
      <c r="M129" s="150">
        <v>0.37980324074074073</v>
      </c>
      <c r="N129" s="150">
        <v>0.37980324074074073</v>
      </c>
      <c r="O129" t="s">
        <v>172</v>
      </c>
      <c r="Q129">
        <v>94497</v>
      </c>
      <c r="R129">
        <v>94497</v>
      </c>
      <c r="S129">
        <v>94365</v>
      </c>
      <c r="T129">
        <v>0</v>
      </c>
      <c r="U129" t="s">
        <v>173</v>
      </c>
      <c r="V129">
        <v>0</v>
      </c>
      <c r="W129" t="s">
        <v>174</v>
      </c>
      <c r="X129">
        <v>94365</v>
      </c>
      <c r="Y129" t="s">
        <v>182</v>
      </c>
      <c r="Z129" t="s">
        <v>183</v>
      </c>
      <c r="AA129" t="s">
        <v>173</v>
      </c>
    </row>
    <row r="130" spans="1:27" x14ac:dyDescent="0.3">
      <c r="A130">
        <v>129</v>
      </c>
      <c r="B130" t="s">
        <v>180</v>
      </c>
      <c r="C130">
        <v>99019421</v>
      </c>
      <c r="D130" s="7" t="s">
        <v>185</v>
      </c>
      <c r="E130" t="s">
        <v>181</v>
      </c>
      <c r="F130" t="s">
        <v>176</v>
      </c>
      <c r="G130" t="s">
        <v>171</v>
      </c>
      <c r="H130" s="133">
        <v>10000</v>
      </c>
      <c r="I130">
        <v>0</v>
      </c>
      <c r="J130" s="133">
        <v>10000</v>
      </c>
      <c r="K130" s="133">
        <v>13450</v>
      </c>
      <c r="L130" s="133">
        <v>13450</v>
      </c>
      <c r="M130" s="150">
        <v>0.37981481481481483</v>
      </c>
      <c r="N130" s="150">
        <v>0.37982638888888887</v>
      </c>
      <c r="O130" t="s">
        <v>172</v>
      </c>
      <c r="Q130">
        <v>94740</v>
      </c>
      <c r="R130">
        <v>94740</v>
      </c>
      <c r="S130">
        <v>0</v>
      </c>
      <c r="T130">
        <v>0</v>
      </c>
      <c r="U130" t="s">
        <v>173</v>
      </c>
      <c r="V130">
        <v>0</v>
      </c>
      <c r="W130" t="s">
        <v>174</v>
      </c>
      <c r="X130">
        <v>0</v>
      </c>
      <c r="Y130" t="s">
        <v>182</v>
      </c>
      <c r="Z130" t="s">
        <v>183</v>
      </c>
      <c r="AA130" t="s">
        <v>173</v>
      </c>
    </row>
    <row r="131" spans="1:27" x14ac:dyDescent="0.3">
      <c r="A131">
        <v>130</v>
      </c>
      <c r="B131" t="s">
        <v>180</v>
      </c>
      <c r="C131">
        <v>99019421</v>
      </c>
      <c r="D131" s="7" t="s">
        <v>185</v>
      </c>
      <c r="E131" t="s">
        <v>181</v>
      </c>
      <c r="F131" t="s">
        <v>176</v>
      </c>
      <c r="G131" t="s">
        <v>177</v>
      </c>
      <c r="H131" s="133">
        <v>10000</v>
      </c>
      <c r="I131">
        <v>0</v>
      </c>
      <c r="J131" s="133">
        <v>10000</v>
      </c>
      <c r="K131" s="133">
        <v>13455</v>
      </c>
      <c r="L131" s="133">
        <v>13455</v>
      </c>
      <c r="M131" s="150">
        <v>0.37981481481481483</v>
      </c>
      <c r="N131" s="150">
        <v>0.37982638888888887</v>
      </c>
      <c r="O131" t="s">
        <v>172</v>
      </c>
      <c r="Q131">
        <v>94826</v>
      </c>
      <c r="R131">
        <v>94826</v>
      </c>
      <c r="S131">
        <v>94744</v>
      </c>
      <c r="T131">
        <v>0</v>
      </c>
      <c r="U131" t="s">
        <v>173</v>
      </c>
      <c r="V131">
        <v>0</v>
      </c>
      <c r="W131" t="s">
        <v>174</v>
      </c>
      <c r="X131">
        <v>94744</v>
      </c>
      <c r="Y131" t="s">
        <v>182</v>
      </c>
      <c r="Z131" t="s">
        <v>183</v>
      </c>
      <c r="AA131" t="s">
        <v>173</v>
      </c>
    </row>
    <row r="132" spans="1:27" x14ac:dyDescent="0.3">
      <c r="A132">
        <v>131</v>
      </c>
      <c r="B132" t="s">
        <v>169</v>
      </c>
      <c r="C132">
        <v>99019875</v>
      </c>
      <c r="D132" s="7" t="s">
        <v>140</v>
      </c>
      <c r="E132" t="s">
        <v>178</v>
      </c>
      <c r="F132" t="s">
        <v>176</v>
      </c>
      <c r="G132" t="s">
        <v>177</v>
      </c>
      <c r="H132" s="133">
        <v>1000</v>
      </c>
      <c r="I132">
        <v>0</v>
      </c>
      <c r="J132">
        <v>10</v>
      </c>
      <c r="K132" s="133">
        <v>8595</v>
      </c>
      <c r="L132" s="133">
        <v>8595</v>
      </c>
      <c r="M132" s="150">
        <v>0.38027777777777777</v>
      </c>
      <c r="N132" s="150">
        <v>0.38055555555555554</v>
      </c>
      <c r="O132" t="s">
        <v>172</v>
      </c>
      <c r="Q132">
        <v>103711</v>
      </c>
      <c r="R132">
        <v>103711</v>
      </c>
      <c r="S132">
        <v>103697</v>
      </c>
      <c r="T132">
        <v>990</v>
      </c>
      <c r="U132" t="s">
        <v>173</v>
      </c>
      <c r="V132">
        <v>0</v>
      </c>
      <c r="W132" t="s">
        <v>174</v>
      </c>
      <c r="X132">
        <v>103697</v>
      </c>
      <c r="Z132" t="s">
        <v>175</v>
      </c>
      <c r="AA132" t="s">
        <v>173</v>
      </c>
    </row>
    <row r="133" spans="1:27" x14ac:dyDescent="0.3">
      <c r="A133">
        <v>132</v>
      </c>
      <c r="B133" t="s">
        <v>169</v>
      </c>
      <c r="C133">
        <v>99019875</v>
      </c>
      <c r="D133" s="7" t="s">
        <v>96</v>
      </c>
      <c r="E133" t="s">
        <v>97</v>
      </c>
      <c r="F133" t="s">
        <v>176</v>
      </c>
      <c r="G133" t="s">
        <v>177</v>
      </c>
      <c r="H133" s="133">
        <v>1000</v>
      </c>
      <c r="I133">
        <v>0</v>
      </c>
      <c r="J133">
        <v>115</v>
      </c>
      <c r="K133" s="133">
        <v>8345</v>
      </c>
      <c r="L133" s="133">
        <v>8345</v>
      </c>
      <c r="M133" s="150">
        <v>0.3803125</v>
      </c>
      <c r="N133" s="150">
        <v>0.38032407407407409</v>
      </c>
      <c r="O133" t="s">
        <v>172</v>
      </c>
      <c r="Q133">
        <v>104483</v>
      </c>
      <c r="R133">
        <v>104483</v>
      </c>
      <c r="S133">
        <v>104453</v>
      </c>
      <c r="T133">
        <v>885</v>
      </c>
      <c r="U133" t="s">
        <v>173</v>
      </c>
      <c r="V133">
        <v>0</v>
      </c>
      <c r="W133" t="s">
        <v>174</v>
      </c>
      <c r="X133">
        <v>104453</v>
      </c>
      <c r="Z133" t="s">
        <v>175</v>
      </c>
      <c r="AA133" t="s">
        <v>173</v>
      </c>
    </row>
    <row r="134" spans="1:27" x14ac:dyDescent="0.3">
      <c r="A134">
        <v>133</v>
      </c>
      <c r="B134" t="s">
        <v>180</v>
      </c>
      <c r="C134">
        <v>99019421</v>
      </c>
      <c r="D134" s="7" t="s">
        <v>185</v>
      </c>
      <c r="E134" t="s">
        <v>181</v>
      </c>
      <c r="F134" t="s">
        <v>176</v>
      </c>
      <c r="G134" t="s">
        <v>177</v>
      </c>
      <c r="H134" s="133">
        <v>10000</v>
      </c>
      <c r="I134">
        <v>0</v>
      </c>
      <c r="J134">
        <v>10</v>
      </c>
      <c r="K134" s="133">
        <v>13495</v>
      </c>
      <c r="L134" s="133">
        <v>13495</v>
      </c>
      <c r="M134" s="150">
        <v>0.38042824074074072</v>
      </c>
      <c r="N134" s="150">
        <v>0.38042824074074072</v>
      </c>
      <c r="O134" t="s">
        <v>172</v>
      </c>
      <c r="Q134">
        <v>106622</v>
      </c>
      <c r="R134">
        <v>106622</v>
      </c>
      <c r="S134">
        <v>106010</v>
      </c>
      <c r="T134" s="133">
        <v>9990</v>
      </c>
      <c r="U134" t="s">
        <v>173</v>
      </c>
      <c r="V134">
        <v>0</v>
      </c>
      <c r="W134" t="s">
        <v>174</v>
      </c>
      <c r="X134">
        <v>106010</v>
      </c>
      <c r="Y134" t="s">
        <v>182</v>
      </c>
      <c r="Z134" t="s">
        <v>183</v>
      </c>
      <c r="AA134" t="s">
        <v>173</v>
      </c>
    </row>
    <row r="135" spans="1:27" x14ac:dyDescent="0.3">
      <c r="A135">
        <v>134</v>
      </c>
      <c r="B135" t="s">
        <v>169</v>
      </c>
      <c r="C135">
        <v>99019875</v>
      </c>
      <c r="D135" s="7" t="s">
        <v>65</v>
      </c>
      <c r="E135" t="s">
        <v>66</v>
      </c>
      <c r="F135" t="s">
        <v>170</v>
      </c>
      <c r="G135" t="s">
        <v>177</v>
      </c>
      <c r="H135" s="133">
        <v>1000</v>
      </c>
      <c r="I135">
        <v>0</v>
      </c>
      <c r="J135" s="133">
        <v>1000</v>
      </c>
      <c r="K135" s="133">
        <v>4790</v>
      </c>
      <c r="L135" s="133">
        <v>4790</v>
      </c>
      <c r="M135" s="150">
        <v>0.38049768518518517</v>
      </c>
      <c r="N135" s="150">
        <v>0.3805439814814815</v>
      </c>
      <c r="O135" t="s">
        <v>172</v>
      </c>
      <c r="Q135">
        <v>108171</v>
      </c>
      <c r="R135">
        <v>108171</v>
      </c>
      <c r="S135">
        <v>108146</v>
      </c>
      <c r="T135">
        <v>0</v>
      </c>
      <c r="U135" t="s">
        <v>173</v>
      </c>
      <c r="V135">
        <v>0</v>
      </c>
      <c r="W135" t="s">
        <v>174</v>
      </c>
      <c r="X135">
        <v>108146</v>
      </c>
      <c r="Z135" t="s">
        <v>175</v>
      </c>
      <c r="AA135" t="s">
        <v>173</v>
      </c>
    </row>
    <row r="136" spans="1:27" x14ac:dyDescent="0.3">
      <c r="A136">
        <v>135</v>
      </c>
      <c r="B136" t="s">
        <v>180</v>
      </c>
      <c r="C136">
        <v>99019421</v>
      </c>
      <c r="D136" s="7" t="s">
        <v>185</v>
      </c>
      <c r="E136" t="s">
        <v>181</v>
      </c>
      <c r="F136" t="s">
        <v>176</v>
      </c>
      <c r="G136" t="s">
        <v>177</v>
      </c>
      <c r="H136" s="133">
        <v>10000</v>
      </c>
      <c r="I136">
        <v>0</v>
      </c>
      <c r="J136" s="133">
        <v>10000</v>
      </c>
      <c r="K136" s="133">
        <v>13485</v>
      </c>
      <c r="L136" s="133">
        <v>13485</v>
      </c>
      <c r="M136" s="150">
        <v>0.38071759259259258</v>
      </c>
      <c r="N136" s="150">
        <v>0.38071759259259258</v>
      </c>
      <c r="O136" t="s">
        <v>172</v>
      </c>
      <c r="Q136">
        <v>112299</v>
      </c>
      <c r="R136">
        <v>112299</v>
      </c>
      <c r="S136">
        <v>112298</v>
      </c>
      <c r="T136">
        <v>0</v>
      </c>
      <c r="U136" t="s">
        <v>173</v>
      </c>
      <c r="V136">
        <v>0</v>
      </c>
      <c r="W136" t="s">
        <v>174</v>
      </c>
      <c r="X136">
        <v>112298</v>
      </c>
      <c r="Y136" t="s">
        <v>182</v>
      </c>
      <c r="Z136" t="s">
        <v>183</v>
      </c>
      <c r="AA136" t="s">
        <v>173</v>
      </c>
    </row>
    <row r="137" spans="1:27" x14ac:dyDescent="0.3">
      <c r="A137">
        <v>136</v>
      </c>
      <c r="B137" t="s">
        <v>180</v>
      </c>
      <c r="C137">
        <v>99019421</v>
      </c>
      <c r="D137" s="7" t="s">
        <v>185</v>
      </c>
      <c r="E137" t="s">
        <v>181</v>
      </c>
      <c r="F137" t="s">
        <v>176</v>
      </c>
      <c r="G137" t="s">
        <v>177</v>
      </c>
      <c r="H137" s="133">
        <v>10000</v>
      </c>
      <c r="I137">
        <v>0</v>
      </c>
      <c r="J137" s="133">
        <v>2122</v>
      </c>
      <c r="K137" s="133">
        <v>13470</v>
      </c>
      <c r="L137" s="133">
        <v>13470</v>
      </c>
      <c r="M137" s="150">
        <v>0.38078703703703703</v>
      </c>
      <c r="N137" s="150">
        <v>0.38081018518518522</v>
      </c>
      <c r="O137" t="s">
        <v>172</v>
      </c>
      <c r="Q137">
        <v>113913</v>
      </c>
      <c r="R137">
        <v>113913</v>
      </c>
      <c r="S137">
        <v>113842</v>
      </c>
      <c r="T137" s="133">
        <v>7878</v>
      </c>
      <c r="U137" t="s">
        <v>173</v>
      </c>
      <c r="V137">
        <v>0</v>
      </c>
      <c r="W137" t="s">
        <v>174</v>
      </c>
      <c r="X137">
        <v>113842</v>
      </c>
      <c r="Y137" t="s">
        <v>182</v>
      </c>
      <c r="Z137" t="s">
        <v>183</v>
      </c>
      <c r="AA137" t="s">
        <v>173</v>
      </c>
    </row>
    <row r="138" spans="1:27" x14ac:dyDescent="0.3">
      <c r="A138">
        <v>137</v>
      </c>
      <c r="B138" t="s">
        <v>180</v>
      </c>
      <c r="C138">
        <v>99019421</v>
      </c>
      <c r="D138" s="7" t="s">
        <v>185</v>
      </c>
      <c r="E138" t="s">
        <v>181</v>
      </c>
      <c r="F138" t="s">
        <v>176</v>
      </c>
      <c r="G138" t="s">
        <v>177</v>
      </c>
      <c r="H138" s="133">
        <v>10000</v>
      </c>
      <c r="I138">
        <v>0</v>
      </c>
      <c r="J138">
        <v>10</v>
      </c>
      <c r="K138" s="133">
        <v>13470</v>
      </c>
      <c r="L138" s="133">
        <v>13470</v>
      </c>
      <c r="M138" s="150">
        <v>0.3808449074074074</v>
      </c>
      <c r="N138" s="150">
        <v>0.38086805555555553</v>
      </c>
      <c r="O138" t="s">
        <v>172</v>
      </c>
      <c r="Q138">
        <v>115012</v>
      </c>
      <c r="R138">
        <v>115012</v>
      </c>
      <c r="S138">
        <v>114980</v>
      </c>
      <c r="T138" s="133">
        <v>9990</v>
      </c>
      <c r="U138" t="s">
        <v>173</v>
      </c>
      <c r="V138">
        <v>0</v>
      </c>
      <c r="W138" t="s">
        <v>174</v>
      </c>
      <c r="X138">
        <v>114980</v>
      </c>
      <c r="Y138" t="s">
        <v>182</v>
      </c>
      <c r="Z138" t="s">
        <v>183</v>
      </c>
      <c r="AA138" t="s">
        <v>173</v>
      </c>
    </row>
    <row r="139" spans="1:27" x14ac:dyDescent="0.3">
      <c r="A139">
        <v>138</v>
      </c>
      <c r="B139" t="s">
        <v>180</v>
      </c>
      <c r="C139">
        <v>99019421</v>
      </c>
      <c r="D139" s="7" t="s">
        <v>185</v>
      </c>
      <c r="E139" t="s">
        <v>181</v>
      </c>
      <c r="F139" t="s">
        <v>176</v>
      </c>
      <c r="G139" t="s">
        <v>177</v>
      </c>
      <c r="H139" s="133">
        <v>10000</v>
      </c>
      <c r="I139">
        <v>0</v>
      </c>
      <c r="J139" s="133">
        <v>10000</v>
      </c>
      <c r="K139" s="133">
        <v>13465</v>
      </c>
      <c r="L139" s="133">
        <v>13465</v>
      </c>
      <c r="M139" s="150">
        <v>0.3808449074074074</v>
      </c>
      <c r="N139" s="150">
        <v>0.38086805555555553</v>
      </c>
      <c r="O139" t="s">
        <v>172</v>
      </c>
      <c r="Q139">
        <v>115062</v>
      </c>
      <c r="R139">
        <v>115062</v>
      </c>
      <c r="S139">
        <v>115061</v>
      </c>
      <c r="T139">
        <v>0</v>
      </c>
      <c r="U139" t="s">
        <v>173</v>
      </c>
      <c r="V139">
        <v>0</v>
      </c>
      <c r="W139" t="s">
        <v>174</v>
      </c>
      <c r="X139">
        <v>115061</v>
      </c>
      <c r="Y139" t="s">
        <v>182</v>
      </c>
      <c r="Z139" t="s">
        <v>183</v>
      </c>
      <c r="AA139" t="s">
        <v>173</v>
      </c>
    </row>
    <row r="140" spans="1:27" x14ac:dyDescent="0.3">
      <c r="A140">
        <v>139</v>
      </c>
      <c r="B140" t="s">
        <v>180</v>
      </c>
      <c r="C140">
        <v>99019421</v>
      </c>
      <c r="D140" s="7" t="s">
        <v>185</v>
      </c>
      <c r="E140" t="s">
        <v>181</v>
      </c>
      <c r="F140" t="s">
        <v>176</v>
      </c>
      <c r="G140" t="s">
        <v>177</v>
      </c>
      <c r="H140" s="133">
        <v>10000</v>
      </c>
      <c r="I140">
        <v>0</v>
      </c>
      <c r="J140" s="133">
        <v>10000</v>
      </c>
      <c r="K140" s="133">
        <v>13465</v>
      </c>
      <c r="L140" s="133">
        <v>13465</v>
      </c>
      <c r="M140" s="150">
        <v>0.38092592592592589</v>
      </c>
      <c r="N140" s="150">
        <v>0.38092592592592589</v>
      </c>
      <c r="O140" t="s">
        <v>172</v>
      </c>
      <c r="Q140">
        <v>116376</v>
      </c>
      <c r="R140">
        <v>116376</v>
      </c>
      <c r="S140">
        <v>116312</v>
      </c>
      <c r="T140">
        <v>0</v>
      </c>
      <c r="U140" t="s">
        <v>173</v>
      </c>
      <c r="V140">
        <v>0</v>
      </c>
      <c r="W140" t="s">
        <v>174</v>
      </c>
      <c r="X140">
        <v>116312</v>
      </c>
      <c r="Y140" t="s">
        <v>182</v>
      </c>
      <c r="Z140" t="s">
        <v>183</v>
      </c>
      <c r="AA140" t="s">
        <v>173</v>
      </c>
    </row>
    <row r="141" spans="1:27" x14ac:dyDescent="0.3">
      <c r="A141">
        <v>140</v>
      </c>
      <c r="B141" t="s">
        <v>169</v>
      </c>
      <c r="C141">
        <v>99019875</v>
      </c>
      <c r="D141" s="7" t="s">
        <v>100</v>
      </c>
      <c r="E141" t="s">
        <v>101</v>
      </c>
      <c r="F141" t="s">
        <v>170</v>
      </c>
      <c r="G141" t="s">
        <v>177</v>
      </c>
      <c r="H141" s="133">
        <v>1000</v>
      </c>
      <c r="I141">
        <v>0</v>
      </c>
      <c r="J141">
        <v>7</v>
      </c>
      <c r="K141" s="133">
        <v>15515</v>
      </c>
      <c r="L141" s="133">
        <v>15515</v>
      </c>
      <c r="M141" s="150">
        <v>0.38093749999999998</v>
      </c>
      <c r="N141" s="150">
        <v>0.38093749999999998</v>
      </c>
      <c r="O141" t="s">
        <v>172</v>
      </c>
      <c r="Q141">
        <v>116548</v>
      </c>
      <c r="R141">
        <v>116548</v>
      </c>
      <c r="S141">
        <v>116540</v>
      </c>
      <c r="T141">
        <v>993</v>
      </c>
      <c r="U141" t="s">
        <v>173</v>
      </c>
      <c r="V141">
        <v>0</v>
      </c>
      <c r="W141" t="s">
        <v>174</v>
      </c>
      <c r="X141">
        <v>116540</v>
      </c>
      <c r="Z141" t="s">
        <v>175</v>
      </c>
      <c r="AA141" t="s">
        <v>173</v>
      </c>
    </row>
    <row r="142" spans="1:27" x14ac:dyDescent="0.3">
      <c r="A142">
        <v>141</v>
      </c>
      <c r="B142" t="s">
        <v>180</v>
      </c>
      <c r="C142">
        <v>99019421</v>
      </c>
      <c r="D142" s="7" t="s">
        <v>185</v>
      </c>
      <c r="E142" t="s">
        <v>181</v>
      </c>
      <c r="F142" t="s">
        <v>176</v>
      </c>
      <c r="G142" t="s">
        <v>177</v>
      </c>
      <c r="H142" s="133">
        <v>10000</v>
      </c>
      <c r="I142">
        <v>0</v>
      </c>
      <c r="J142" s="133">
        <v>10000</v>
      </c>
      <c r="K142" s="133">
        <v>13470</v>
      </c>
      <c r="L142" s="133">
        <v>13470</v>
      </c>
      <c r="M142" s="150">
        <v>0.38094907407407402</v>
      </c>
      <c r="N142" s="150">
        <v>0.38097222222222221</v>
      </c>
      <c r="O142" t="s">
        <v>172</v>
      </c>
      <c r="Q142">
        <v>116839</v>
      </c>
      <c r="R142">
        <v>116839</v>
      </c>
      <c r="S142">
        <v>116698</v>
      </c>
      <c r="T142">
        <v>0</v>
      </c>
      <c r="U142" t="s">
        <v>173</v>
      </c>
      <c r="V142">
        <v>0</v>
      </c>
      <c r="W142" t="s">
        <v>174</v>
      </c>
      <c r="X142">
        <v>116698</v>
      </c>
      <c r="Y142" t="s">
        <v>182</v>
      </c>
      <c r="Z142" t="s">
        <v>183</v>
      </c>
      <c r="AA142" t="s">
        <v>173</v>
      </c>
    </row>
    <row r="143" spans="1:27" x14ac:dyDescent="0.3">
      <c r="A143">
        <v>142</v>
      </c>
      <c r="B143" t="s">
        <v>169</v>
      </c>
      <c r="C143">
        <v>99019875</v>
      </c>
      <c r="D143" s="7" t="s">
        <v>140</v>
      </c>
      <c r="E143" t="s">
        <v>178</v>
      </c>
      <c r="F143" t="s">
        <v>176</v>
      </c>
      <c r="G143" t="s">
        <v>177</v>
      </c>
      <c r="H143" s="133">
        <v>1000</v>
      </c>
      <c r="I143">
        <v>0</v>
      </c>
      <c r="J143" s="133">
        <v>1000</v>
      </c>
      <c r="K143" s="133">
        <v>8585</v>
      </c>
      <c r="L143" s="133">
        <v>8585</v>
      </c>
      <c r="M143" s="150">
        <v>0.38144675925925925</v>
      </c>
      <c r="N143" s="150">
        <v>0.38150462962962961</v>
      </c>
      <c r="O143" t="s">
        <v>172</v>
      </c>
      <c r="Q143">
        <v>125993</v>
      </c>
      <c r="R143">
        <v>125993</v>
      </c>
      <c r="S143">
        <v>123944</v>
      </c>
      <c r="T143">
        <v>0</v>
      </c>
      <c r="U143" t="s">
        <v>173</v>
      </c>
      <c r="V143">
        <v>0</v>
      </c>
      <c r="W143" t="s">
        <v>174</v>
      </c>
      <c r="X143">
        <v>123944</v>
      </c>
      <c r="Z143" t="s">
        <v>175</v>
      </c>
      <c r="AA143" t="s">
        <v>173</v>
      </c>
    </row>
    <row r="144" spans="1:27" x14ac:dyDescent="0.3">
      <c r="A144">
        <v>143</v>
      </c>
      <c r="B144" t="s">
        <v>169</v>
      </c>
      <c r="C144">
        <v>99019875</v>
      </c>
      <c r="D144" s="7" t="s">
        <v>75</v>
      </c>
      <c r="E144" t="s">
        <v>76</v>
      </c>
      <c r="F144" t="s">
        <v>176</v>
      </c>
      <c r="G144" t="s">
        <v>177</v>
      </c>
      <c r="H144" s="133">
        <v>1000</v>
      </c>
      <c r="I144">
        <v>0</v>
      </c>
      <c r="J144" s="133">
        <v>1000</v>
      </c>
      <c r="K144" s="133">
        <v>21160</v>
      </c>
      <c r="L144" s="133">
        <v>21160</v>
      </c>
      <c r="M144" s="150">
        <v>0.38153935185185189</v>
      </c>
      <c r="N144" s="150">
        <v>0.38153935185185189</v>
      </c>
      <c r="O144" t="s">
        <v>172</v>
      </c>
      <c r="Q144">
        <v>127980</v>
      </c>
      <c r="R144">
        <v>127980</v>
      </c>
      <c r="S144">
        <v>127879</v>
      </c>
      <c r="T144">
        <v>0</v>
      </c>
      <c r="U144" t="s">
        <v>173</v>
      </c>
      <c r="V144">
        <v>0</v>
      </c>
      <c r="W144" t="s">
        <v>174</v>
      </c>
      <c r="X144">
        <v>127879</v>
      </c>
      <c r="Z144" t="s">
        <v>175</v>
      </c>
      <c r="AA144" t="s">
        <v>173</v>
      </c>
    </row>
    <row r="145" spans="1:27" x14ac:dyDescent="0.3">
      <c r="A145">
        <v>144</v>
      </c>
      <c r="B145" t="s">
        <v>169</v>
      </c>
      <c r="C145">
        <v>99019875</v>
      </c>
      <c r="D145" s="7" t="s">
        <v>69</v>
      </c>
      <c r="E145" t="s">
        <v>70</v>
      </c>
      <c r="F145" t="s">
        <v>176</v>
      </c>
      <c r="G145" t="s">
        <v>177</v>
      </c>
      <c r="H145" s="133">
        <v>1000</v>
      </c>
      <c r="I145">
        <v>0</v>
      </c>
      <c r="J145">
        <v>7</v>
      </c>
      <c r="K145" s="133">
        <v>10490</v>
      </c>
      <c r="L145" s="133">
        <v>10490</v>
      </c>
      <c r="M145" s="150">
        <v>0.38156250000000003</v>
      </c>
      <c r="N145" s="150">
        <v>0.38156250000000003</v>
      </c>
      <c r="O145" t="s">
        <v>172</v>
      </c>
      <c r="Q145">
        <v>128574</v>
      </c>
      <c r="R145">
        <v>128574</v>
      </c>
      <c r="S145">
        <v>128546</v>
      </c>
      <c r="T145">
        <v>993</v>
      </c>
      <c r="U145" t="s">
        <v>173</v>
      </c>
      <c r="V145">
        <v>0</v>
      </c>
      <c r="W145" t="s">
        <v>174</v>
      </c>
      <c r="X145">
        <v>128546</v>
      </c>
      <c r="Z145" t="s">
        <v>175</v>
      </c>
      <c r="AA145" t="s">
        <v>173</v>
      </c>
    </row>
    <row r="146" spans="1:27" x14ac:dyDescent="0.3">
      <c r="A146">
        <v>145</v>
      </c>
      <c r="B146" t="s">
        <v>180</v>
      </c>
      <c r="C146">
        <v>99019421</v>
      </c>
      <c r="D146" s="7" t="s">
        <v>185</v>
      </c>
      <c r="E146" t="s">
        <v>181</v>
      </c>
      <c r="F146" t="s">
        <v>176</v>
      </c>
      <c r="G146" t="s">
        <v>177</v>
      </c>
      <c r="H146" s="133">
        <v>10000</v>
      </c>
      <c r="I146">
        <v>0</v>
      </c>
      <c r="J146" s="133">
        <v>2713</v>
      </c>
      <c r="K146" s="133">
        <v>13530</v>
      </c>
      <c r="L146" s="133">
        <v>13530</v>
      </c>
      <c r="M146" s="150">
        <v>0.38186342592592593</v>
      </c>
      <c r="N146" s="150">
        <v>0.38192129629629629</v>
      </c>
      <c r="O146" t="s">
        <v>172</v>
      </c>
      <c r="Q146">
        <v>134607</v>
      </c>
      <c r="R146">
        <v>134607</v>
      </c>
      <c r="S146">
        <v>133900</v>
      </c>
      <c r="T146" s="133">
        <v>7287</v>
      </c>
      <c r="U146" t="s">
        <v>173</v>
      </c>
      <c r="V146">
        <v>0</v>
      </c>
      <c r="W146" t="s">
        <v>174</v>
      </c>
      <c r="X146">
        <v>133900</v>
      </c>
      <c r="Y146" t="s">
        <v>182</v>
      </c>
      <c r="Z146" t="s">
        <v>183</v>
      </c>
      <c r="AA146" t="s">
        <v>173</v>
      </c>
    </row>
    <row r="147" spans="1:27" x14ac:dyDescent="0.3">
      <c r="A147">
        <v>146</v>
      </c>
      <c r="B147" t="s">
        <v>180</v>
      </c>
      <c r="C147">
        <v>99019421</v>
      </c>
      <c r="D147" s="7" t="s">
        <v>185</v>
      </c>
      <c r="E147" t="s">
        <v>181</v>
      </c>
      <c r="F147" t="s">
        <v>176</v>
      </c>
      <c r="G147" t="s">
        <v>177</v>
      </c>
      <c r="H147" s="133">
        <v>10000</v>
      </c>
      <c r="I147">
        <v>0</v>
      </c>
      <c r="J147">
        <v>100</v>
      </c>
      <c r="K147" s="133">
        <v>13510</v>
      </c>
      <c r="L147" s="133">
        <v>13510</v>
      </c>
      <c r="M147" s="150">
        <v>0.38194444444444442</v>
      </c>
      <c r="N147" s="150">
        <v>0.38195601851851851</v>
      </c>
      <c r="O147" t="s">
        <v>172</v>
      </c>
      <c r="Q147">
        <v>136580</v>
      </c>
      <c r="R147">
        <v>136580</v>
      </c>
      <c r="S147">
        <v>136023</v>
      </c>
      <c r="T147" s="133">
        <v>9900</v>
      </c>
      <c r="U147" t="s">
        <v>173</v>
      </c>
      <c r="V147">
        <v>0</v>
      </c>
      <c r="W147" t="s">
        <v>174</v>
      </c>
      <c r="X147">
        <v>136023</v>
      </c>
      <c r="Y147" t="s">
        <v>182</v>
      </c>
      <c r="Z147" t="s">
        <v>183</v>
      </c>
      <c r="AA147" t="s">
        <v>173</v>
      </c>
    </row>
    <row r="148" spans="1:27" x14ac:dyDescent="0.3">
      <c r="A148">
        <v>147</v>
      </c>
      <c r="B148" t="s">
        <v>180</v>
      </c>
      <c r="C148">
        <v>99019421</v>
      </c>
      <c r="D148" s="7" t="s">
        <v>185</v>
      </c>
      <c r="E148" t="s">
        <v>181</v>
      </c>
      <c r="F148" t="s">
        <v>176</v>
      </c>
      <c r="G148" t="s">
        <v>177</v>
      </c>
      <c r="H148" s="133">
        <v>10000</v>
      </c>
      <c r="I148">
        <v>0</v>
      </c>
      <c r="J148" s="133">
        <v>10000</v>
      </c>
      <c r="K148" s="133">
        <v>13505</v>
      </c>
      <c r="L148" s="133">
        <v>13505</v>
      </c>
      <c r="M148" s="150">
        <v>0.38202546296296297</v>
      </c>
      <c r="N148" s="150">
        <v>0.38202546296296297</v>
      </c>
      <c r="O148" t="s">
        <v>172</v>
      </c>
      <c r="Q148">
        <v>138480</v>
      </c>
      <c r="R148">
        <v>138480</v>
      </c>
      <c r="S148">
        <v>137550</v>
      </c>
      <c r="T148">
        <v>0</v>
      </c>
      <c r="U148" t="s">
        <v>173</v>
      </c>
      <c r="V148">
        <v>0</v>
      </c>
      <c r="W148" t="s">
        <v>174</v>
      </c>
      <c r="X148">
        <v>137550</v>
      </c>
      <c r="Y148" t="s">
        <v>182</v>
      </c>
      <c r="Z148" t="s">
        <v>183</v>
      </c>
      <c r="AA148" t="s">
        <v>173</v>
      </c>
    </row>
    <row r="149" spans="1:27" x14ac:dyDescent="0.3">
      <c r="A149">
        <v>148</v>
      </c>
      <c r="B149" t="s">
        <v>169</v>
      </c>
      <c r="C149">
        <v>99019875</v>
      </c>
      <c r="D149" s="7" t="s">
        <v>140</v>
      </c>
      <c r="E149" t="s">
        <v>178</v>
      </c>
      <c r="F149" t="s">
        <v>176</v>
      </c>
      <c r="G149" t="s">
        <v>177</v>
      </c>
      <c r="H149" s="133">
        <v>1000</v>
      </c>
      <c r="I149">
        <v>0</v>
      </c>
      <c r="J149" s="133">
        <v>1000</v>
      </c>
      <c r="K149" s="133">
        <v>8600</v>
      </c>
      <c r="L149" s="133">
        <v>8600</v>
      </c>
      <c r="M149" s="150">
        <v>0.3820601851851852</v>
      </c>
      <c r="N149" s="150">
        <v>0.3820601851851852</v>
      </c>
      <c r="O149" t="s">
        <v>172</v>
      </c>
      <c r="Q149">
        <v>139215</v>
      </c>
      <c r="R149">
        <v>139215</v>
      </c>
      <c r="S149">
        <v>139023</v>
      </c>
      <c r="T149">
        <v>0</v>
      </c>
      <c r="U149" t="s">
        <v>173</v>
      </c>
      <c r="V149">
        <v>0</v>
      </c>
      <c r="W149" t="s">
        <v>174</v>
      </c>
      <c r="X149">
        <v>139023</v>
      </c>
      <c r="Z149" t="s">
        <v>175</v>
      </c>
      <c r="AA149" t="s">
        <v>173</v>
      </c>
    </row>
    <row r="150" spans="1:27" x14ac:dyDescent="0.3">
      <c r="A150">
        <v>149</v>
      </c>
      <c r="B150" t="s">
        <v>180</v>
      </c>
      <c r="C150">
        <v>99019421</v>
      </c>
      <c r="D150" s="7" t="s">
        <v>185</v>
      </c>
      <c r="E150" t="s">
        <v>181</v>
      </c>
      <c r="F150" t="s">
        <v>176</v>
      </c>
      <c r="G150" t="s">
        <v>177</v>
      </c>
      <c r="H150" s="133">
        <v>10000</v>
      </c>
      <c r="I150">
        <v>0</v>
      </c>
      <c r="J150" s="133">
        <v>1566</v>
      </c>
      <c r="K150" s="133">
        <v>13500</v>
      </c>
      <c r="L150" s="133">
        <v>13500</v>
      </c>
      <c r="M150" s="150">
        <v>0.38208333333333333</v>
      </c>
      <c r="N150" s="150">
        <v>0.38209490740740742</v>
      </c>
      <c r="O150" t="s">
        <v>172</v>
      </c>
      <c r="Q150">
        <v>139415</v>
      </c>
      <c r="R150">
        <v>139415</v>
      </c>
      <c r="S150">
        <v>139375</v>
      </c>
      <c r="T150" s="133">
        <v>8434</v>
      </c>
      <c r="U150" t="s">
        <v>173</v>
      </c>
      <c r="V150">
        <v>0</v>
      </c>
      <c r="W150" t="s">
        <v>174</v>
      </c>
      <c r="X150">
        <v>139375</v>
      </c>
      <c r="Y150" t="s">
        <v>182</v>
      </c>
      <c r="Z150" t="s">
        <v>183</v>
      </c>
      <c r="AA150" t="s">
        <v>173</v>
      </c>
    </row>
    <row r="151" spans="1:27" x14ac:dyDescent="0.3">
      <c r="A151">
        <v>150</v>
      </c>
      <c r="B151" t="s">
        <v>180</v>
      </c>
      <c r="C151">
        <v>99019421</v>
      </c>
      <c r="D151" s="7" t="s">
        <v>185</v>
      </c>
      <c r="E151" t="s">
        <v>181</v>
      </c>
      <c r="F151" t="s">
        <v>176</v>
      </c>
      <c r="G151" t="s">
        <v>177</v>
      </c>
      <c r="H151" s="133">
        <v>10000</v>
      </c>
      <c r="I151">
        <v>0</v>
      </c>
      <c r="J151">
        <v>11</v>
      </c>
      <c r="K151" s="133">
        <v>13500</v>
      </c>
      <c r="L151" s="133">
        <v>13500</v>
      </c>
      <c r="M151" s="150">
        <v>0.38212962962962965</v>
      </c>
      <c r="N151" s="150">
        <v>0.38214120370370369</v>
      </c>
      <c r="O151" t="s">
        <v>172</v>
      </c>
      <c r="Q151">
        <v>140468</v>
      </c>
      <c r="R151">
        <v>140468</v>
      </c>
      <c r="S151">
        <v>140369</v>
      </c>
      <c r="T151" s="133">
        <v>9989</v>
      </c>
      <c r="U151" t="s">
        <v>173</v>
      </c>
      <c r="V151">
        <v>0</v>
      </c>
      <c r="W151" t="s">
        <v>174</v>
      </c>
      <c r="X151">
        <v>140369</v>
      </c>
      <c r="Y151" t="s">
        <v>182</v>
      </c>
      <c r="Z151" t="s">
        <v>183</v>
      </c>
      <c r="AA151" t="s">
        <v>173</v>
      </c>
    </row>
    <row r="152" spans="1:27" x14ac:dyDescent="0.3">
      <c r="A152">
        <v>151</v>
      </c>
      <c r="B152" t="s">
        <v>169</v>
      </c>
      <c r="C152">
        <v>99019875</v>
      </c>
      <c r="D152" s="7" t="s">
        <v>69</v>
      </c>
      <c r="E152" t="s">
        <v>70</v>
      </c>
      <c r="F152" t="s">
        <v>176</v>
      </c>
      <c r="G152" t="s">
        <v>177</v>
      </c>
      <c r="H152" s="133">
        <v>1000</v>
      </c>
      <c r="I152">
        <v>0</v>
      </c>
      <c r="J152">
        <v>25</v>
      </c>
      <c r="K152" s="133">
        <v>10520</v>
      </c>
      <c r="L152" s="133">
        <v>10520</v>
      </c>
      <c r="M152" s="150">
        <v>0.38248842592592597</v>
      </c>
      <c r="N152" s="150">
        <v>0.3825115740740741</v>
      </c>
      <c r="O152" t="s">
        <v>172</v>
      </c>
      <c r="Q152">
        <v>147499</v>
      </c>
      <c r="R152">
        <v>147499</v>
      </c>
      <c r="S152">
        <v>147325</v>
      </c>
      <c r="T152">
        <v>975</v>
      </c>
      <c r="U152" t="s">
        <v>173</v>
      </c>
      <c r="V152">
        <v>0</v>
      </c>
      <c r="W152" t="s">
        <v>174</v>
      </c>
      <c r="X152">
        <v>147325</v>
      </c>
      <c r="Z152" t="s">
        <v>175</v>
      </c>
      <c r="AA152" t="s">
        <v>173</v>
      </c>
    </row>
    <row r="153" spans="1:27" x14ac:dyDescent="0.3">
      <c r="A153">
        <v>152</v>
      </c>
      <c r="B153" t="s">
        <v>180</v>
      </c>
      <c r="C153">
        <v>99019421</v>
      </c>
      <c r="D153" s="7" t="s">
        <v>185</v>
      </c>
      <c r="E153" t="s">
        <v>181</v>
      </c>
      <c r="F153" t="s">
        <v>176</v>
      </c>
      <c r="G153" t="s">
        <v>177</v>
      </c>
      <c r="H153" s="133">
        <v>10000</v>
      </c>
      <c r="I153">
        <v>0</v>
      </c>
      <c r="J153" s="133">
        <v>10000</v>
      </c>
      <c r="K153" s="133">
        <v>13550</v>
      </c>
      <c r="L153" s="133">
        <v>13550</v>
      </c>
      <c r="M153" s="150">
        <v>0.38253472222222223</v>
      </c>
      <c r="N153" s="150">
        <v>0.3825925925925926</v>
      </c>
      <c r="O153" t="s">
        <v>172</v>
      </c>
      <c r="Q153">
        <v>148394</v>
      </c>
      <c r="R153">
        <v>148394</v>
      </c>
      <c r="S153">
        <v>148337</v>
      </c>
      <c r="T153">
        <v>0</v>
      </c>
      <c r="U153" t="s">
        <v>173</v>
      </c>
      <c r="V153">
        <v>0</v>
      </c>
      <c r="W153" t="s">
        <v>174</v>
      </c>
      <c r="X153">
        <v>148337</v>
      </c>
      <c r="Y153" t="s">
        <v>182</v>
      </c>
      <c r="Z153" t="s">
        <v>183</v>
      </c>
      <c r="AA153" t="s">
        <v>173</v>
      </c>
    </row>
    <row r="154" spans="1:27" x14ac:dyDescent="0.3">
      <c r="A154">
        <v>153</v>
      </c>
      <c r="B154" t="s">
        <v>180</v>
      </c>
      <c r="C154">
        <v>99019421</v>
      </c>
      <c r="D154" s="7" t="s">
        <v>185</v>
      </c>
      <c r="E154" t="s">
        <v>181</v>
      </c>
      <c r="F154" t="s">
        <v>176</v>
      </c>
      <c r="G154" t="s">
        <v>177</v>
      </c>
      <c r="H154" s="133">
        <v>10000</v>
      </c>
      <c r="I154">
        <v>0</v>
      </c>
      <c r="J154" s="133">
        <v>1780</v>
      </c>
      <c r="K154" s="133">
        <v>13545</v>
      </c>
      <c r="L154" s="133">
        <v>13545</v>
      </c>
      <c r="M154" s="150">
        <v>0.38256944444444446</v>
      </c>
      <c r="N154" s="150">
        <v>0.3825810185185185</v>
      </c>
      <c r="O154" t="s">
        <v>172</v>
      </c>
      <c r="Q154">
        <v>149511</v>
      </c>
      <c r="R154">
        <v>149511</v>
      </c>
      <c r="S154">
        <v>149028</v>
      </c>
      <c r="T154" s="133">
        <v>8220</v>
      </c>
      <c r="U154" t="s">
        <v>173</v>
      </c>
      <c r="V154">
        <v>0</v>
      </c>
      <c r="W154" t="s">
        <v>174</v>
      </c>
      <c r="X154">
        <v>149028</v>
      </c>
      <c r="Y154" t="s">
        <v>182</v>
      </c>
      <c r="Z154" t="s">
        <v>183</v>
      </c>
      <c r="AA154" t="s">
        <v>173</v>
      </c>
    </row>
    <row r="155" spans="1:27" x14ac:dyDescent="0.3">
      <c r="A155">
        <v>154</v>
      </c>
      <c r="B155" t="s">
        <v>180</v>
      </c>
      <c r="C155">
        <v>99019421</v>
      </c>
      <c r="D155" s="7" t="s">
        <v>185</v>
      </c>
      <c r="E155" t="s">
        <v>181</v>
      </c>
      <c r="F155" t="s">
        <v>176</v>
      </c>
      <c r="G155" t="s">
        <v>177</v>
      </c>
      <c r="H155" s="133">
        <v>10000</v>
      </c>
      <c r="I155">
        <v>0</v>
      </c>
      <c r="J155">
        <v>481</v>
      </c>
      <c r="K155" s="133">
        <v>13540</v>
      </c>
      <c r="L155" s="133">
        <v>13540</v>
      </c>
      <c r="M155" s="150">
        <v>0.38265046296296296</v>
      </c>
      <c r="N155" s="150">
        <v>0.38268518518518518</v>
      </c>
      <c r="O155" t="s">
        <v>172</v>
      </c>
      <c r="Q155">
        <v>152266</v>
      </c>
      <c r="R155">
        <v>152266</v>
      </c>
      <c r="S155">
        <v>152262</v>
      </c>
      <c r="T155" s="133">
        <v>9519</v>
      </c>
      <c r="U155" t="s">
        <v>173</v>
      </c>
      <c r="V155">
        <v>0</v>
      </c>
      <c r="W155" t="s">
        <v>174</v>
      </c>
      <c r="X155">
        <v>152262</v>
      </c>
      <c r="Y155" t="s">
        <v>182</v>
      </c>
      <c r="Z155" t="s">
        <v>183</v>
      </c>
      <c r="AA155" t="s">
        <v>173</v>
      </c>
    </row>
    <row r="156" spans="1:27" x14ac:dyDescent="0.3">
      <c r="A156">
        <v>155</v>
      </c>
      <c r="B156" t="s">
        <v>180</v>
      </c>
      <c r="C156">
        <v>99019421</v>
      </c>
      <c r="D156" s="7" t="s">
        <v>185</v>
      </c>
      <c r="E156" t="s">
        <v>181</v>
      </c>
      <c r="F156" t="s">
        <v>176</v>
      </c>
      <c r="G156" t="s">
        <v>177</v>
      </c>
      <c r="H156" s="133">
        <v>10000</v>
      </c>
      <c r="I156">
        <v>0</v>
      </c>
      <c r="J156" s="133">
        <v>10000</v>
      </c>
      <c r="K156" s="133">
        <v>13540</v>
      </c>
      <c r="L156" s="133">
        <v>13540</v>
      </c>
      <c r="M156" s="150">
        <v>0.38269675925925922</v>
      </c>
      <c r="N156" s="150">
        <v>0.38270833333333337</v>
      </c>
      <c r="O156" t="s">
        <v>172</v>
      </c>
      <c r="Q156">
        <v>153147</v>
      </c>
      <c r="R156">
        <v>153147</v>
      </c>
      <c r="S156">
        <v>152729</v>
      </c>
      <c r="T156">
        <v>0</v>
      </c>
      <c r="U156" t="s">
        <v>173</v>
      </c>
      <c r="V156">
        <v>0</v>
      </c>
      <c r="W156" t="s">
        <v>174</v>
      </c>
      <c r="X156">
        <v>152729</v>
      </c>
      <c r="Y156" t="s">
        <v>182</v>
      </c>
      <c r="Z156" t="s">
        <v>183</v>
      </c>
      <c r="AA156" t="s">
        <v>173</v>
      </c>
    </row>
    <row r="157" spans="1:27" x14ac:dyDescent="0.3">
      <c r="A157">
        <v>156</v>
      </c>
      <c r="B157" t="s">
        <v>180</v>
      </c>
      <c r="C157">
        <v>99019421</v>
      </c>
      <c r="D157" s="7" t="s">
        <v>185</v>
      </c>
      <c r="E157" t="s">
        <v>181</v>
      </c>
      <c r="F157" t="s">
        <v>176</v>
      </c>
      <c r="G157" t="s">
        <v>171</v>
      </c>
      <c r="H157" s="133">
        <v>10000</v>
      </c>
      <c r="I157">
        <v>0</v>
      </c>
      <c r="J157" s="133">
        <v>7155</v>
      </c>
      <c r="K157" s="133">
        <v>13560</v>
      </c>
      <c r="L157" s="133">
        <v>13560</v>
      </c>
      <c r="M157" s="150">
        <v>0.38280092592592596</v>
      </c>
      <c r="N157" s="150">
        <v>0.38280092592592596</v>
      </c>
      <c r="O157" t="s">
        <v>172</v>
      </c>
      <c r="Q157">
        <v>155860</v>
      </c>
      <c r="R157">
        <v>155860</v>
      </c>
      <c r="S157">
        <v>0</v>
      </c>
      <c r="T157" s="133">
        <v>2845</v>
      </c>
      <c r="U157" t="s">
        <v>173</v>
      </c>
      <c r="V157">
        <v>0</v>
      </c>
      <c r="W157" t="s">
        <v>174</v>
      </c>
      <c r="X157">
        <v>0</v>
      </c>
      <c r="Y157" t="s">
        <v>182</v>
      </c>
      <c r="Z157" t="s">
        <v>183</v>
      </c>
      <c r="AA157" t="s">
        <v>173</v>
      </c>
    </row>
    <row r="158" spans="1:27" x14ac:dyDescent="0.3">
      <c r="A158">
        <v>157</v>
      </c>
      <c r="B158" t="s">
        <v>180</v>
      </c>
      <c r="C158">
        <v>99019421</v>
      </c>
      <c r="D158" s="7" t="s">
        <v>185</v>
      </c>
      <c r="E158" t="s">
        <v>181</v>
      </c>
      <c r="F158" t="s">
        <v>176</v>
      </c>
      <c r="G158" t="s">
        <v>177</v>
      </c>
      <c r="H158" s="133">
        <v>10000</v>
      </c>
      <c r="I158">
        <v>0</v>
      </c>
      <c r="J158" s="133">
        <v>2005</v>
      </c>
      <c r="K158" s="133">
        <v>13565</v>
      </c>
      <c r="L158" s="133">
        <v>13565</v>
      </c>
      <c r="M158" s="150">
        <v>0.38291666666666663</v>
      </c>
      <c r="N158" s="150">
        <v>0.38295138888888891</v>
      </c>
      <c r="O158" t="s">
        <v>172</v>
      </c>
      <c r="Q158">
        <v>157617</v>
      </c>
      <c r="R158">
        <v>157617</v>
      </c>
      <c r="S158">
        <v>157615</v>
      </c>
      <c r="T158" s="133">
        <v>7995</v>
      </c>
      <c r="U158" t="s">
        <v>173</v>
      </c>
      <c r="V158">
        <v>0</v>
      </c>
      <c r="W158" t="s">
        <v>174</v>
      </c>
      <c r="X158">
        <v>157615</v>
      </c>
      <c r="Y158" t="s">
        <v>182</v>
      </c>
      <c r="Z158" t="s">
        <v>183</v>
      </c>
      <c r="AA158" t="s">
        <v>173</v>
      </c>
    </row>
    <row r="159" spans="1:27" x14ac:dyDescent="0.3">
      <c r="A159">
        <v>158</v>
      </c>
      <c r="B159" t="s">
        <v>169</v>
      </c>
      <c r="C159">
        <v>99019875</v>
      </c>
      <c r="D159" s="7" t="s">
        <v>100</v>
      </c>
      <c r="E159" t="s">
        <v>101</v>
      </c>
      <c r="F159" t="s">
        <v>176</v>
      </c>
      <c r="G159" t="s">
        <v>177</v>
      </c>
      <c r="H159" s="133">
        <v>1000</v>
      </c>
      <c r="I159">
        <v>0</v>
      </c>
      <c r="J159">
        <v>3</v>
      </c>
      <c r="K159" s="133">
        <v>15545</v>
      </c>
      <c r="L159" s="133">
        <v>15545</v>
      </c>
      <c r="M159" s="150">
        <v>0.3830439814814815</v>
      </c>
      <c r="N159" s="150">
        <v>0.3830439814814815</v>
      </c>
      <c r="O159" t="s">
        <v>172</v>
      </c>
      <c r="Q159">
        <v>159983</v>
      </c>
      <c r="R159">
        <v>159983</v>
      </c>
      <c r="S159">
        <v>159919</v>
      </c>
      <c r="T159">
        <v>997</v>
      </c>
      <c r="U159" t="s">
        <v>173</v>
      </c>
      <c r="V159">
        <v>0</v>
      </c>
      <c r="W159" t="s">
        <v>174</v>
      </c>
      <c r="X159">
        <v>159919</v>
      </c>
      <c r="Z159" t="s">
        <v>175</v>
      </c>
      <c r="AA159" t="s">
        <v>173</v>
      </c>
    </row>
    <row r="160" spans="1:27" x14ac:dyDescent="0.3">
      <c r="A160">
        <v>159</v>
      </c>
      <c r="B160" t="s">
        <v>180</v>
      </c>
      <c r="C160">
        <v>99019421</v>
      </c>
      <c r="D160" s="7" t="s">
        <v>185</v>
      </c>
      <c r="E160" t="s">
        <v>181</v>
      </c>
      <c r="F160" t="s">
        <v>176</v>
      </c>
      <c r="G160" t="s">
        <v>177</v>
      </c>
      <c r="H160" s="133">
        <v>10000</v>
      </c>
      <c r="I160">
        <v>0</v>
      </c>
      <c r="J160">
        <v>13</v>
      </c>
      <c r="K160" s="133">
        <v>13555</v>
      </c>
      <c r="L160" s="133">
        <v>13555</v>
      </c>
      <c r="M160" s="150">
        <v>0.38319444444444445</v>
      </c>
      <c r="N160" s="150">
        <v>0.38325231481481481</v>
      </c>
      <c r="O160" t="s">
        <v>172</v>
      </c>
      <c r="Q160">
        <v>163189</v>
      </c>
      <c r="R160">
        <v>163189</v>
      </c>
      <c r="S160">
        <v>163103</v>
      </c>
      <c r="T160" s="133">
        <v>9987</v>
      </c>
      <c r="U160" t="s">
        <v>173</v>
      </c>
      <c r="V160">
        <v>0</v>
      </c>
      <c r="W160" t="s">
        <v>174</v>
      </c>
      <c r="X160">
        <v>163103</v>
      </c>
      <c r="Y160" t="s">
        <v>182</v>
      </c>
      <c r="Z160" t="s">
        <v>183</v>
      </c>
      <c r="AA160" t="s">
        <v>173</v>
      </c>
    </row>
    <row r="161" spans="1:27" x14ac:dyDescent="0.3">
      <c r="A161">
        <v>160</v>
      </c>
      <c r="B161" t="s">
        <v>169</v>
      </c>
      <c r="C161">
        <v>99019875</v>
      </c>
      <c r="D161" s="7" t="s">
        <v>67</v>
      </c>
      <c r="E161" t="s">
        <v>68</v>
      </c>
      <c r="F161" t="s">
        <v>176</v>
      </c>
      <c r="G161" t="s">
        <v>177</v>
      </c>
      <c r="H161" s="133">
        <v>1000</v>
      </c>
      <c r="I161">
        <v>0</v>
      </c>
      <c r="J161">
        <v>22</v>
      </c>
      <c r="K161" s="133">
        <v>4955</v>
      </c>
      <c r="L161" s="133">
        <v>4955</v>
      </c>
      <c r="M161" s="150">
        <v>0.38361111111111112</v>
      </c>
      <c r="N161" s="150">
        <v>0.3836458333333333</v>
      </c>
      <c r="O161" t="s">
        <v>172</v>
      </c>
      <c r="Q161">
        <v>171808</v>
      </c>
      <c r="R161">
        <v>171808</v>
      </c>
      <c r="S161">
        <v>171492</v>
      </c>
      <c r="T161">
        <v>978</v>
      </c>
      <c r="U161" t="s">
        <v>173</v>
      </c>
      <c r="V161">
        <v>0</v>
      </c>
      <c r="W161" t="s">
        <v>174</v>
      </c>
      <c r="X161">
        <v>171492</v>
      </c>
      <c r="Z161" t="s">
        <v>175</v>
      </c>
      <c r="AA161" t="s">
        <v>173</v>
      </c>
    </row>
    <row r="162" spans="1:27" x14ac:dyDescent="0.3">
      <c r="A162">
        <v>161</v>
      </c>
      <c r="B162" t="s">
        <v>180</v>
      </c>
      <c r="C162">
        <v>99019421</v>
      </c>
      <c r="D162" s="7" t="s">
        <v>185</v>
      </c>
      <c r="E162" t="s">
        <v>181</v>
      </c>
      <c r="F162" t="s">
        <v>176</v>
      </c>
      <c r="G162" t="s">
        <v>177</v>
      </c>
      <c r="H162" s="133">
        <v>10000</v>
      </c>
      <c r="I162">
        <v>0</v>
      </c>
      <c r="J162" s="133">
        <v>5000</v>
      </c>
      <c r="K162" s="133">
        <v>13590</v>
      </c>
      <c r="L162" s="133">
        <v>13590</v>
      </c>
      <c r="M162" s="150">
        <v>0.38379629629629625</v>
      </c>
      <c r="N162" s="150">
        <v>0.3838078703703704</v>
      </c>
      <c r="O162" t="s">
        <v>172</v>
      </c>
      <c r="Q162">
        <v>175594</v>
      </c>
      <c r="R162">
        <v>175594</v>
      </c>
      <c r="S162">
        <v>175530</v>
      </c>
      <c r="T162" s="133">
        <v>5000</v>
      </c>
      <c r="U162" t="s">
        <v>173</v>
      </c>
      <c r="V162">
        <v>0</v>
      </c>
      <c r="W162" t="s">
        <v>174</v>
      </c>
      <c r="X162">
        <v>175530</v>
      </c>
      <c r="Y162" t="s">
        <v>182</v>
      </c>
      <c r="Z162" t="s">
        <v>183</v>
      </c>
      <c r="AA162" t="s">
        <v>173</v>
      </c>
    </row>
    <row r="163" spans="1:27" x14ac:dyDescent="0.3">
      <c r="A163">
        <v>162</v>
      </c>
      <c r="B163" t="s">
        <v>180</v>
      </c>
      <c r="C163">
        <v>99019421</v>
      </c>
      <c r="D163" s="7" t="s">
        <v>185</v>
      </c>
      <c r="E163" t="s">
        <v>181</v>
      </c>
      <c r="F163" t="s">
        <v>176</v>
      </c>
      <c r="G163" t="s">
        <v>177</v>
      </c>
      <c r="H163" s="133">
        <v>10000</v>
      </c>
      <c r="I163">
        <v>0</v>
      </c>
      <c r="J163" s="133">
        <v>10000</v>
      </c>
      <c r="K163" s="133">
        <v>13585</v>
      </c>
      <c r="L163" s="133">
        <v>13585</v>
      </c>
      <c r="M163" s="150">
        <v>0.3838078703703704</v>
      </c>
      <c r="N163" s="150">
        <v>0.3838078703703704</v>
      </c>
      <c r="O163" t="s">
        <v>172</v>
      </c>
      <c r="Q163">
        <v>175745</v>
      </c>
      <c r="R163">
        <v>175745</v>
      </c>
      <c r="S163">
        <v>175269</v>
      </c>
      <c r="T163">
        <v>0</v>
      </c>
      <c r="U163" t="s">
        <v>173</v>
      </c>
      <c r="V163">
        <v>0</v>
      </c>
      <c r="W163" t="s">
        <v>174</v>
      </c>
      <c r="X163">
        <v>175269</v>
      </c>
      <c r="Y163" t="s">
        <v>182</v>
      </c>
      <c r="Z163" t="s">
        <v>183</v>
      </c>
      <c r="AA163" t="s">
        <v>173</v>
      </c>
    </row>
    <row r="164" spans="1:27" x14ac:dyDescent="0.3">
      <c r="A164">
        <v>163</v>
      </c>
      <c r="B164" t="s">
        <v>169</v>
      </c>
      <c r="C164">
        <v>99019875</v>
      </c>
      <c r="D164" s="7" t="s">
        <v>65</v>
      </c>
      <c r="E164" t="s">
        <v>66</v>
      </c>
      <c r="F164" t="s">
        <v>170</v>
      </c>
      <c r="G164" t="s">
        <v>177</v>
      </c>
      <c r="H164" s="133">
        <v>1000</v>
      </c>
      <c r="I164">
        <v>0</v>
      </c>
      <c r="J164">
        <v>59</v>
      </c>
      <c r="K164" s="133">
        <v>4805</v>
      </c>
      <c r="L164" s="133">
        <v>4805</v>
      </c>
      <c r="M164" s="150">
        <v>0.38396990740740744</v>
      </c>
      <c r="N164" s="150">
        <v>0.38398148148148148</v>
      </c>
      <c r="O164" t="s">
        <v>172</v>
      </c>
      <c r="Q164">
        <v>179813</v>
      </c>
      <c r="R164">
        <v>179813</v>
      </c>
      <c r="S164">
        <v>179593</v>
      </c>
      <c r="T164">
        <v>941</v>
      </c>
      <c r="U164" t="s">
        <v>173</v>
      </c>
      <c r="V164">
        <v>0</v>
      </c>
      <c r="W164" t="s">
        <v>174</v>
      </c>
      <c r="X164">
        <v>179593</v>
      </c>
      <c r="Z164" t="s">
        <v>175</v>
      </c>
      <c r="AA164" t="s">
        <v>173</v>
      </c>
    </row>
    <row r="165" spans="1:27" x14ac:dyDescent="0.3">
      <c r="A165">
        <v>164</v>
      </c>
      <c r="B165" t="s">
        <v>169</v>
      </c>
      <c r="C165">
        <v>99019875</v>
      </c>
      <c r="D165" s="7" t="s">
        <v>140</v>
      </c>
      <c r="E165" t="s">
        <v>178</v>
      </c>
      <c r="F165" t="s">
        <v>176</v>
      </c>
      <c r="G165" t="s">
        <v>177</v>
      </c>
      <c r="H165" s="133">
        <v>1000</v>
      </c>
      <c r="I165">
        <v>0</v>
      </c>
      <c r="J165" s="133">
        <v>1000</v>
      </c>
      <c r="K165" s="133">
        <v>8625</v>
      </c>
      <c r="L165" s="133">
        <v>8625</v>
      </c>
      <c r="M165" s="150">
        <v>0.38484953703703706</v>
      </c>
      <c r="N165" s="150">
        <v>0.3848611111111111</v>
      </c>
      <c r="O165" t="s">
        <v>172</v>
      </c>
      <c r="Q165">
        <v>197069</v>
      </c>
      <c r="R165">
        <v>197069</v>
      </c>
      <c r="S165">
        <v>196975</v>
      </c>
      <c r="T165">
        <v>0</v>
      </c>
      <c r="U165" t="s">
        <v>173</v>
      </c>
      <c r="V165">
        <v>0</v>
      </c>
      <c r="W165" t="s">
        <v>174</v>
      </c>
      <c r="X165">
        <v>196975</v>
      </c>
      <c r="Z165" t="s">
        <v>175</v>
      </c>
      <c r="AA165" t="s">
        <v>173</v>
      </c>
    </row>
    <row r="166" spans="1:27" x14ac:dyDescent="0.3">
      <c r="A166">
        <v>165</v>
      </c>
      <c r="B166" t="s">
        <v>180</v>
      </c>
      <c r="C166">
        <v>99019421</v>
      </c>
      <c r="D166" s="7" t="s">
        <v>185</v>
      </c>
      <c r="E166" t="s">
        <v>181</v>
      </c>
      <c r="F166" t="s">
        <v>176</v>
      </c>
      <c r="G166" t="s">
        <v>177</v>
      </c>
      <c r="H166" s="133">
        <v>10000</v>
      </c>
      <c r="I166">
        <v>0</v>
      </c>
      <c r="J166" s="133">
        <v>10000</v>
      </c>
      <c r="K166" s="133">
        <v>13605</v>
      </c>
      <c r="L166" s="133">
        <v>13605</v>
      </c>
      <c r="M166" s="150">
        <v>0.38533564814814819</v>
      </c>
      <c r="N166" s="150">
        <v>0.38533564814814819</v>
      </c>
      <c r="O166" t="s">
        <v>172</v>
      </c>
      <c r="Q166">
        <v>205893</v>
      </c>
      <c r="R166">
        <v>205893</v>
      </c>
      <c r="S166">
        <v>205813</v>
      </c>
      <c r="T166">
        <v>0</v>
      </c>
      <c r="U166" t="s">
        <v>173</v>
      </c>
      <c r="V166">
        <v>0</v>
      </c>
      <c r="W166" t="s">
        <v>174</v>
      </c>
      <c r="X166">
        <v>205813</v>
      </c>
      <c r="Y166" t="s">
        <v>182</v>
      </c>
      <c r="Z166" t="s">
        <v>183</v>
      </c>
      <c r="AA166" t="s">
        <v>173</v>
      </c>
    </row>
    <row r="167" spans="1:27" x14ac:dyDescent="0.3">
      <c r="A167">
        <v>166</v>
      </c>
      <c r="B167" t="s">
        <v>180</v>
      </c>
      <c r="C167">
        <v>99019421</v>
      </c>
      <c r="D167" s="7" t="s">
        <v>185</v>
      </c>
      <c r="E167" t="s">
        <v>181</v>
      </c>
      <c r="F167" t="s">
        <v>176</v>
      </c>
      <c r="G167" t="s">
        <v>177</v>
      </c>
      <c r="H167" s="133">
        <v>10000</v>
      </c>
      <c r="I167">
        <v>0</v>
      </c>
      <c r="J167">
        <v>137</v>
      </c>
      <c r="K167" s="133">
        <v>13615</v>
      </c>
      <c r="L167" s="133">
        <v>13615</v>
      </c>
      <c r="M167" s="150">
        <v>0.38543981481481482</v>
      </c>
      <c r="N167" s="150">
        <v>0.38553240740740741</v>
      </c>
      <c r="O167" t="s">
        <v>172</v>
      </c>
      <c r="Q167">
        <v>207728</v>
      </c>
      <c r="R167">
        <v>207728</v>
      </c>
      <c r="S167">
        <v>207708</v>
      </c>
      <c r="T167" s="133">
        <v>9863</v>
      </c>
      <c r="U167" t="s">
        <v>173</v>
      </c>
      <c r="V167">
        <v>0</v>
      </c>
      <c r="W167" t="s">
        <v>174</v>
      </c>
      <c r="X167">
        <v>207708</v>
      </c>
      <c r="Y167" t="s">
        <v>182</v>
      </c>
      <c r="Z167" t="s">
        <v>183</v>
      </c>
      <c r="AA167" t="s">
        <v>173</v>
      </c>
    </row>
    <row r="168" spans="1:27" x14ac:dyDescent="0.3">
      <c r="A168">
        <v>167</v>
      </c>
      <c r="B168" t="s">
        <v>180</v>
      </c>
      <c r="C168">
        <v>99019421</v>
      </c>
      <c r="D168" s="7" t="s">
        <v>185</v>
      </c>
      <c r="E168" t="s">
        <v>181</v>
      </c>
      <c r="F168" t="s">
        <v>176</v>
      </c>
      <c r="G168" t="s">
        <v>177</v>
      </c>
      <c r="H168" s="133">
        <v>10000</v>
      </c>
      <c r="I168">
        <v>0</v>
      </c>
      <c r="J168">
        <v>183</v>
      </c>
      <c r="K168" s="133">
        <v>13615</v>
      </c>
      <c r="L168" s="133">
        <v>13615</v>
      </c>
      <c r="M168" s="150">
        <v>0.38583333333333331</v>
      </c>
      <c r="N168" s="150">
        <v>0.38587962962962963</v>
      </c>
      <c r="O168" t="s">
        <v>172</v>
      </c>
      <c r="Q168">
        <v>214156</v>
      </c>
      <c r="R168">
        <v>214156</v>
      </c>
      <c r="S168">
        <v>214109</v>
      </c>
      <c r="T168" s="133">
        <v>9817</v>
      </c>
      <c r="U168" t="s">
        <v>173</v>
      </c>
      <c r="V168">
        <v>0</v>
      </c>
      <c r="W168" t="s">
        <v>174</v>
      </c>
      <c r="X168">
        <v>214109</v>
      </c>
      <c r="Y168" t="s">
        <v>182</v>
      </c>
      <c r="Z168" t="s">
        <v>183</v>
      </c>
      <c r="AA168" t="s">
        <v>173</v>
      </c>
    </row>
    <row r="169" spans="1:27" x14ac:dyDescent="0.3">
      <c r="A169">
        <v>168</v>
      </c>
      <c r="B169" t="s">
        <v>169</v>
      </c>
      <c r="C169">
        <v>99019875</v>
      </c>
      <c r="D169" s="7" t="s">
        <v>75</v>
      </c>
      <c r="E169" t="s">
        <v>76</v>
      </c>
      <c r="F169" t="s">
        <v>176</v>
      </c>
      <c r="G169" t="s">
        <v>177</v>
      </c>
      <c r="H169" s="133">
        <v>1000</v>
      </c>
      <c r="I169">
        <v>0</v>
      </c>
      <c r="J169">
        <v>500</v>
      </c>
      <c r="K169" s="133">
        <v>21280</v>
      </c>
      <c r="L169" s="133">
        <v>21280</v>
      </c>
      <c r="M169" s="150">
        <v>0.38603009259259258</v>
      </c>
      <c r="N169" s="150">
        <v>0.38604166666666667</v>
      </c>
      <c r="O169" t="s">
        <v>172</v>
      </c>
      <c r="Q169">
        <v>217179</v>
      </c>
      <c r="R169">
        <v>217179</v>
      </c>
      <c r="S169">
        <v>216352</v>
      </c>
      <c r="T169">
        <v>500</v>
      </c>
      <c r="U169" t="s">
        <v>173</v>
      </c>
      <c r="V169">
        <v>0</v>
      </c>
      <c r="W169" t="s">
        <v>174</v>
      </c>
      <c r="X169">
        <v>216352</v>
      </c>
      <c r="Z169" t="s">
        <v>175</v>
      </c>
      <c r="AA169" t="s">
        <v>173</v>
      </c>
    </row>
    <row r="170" spans="1:27" x14ac:dyDescent="0.3">
      <c r="A170">
        <v>169</v>
      </c>
      <c r="B170" t="s">
        <v>169</v>
      </c>
      <c r="C170">
        <v>99019875</v>
      </c>
      <c r="D170" s="7" t="s">
        <v>69</v>
      </c>
      <c r="E170" t="s">
        <v>70</v>
      </c>
      <c r="F170" t="s">
        <v>176</v>
      </c>
      <c r="G170" t="s">
        <v>177</v>
      </c>
      <c r="H170" s="133">
        <v>1000</v>
      </c>
      <c r="I170">
        <v>0</v>
      </c>
      <c r="J170">
        <v>500</v>
      </c>
      <c r="K170" s="133">
        <v>10565</v>
      </c>
      <c r="L170" s="133">
        <v>10565</v>
      </c>
      <c r="M170" s="150">
        <v>0.3863078703703704</v>
      </c>
      <c r="N170" s="150">
        <v>0.38635416666666672</v>
      </c>
      <c r="O170" t="s">
        <v>172</v>
      </c>
      <c r="Q170">
        <v>221781</v>
      </c>
      <c r="R170">
        <v>221781</v>
      </c>
      <c r="S170">
        <v>221558</v>
      </c>
      <c r="T170">
        <v>500</v>
      </c>
      <c r="U170" t="s">
        <v>173</v>
      </c>
      <c r="V170">
        <v>0</v>
      </c>
      <c r="W170" t="s">
        <v>174</v>
      </c>
      <c r="X170">
        <v>221558</v>
      </c>
      <c r="Z170" t="s">
        <v>175</v>
      </c>
      <c r="AA170" t="s">
        <v>173</v>
      </c>
    </row>
    <row r="171" spans="1:27" x14ac:dyDescent="0.3">
      <c r="A171">
        <v>170</v>
      </c>
      <c r="B171" t="s">
        <v>169</v>
      </c>
      <c r="C171">
        <v>99019875</v>
      </c>
      <c r="D171" s="7" t="s">
        <v>65</v>
      </c>
      <c r="E171" t="s">
        <v>66</v>
      </c>
      <c r="F171" t="s">
        <v>170</v>
      </c>
      <c r="G171" t="s">
        <v>177</v>
      </c>
      <c r="H171" s="133">
        <v>1000</v>
      </c>
      <c r="I171">
        <v>0</v>
      </c>
      <c r="J171" s="133">
        <v>1000</v>
      </c>
      <c r="K171" s="133">
        <v>4780</v>
      </c>
      <c r="L171" s="133">
        <v>4780</v>
      </c>
      <c r="M171" s="150">
        <v>0.38653935185185184</v>
      </c>
      <c r="N171" s="150">
        <v>0.38657407407407413</v>
      </c>
      <c r="O171" t="s">
        <v>172</v>
      </c>
      <c r="Q171">
        <v>225437</v>
      </c>
      <c r="R171">
        <v>225437</v>
      </c>
      <c r="S171">
        <v>224115</v>
      </c>
      <c r="T171">
        <v>0</v>
      </c>
      <c r="U171" t="s">
        <v>173</v>
      </c>
      <c r="V171">
        <v>0</v>
      </c>
      <c r="W171" t="s">
        <v>174</v>
      </c>
      <c r="X171">
        <v>224115</v>
      </c>
      <c r="Z171" t="s">
        <v>175</v>
      </c>
      <c r="AA171" t="s">
        <v>173</v>
      </c>
    </row>
    <row r="172" spans="1:27" x14ac:dyDescent="0.3">
      <c r="A172">
        <v>171</v>
      </c>
      <c r="B172" t="s">
        <v>169</v>
      </c>
      <c r="C172">
        <v>99019875</v>
      </c>
      <c r="D172" s="7" t="s">
        <v>75</v>
      </c>
      <c r="E172" t="s">
        <v>76</v>
      </c>
      <c r="F172" t="s">
        <v>176</v>
      </c>
      <c r="G172" t="s">
        <v>177</v>
      </c>
      <c r="H172" s="133">
        <v>1000</v>
      </c>
      <c r="I172">
        <v>0</v>
      </c>
      <c r="J172">
        <v>2</v>
      </c>
      <c r="K172" s="133">
        <v>21360</v>
      </c>
      <c r="L172" s="133">
        <v>21360</v>
      </c>
      <c r="M172" s="150">
        <v>0.38658564814814816</v>
      </c>
      <c r="N172" s="150">
        <v>0.3866087962962963</v>
      </c>
      <c r="O172" t="s">
        <v>172</v>
      </c>
      <c r="Q172">
        <v>226032</v>
      </c>
      <c r="R172">
        <v>226032</v>
      </c>
      <c r="S172">
        <v>226029</v>
      </c>
      <c r="T172">
        <v>998</v>
      </c>
      <c r="U172" t="s">
        <v>173</v>
      </c>
      <c r="V172">
        <v>0</v>
      </c>
      <c r="W172" t="s">
        <v>174</v>
      </c>
      <c r="X172">
        <v>226029</v>
      </c>
      <c r="Z172" t="s">
        <v>175</v>
      </c>
      <c r="AA172" t="s">
        <v>173</v>
      </c>
    </row>
    <row r="173" spans="1:27" x14ac:dyDescent="0.3">
      <c r="A173">
        <v>172</v>
      </c>
      <c r="B173" t="s">
        <v>169</v>
      </c>
      <c r="C173">
        <v>99019875</v>
      </c>
      <c r="D173" s="7" t="s">
        <v>81</v>
      </c>
      <c r="E173" t="s">
        <v>82</v>
      </c>
      <c r="F173" t="s">
        <v>176</v>
      </c>
      <c r="G173" t="s">
        <v>177</v>
      </c>
      <c r="H173" s="133">
        <v>1000</v>
      </c>
      <c r="I173">
        <v>0</v>
      </c>
      <c r="J173">
        <v>9</v>
      </c>
      <c r="K173" s="133">
        <v>36885</v>
      </c>
      <c r="L173" s="133">
        <v>36885</v>
      </c>
      <c r="M173" s="150">
        <v>0.38674768518518521</v>
      </c>
      <c r="N173" s="150">
        <v>0.38675925925925925</v>
      </c>
      <c r="O173" t="s">
        <v>172</v>
      </c>
      <c r="Q173">
        <v>228592</v>
      </c>
      <c r="R173">
        <v>228592</v>
      </c>
      <c r="S173">
        <v>228533</v>
      </c>
      <c r="T173">
        <v>991</v>
      </c>
      <c r="U173" t="s">
        <v>173</v>
      </c>
      <c r="V173">
        <v>0</v>
      </c>
      <c r="W173" t="s">
        <v>174</v>
      </c>
      <c r="X173">
        <v>228533</v>
      </c>
      <c r="Z173" t="s">
        <v>175</v>
      </c>
      <c r="AA173" t="s">
        <v>173</v>
      </c>
    </row>
    <row r="174" spans="1:27" x14ac:dyDescent="0.3">
      <c r="A174">
        <v>173</v>
      </c>
      <c r="B174" t="s">
        <v>169</v>
      </c>
      <c r="C174">
        <v>99019875</v>
      </c>
      <c r="D174" s="7" t="s">
        <v>140</v>
      </c>
      <c r="E174" t="s">
        <v>178</v>
      </c>
      <c r="F174" t="s">
        <v>176</v>
      </c>
      <c r="G174" t="s">
        <v>177</v>
      </c>
      <c r="H174" s="133">
        <v>1000</v>
      </c>
      <c r="I174">
        <v>0</v>
      </c>
      <c r="J174">
        <v>361</v>
      </c>
      <c r="K174" s="133">
        <v>8665</v>
      </c>
      <c r="L174" s="133">
        <v>8665</v>
      </c>
      <c r="M174" s="150">
        <v>0.38675925925925925</v>
      </c>
      <c r="N174" s="150">
        <v>0.38678240740740738</v>
      </c>
      <c r="O174" t="s">
        <v>172</v>
      </c>
      <c r="Q174">
        <v>228769</v>
      </c>
      <c r="R174">
        <v>228769</v>
      </c>
      <c r="S174">
        <v>227877</v>
      </c>
      <c r="T174">
        <v>639</v>
      </c>
      <c r="U174" t="s">
        <v>173</v>
      </c>
      <c r="V174">
        <v>0</v>
      </c>
      <c r="W174" t="s">
        <v>174</v>
      </c>
      <c r="X174">
        <v>227877</v>
      </c>
      <c r="Z174" t="s">
        <v>175</v>
      </c>
      <c r="AA174" t="s">
        <v>173</v>
      </c>
    </row>
    <row r="175" spans="1:27" x14ac:dyDescent="0.3">
      <c r="A175">
        <v>174</v>
      </c>
      <c r="B175" t="s">
        <v>180</v>
      </c>
      <c r="C175">
        <v>99019421</v>
      </c>
      <c r="D175" s="7" t="s">
        <v>185</v>
      </c>
      <c r="E175" t="s">
        <v>181</v>
      </c>
      <c r="F175" t="s">
        <v>176</v>
      </c>
      <c r="G175" t="s">
        <v>177</v>
      </c>
      <c r="H175" s="133">
        <v>10000</v>
      </c>
      <c r="I175">
        <v>0</v>
      </c>
      <c r="J175" s="133">
        <v>10000</v>
      </c>
      <c r="K175" s="133">
        <v>13710</v>
      </c>
      <c r="L175" s="133">
        <v>13710</v>
      </c>
      <c r="M175" s="150">
        <v>0.38783564814814814</v>
      </c>
      <c r="N175" s="150">
        <v>0.38783564814814814</v>
      </c>
      <c r="O175" t="s">
        <v>172</v>
      </c>
      <c r="Q175">
        <v>244491</v>
      </c>
      <c r="R175">
        <v>244491</v>
      </c>
      <c r="S175">
        <v>244407</v>
      </c>
      <c r="T175">
        <v>0</v>
      </c>
      <c r="U175" t="s">
        <v>173</v>
      </c>
      <c r="V175">
        <v>0</v>
      </c>
      <c r="W175" t="s">
        <v>174</v>
      </c>
      <c r="X175">
        <v>244407</v>
      </c>
      <c r="Y175" t="s">
        <v>182</v>
      </c>
      <c r="Z175" t="s">
        <v>183</v>
      </c>
      <c r="AA175" t="s">
        <v>173</v>
      </c>
    </row>
    <row r="176" spans="1:27" x14ac:dyDescent="0.3">
      <c r="A176">
        <v>175</v>
      </c>
      <c r="B176" t="s">
        <v>169</v>
      </c>
      <c r="C176">
        <v>99019875</v>
      </c>
      <c r="D176" s="7" t="s">
        <v>71</v>
      </c>
      <c r="E176" t="s">
        <v>72</v>
      </c>
      <c r="F176" t="s">
        <v>170</v>
      </c>
      <c r="G176" t="s">
        <v>177</v>
      </c>
      <c r="H176" s="133">
        <v>1000</v>
      </c>
      <c r="I176">
        <v>0</v>
      </c>
      <c r="J176" s="133">
        <v>1000</v>
      </c>
      <c r="K176" s="133">
        <v>18425</v>
      </c>
      <c r="L176" s="133">
        <v>18425</v>
      </c>
      <c r="M176" s="150">
        <v>0.38827546296296295</v>
      </c>
      <c r="N176" s="150">
        <v>0.38827546296296295</v>
      </c>
      <c r="O176" t="s">
        <v>172</v>
      </c>
      <c r="Q176">
        <v>251549</v>
      </c>
      <c r="R176">
        <v>251549</v>
      </c>
      <c r="S176">
        <v>251529</v>
      </c>
      <c r="T176">
        <v>0</v>
      </c>
      <c r="U176" t="s">
        <v>173</v>
      </c>
      <c r="V176">
        <v>0</v>
      </c>
      <c r="W176" t="s">
        <v>174</v>
      </c>
      <c r="X176">
        <v>251529</v>
      </c>
      <c r="Z176" t="s">
        <v>175</v>
      </c>
      <c r="AA176" t="s">
        <v>173</v>
      </c>
    </row>
    <row r="177" spans="1:27" x14ac:dyDescent="0.3">
      <c r="A177">
        <v>176</v>
      </c>
      <c r="B177" t="s">
        <v>169</v>
      </c>
      <c r="C177">
        <v>99019875</v>
      </c>
      <c r="D177" s="7" t="s">
        <v>140</v>
      </c>
      <c r="E177" t="s">
        <v>178</v>
      </c>
      <c r="F177" t="s">
        <v>170</v>
      </c>
      <c r="G177" t="s">
        <v>177</v>
      </c>
      <c r="H177" s="133">
        <v>1000</v>
      </c>
      <c r="I177">
        <v>0</v>
      </c>
      <c r="J177" s="133">
        <v>1000</v>
      </c>
      <c r="K177" s="133">
        <v>8645</v>
      </c>
      <c r="L177" s="133">
        <v>8645</v>
      </c>
      <c r="M177" s="150">
        <v>0.38836805555555554</v>
      </c>
      <c r="N177" s="150">
        <v>0.38836805555555554</v>
      </c>
      <c r="O177" t="s">
        <v>172</v>
      </c>
      <c r="Q177">
        <v>252995</v>
      </c>
      <c r="R177">
        <v>252995</v>
      </c>
      <c r="S177">
        <v>251950</v>
      </c>
      <c r="T177">
        <v>0</v>
      </c>
      <c r="U177" t="s">
        <v>173</v>
      </c>
      <c r="V177">
        <v>0</v>
      </c>
      <c r="W177" t="s">
        <v>174</v>
      </c>
      <c r="X177">
        <v>251950</v>
      </c>
      <c r="Z177" t="s">
        <v>175</v>
      </c>
      <c r="AA177" t="s">
        <v>173</v>
      </c>
    </row>
    <row r="178" spans="1:27" x14ac:dyDescent="0.3">
      <c r="A178">
        <v>177</v>
      </c>
      <c r="B178" t="s">
        <v>169</v>
      </c>
      <c r="C178">
        <v>99019875</v>
      </c>
      <c r="D178" s="7" t="s">
        <v>102</v>
      </c>
      <c r="E178" t="s">
        <v>103</v>
      </c>
      <c r="F178" t="s">
        <v>170</v>
      </c>
      <c r="G178" t="s">
        <v>177</v>
      </c>
      <c r="H178" s="133">
        <v>1000</v>
      </c>
      <c r="I178">
        <v>0</v>
      </c>
      <c r="J178">
        <v>160</v>
      </c>
      <c r="K178" s="133">
        <v>26860</v>
      </c>
      <c r="L178" s="133">
        <v>26860</v>
      </c>
      <c r="M178" s="150">
        <v>0.38892361111111112</v>
      </c>
      <c r="N178" s="150">
        <v>0.38893518518518522</v>
      </c>
      <c r="O178" t="s">
        <v>172</v>
      </c>
      <c r="Q178">
        <v>260137</v>
      </c>
      <c r="R178">
        <v>260137</v>
      </c>
      <c r="S178">
        <v>259665</v>
      </c>
      <c r="T178">
        <v>840</v>
      </c>
      <c r="U178" t="s">
        <v>173</v>
      </c>
      <c r="V178">
        <v>0</v>
      </c>
      <c r="W178" t="s">
        <v>174</v>
      </c>
      <c r="X178">
        <v>259665</v>
      </c>
      <c r="Z178" t="s">
        <v>175</v>
      </c>
      <c r="AA178" t="s">
        <v>173</v>
      </c>
    </row>
    <row r="179" spans="1:27" x14ac:dyDescent="0.3">
      <c r="A179">
        <v>178</v>
      </c>
      <c r="B179" t="s">
        <v>169</v>
      </c>
      <c r="C179">
        <v>99019875</v>
      </c>
      <c r="D179" s="7" t="s">
        <v>75</v>
      </c>
      <c r="E179" t="s">
        <v>76</v>
      </c>
      <c r="F179" t="s">
        <v>176</v>
      </c>
      <c r="G179" t="s">
        <v>177</v>
      </c>
      <c r="H179" s="133">
        <v>1000</v>
      </c>
      <c r="I179">
        <v>0</v>
      </c>
      <c r="J179">
        <v>3</v>
      </c>
      <c r="K179" s="133">
        <v>21310</v>
      </c>
      <c r="L179" s="133">
        <v>21310</v>
      </c>
      <c r="M179" s="150">
        <v>0.38958333333333334</v>
      </c>
      <c r="N179" s="150">
        <v>0.38960648148148147</v>
      </c>
      <c r="O179" t="s">
        <v>172</v>
      </c>
      <c r="Q179">
        <v>269186</v>
      </c>
      <c r="R179">
        <v>269186</v>
      </c>
      <c r="S179">
        <v>269179</v>
      </c>
      <c r="T179">
        <v>997</v>
      </c>
      <c r="U179" t="s">
        <v>173</v>
      </c>
      <c r="V179">
        <v>0</v>
      </c>
      <c r="W179" t="s">
        <v>174</v>
      </c>
      <c r="X179">
        <v>269179</v>
      </c>
      <c r="Z179" t="s">
        <v>175</v>
      </c>
      <c r="AA179" t="s">
        <v>173</v>
      </c>
    </row>
    <row r="180" spans="1:27" x14ac:dyDescent="0.3">
      <c r="A180">
        <v>179</v>
      </c>
      <c r="B180" t="s">
        <v>169</v>
      </c>
      <c r="C180">
        <v>99019875</v>
      </c>
      <c r="D180" s="7" t="s">
        <v>69</v>
      </c>
      <c r="E180" t="s">
        <v>70</v>
      </c>
      <c r="F180" t="s">
        <v>176</v>
      </c>
      <c r="G180" t="s">
        <v>177</v>
      </c>
      <c r="H180" s="133">
        <v>1000</v>
      </c>
      <c r="I180">
        <v>0</v>
      </c>
      <c r="J180" s="133">
        <v>1000</v>
      </c>
      <c r="K180" s="133">
        <v>10580</v>
      </c>
      <c r="L180" s="133">
        <v>10580</v>
      </c>
      <c r="M180" s="150">
        <v>0.38972222222222225</v>
      </c>
      <c r="N180" s="150">
        <v>0.38972222222222225</v>
      </c>
      <c r="O180" t="s">
        <v>172</v>
      </c>
      <c r="Q180">
        <v>271139</v>
      </c>
      <c r="R180">
        <v>271139</v>
      </c>
      <c r="S180">
        <v>271130</v>
      </c>
      <c r="T180">
        <v>0</v>
      </c>
      <c r="U180" t="s">
        <v>173</v>
      </c>
      <c r="V180">
        <v>0</v>
      </c>
      <c r="W180" t="s">
        <v>174</v>
      </c>
      <c r="X180">
        <v>271130</v>
      </c>
      <c r="Z180" t="s">
        <v>175</v>
      </c>
      <c r="AA180" t="s">
        <v>173</v>
      </c>
    </row>
    <row r="181" spans="1:27" x14ac:dyDescent="0.3">
      <c r="A181">
        <v>180</v>
      </c>
      <c r="B181" t="s">
        <v>180</v>
      </c>
      <c r="C181">
        <v>99019421</v>
      </c>
      <c r="D181" s="7" t="s">
        <v>185</v>
      </c>
      <c r="E181" t="s">
        <v>181</v>
      </c>
      <c r="F181" t="s">
        <v>176</v>
      </c>
      <c r="G181" t="s">
        <v>177</v>
      </c>
      <c r="H181" s="133">
        <v>10000</v>
      </c>
      <c r="I181">
        <v>0</v>
      </c>
      <c r="J181">
        <v>288</v>
      </c>
      <c r="K181" s="133">
        <v>13760</v>
      </c>
      <c r="L181" s="133">
        <v>13760</v>
      </c>
      <c r="M181" s="150">
        <v>0.39002314814814815</v>
      </c>
      <c r="N181" s="150">
        <v>0.39003472222222224</v>
      </c>
      <c r="O181" t="s">
        <v>172</v>
      </c>
      <c r="Q181">
        <v>275511</v>
      </c>
      <c r="R181">
        <v>275511</v>
      </c>
      <c r="S181">
        <v>275504</v>
      </c>
      <c r="T181" s="133">
        <v>9712</v>
      </c>
      <c r="U181" t="s">
        <v>173</v>
      </c>
      <c r="V181">
        <v>0</v>
      </c>
      <c r="W181" t="s">
        <v>174</v>
      </c>
      <c r="X181">
        <v>275504</v>
      </c>
      <c r="Y181" t="s">
        <v>182</v>
      </c>
      <c r="Z181" t="s">
        <v>183</v>
      </c>
      <c r="AA181" t="s">
        <v>173</v>
      </c>
    </row>
    <row r="182" spans="1:27" x14ac:dyDescent="0.3">
      <c r="A182">
        <v>181</v>
      </c>
      <c r="B182" t="s">
        <v>180</v>
      </c>
      <c r="C182">
        <v>99019421</v>
      </c>
      <c r="D182" s="7" t="s">
        <v>185</v>
      </c>
      <c r="E182" t="s">
        <v>181</v>
      </c>
      <c r="F182" t="s">
        <v>176</v>
      </c>
      <c r="G182" t="s">
        <v>177</v>
      </c>
      <c r="H182" s="133">
        <v>10000</v>
      </c>
      <c r="I182">
        <v>0</v>
      </c>
      <c r="J182" s="133">
        <v>10000</v>
      </c>
      <c r="K182" s="133">
        <v>13770</v>
      </c>
      <c r="L182" s="133">
        <v>13770</v>
      </c>
      <c r="M182" s="150">
        <v>0.3901041666666667</v>
      </c>
      <c r="N182" s="150">
        <v>0.39012731481481483</v>
      </c>
      <c r="O182" t="s">
        <v>172</v>
      </c>
      <c r="Q182">
        <v>276572</v>
      </c>
      <c r="R182">
        <v>276572</v>
      </c>
      <c r="S182">
        <v>276507</v>
      </c>
      <c r="T182">
        <v>0</v>
      </c>
      <c r="U182" t="s">
        <v>173</v>
      </c>
      <c r="V182">
        <v>0</v>
      </c>
      <c r="W182" t="s">
        <v>174</v>
      </c>
      <c r="X182">
        <v>276507</v>
      </c>
      <c r="Y182" t="s">
        <v>182</v>
      </c>
      <c r="Z182" t="s">
        <v>183</v>
      </c>
      <c r="AA182" t="s">
        <v>173</v>
      </c>
    </row>
    <row r="183" spans="1:27" x14ac:dyDescent="0.3">
      <c r="A183">
        <v>182</v>
      </c>
      <c r="B183" t="s">
        <v>169</v>
      </c>
      <c r="C183">
        <v>99019875</v>
      </c>
      <c r="D183" s="7" t="s">
        <v>89</v>
      </c>
      <c r="E183" t="s">
        <v>90</v>
      </c>
      <c r="F183" t="s">
        <v>170</v>
      </c>
      <c r="G183" t="s">
        <v>177</v>
      </c>
      <c r="H183" s="133">
        <v>1000</v>
      </c>
      <c r="I183">
        <v>0</v>
      </c>
      <c r="J183" s="133">
        <v>1000</v>
      </c>
      <c r="K183" s="133">
        <v>3155</v>
      </c>
      <c r="L183" s="133">
        <v>3155</v>
      </c>
      <c r="M183" s="150">
        <v>0.39011574074074074</v>
      </c>
      <c r="N183" s="150">
        <v>0.39012731481481483</v>
      </c>
      <c r="O183" t="s">
        <v>172</v>
      </c>
      <c r="Q183">
        <v>276773</v>
      </c>
      <c r="R183">
        <v>276773</v>
      </c>
      <c r="S183">
        <v>276745</v>
      </c>
      <c r="T183">
        <v>0</v>
      </c>
      <c r="U183" t="s">
        <v>173</v>
      </c>
      <c r="V183">
        <v>0</v>
      </c>
      <c r="W183" t="s">
        <v>174</v>
      </c>
      <c r="X183">
        <v>276745</v>
      </c>
      <c r="Z183" t="s">
        <v>175</v>
      </c>
      <c r="AA183" t="s">
        <v>173</v>
      </c>
    </row>
    <row r="184" spans="1:27" x14ac:dyDescent="0.3">
      <c r="A184">
        <v>183</v>
      </c>
      <c r="B184" t="s">
        <v>180</v>
      </c>
      <c r="C184">
        <v>99019421</v>
      </c>
      <c r="D184" s="7" t="s">
        <v>185</v>
      </c>
      <c r="E184" t="s">
        <v>181</v>
      </c>
      <c r="F184" t="s">
        <v>176</v>
      </c>
      <c r="G184" t="s">
        <v>177</v>
      </c>
      <c r="H184" s="133">
        <v>10000</v>
      </c>
      <c r="I184">
        <v>0</v>
      </c>
      <c r="J184" s="133">
        <v>10000</v>
      </c>
      <c r="K184" s="133">
        <v>13775</v>
      </c>
      <c r="L184" s="133">
        <v>13775</v>
      </c>
      <c r="M184" s="150">
        <v>0.39011574074074074</v>
      </c>
      <c r="N184" s="150">
        <v>0.39012731481481483</v>
      </c>
      <c r="O184" t="s">
        <v>172</v>
      </c>
      <c r="Q184">
        <v>276781</v>
      </c>
      <c r="R184">
        <v>276781</v>
      </c>
      <c r="S184">
        <v>276648</v>
      </c>
      <c r="T184">
        <v>0</v>
      </c>
      <c r="U184" t="s">
        <v>173</v>
      </c>
      <c r="V184">
        <v>0</v>
      </c>
      <c r="W184" t="s">
        <v>174</v>
      </c>
      <c r="X184">
        <v>276648</v>
      </c>
      <c r="Y184" t="s">
        <v>182</v>
      </c>
      <c r="Z184" t="s">
        <v>183</v>
      </c>
      <c r="AA184" t="s">
        <v>173</v>
      </c>
    </row>
    <row r="185" spans="1:27" x14ac:dyDescent="0.3">
      <c r="A185">
        <v>184</v>
      </c>
      <c r="B185" t="s">
        <v>169</v>
      </c>
      <c r="C185">
        <v>99019875</v>
      </c>
      <c r="D185" s="7" t="s">
        <v>62</v>
      </c>
      <c r="E185" t="s">
        <v>63</v>
      </c>
      <c r="F185" t="s">
        <v>176</v>
      </c>
      <c r="G185" t="s">
        <v>177</v>
      </c>
      <c r="H185" s="133">
        <v>1000</v>
      </c>
      <c r="I185">
        <v>0</v>
      </c>
      <c r="J185">
        <v>564</v>
      </c>
      <c r="K185" s="133">
        <v>34395</v>
      </c>
      <c r="L185" s="133">
        <v>34395</v>
      </c>
      <c r="M185" s="150">
        <v>0.3908564814814815</v>
      </c>
      <c r="N185" s="150">
        <v>0.3908564814814815</v>
      </c>
      <c r="O185" t="s">
        <v>172</v>
      </c>
      <c r="Q185">
        <v>286656</v>
      </c>
      <c r="R185">
        <v>286656</v>
      </c>
      <c r="S185">
        <v>286639</v>
      </c>
      <c r="T185">
        <v>436</v>
      </c>
      <c r="U185" t="s">
        <v>173</v>
      </c>
      <c r="V185">
        <v>0</v>
      </c>
      <c r="W185" t="s">
        <v>174</v>
      </c>
      <c r="X185">
        <v>286639</v>
      </c>
      <c r="Z185" t="s">
        <v>175</v>
      </c>
      <c r="AA185" t="s">
        <v>173</v>
      </c>
    </row>
    <row r="186" spans="1:27" x14ac:dyDescent="0.3">
      <c r="A186">
        <v>185</v>
      </c>
      <c r="B186" t="s">
        <v>169</v>
      </c>
      <c r="C186">
        <v>99019875</v>
      </c>
      <c r="D186" s="7" t="s">
        <v>62</v>
      </c>
      <c r="E186" t="s">
        <v>63</v>
      </c>
      <c r="F186" t="s">
        <v>176</v>
      </c>
      <c r="G186" t="s">
        <v>177</v>
      </c>
      <c r="H186" s="133">
        <v>1000</v>
      </c>
      <c r="I186">
        <v>0</v>
      </c>
      <c r="J186">
        <v>436</v>
      </c>
      <c r="K186" s="133">
        <v>34390</v>
      </c>
      <c r="L186" s="133">
        <v>34390</v>
      </c>
      <c r="M186" s="150">
        <v>0.3908564814814815</v>
      </c>
      <c r="N186" s="150">
        <v>0.3908564814814815</v>
      </c>
      <c r="O186" t="s">
        <v>172</v>
      </c>
      <c r="Q186">
        <v>286664</v>
      </c>
      <c r="R186">
        <v>286664</v>
      </c>
      <c r="S186">
        <v>286656</v>
      </c>
      <c r="T186">
        <v>0</v>
      </c>
      <c r="U186" t="s">
        <v>173</v>
      </c>
      <c r="V186">
        <v>564</v>
      </c>
      <c r="W186" t="s">
        <v>174</v>
      </c>
      <c r="X186">
        <v>286656</v>
      </c>
      <c r="Z186" t="s">
        <v>175</v>
      </c>
      <c r="AA186" t="s">
        <v>173</v>
      </c>
    </row>
    <row r="187" spans="1:27" x14ac:dyDescent="0.3">
      <c r="A187">
        <v>186</v>
      </c>
      <c r="B187" t="s">
        <v>169</v>
      </c>
      <c r="C187">
        <v>99019875</v>
      </c>
      <c r="D187" s="7" t="s">
        <v>85</v>
      </c>
      <c r="E187" t="s">
        <v>86</v>
      </c>
      <c r="F187" t="s">
        <v>176</v>
      </c>
      <c r="G187" t="s">
        <v>177</v>
      </c>
      <c r="H187" s="133">
        <v>1000</v>
      </c>
      <c r="I187">
        <v>0</v>
      </c>
      <c r="J187">
        <v>2</v>
      </c>
      <c r="K187" s="133">
        <v>4785</v>
      </c>
      <c r="L187" s="133">
        <v>4785</v>
      </c>
      <c r="M187" s="150">
        <v>0.3909259259259259</v>
      </c>
      <c r="N187" s="150">
        <v>0.39100694444444445</v>
      </c>
      <c r="O187" t="s">
        <v>172</v>
      </c>
      <c r="Q187">
        <v>288036</v>
      </c>
      <c r="R187">
        <v>288036</v>
      </c>
      <c r="S187">
        <v>287131</v>
      </c>
      <c r="T187">
        <v>998</v>
      </c>
      <c r="U187" t="s">
        <v>173</v>
      </c>
      <c r="V187">
        <v>0</v>
      </c>
      <c r="W187" t="s">
        <v>174</v>
      </c>
      <c r="X187">
        <v>287131</v>
      </c>
      <c r="Z187" t="s">
        <v>175</v>
      </c>
      <c r="AA187" t="s">
        <v>173</v>
      </c>
    </row>
    <row r="188" spans="1:27" x14ac:dyDescent="0.3">
      <c r="A188">
        <v>187</v>
      </c>
      <c r="B188" t="s">
        <v>169</v>
      </c>
      <c r="C188">
        <v>99019875</v>
      </c>
      <c r="D188" s="7" t="s">
        <v>69</v>
      </c>
      <c r="E188" t="s">
        <v>70</v>
      </c>
      <c r="F188" t="s">
        <v>176</v>
      </c>
      <c r="G188" t="s">
        <v>177</v>
      </c>
      <c r="H188" s="133">
        <v>1000</v>
      </c>
      <c r="I188">
        <v>0</v>
      </c>
      <c r="J188">
        <v>525</v>
      </c>
      <c r="K188" s="133">
        <v>10610</v>
      </c>
      <c r="L188" s="133">
        <v>10610</v>
      </c>
      <c r="M188" s="150">
        <v>0.39349537037037036</v>
      </c>
      <c r="N188" s="150">
        <v>0.39349537037037036</v>
      </c>
      <c r="O188" t="s">
        <v>172</v>
      </c>
      <c r="Q188">
        <v>322579</v>
      </c>
      <c r="R188">
        <v>322579</v>
      </c>
      <c r="S188">
        <v>322517</v>
      </c>
      <c r="T188">
        <v>475</v>
      </c>
      <c r="U188" t="s">
        <v>173</v>
      </c>
      <c r="V188">
        <v>0</v>
      </c>
      <c r="W188" t="s">
        <v>174</v>
      </c>
      <c r="X188">
        <v>322517</v>
      </c>
      <c r="Z188" t="s">
        <v>175</v>
      </c>
      <c r="AA188" t="s">
        <v>173</v>
      </c>
    </row>
    <row r="189" spans="1:27" x14ac:dyDescent="0.3">
      <c r="A189">
        <v>188</v>
      </c>
      <c r="B189" t="s">
        <v>169</v>
      </c>
      <c r="C189">
        <v>99019875</v>
      </c>
      <c r="D189" s="7" t="s">
        <v>140</v>
      </c>
      <c r="E189" t="s">
        <v>178</v>
      </c>
      <c r="F189" t="s">
        <v>176</v>
      </c>
      <c r="G189" t="s">
        <v>177</v>
      </c>
      <c r="H189" s="133">
        <v>1000</v>
      </c>
      <c r="I189">
        <v>0</v>
      </c>
      <c r="J189" s="133">
        <v>1000</v>
      </c>
      <c r="K189" s="133">
        <v>8755</v>
      </c>
      <c r="L189" s="133">
        <v>8755</v>
      </c>
      <c r="M189" s="150">
        <v>0.39450231481481479</v>
      </c>
      <c r="N189" s="150">
        <v>0.39451388888888889</v>
      </c>
      <c r="O189" t="s">
        <v>172</v>
      </c>
      <c r="Q189">
        <v>335336</v>
      </c>
      <c r="R189">
        <v>335336</v>
      </c>
      <c r="S189">
        <v>335332</v>
      </c>
      <c r="T189">
        <v>0</v>
      </c>
      <c r="U189" t="s">
        <v>173</v>
      </c>
      <c r="V189">
        <v>0</v>
      </c>
      <c r="W189" t="s">
        <v>174</v>
      </c>
      <c r="X189">
        <v>335332</v>
      </c>
      <c r="Z189" t="s">
        <v>175</v>
      </c>
      <c r="AA189" t="s">
        <v>173</v>
      </c>
    </row>
    <row r="190" spans="1:27" x14ac:dyDescent="0.3">
      <c r="A190">
        <v>189</v>
      </c>
      <c r="B190" t="s">
        <v>180</v>
      </c>
      <c r="C190">
        <v>99019421</v>
      </c>
      <c r="D190" s="7" t="s">
        <v>185</v>
      </c>
      <c r="E190" t="s">
        <v>181</v>
      </c>
      <c r="F190" t="s">
        <v>176</v>
      </c>
      <c r="G190" t="s">
        <v>177</v>
      </c>
      <c r="H190" s="133">
        <v>10000</v>
      </c>
      <c r="I190">
        <v>0</v>
      </c>
      <c r="J190" s="133">
        <v>1786</v>
      </c>
      <c r="K190" s="133">
        <v>13810</v>
      </c>
      <c r="L190" s="133">
        <v>13810</v>
      </c>
      <c r="M190" s="150">
        <v>0.39461805555555557</v>
      </c>
      <c r="N190" s="150">
        <v>0.39474537037037033</v>
      </c>
      <c r="O190" t="s">
        <v>172</v>
      </c>
      <c r="Q190">
        <v>336958</v>
      </c>
      <c r="R190">
        <v>336958</v>
      </c>
      <c r="S190">
        <v>336596</v>
      </c>
      <c r="T190" s="133">
        <v>8214</v>
      </c>
      <c r="U190" t="s">
        <v>173</v>
      </c>
      <c r="V190">
        <v>0</v>
      </c>
      <c r="W190" t="s">
        <v>174</v>
      </c>
      <c r="X190">
        <v>336596</v>
      </c>
      <c r="Y190" t="s">
        <v>182</v>
      </c>
      <c r="Z190" t="s">
        <v>183</v>
      </c>
      <c r="AA190" t="s">
        <v>173</v>
      </c>
    </row>
    <row r="191" spans="1:27" x14ac:dyDescent="0.3">
      <c r="A191">
        <v>190</v>
      </c>
      <c r="B191" t="s">
        <v>180</v>
      </c>
      <c r="C191">
        <v>99019421</v>
      </c>
      <c r="D191" s="7" t="s">
        <v>185</v>
      </c>
      <c r="E191" t="s">
        <v>181</v>
      </c>
      <c r="F191" t="s">
        <v>176</v>
      </c>
      <c r="G191" t="s">
        <v>177</v>
      </c>
      <c r="H191" s="133">
        <v>10000</v>
      </c>
      <c r="I191">
        <v>0</v>
      </c>
      <c r="J191" s="133">
        <v>10000</v>
      </c>
      <c r="K191" s="133">
        <v>13815</v>
      </c>
      <c r="L191" s="133">
        <v>13815</v>
      </c>
      <c r="M191" s="150">
        <v>0.39479166666666665</v>
      </c>
      <c r="N191" s="150">
        <v>0.39481481481481479</v>
      </c>
      <c r="O191" t="s">
        <v>172</v>
      </c>
      <c r="Q191">
        <v>339199</v>
      </c>
      <c r="R191">
        <v>339199</v>
      </c>
      <c r="S191">
        <v>339049</v>
      </c>
      <c r="T191">
        <v>0</v>
      </c>
      <c r="U191" t="s">
        <v>173</v>
      </c>
      <c r="V191">
        <v>0</v>
      </c>
      <c r="W191" t="s">
        <v>174</v>
      </c>
      <c r="X191">
        <v>339049</v>
      </c>
      <c r="Y191" t="s">
        <v>182</v>
      </c>
      <c r="Z191" t="s">
        <v>183</v>
      </c>
      <c r="AA191" t="s">
        <v>173</v>
      </c>
    </row>
    <row r="192" spans="1:27" x14ac:dyDescent="0.3">
      <c r="A192">
        <v>191</v>
      </c>
      <c r="B192" t="s">
        <v>169</v>
      </c>
      <c r="C192">
        <v>99019875</v>
      </c>
      <c r="D192" s="7" t="s">
        <v>62</v>
      </c>
      <c r="E192" t="s">
        <v>63</v>
      </c>
      <c r="F192" t="s">
        <v>170</v>
      </c>
      <c r="G192" t="s">
        <v>177</v>
      </c>
      <c r="H192" s="133">
        <v>1000</v>
      </c>
      <c r="I192">
        <v>0</v>
      </c>
      <c r="J192" s="133">
        <v>1000</v>
      </c>
      <c r="K192" s="133">
        <v>34370</v>
      </c>
      <c r="L192" s="133">
        <v>34370</v>
      </c>
      <c r="M192" s="150">
        <v>0.39526620370370374</v>
      </c>
      <c r="N192" s="150">
        <v>0.39526620370370374</v>
      </c>
      <c r="O192" t="s">
        <v>172</v>
      </c>
      <c r="Q192">
        <v>345279</v>
      </c>
      <c r="R192">
        <v>345279</v>
      </c>
      <c r="S192">
        <v>345181</v>
      </c>
      <c r="T192">
        <v>0</v>
      </c>
      <c r="U192" t="s">
        <v>173</v>
      </c>
      <c r="V192">
        <v>0</v>
      </c>
      <c r="W192" t="s">
        <v>174</v>
      </c>
      <c r="X192">
        <v>345181</v>
      </c>
      <c r="Z192" t="s">
        <v>175</v>
      </c>
      <c r="AA192" t="s">
        <v>173</v>
      </c>
    </row>
    <row r="193" spans="1:27" x14ac:dyDescent="0.3">
      <c r="A193">
        <v>192</v>
      </c>
      <c r="B193" t="s">
        <v>169</v>
      </c>
      <c r="C193">
        <v>99019875</v>
      </c>
      <c r="D193" s="7" t="s">
        <v>71</v>
      </c>
      <c r="E193" t="s">
        <v>72</v>
      </c>
      <c r="F193" t="s">
        <v>170</v>
      </c>
      <c r="G193" t="s">
        <v>177</v>
      </c>
      <c r="H193" s="133">
        <v>1000</v>
      </c>
      <c r="I193">
        <v>0</v>
      </c>
      <c r="J193" s="133">
        <v>1000</v>
      </c>
      <c r="K193" s="133">
        <v>18565</v>
      </c>
      <c r="L193" s="133">
        <v>18565</v>
      </c>
      <c r="M193" s="150">
        <v>0.39534722222222224</v>
      </c>
      <c r="N193" s="150">
        <v>0.39535879629629633</v>
      </c>
      <c r="O193" t="s">
        <v>172</v>
      </c>
      <c r="Q193">
        <v>346737</v>
      </c>
      <c r="R193">
        <v>346737</v>
      </c>
      <c r="S193">
        <v>346463</v>
      </c>
      <c r="T193">
        <v>0</v>
      </c>
      <c r="U193" t="s">
        <v>173</v>
      </c>
      <c r="V193">
        <v>0</v>
      </c>
      <c r="W193" t="s">
        <v>174</v>
      </c>
      <c r="X193">
        <v>346463</v>
      </c>
      <c r="Z193" t="s">
        <v>175</v>
      </c>
      <c r="AA193" t="s">
        <v>173</v>
      </c>
    </row>
    <row r="194" spans="1:27" x14ac:dyDescent="0.3">
      <c r="A194">
        <v>193</v>
      </c>
      <c r="B194" t="s">
        <v>169</v>
      </c>
      <c r="C194">
        <v>99019875</v>
      </c>
      <c r="D194" s="7" t="s">
        <v>81</v>
      </c>
      <c r="E194" t="s">
        <v>82</v>
      </c>
      <c r="F194" t="s">
        <v>170</v>
      </c>
      <c r="G194" t="s">
        <v>177</v>
      </c>
      <c r="H194" s="133">
        <v>1000</v>
      </c>
      <c r="I194">
        <v>0</v>
      </c>
      <c r="J194" s="133">
        <v>1000</v>
      </c>
      <c r="K194" s="133">
        <v>36820</v>
      </c>
      <c r="L194" s="133">
        <v>36820</v>
      </c>
      <c r="M194" s="150">
        <v>0.39604166666666668</v>
      </c>
      <c r="N194" s="150">
        <v>0.39605324074074072</v>
      </c>
      <c r="O194" t="s">
        <v>172</v>
      </c>
      <c r="Q194">
        <v>357446</v>
      </c>
      <c r="R194">
        <v>357446</v>
      </c>
      <c r="S194">
        <v>357356</v>
      </c>
      <c r="T194">
        <v>0</v>
      </c>
      <c r="U194" t="s">
        <v>173</v>
      </c>
      <c r="V194">
        <v>0</v>
      </c>
      <c r="W194" t="s">
        <v>174</v>
      </c>
      <c r="X194">
        <v>357356</v>
      </c>
      <c r="Z194" t="s">
        <v>175</v>
      </c>
      <c r="AA194" t="s">
        <v>173</v>
      </c>
    </row>
    <row r="195" spans="1:27" x14ac:dyDescent="0.3">
      <c r="A195">
        <v>194</v>
      </c>
      <c r="B195" t="s">
        <v>169</v>
      </c>
      <c r="C195">
        <v>99019875</v>
      </c>
      <c r="D195" s="7" t="s">
        <v>108</v>
      </c>
      <c r="E195" t="s">
        <v>109</v>
      </c>
      <c r="F195" t="s">
        <v>176</v>
      </c>
      <c r="G195" t="s">
        <v>177</v>
      </c>
      <c r="H195" s="133">
        <v>1000</v>
      </c>
      <c r="I195">
        <v>0</v>
      </c>
      <c r="J195">
        <v>1</v>
      </c>
      <c r="K195" s="133">
        <v>2730</v>
      </c>
      <c r="L195" s="133">
        <v>2730</v>
      </c>
      <c r="M195" s="150">
        <v>0.39641203703703703</v>
      </c>
      <c r="N195" s="150">
        <v>0.39694444444444449</v>
      </c>
      <c r="O195" t="s">
        <v>172</v>
      </c>
      <c r="Q195">
        <v>361951</v>
      </c>
      <c r="R195">
        <v>361951</v>
      </c>
      <c r="S195">
        <v>361916</v>
      </c>
      <c r="T195">
        <v>999</v>
      </c>
      <c r="U195" t="s">
        <v>173</v>
      </c>
      <c r="V195">
        <v>0</v>
      </c>
      <c r="W195" t="s">
        <v>174</v>
      </c>
      <c r="X195">
        <v>361916</v>
      </c>
      <c r="Z195" t="s">
        <v>175</v>
      </c>
      <c r="AA195" t="s">
        <v>173</v>
      </c>
    </row>
    <row r="196" spans="1:27" x14ac:dyDescent="0.3">
      <c r="A196">
        <v>195</v>
      </c>
      <c r="B196" t="s">
        <v>169</v>
      </c>
      <c r="C196">
        <v>99019875</v>
      </c>
      <c r="D196" s="7" t="s">
        <v>140</v>
      </c>
      <c r="E196" t="s">
        <v>178</v>
      </c>
      <c r="F196" t="s">
        <v>176</v>
      </c>
      <c r="G196" t="s">
        <v>177</v>
      </c>
      <c r="H196" s="133">
        <v>1000</v>
      </c>
      <c r="I196">
        <v>0</v>
      </c>
      <c r="J196" s="133">
        <v>1000</v>
      </c>
      <c r="K196" s="133">
        <v>8785</v>
      </c>
      <c r="L196" s="133">
        <v>8785</v>
      </c>
      <c r="M196" s="150">
        <v>0.39712962962962961</v>
      </c>
      <c r="N196" s="150">
        <v>0.3971412037037037</v>
      </c>
      <c r="O196" t="s">
        <v>172</v>
      </c>
      <c r="Q196">
        <v>370698</v>
      </c>
      <c r="R196">
        <v>370698</v>
      </c>
      <c r="S196">
        <v>370690</v>
      </c>
      <c r="T196">
        <v>0</v>
      </c>
      <c r="U196" t="s">
        <v>173</v>
      </c>
      <c r="V196">
        <v>0</v>
      </c>
      <c r="W196" t="s">
        <v>174</v>
      </c>
      <c r="X196">
        <v>370690</v>
      </c>
      <c r="Z196" t="s">
        <v>175</v>
      </c>
      <c r="AA196" t="s">
        <v>173</v>
      </c>
    </row>
    <row r="197" spans="1:27" x14ac:dyDescent="0.3">
      <c r="A197">
        <v>196</v>
      </c>
      <c r="B197" t="s">
        <v>169</v>
      </c>
      <c r="C197">
        <v>99019875</v>
      </c>
      <c r="D197" s="7" t="s">
        <v>69</v>
      </c>
      <c r="E197" t="s">
        <v>70</v>
      </c>
      <c r="F197" t="s">
        <v>176</v>
      </c>
      <c r="G197" t="s">
        <v>177</v>
      </c>
      <c r="H197" s="133">
        <v>1000</v>
      </c>
      <c r="I197">
        <v>0</v>
      </c>
      <c r="J197">
        <v>402</v>
      </c>
      <c r="K197" s="133">
        <v>10560</v>
      </c>
      <c r="L197" s="133">
        <v>10560</v>
      </c>
      <c r="M197" s="150">
        <v>0.39712962962962961</v>
      </c>
      <c r="N197" s="150">
        <v>0.39716435185185189</v>
      </c>
      <c r="O197" t="s">
        <v>172</v>
      </c>
      <c r="Q197">
        <v>370777</v>
      </c>
      <c r="R197">
        <v>370777</v>
      </c>
      <c r="S197">
        <v>370402</v>
      </c>
      <c r="T197">
        <v>598</v>
      </c>
      <c r="U197" t="s">
        <v>173</v>
      </c>
      <c r="V197">
        <v>0</v>
      </c>
      <c r="W197" t="s">
        <v>174</v>
      </c>
      <c r="X197">
        <v>370402</v>
      </c>
      <c r="Z197" t="s">
        <v>175</v>
      </c>
      <c r="AA197" t="s">
        <v>173</v>
      </c>
    </row>
    <row r="198" spans="1:27" x14ac:dyDescent="0.3">
      <c r="A198">
        <v>197</v>
      </c>
      <c r="B198" t="s">
        <v>169</v>
      </c>
      <c r="C198">
        <v>99019875</v>
      </c>
      <c r="D198" s="7" t="s">
        <v>98</v>
      </c>
      <c r="E198" t="s">
        <v>99</v>
      </c>
      <c r="F198" t="s">
        <v>176</v>
      </c>
      <c r="G198" t="s">
        <v>177</v>
      </c>
      <c r="H198" s="133">
        <v>1000</v>
      </c>
      <c r="I198">
        <v>0</v>
      </c>
      <c r="J198" s="133">
        <v>1000</v>
      </c>
      <c r="K198" s="133">
        <v>14350</v>
      </c>
      <c r="L198" s="133">
        <v>14350</v>
      </c>
      <c r="M198" s="150">
        <v>0.39712962962962961</v>
      </c>
      <c r="N198" s="150">
        <v>0.3971412037037037</v>
      </c>
      <c r="O198" t="s">
        <v>172</v>
      </c>
      <c r="Q198">
        <v>370801</v>
      </c>
      <c r="R198">
        <v>370801</v>
      </c>
      <c r="S198">
        <v>370797</v>
      </c>
      <c r="T198">
        <v>0</v>
      </c>
      <c r="U198" t="s">
        <v>173</v>
      </c>
      <c r="V198">
        <v>0</v>
      </c>
      <c r="W198" t="s">
        <v>174</v>
      </c>
      <c r="X198">
        <v>370797</v>
      </c>
      <c r="Z198" t="s">
        <v>175</v>
      </c>
      <c r="AA198" t="s">
        <v>173</v>
      </c>
    </row>
    <row r="199" spans="1:27" x14ac:dyDescent="0.3">
      <c r="A199">
        <v>198</v>
      </c>
      <c r="B199" t="s">
        <v>169</v>
      </c>
      <c r="C199">
        <v>99019875</v>
      </c>
      <c r="D199" s="7" t="s">
        <v>71</v>
      </c>
      <c r="E199" t="s">
        <v>72</v>
      </c>
      <c r="F199" t="s">
        <v>176</v>
      </c>
      <c r="G199" t="s">
        <v>177</v>
      </c>
      <c r="H199" s="133">
        <v>1000</v>
      </c>
      <c r="I199">
        <v>0</v>
      </c>
      <c r="J199">
        <v>2</v>
      </c>
      <c r="K199" s="133">
        <v>18605</v>
      </c>
      <c r="L199" s="133">
        <v>18605</v>
      </c>
      <c r="M199" s="150">
        <v>0.39751157407407406</v>
      </c>
      <c r="N199" s="150">
        <v>0.3975231481481481</v>
      </c>
      <c r="O199" t="s">
        <v>172</v>
      </c>
      <c r="Q199">
        <v>375944</v>
      </c>
      <c r="R199">
        <v>375944</v>
      </c>
      <c r="S199">
        <v>375933</v>
      </c>
      <c r="T199">
        <v>998</v>
      </c>
      <c r="U199" t="s">
        <v>173</v>
      </c>
      <c r="V199">
        <v>0</v>
      </c>
      <c r="W199" t="s">
        <v>174</v>
      </c>
      <c r="X199">
        <v>375933</v>
      </c>
      <c r="Z199" t="s">
        <v>175</v>
      </c>
      <c r="AA199" t="s">
        <v>173</v>
      </c>
    </row>
    <row r="200" spans="1:27" x14ac:dyDescent="0.3">
      <c r="A200">
        <v>199</v>
      </c>
      <c r="B200" t="s">
        <v>180</v>
      </c>
      <c r="C200">
        <v>99019421</v>
      </c>
      <c r="D200" s="7" t="s">
        <v>185</v>
      </c>
      <c r="E200" t="s">
        <v>181</v>
      </c>
      <c r="F200" t="s">
        <v>176</v>
      </c>
      <c r="G200" t="s">
        <v>177</v>
      </c>
      <c r="H200" s="133">
        <v>10000</v>
      </c>
      <c r="I200">
        <v>0</v>
      </c>
      <c r="J200">
        <v>748</v>
      </c>
      <c r="K200" s="133">
        <v>13855</v>
      </c>
      <c r="L200" s="133">
        <v>13855</v>
      </c>
      <c r="M200" s="150">
        <v>0.39755787037037038</v>
      </c>
      <c r="N200" s="150">
        <v>0.39759259259259255</v>
      </c>
      <c r="O200" t="s">
        <v>172</v>
      </c>
      <c r="Q200">
        <v>376393</v>
      </c>
      <c r="R200">
        <v>376393</v>
      </c>
      <c r="S200">
        <v>376377</v>
      </c>
      <c r="T200" s="133">
        <v>9252</v>
      </c>
      <c r="U200" t="s">
        <v>173</v>
      </c>
      <c r="V200">
        <v>0</v>
      </c>
      <c r="W200" t="s">
        <v>174</v>
      </c>
      <c r="X200">
        <v>376377</v>
      </c>
      <c r="Y200" t="s">
        <v>182</v>
      </c>
      <c r="Z200" t="s">
        <v>183</v>
      </c>
      <c r="AA200" t="s">
        <v>173</v>
      </c>
    </row>
    <row r="201" spans="1:27" x14ac:dyDescent="0.3">
      <c r="A201">
        <v>200</v>
      </c>
      <c r="B201" t="s">
        <v>169</v>
      </c>
      <c r="C201">
        <v>99019875</v>
      </c>
      <c r="D201" s="7" t="s">
        <v>102</v>
      </c>
      <c r="E201" t="s">
        <v>103</v>
      </c>
      <c r="F201" t="s">
        <v>176</v>
      </c>
      <c r="G201" t="s">
        <v>177</v>
      </c>
      <c r="H201" s="133">
        <v>1000</v>
      </c>
      <c r="I201">
        <v>0</v>
      </c>
      <c r="J201" s="133">
        <v>1000</v>
      </c>
      <c r="K201" s="133">
        <v>27005</v>
      </c>
      <c r="L201" s="133">
        <v>27005</v>
      </c>
      <c r="M201" s="150">
        <v>0.39850694444444446</v>
      </c>
      <c r="N201" s="150">
        <v>0.39851851851851849</v>
      </c>
      <c r="O201" t="s">
        <v>172</v>
      </c>
      <c r="Q201">
        <v>389015</v>
      </c>
      <c r="R201">
        <v>389015</v>
      </c>
      <c r="S201">
        <v>389007</v>
      </c>
      <c r="T201">
        <v>0</v>
      </c>
      <c r="U201" t="s">
        <v>173</v>
      </c>
      <c r="V201">
        <v>0</v>
      </c>
      <c r="W201" t="s">
        <v>174</v>
      </c>
      <c r="X201">
        <v>389007</v>
      </c>
      <c r="Z201" t="s">
        <v>175</v>
      </c>
      <c r="AA201" t="s">
        <v>173</v>
      </c>
    </row>
    <row r="202" spans="1:27" x14ac:dyDescent="0.3">
      <c r="A202">
        <v>201</v>
      </c>
      <c r="B202" t="s">
        <v>169</v>
      </c>
      <c r="C202">
        <v>99019875</v>
      </c>
      <c r="D202" s="7" t="s">
        <v>120</v>
      </c>
      <c r="E202" t="s">
        <v>121</v>
      </c>
      <c r="F202" t="s">
        <v>170</v>
      </c>
      <c r="G202" t="s">
        <v>177</v>
      </c>
      <c r="H202" s="133">
        <v>1000</v>
      </c>
      <c r="I202">
        <v>0</v>
      </c>
      <c r="J202">
        <v>10</v>
      </c>
      <c r="K202" s="133">
        <v>22685</v>
      </c>
      <c r="L202" s="133">
        <v>22685</v>
      </c>
      <c r="M202" s="150">
        <v>0.39883101851851849</v>
      </c>
      <c r="N202" s="150">
        <v>0.39883101851851849</v>
      </c>
      <c r="O202" t="s">
        <v>172</v>
      </c>
      <c r="Q202">
        <v>392615</v>
      </c>
      <c r="R202">
        <v>392615</v>
      </c>
      <c r="S202">
        <v>392592</v>
      </c>
      <c r="T202">
        <v>990</v>
      </c>
      <c r="U202" t="s">
        <v>173</v>
      </c>
      <c r="V202">
        <v>0</v>
      </c>
      <c r="W202" t="s">
        <v>174</v>
      </c>
      <c r="X202">
        <v>392592</v>
      </c>
      <c r="Z202" t="s">
        <v>175</v>
      </c>
      <c r="AA202" t="s">
        <v>173</v>
      </c>
    </row>
    <row r="203" spans="1:27" x14ac:dyDescent="0.3">
      <c r="A203">
        <v>202</v>
      </c>
      <c r="B203" t="s">
        <v>169</v>
      </c>
      <c r="C203">
        <v>99019875</v>
      </c>
      <c r="D203" s="7" t="s">
        <v>62</v>
      </c>
      <c r="E203" t="s">
        <v>63</v>
      </c>
      <c r="F203" t="s">
        <v>170</v>
      </c>
      <c r="G203" t="s">
        <v>177</v>
      </c>
      <c r="H203" s="133">
        <v>1000</v>
      </c>
      <c r="I203">
        <v>0</v>
      </c>
      <c r="J203">
        <v>80</v>
      </c>
      <c r="K203" s="133">
        <v>34370</v>
      </c>
      <c r="L203" s="133">
        <v>34370</v>
      </c>
      <c r="M203" s="150">
        <v>0.39929398148148149</v>
      </c>
      <c r="N203" s="150">
        <v>0.39929398148148149</v>
      </c>
      <c r="O203" t="s">
        <v>172</v>
      </c>
      <c r="Q203">
        <v>397716</v>
      </c>
      <c r="R203">
        <v>397716</v>
      </c>
      <c r="S203">
        <v>397686</v>
      </c>
      <c r="T203">
        <v>920</v>
      </c>
      <c r="U203" t="s">
        <v>173</v>
      </c>
      <c r="V203">
        <v>0</v>
      </c>
      <c r="W203" t="s">
        <v>174</v>
      </c>
      <c r="X203">
        <v>397686</v>
      </c>
      <c r="Z203" t="s">
        <v>175</v>
      </c>
      <c r="AA203" t="s">
        <v>173</v>
      </c>
    </row>
    <row r="204" spans="1:27" x14ac:dyDescent="0.3">
      <c r="A204">
        <v>203</v>
      </c>
      <c r="B204" t="s">
        <v>169</v>
      </c>
      <c r="C204">
        <v>99019875</v>
      </c>
      <c r="D204" s="7" t="s">
        <v>108</v>
      </c>
      <c r="E204" t="s">
        <v>109</v>
      </c>
      <c r="F204" t="s">
        <v>176</v>
      </c>
      <c r="G204" t="s">
        <v>177</v>
      </c>
      <c r="H204" s="133">
        <v>1000</v>
      </c>
      <c r="I204">
        <v>0</v>
      </c>
      <c r="J204">
        <v>1</v>
      </c>
      <c r="K204" s="133">
        <v>2735</v>
      </c>
      <c r="L204" s="133">
        <v>2735</v>
      </c>
      <c r="M204" s="150">
        <v>0.39937500000000004</v>
      </c>
      <c r="N204" s="150">
        <v>0.40011574074074074</v>
      </c>
      <c r="O204" t="s">
        <v>172</v>
      </c>
      <c r="Q204">
        <v>398666</v>
      </c>
      <c r="R204">
        <v>398666</v>
      </c>
      <c r="S204">
        <v>398648</v>
      </c>
      <c r="T204">
        <v>999</v>
      </c>
      <c r="U204" t="s">
        <v>173</v>
      </c>
      <c r="V204">
        <v>0</v>
      </c>
      <c r="W204" t="s">
        <v>174</v>
      </c>
      <c r="X204">
        <v>398648</v>
      </c>
      <c r="Z204" t="s">
        <v>175</v>
      </c>
      <c r="AA204" t="s">
        <v>173</v>
      </c>
    </row>
    <row r="205" spans="1:27" x14ac:dyDescent="0.3">
      <c r="A205">
        <v>204</v>
      </c>
      <c r="B205" t="s">
        <v>169</v>
      </c>
      <c r="C205">
        <v>99019875</v>
      </c>
      <c r="D205" s="7" t="s">
        <v>120</v>
      </c>
      <c r="E205" t="s">
        <v>121</v>
      </c>
      <c r="F205" t="s">
        <v>176</v>
      </c>
      <c r="G205" t="s">
        <v>177</v>
      </c>
      <c r="H205" s="133">
        <v>1000</v>
      </c>
      <c r="I205">
        <v>0</v>
      </c>
      <c r="J205">
        <v>3</v>
      </c>
      <c r="K205" s="133">
        <v>22800</v>
      </c>
      <c r="L205" s="133">
        <v>22800</v>
      </c>
      <c r="M205" s="150">
        <v>0.39953703703703702</v>
      </c>
      <c r="N205" s="150">
        <v>0.39954861111111112</v>
      </c>
      <c r="O205" t="s">
        <v>172</v>
      </c>
      <c r="Q205">
        <v>400272</v>
      </c>
      <c r="R205">
        <v>400272</v>
      </c>
      <c r="S205">
        <v>400261</v>
      </c>
      <c r="T205">
        <v>997</v>
      </c>
      <c r="U205" t="s">
        <v>173</v>
      </c>
      <c r="V205">
        <v>0</v>
      </c>
      <c r="W205" t="s">
        <v>174</v>
      </c>
      <c r="X205">
        <v>400261</v>
      </c>
      <c r="Z205" t="s">
        <v>175</v>
      </c>
      <c r="AA205" t="s">
        <v>173</v>
      </c>
    </row>
    <row r="206" spans="1:27" x14ac:dyDescent="0.3">
      <c r="A206">
        <v>205</v>
      </c>
      <c r="B206" t="s">
        <v>169</v>
      </c>
      <c r="C206">
        <v>99019875</v>
      </c>
      <c r="D206" s="7" t="s">
        <v>110</v>
      </c>
      <c r="E206" t="s">
        <v>179</v>
      </c>
      <c r="F206" t="s">
        <v>170</v>
      </c>
      <c r="G206" t="s">
        <v>177</v>
      </c>
      <c r="H206">
        <v>500</v>
      </c>
      <c r="I206">
        <v>0</v>
      </c>
      <c r="J206">
        <v>500</v>
      </c>
      <c r="K206" s="133">
        <v>49445</v>
      </c>
      <c r="L206" s="133">
        <v>49445</v>
      </c>
      <c r="M206" s="150">
        <v>0.39968749999999997</v>
      </c>
      <c r="N206" s="150">
        <v>0.39968749999999997</v>
      </c>
      <c r="O206" t="s">
        <v>172</v>
      </c>
      <c r="Q206">
        <v>401688</v>
      </c>
      <c r="R206">
        <v>401688</v>
      </c>
      <c r="S206">
        <v>401677</v>
      </c>
      <c r="T206">
        <v>0</v>
      </c>
      <c r="U206" t="s">
        <v>173</v>
      </c>
      <c r="V206">
        <v>0</v>
      </c>
      <c r="W206" t="s">
        <v>174</v>
      </c>
      <c r="X206">
        <v>401677</v>
      </c>
      <c r="Z206" t="s">
        <v>175</v>
      </c>
      <c r="AA206" t="s">
        <v>173</v>
      </c>
    </row>
    <row r="207" spans="1:27" x14ac:dyDescent="0.3">
      <c r="A207">
        <v>206</v>
      </c>
      <c r="B207" t="s">
        <v>169</v>
      </c>
      <c r="C207">
        <v>99019875</v>
      </c>
      <c r="D207" s="7" t="s">
        <v>69</v>
      </c>
      <c r="E207" t="s">
        <v>70</v>
      </c>
      <c r="F207" t="s">
        <v>176</v>
      </c>
      <c r="G207" t="s">
        <v>177</v>
      </c>
      <c r="H207" s="133">
        <v>1000</v>
      </c>
      <c r="I207">
        <v>0</v>
      </c>
      <c r="J207">
        <v>298</v>
      </c>
      <c r="K207" s="133">
        <v>10520</v>
      </c>
      <c r="L207" s="133">
        <v>10520</v>
      </c>
      <c r="M207" s="150">
        <v>0.40050925925925923</v>
      </c>
      <c r="N207" s="150">
        <v>0.40054398148148151</v>
      </c>
      <c r="O207" t="s">
        <v>172</v>
      </c>
      <c r="Q207">
        <v>410672</v>
      </c>
      <c r="R207">
        <v>410672</v>
      </c>
      <c r="S207">
        <v>409845</v>
      </c>
      <c r="T207">
        <v>702</v>
      </c>
      <c r="U207" t="s">
        <v>173</v>
      </c>
      <c r="V207">
        <v>0</v>
      </c>
      <c r="W207" t="s">
        <v>174</v>
      </c>
      <c r="X207">
        <v>409845</v>
      </c>
      <c r="Z207" t="s">
        <v>175</v>
      </c>
      <c r="AA207" t="s">
        <v>173</v>
      </c>
    </row>
    <row r="208" spans="1:27" x14ac:dyDescent="0.3">
      <c r="A208">
        <v>207</v>
      </c>
      <c r="B208" t="s">
        <v>169</v>
      </c>
      <c r="C208">
        <v>99019875</v>
      </c>
      <c r="D208" s="7" t="s">
        <v>69</v>
      </c>
      <c r="E208" t="s">
        <v>70</v>
      </c>
      <c r="F208" t="s">
        <v>176</v>
      </c>
      <c r="G208" t="s">
        <v>177</v>
      </c>
      <c r="H208" s="133">
        <v>1000</v>
      </c>
      <c r="I208">
        <v>0</v>
      </c>
      <c r="J208" s="133">
        <v>1000</v>
      </c>
      <c r="K208" s="133">
        <v>10530</v>
      </c>
      <c r="L208" s="133">
        <v>10530</v>
      </c>
      <c r="M208" s="150">
        <v>0.40125000000000005</v>
      </c>
      <c r="N208" s="150">
        <v>0.40126157407407409</v>
      </c>
      <c r="O208" t="s">
        <v>172</v>
      </c>
      <c r="Q208">
        <v>421052</v>
      </c>
      <c r="R208">
        <v>421052</v>
      </c>
      <c r="S208">
        <v>421048</v>
      </c>
      <c r="T208">
        <v>0</v>
      </c>
      <c r="U208" t="s">
        <v>173</v>
      </c>
      <c r="V208">
        <v>0</v>
      </c>
      <c r="W208" t="s">
        <v>174</v>
      </c>
      <c r="X208">
        <v>421048</v>
      </c>
      <c r="Z208" t="s">
        <v>175</v>
      </c>
      <c r="AA208" t="s">
        <v>173</v>
      </c>
    </row>
    <row r="209" spans="1:27" x14ac:dyDescent="0.3">
      <c r="A209">
        <v>208</v>
      </c>
      <c r="B209" t="s">
        <v>180</v>
      </c>
      <c r="C209">
        <v>99019421</v>
      </c>
      <c r="D209" s="7" t="s">
        <v>185</v>
      </c>
      <c r="E209" t="s">
        <v>181</v>
      </c>
      <c r="F209" t="s">
        <v>176</v>
      </c>
      <c r="G209" t="s">
        <v>177</v>
      </c>
      <c r="H209" s="133">
        <v>10000</v>
      </c>
      <c r="I209">
        <v>0</v>
      </c>
      <c r="J209" s="133">
        <v>10000</v>
      </c>
      <c r="K209" s="133">
        <v>13870</v>
      </c>
      <c r="L209" s="133">
        <v>13870</v>
      </c>
      <c r="M209" s="150">
        <v>0.40287037037037038</v>
      </c>
      <c r="N209" s="150">
        <v>0.40288194444444447</v>
      </c>
      <c r="O209" t="s">
        <v>172</v>
      </c>
      <c r="Q209">
        <v>441446</v>
      </c>
      <c r="R209">
        <v>441446</v>
      </c>
      <c r="S209">
        <v>441162</v>
      </c>
      <c r="T209">
        <v>0</v>
      </c>
      <c r="U209" t="s">
        <v>173</v>
      </c>
      <c r="V209">
        <v>0</v>
      </c>
      <c r="W209" t="s">
        <v>174</v>
      </c>
      <c r="X209">
        <v>441162</v>
      </c>
      <c r="Y209" t="s">
        <v>182</v>
      </c>
      <c r="Z209" t="s">
        <v>183</v>
      </c>
      <c r="AA209" t="s">
        <v>173</v>
      </c>
    </row>
    <row r="210" spans="1:27" x14ac:dyDescent="0.3">
      <c r="A210">
        <v>209</v>
      </c>
      <c r="B210" t="s">
        <v>180</v>
      </c>
      <c r="C210">
        <v>99019421</v>
      </c>
      <c r="D210" s="7" t="s">
        <v>185</v>
      </c>
      <c r="E210" t="s">
        <v>181</v>
      </c>
      <c r="F210" t="s">
        <v>176</v>
      </c>
      <c r="G210" t="s">
        <v>177</v>
      </c>
      <c r="H210" s="133">
        <v>10000</v>
      </c>
      <c r="I210">
        <v>0</v>
      </c>
      <c r="J210">
        <v>2</v>
      </c>
      <c r="K210" s="133">
        <v>13870</v>
      </c>
      <c r="L210" s="133">
        <v>13870</v>
      </c>
      <c r="M210" s="150">
        <v>0.40289351851851851</v>
      </c>
      <c r="N210" s="150">
        <v>0.40296296296296297</v>
      </c>
      <c r="O210" t="s">
        <v>172</v>
      </c>
      <c r="Q210">
        <v>441726</v>
      </c>
      <c r="R210">
        <v>441726</v>
      </c>
      <c r="S210">
        <v>441617</v>
      </c>
      <c r="T210" s="133">
        <v>9998</v>
      </c>
      <c r="U210" t="s">
        <v>173</v>
      </c>
      <c r="V210">
        <v>0</v>
      </c>
      <c r="W210" t="s">
        <v>174</v>
      </c>
      <c r="X210">
        <v>441617</v>
      </c>
      <c r="Y210" t="s">
        <v>182</v>
      </c>
      <c r="Z210" t="s">
        <v>183</v>
      </c>
      <c r="AA210" t="s">
        <v>173</v>
      </c>
    </row>
    <row r="211" spans="1:27" x14ac:dyDescent="0.3">
      <c r="A211">
        <v>210</v>
      </c>
      <c r="B211" t="s">
        <v>180</v>
      </c>
      <c r="C211">
        <v>99019421</v>
      </c>
      <c r="D211" s="7" t="s">
        <v>185</v>
      </c>
      <c r="E211" t="s">
        <v>181</v>
      </c>
      <c r="F211" t="s">
        <v>176</v>
      </c>
      <c r="G211" t="s">
        <v>171</v>
      </c>
      <c r="H211" s="133">
        <v>10000</v>
      </c>
      <c r="I211">
        <v>0</v>
      </c>
      <c r="J211">
        <v>201</v>
      </c>
      <c r="K211" s="133">
        <v>13875</v>
      </c>
      <c r="L211" s="133">
        <v>13875</v>
      </c>
      <c r="M211" s="150">
        <v>0.40297453703703701</v>
      </c>
      <c r="N211" s="150">
        <v>0.40299768518518514</v>
      </c>
      <c r="O211" t="s">
        <v>172</v>
      </c>
      <c r="Q211">
        <v>442565</v>
      </c>
      <c r="R211">
        <v>442565</v>
      </c>
      <c r="S211">
        <v>0</v>
      </c>
      <c r="T211" s="133">
        <v>9799</v>
      </c>
      <c r="U211" t="s">
        <v>173</v>
      </c>
      <c r="V211">
        <v>0</v>
      </c>
      <c r="W211" t="s">
        <v>174</v>
      </c>
      <c r="X211">
        <v>0</v>
      </c>
      <c r="Y211" t="s">
        <v>182</v>
      </c>
      <c r="Z211" t="s">
        <v>183</v>
      </c>
      <c r="AA211" t="s">
        <v>173</v>
      </c>
    </row>
    <row r="212" spans="1:27" x14ac:dyDescent="0.3">
      <c r="A212">
        <v>211</v>
      </c>
      <c r="B212" t="s">
        <v>180</v>
      </c>
      <c r="C212">
        <v>99019421</v>
      </c>
      <c r="D212" s="7" t="s">
        <v>185</v>
      </c>
      <c r="E212" t="s">
        <v>181</v>
      </c>
      <c r="F212" t="s">
        <v>176</v>
      </c>
      <c r="G212" t="s">
        <v>177</v>
      </c>
      <c r="H212" s="133">
        <v>10000</v>
      </c>
      <c r="I212">
        <v>0</v>
      </c>
      <c r="J212" s="133">
        <v>10000</v>
      </c>
      <c r="K212" s="133">
        <v>13880</v>
      </c>
      <c r="L212" s="133">
        <v>13880</v>
      </c>
      <c r="M212" s="150">
        <v>0.40297453703703701</v>
      </c>
      <c r="N212" s="150">
        <v>0.40299768518518514</v>
      </c>
      <c r="O212" t="s">
        <v>172</v>
      </c>
      <c r="Q212">
        <v>442607</v>
      </c>
      <c r="R212">
        <v>442607</v>
      </c>
      <c r="S212">
        <v>442566</v>
      </c>
      <c r="T212">
        <v>0</v>
      </c>
      <c r="U212" t="s">
        <v>173</v>
      </c>
      <c r="V212">
        <v>0</v>
      </c>
      <c r="W212" t="s">
        <v>174</v>
      </c>
      <c r="X212">
        <v>442566</v>
      </c>
      <c r="Y212" t="s">
        <v>182</v>
      </c>
      <c r="Z212" t="s">
        <v>183</v>
      </c>
      <c r="AA212" t="s">
        <v>173</v>
      </c>
    </row>
    <row r="213" spans="1:27" x14ac:dyDescent="0.3">
      <c r="A213">
        <v>212</v>
      </c>
      <c r="B213" t="s">
        <v>180</v>
      </c>
      <c r="C213">
        <v>99019421</v>
      </c>
      <c r="D213" s="7" t="s">
        <v>185</v>
      </c>
      <c r="E213" t="s">
        <v>181</v>
      </c>
      <c r="F213" t="s">
        <v>176</v>
      </c>
      <c r="G213" t="s">
        <v>171</v>
      </c>
      <c r="H213" s="133">
        <v>10000</v>
      </c>
      <c r="I213">
        <v>0</v>
      </c>
      <c r="J213" s="133">
        <v>10000</v>
      </c>
      <c r="K213" s="133">
        <v>13890</v>
      </c>
      <c r="L213" s="133">
        <v>13890</v>
      </c>
      <c r="M213" s="150">
        <v>0.40299768518518514</v>
      </c>
      <c r="N213" s="150">
        <v>0.40302083333333333</v>
      </c>
      <c r="O213" t="s">
        <v>172</v>
      </c>
      <c r="Q213">
        <v>443034</v>
      </c>
      <c r="R213">
        <v>443034</v>
      </c>
      <c r="S213">
        <v>0</v>
      </c>
      <c r="T213">
        <v>0</v>
      </c>
      <c r="U213" t="s">
        <v>173</v>
      </c>
      <c r="V213">
        <v>0</v>
      </c>
      <c r="W213" t="s">
        <v>174</v>
      </c>
      <c r="X213">
        <v>0</v>
      </c>
      <c r="Y213" t="s">
        <v>182</v>
      </c>
      <c r="Z213" t="s">
        <v>183</v>
      </c>
      <c r="AA213" t="s">
        <v>173</v>
      </c>
    </row>
    <row r="214" spans="1:27" x14ac:dyDescent="0.3">
      <c r="A214">
        <v>213</v>
      </c>
      <c r="B214" t="s">
        <v>180</v>
      </c>
      <c r="C214">
        <v>99019421</v>
      </c>
      <c r="D214" s="7" t="s">
        <v>185</v>
      </c>
      <c r="E214" t="s">
        <v>181</v>
      </c>
      <c r="F214" t="s">
        <v>176</v>
      </c>
      <c r="G214" t="s">
        <v>177</v>
      </c>
      <c r="H214" s="133">
        <v>10000</v>
      </c>
      <c r="I214">
        <v>0</v>
      </c>
      <c r="J214">
        <v>1</v>
      </c>
      <c r="K214" s="133">
        <v>13880</v>
      </c>
      <c r="L214" s="133">
        <v>13880</v>
      </c>
      <c r="M214" s="150">
        <v>0.40318287037037037</v>
      </c>
      <c r="N214" s="150">
        <v>0.40319444444444441</v>
      </c>
      <c r="O214" t="s">
        <v>172</v>
      </c>
      <c r="Q214">
        <v>445034</v>
      </c>
      <c r="R214">
        <v>445034</v>
      </c>
      <c r="S214">
        <v>444416</v>
      </c>
      <c r="T214" s="133">
        <v>9999</v>
      </c>
      <c r="U214" t="s">
        <v>173</v>
      </c>
      <c r="V214">
        <v>0</v>
      </c>
      <c r="W214" t="s">
        <v>174</v>
      </c>
      <c r="X214">
        <v>444416</v>
      </c>
      <c r="Y214" t="s">
        <v>182</v>
      </c>
      <c r="Z214" t="s">
        <v>183</v>
      </c>
      <c r="AA214" t="s">
        <v>173</v>
      </c>
    </row>
    <row r="215" spans="1:27" x14ac:dyDescent="0.3">
      <c r="A215">
        <v>214</v>
      </c>
      <c r="B215" t="s">
        <v>180</v>
      </c>
      <c r="C215">
        <v>99019421</v>
      </c>
      <c r="D215" s="7" t="s">
        <v>185</v>
      </c>
      <c r="E215" t="s">
        <v>181</v>
      </c>
      <c r="F215" t="s">
        <v>176</v>
      </c>
      <c r="G215" t="s">
        <v>177</v>
      </c>
      <c r="H215" s="133">
        <v>10000</v>
      </c>
      <c r="I215">
        <v>0</v>
      </c>
      <c r="J215" s="133">
        <v>10000</v>
      </c>
      <c r="K215" s="133">
        <v>13865</v>
      </c>
      <c r="L215" s="133">
        <v>13865</v>
      </c>
      <c r="M215" s="150">
        <v>0.40320601851851851</v>
      </c>
      <c r="N215" s="150">
        <v>0.40321759259259254</v>
      </c>
      <c r="O215" t="s">
        <v>172</v>
      </c>
      <c r="Q215">
        <v>445402</v>
      </c>
      <c r="R215">
        <v>445402</v>
      </c>
      <c r="S215">
        <v>445277</v>
      </c>
      <c r="T215">
        <v>0</v>
      </c>
      <c r="U215" t="s">
        <v>173</v>
      </c>
      <c r="V215">
        <v>0</v>
      </c>
      <c r="W215" t="s">
        <v>174</v>
      </c>
      <c r="X215">
        <v>445277</v>
      </c>
      <c r="Y215" t="s">
        <v>182</v>
      </c>
      <c r="Z215" t="s">
        <v>183</v>
      </c>
      <c r="AA215" t="s">
        <v>173</v>
      </c>
    </row>
    <row r="216" spans="1:27" x14ac:dyDescent="0.3">
      <c r="A216">
        <v>215</v>
      </c>
      <c r="B216" t="s">
        <v>180</v>
      </c>
      <c r="C216">
        <v>99019421</v>
      </c>
      <c r="D216" s="7" t="s">
        <v>185</v>
      </c>
      <c r="E216" t="s">
        <v>181</v>
      </c>
      <c r="F216" t="s">
        <v>176</v>
      </c>
      <c r="G216" t="s">
        <v>177</v>
      </c>
      <c r="H216" s="133">
        <v>10000</v>
      </c>
      <c r="I216">
        <v>0</v>
      </c>
      <c r="J216" s="133">
        <v>10000</v>
      </c>
      <c r="K216" s="133">
        <v>13860</v>
      </c>
      <c r="L216" s="133">
        <v>13860</v>
      </c>
      <c r="M216" s="150">
        <v>0.40365740740740735</v>
      </c>
      <c r="N216" s="150">
        <v>0.40368055555555554</v>
      </c>
      <c r="O216" t="s">
        <v>172</v>
      </c>
      <c r="Q216">
        <v>452537</v>
      </c>
      <c r="R216">
        <v>452537</v>
      </c>
      <c r="S216">
        <v>452304</v>
      </c>
      <c r="T216">
        <v>0</v>
      </c>
      <c r="U216" t="s">
        <v>173</v>
      </c>
      <c r="V216">
        <v>0</v>
      </c>
      <c r="W216" t="s">
        <v>174</v>
      </c>
      <c r="X216">
        <v>452304</v>
      </c>
      <c r="Y216" t="s">
        <v>182</v>
      </c>
      <c r="Z216" t="s">
        <v>183</v>
      </c>
      <c r="AA216" t="s">
        <v>173</v>
      </c>
    </row>
    <row r="217" spans="1:27" x14ac:dyDescent="0.3">
      <c r="A217">
        <v>216</v>
      </c>
      <c r="B217" t="s">
        <v>169</v>
      </c>
      <c r="C217">
        <v>99019875</v>
      </c>
      <c r="D217" s="7" t="s">
        <v>62</v>
      </c>
      <c r="E217" t="s">
        <v>63</v>
      </c>
      <c r="F217" t="s">
        <v>176</v>
      </c>
      <c r="G217" t="s">
        <v>177</v>
      </c>
      <c r="H217" s="133">
        <v>1000</v>
      </c>
      <c r="I217">
        <v>0</v>
      </c>
      <c r="J217" s="133">
        <v>1000</v>
      </c>
      <c r="K217" s="133">
        <v>34450</v>
      </c>
      <c r="L217" s="133">
        <v>34450</v>
      </c>
      <c r="M217" s="150">
        <v>0.40565972222222224</v>
      </c>
      <c r="N217" s="150">
        <v>0.40567129629629628</v>
      </c>
      <c r="O217" t="s">
        <v>172</v>
      </c>
      <c r="Q217">
        <v>473520</v>
      </c>
      <c r="R217">
        <v>473520</v>
      </c>
      <c r="S217">
        <v>473461</v>
      </c>
      <c r="T217">
        <v>0</v>
      </c>
      <c r="U217" t="s">
        <v>173</v>
      </c>
      <c r="V217">
        <v>0</v>
      </c>
      <c r="W217" t="s">
        <v>174</v>
      </c>
      <c r="X217">
        <v>473461</v>
      </c>
      <c r="Z217" t="s">
        <v>175</v>
      </c>
      <c r="AA217" t="s">
        <v>173</v>
      </c>
    </row>
    <row r="218" spans="1:27" x14ac:dyDescent="0.3">
      <c r="A218">
        <v>217</v>
      </c>
      <c r="B218" t="s">
        <v>169</v>
      </c>
      <c r="C218">
        <v>99019875</v>
      </c>
      <c r="D218" s="7" t="s">
        <v>75</v>
      </c>
      <c r="E218" t="s">
        <v>76</v>
      </c>
      <c r="F218" t="s">
        <v>176</v>
      </c>
      <c r="G218" t="s">
        <v>177</v>
      </c>
      <c r="H218" s="133">
        <v>1000</v>
      </c>
      <c r="I218">
        <v>0</v>
      </c>
      <c r="J218">
        <v>91</v>
      </c>
      <c r="K218" s="133">
        <v>21185</v>
      </c>
      <c r="L218" s="133">
        <v>21185</v>
      </c>
      <c r="M218" s="150">
        <v>0.40659722222222222</v>
      </c>
      <c r="N218" s="150">
        <v>0.40659722222222222</v>
      </c>
      <c r="O218" t="s">
        <v>172</v>
      </c>
      <c r="Q218">
        <v>483205</v>
      </c>
      <c r="R218">
        <v>483205</v>
      </c>
      <c r="S218">
        <v>483192</v>
      </c>
      <c r="T218">
        <v>909</v>
      </c>
      <c r="U218" t="s">
        <v>173</v>
      </c>
      <c r="V218">
        <v>0</v>
      </c>
      <c r="W218" t="s">
        <v>174</v>
      </c>
      <c r="X218">
        <v>483192</v>
      </c>
      <c r="Z218" t="s">
        <v>175</v>
      </c>
      <c r="AA218" t="s">
        <v>173</v>
      </c>
    </row>
    <row r="219" spans="1:27" x14ac:dyDescent="0.3">
      <c r="A219">
        <v>218</v>
      </c>
      <c r="B219" t="s">
        <v>169</v>
      </c>
      <c r="C219">
        <v>99019875</v>
      </c>
      <c r="D219" s="7" t="s">
        <v>62</v>
      </c>
      <c r="E219" t="s">
        <v>63</v>
      </c>
      <c r="F219" t="s">
        <v>176</v>
      </c>
      <c r="G219" t="s">
        <v>177</v>
      </c>
      <c r="H219" s="133">
        <v>1000</v>
      </c>
      <c r="I219">
        <v>0</v>
      </c>
      <c r="J219" s="133">
        <v>1000</v>
      </c>
      <c r="K219" s="133">
        <v>34475</v>
      </c>
      <c r="L219" s="133">
        <v>34475</v>
      </c>
      <c r="M219" s="150">
        <v>0.40662037037037035</v>
      </c>
      <c r="N219" s="150">
        <v>0.40662037037037035</v>
      </c>
      <c r="O219" t="s">
        <v>172</v>
      </c>
      <c r="Q219">
        <v>483530</v>
      </c>
      <c r="R219">
        <v>483530</v>
      </c>
      <c r="S219">
        <v>483524</v>
      </c>
      <c r="T219">
        <v>0</v>
      </c>
      <c r="U219" t="s">
        <v>173</v>
      </c>
      <c r="V219">
        <v>0</v>
      </c>
      <c r="W219" t="s">
        <v>174</v>
      </c>
      <c r="X219">
        <v>483524</v>
      </c>
      <c r="Z219" t="s">
        <v>175</v>
      </c>
      <c r="AA219" t="s">
        <v>173</v>
      </c>
    </row>
    <row r="220" spans="1:27" x14ac:dyDescent="0.3">
      <c r="A220">
        <v>219</v>
      </c>
      <c r="B220" t="s">
        <v>169</v>
      </c>
      <c r="C220">
        <v>99019875</v>
      </c>
      <c r="D220" s="7" t="s">
        <v>71</v>
      </c>
      <c r="E220" t="s">
        <v>72</v>
      </c>
      <c r="F220" t="s">
        <v>176</v>
      </c>
      <c r="G220" t="s">
        <v>177</v>
      </c>
      <c r="H220" s="133">
        <v>1000</v>
      </c>
      <c r="I220">
        <v>0</v>
      </c>
      <c r="J220">
        <v>1</v>
      </c>
      <c r="K220" s="133">
        <v>18545</v>
      </c>
      <c r="L220" s="133">
        <v>18545</v>
      </c>
      <c r="M220" s="150">
        <v>0.40673611111111113</v>
      </c>
      <c r="N220" s="150">
        <v>0.40674768518518517</v>
      </c>
      <c r="O220" t="s">
        <v>172</v>
      </c>
      <c r="Q220">
        <v>484601</v>
      </c>
      <c r="R220">
        <v>484601</v>
      </c>
      <c r="S220">
        <v>484595</v>
      </c>
      <c r="T220">
        <v>999</v>
      </c>
      <c r="U220" t="s">
        <v>173</v>
      </c>
      <c r="V220">
        <v>0</v>
      </c>
      <c r="W220" t="s">
        <v>174</v>
      </c>
      <c r="X220">
        <v>484595</v>
      </c>
      <c r="Z220" t="s">
        <v>175</v>
      </c>
      <c r="AA220" t="s">
        <v>173</v>
      </c>
    </row>
    <row r="221" spans="1:27" x14ac:dyDescent="0.3">
      <c r="A221">
        <v>220</v>
      </c>
      <c r="B221" t="s">
        <v>169</v>
      </c>
      <c r="C221">
        <v>99019875</v>
      </c>
      <c r="D221" s="7" t="s">
        <v>75</v>
      </c>
      <c r="E221" t="s">
        <v>76</v>
      </c>
      <c r="F221" t="s">
        <v>176</v>
      </c>
      <c r="G221" t="s">
        <v>177</v>
      </c>
      <c r="H221" s="133">
        <v>1000</v>
      </c>
      <c r="I221">
        <v>0</v>
      </c>
      <c r="J221">
        <v>1</v>
      </c>
      <c r="K221" s="133">
        <v>21190</v>
      </c>
      <c r="L221" s="133">
        <v>21190</v>
      </c>
      <c r="M221" s="150">
        <v>0.40733796296296299</v>
      </c>
      <c r="N221" s="150">
        <v>0.40737268518518516</v>
      </c>
      <c r="O221" t="s">
        <v>172</v>
      </c>
      <c r="Q221">
        <v>490163</v>
      </c>
      <c r="R221">
        <v>490163</v>
      </c>
      <c r="S221">
        <v>490082</v>
      </c>
      <c r="T221">
        <v>999</v>
      </c>
      <c r="U221" t="s">
        <v>173</v>
      </c>
      <c r="V221">
        <v>0</v>
      </c>
      <c r="W221" t="s">
        <v>174</v>
      </c>
      <c r="X221">
        <v>490082</v>
      </c>
      <c r="Z221" t="s">
        <v>175</v>
      </c>
      <c r="AA221" t="s">
        <v>173</v>
      </c>
    </row>
    <row r="222" spans="1:27" x14ac:dyDescent="0.3">
      <c r="A222">
        <v>221</v>
      </c>
      <c r="B222" t="s">
        <v>169</v>
      </c>
      <c r="C222">
        <v>99019875</v>
      </c>
      <c r="D222" s="7" t="s">
        <v>62</v>
      </c>
      <c r="E222" t="s">
        <v>63</v>
      </c>
      <c r="F222" t="s">
        <v>170</v>
      </c>
      <c r="G222" t="s">
        <v>177</v>
      </c>
      <c r="H222" s="133">
        <v>1000</v>
      </c>
      <c r="I222">
        <v>0</v>
      </c>
      <c r="J222" s="133">
        <v>1000</v>
      </c>
      <c r="K222" s="133">
        <v>34445</v>
      </c>
      <c r="L222" s="133">
        <v>34445</v>
      </c>
      <c r="M222" s="150">
        <v>0.40752314814814811</v>
      </c>
      <c r="N222" s="150">
        <v>0.40752314814814811</v>
      </c>
      <c r="O222" t="s">
        <v>172</v>
      </c>
      <c r="Q222">
        <v>492174</v>
      </c>
      <c r="R222">
        <v>492174</v>
      </c>
      <c r="S222">
        <v>492126</v>
      </c>
      <c r="T222">
        <v>0</v>
      </c>
      <c r="U222" t="s">
        <v>173</v>
      </c>
      <c r="V222">
        <v>0</v>
      </c>
      <c r="W222" t="s">
        <v>174</v>
      </c>
      <c r="X222">
        <v>492126</v>
      </c>
      <c r="Z222" t="s">
        <v>175</v>
      </c>
      <c r="AA222" t="s">
        <v>173</v>
      </c>
    </row>
    <row r="223" spans="1:27" x14ac:dyDescent="0.3">
      <c r="A223">
        <v>222</v>
      </c>
      <c r="B223" t="s">
        <v>180</v>
      </c>
      <c r="C223">
        <v>99019421</v>
      </c>
      <c r="D223" s="7" t="s">
        <v>185</v>
      </c>
      <c r="E223" t="s">
        <v>181</v>
      </c>
      <c r="F223" t="s">
        <v>176</v>
      </c>
      <c r="G223" t="s">
        <v>177</v>
      </c>
      <c r="H223" s="133">
        <v>10000</v>
      </c>
      <c r="I223">
        <v>0</v>
      </c>
      <c r="J223">
        <v>92</v>
      </c>
      <c r="K223" s="133">
        <v>13930</v>
      </c>
      <c r="L223" s="133">
        <v>13930</v>
      </c>
      <c r="M223" s="150">
        <v>0.4079861111111111</v>
      </c>
      <c r="N223" s="150">
        <v>0.40802083333333333</v>
      </c>
      <c r="O223" t="s">
        <v>172</v>
      </c>
      <c r="Q223">
        <v>496982</v>
      </c>
      <c r="R223">
        <v>496982</v>
      </c>
      <c r="S223">
        <v>496981</v>
      </c>
      <c r="T223" s="133">
        <v>9908</v>
      </c>
      <c r="U223" t="s">
        <v>173</v>
      </c>
      <c r="V223">
        <v>0</v>
      </c>
      <c r="W223" t="s">
        <v>174</v>
      </c>
      <c r="X223">
        <v>496981</v>
      </c>
      <c r="Y223" t="s">
        <v>182</v>
      </c>
      <c r="Z223" t="s">
        <v>183</v>
      </c>
      <c r="AA223" t="s">
        <v>173</v>
      </c>
    </row>
    <row r="224" spans="1:27" x14ac:dyDescent="0.3">
      <c r="A224">
        <v>223</v>
      </c>
      <c r="B224" t="s">
        <v>169</v>
      </c>
      <c r="C224">
        <v>99019875</v>
      </c>
      <c r="D224" s="7" t="s">
        <v>62</v>
      </c>
      <c r="E224" t="s">
        <v>63</v>
      </c>
      <c r="F224" t="s">
        <v>170</v>
      </c>
      <c r="G224" t="s">
        <v>177</v>
      </c>
      <c r="H224" s="133">
        <v>1000</v>
      </c>
      <c r="I224">
        <v>0</v>
      </c>
      <c r="J224" s="133">
        <v>1000</v>
      </c>
      <c r="K224" s="133">
        <v>34400</v>
      </c>
      <c r="L224" s="133">
        <v>34400</v>
      </c>
      <c r="M224" s="150">
        <v>0.4079861111111111</v>
      </c>
      <c r="N224" s="150">
        <v>0.4079861111111111</v>
      </c>
      <c r="O224" t="s">
        <v>172</v>
      </c>
      <c r="Q224">
        <v>497027</v>
      </c>
      <c r="R224">
        <v>497027</v>
      </c>
      <c r="S224">
        <v>497010</v>
      </c>
      <c r="T224">
        <v>0</v>
      </c>
      <c r="U224" t="s">
        <v>173</v>
      </c>
      <c r="V224">
        <v>0</v>
      </c>
      <c r="W224" t="s">
        <v>174</v>
      </c>
      <c r="X224">
        <v>497010</v>
      </c>
      <c r="Z224" t="s">
        <v>175</v>
      </c>
      <c r="AA224" t="s">
        <v>173</v>
      </c>
    </row>
    <row r="225" spans="1:27" x14ac:dyDescent="0.3">
      <c r="A225">
        <v>224</v>
      </c>
      <c r="B225" t="s">
        <v>180</v>
      </c>
      <c r="C225">
        <v>99019421</v>
      </c>
      <c r="D225" s="7" t="s">
        <v>185</v>
      </c>
      <c r="E225" t="s">
        <v>181</v>
      </c>
      <c r="F225" t="s">
        <v>176</v>
      </c>
      <c r="G225" t="s">
        <v>171</v>
      </c>
      <c r="H225" s="133">
        <v>10000</v>
      </c>
      <c r="I225">
        <v>0</v>
      </c>
      <c r="J225">
        <v>22</v>
      </c>
      <c r="K225" s="133">
        <v>13925</v>
      </c>
      <c r="L225" s="133">
        <v>13925</v>
      </c>
      <c r="M225" s="150">
        <v>0.40800925925925924</v>
      </c>
      <c r="N225" s="150">
        <v>0.40805555555555556</v>
      </c>
      <c r="O225" t="s">
        <v>172</v>
      </c>
      <c r="Q225">
        <v>497323</v>
      </c>
      <c r="R225">
        <v>497323</v>
      </c>
      <c r="S225">
        <v>0</v>
      </c>
      <c r="T225" s="133">
        <v>9978</v>
      </c>
      <c r="U225" t="s">
        <v>173</v>
      </c>
      <c r="V225">
        <v>0</v>
      </c>
      <c r="W225" t="s">
        <v>174</v>
      </c>
      <c r="X225">
        <v>0</v>
      </c>
      <c r="Y225" t="s">
        <v>182</v>
      </c>
      <c r="Z225" t="s">
        <v>183</v>
      </c>
      <c r="AA225" t="s">
        <v>173</v>
      </c>
    </row>
    <row r="226" spans="1:27" x14ac:dyDescent="0.3">
      <c r="A226">
        <v>225</v>
      </c>
      <c r="B226" t="s">
        <v>180</v>
      </c>
      <c r="C226">
        <v>99019421</v>
      </c>
      <c r="D226" s="7" t="s">
        <v>185</v>
      </c>
      <c r="E226" t="s">
        <v>181</v>
      </c>
      <c r="F226" t="s">
        <v>176</v>
      </c>
      <c r="G226" t="s">
        <v>177</v>
      </c>
      <c r="H226" s="133">
        <v>10000</v>
      </c>
      <c r="I226">
        <v>0</v>
      </c>
      <c r="J226" s="133">
        <v>3116</v>
      </c>
      <c r="K226" s="133">
        <v>13920</v>
      </c>
      <c r="L226" s="133">
        <v>13920</v>
      </c>
      <c r="M226" s="150">
        <v>0.40803240740740737</v>
      </c>
      <c r="N226" s="150">
        <v>0.40804398148148152</v>
      </c>
      <c r="O226" t="s">
        <v>172</v>
      </c>
      <c r="Q226">
        <v>497433</v>
      </c>
      <c r="R226">
        <v>497433</v>
      </c>
      <c r="S226">
        <v>497314</v>
      </c>
      <c r="T226" s="133">
        <v>6884</v>
      </c>
      <c r="U226" t="s">
        <v>173</v>
      </c>
      <c r="V226">
        <v>0</v>
      </c>
      <c r="W226" t="s">
        <v>174</v>
      </c>
      <c r="X226">
        <v>497314</v>
      </c>
      <c r="Y226" t="s">
        <v>182</v>
      </c>
      <c r="Z226" t="s">
        <v>183</v>
      </c>
      <c r="AA226" t="s">
        <v>173</v>
      </c>
    </row>
    <row r="227" spans="1:27" x14ac:dyDescent="0.3">
      <c r="A227">
        <v>226</v>
      </c>
      <c r="B227" t="s">
        <v>169</v>
      </c>
      <c r="C227">
        <v>99019875</v>
      </c>
      <c r="D227" s="7" t="s">
        <v>75</v>
      </c>
      <c r="E227" t="s">
        <v>76</v>
      </c>
      <c r="F227" t="s">
        <v>176</v>
      </c>
      <c r="G227" t="s">
        <v>177</v>
      </c>
      <c r="H227" s="133">
        <v>1000</v>
      </c>
      <c r="I227">
        <v>0</v>
      </c>
      <c r="J227">
        <v>12</v>
      </c>
      <c r="K227" s="133">
        <v>21190</v>
      </c>
      <c r="L227" s="133">
        <v>21190</v>
      </c>
      <c r="M227" s="150">
        <v>0.40819444444444447</v>
      </c>
      <c r="N227" s="150">
        <v>0.40820601851851851</v>
      </c>
      <c r="O227" t="s">
        <v>172</v>
      </c>
      <c r="Q227">
        <v>499530</v>
      </c>
      <c r="R227">
        <v>499530</v>
      </c>
      <c r="S227">
        <v>499450</v>
      </c>
      <c r="T227">
        <v>988</v>
      </c>
      <c r="U227" t="s">
        <v>173</v>
      </c>
      <c r="V227">
        <v>0</v>
      </c>
      <c r="W227" t="s">
        <v>174</v>
      </c>
      <c r="X227">
        <v>499450</v>
      </c>
      <c r="Z227" t="s">
        <v>175</v>
      </c>
      <c r="AA227" t="s">
        <v>173</v>
      </c>
    </row>
    <row r="228" spans="1:27" x14ac:dyDescent="0.3">
      <c r="A228">
        <v>227</v>
      </c>
      <c r="B228" t="s">
        <v>169</v>
      </c>
      <c r="C228">
        <v>99019875</v>
      </c>
      <c r="D228" s="7" t="s">
        <v>77</v>
      </c>
      <c r="E228" t="s">
        <v>78</v>
      </c>
      <c r="F228" t="s">
        <v>176</v>
      </c>
      <c r="G228" t="s">
        <v>177</v>
      </c>
      <c r="H228" s="133">
        <v>1000</v>
      </c>
      <c r="I228">
        <v>0</v>
      </c>
      <c r="J228" s="133">
        <v>1000</v>
      </c>
      <c r="K228" s="133">
        <v>7540</v>
      </c>
      <c r="L228" s="133">
        <v>7540</v>
      </c>
      <c r="M228" s="150">
        <v>0.40855324074074079</v>
      </c>
      <c r="N228" s="150">
        <v>0.40855324074074079</v>
      </c>
      <c r="O228" t="s">
        <v>172</v>
      </c>
      <c r="Q228">
        <v>503915</v>
      </c>
      <c r="R228">
        <v>503915</v>
      </c>
      <c r="S228">
        <v>503903</v>
      </c>
      <c r="T228">
        <v>0</v>
      </c>
      <c r="U228" t="s">
        <v>173</v>
      </c>
      <c r="V228">
        <v>0</v>
      </c>
      <c r="W228" t="s">
        <v>174</v>
      </c>
      <c r="X228">
        <v>503903</v>
      </c>
      <c r="Z228" t="s">
        <v>175</v>
      </c>
      <c r="AA228" t="s">
        <v>173</v>
      </c>
    </row>
    <row r="229" spans="1:27" x14ac:dyDescent="0.3">
      <c r="A229">
        <v>228</v>
      </c>
      <c r="B229" t="s">
        <v>180</v>
      </c>
      <c r="C229">
        <v>99019421</v>
      </c>
      <c r="D229" s="7" t="s">
        <v>185</v>
      </c>
      <c r="E229" t="s">
        <v>181</v>
      </c>
      <c r="F229" t="s">
        <v>176</v>
      </c>
      <c r="G229" t="s">
        <v>177</v>
      </c>
      <c r="H229" s="133">
        <v>10000</v>
      </c>
      <c r="I229">
        <v>0</v>
      </c>
      <c r="J229" s="133">
        <v>10000</v>
      </c>
      <c r="K229" s="133">
        <v>13945</v>
      </c>
      <c r="L229" s="133">
        <v>13945</v>
      </c>
      <c r="M229" s="150">
        <v>0.40863425925925928</v>
      </c>
      <c r="N229" s="150">
        <v>0.40865740740740741</v>
      </c>
      <c r="O229" t="s">
        <v>172</v>
      </c>
      <c r="Q229">
        <v>504594</v>
      </c>
      <c r="R229">
        <v>504594</v>
      </c>
      <c r="S229">
        <v>504280</v>
      </c>
      <c r="T229">
        <v>0</v>
      </c>
      <c r="U229" t="s">
        <v>173</v>
      </c>
      <c r="V229">
        <v>0</v>
      </c>
      <c r="W229" t="s">
        <v>174</v>
      </c>
      <c r="X229">
        <v>504280</v>
      </c>
      <c r="Y229" t="s">
        <v>182</v>
      </c>
      <c r="Z229" t="s">
        <v>183</v>
      </c>
      <c r="AA229" t="s">
        <v>173</v>
      </c>
    </row>
    <row r="230" spans="1:27" x14ac:dyDescent="0.3">
      <c r="A230">
        <v>229</v>
      </c>
      <c r="B230" t="s">
        <v>169</v>
      </c>
      <c r="C230">
        <v>99019875</v>
      </c>
      <c r="D230" s="7" t="s">
        <v>71</v>
      </c>
      <c r="E230" t="s">
        <v>72</v>
      </c>
      <c r="F230" t="s">
        <v>170</v>
      </c>
      <c r="G230" t="s">
        <v>177</v>
      </c>
      <c r="H230" s="133">
        <v>1000</v>
      </c>
      <c r="I230">
        <v>0</v>
      </c>
      <c r="J230">
        <v>729</v>
      </c>
      <c r="K230" s="133">
        <v>18445</v>
      </c>
      <c r="L230" s="133">
        <v>18445</v>
      </c>
      <c r="M230" s="150">
        <v>0.40873842592592591</v>
      </c>
      <c r="N230" s="150">
        <v>0.40875</v>
      </c>
      <c r="O230" t="s">
        <v>172</v>
      </c>
      <c r="Q230">
        <v>506221</v>
      </c>
      <c r="R230">
        <v>506221</v>
      </c>
      <c r="S230">
        <v>506198</v>
      </c>
      <c r="T230">
        <v>271</v>
      </c>
      <c r="U230" t="s">
        <v>173</v>
      </c>
      <c r="V230">
        <v>0</v>
      </c>
      <c r="W230" t="s">
        <v>174</v>
      </c>
      <c r="X230">
        <v>506198</v>
      </c>
      <c r="Z230" t="s">
        <v>175</v>
      </c>
      <c r="AA230" t="s">
        <v>173</v>
      </c>
    </row>
    <row r="231" spans="1:27" x14ac:dyDescent="0.3">
      <c r="A231">
        <v>230</v>
      </c>
      <c r="B231" t="s">
        <v>180</v>
      </c>
      <c r="C231">
        <v>99019421</v>
      </c>
      <c r="D231" s="7" t="s">
        <v>185</v>
      </c>
      <c r="E231" t="s">
        <v>181</v>
      </c>
      <c r="F231" t="s">
        <v>176</v>
      </c>
      <c r="G231" t="s">
        <v>177</v>
      </c>
      <c r="H231" s="133">
        <v>10000</v>
      </c>
      <c r="I231">
        <v>0</v>
      </c>
      <c r="J231" s="133">
        <v>6951</v>
      </c>
      <c r="K231" s="133">
        <v>13950</v>
      </c>
      <c r="L231" s="133">
        <v>13950</v>
      </c>
      <c r="M231" s="150">
        <v>0.40902777777777777</v>
      </c>
      <c r="N231" s="150">
        <v>0.40903935185185186</v>
      </c>
      <c r="O231" t="s">
        <v>172</v>
      </c>
      <c r="Q231">
        <v>510048</v>
      </c>
      <c r="R231">
        <v>510048</v>
      </c>
      <c r="S231">
        <v>509927</v>
      </c>
      <c r="T231" s="133">
        <v>3049</v>
      </c>
      <c r="U231" t="s">
        <v>173</v>
      </c>
      <c r="V231">
        <v>0</v>
      </c>
      <c r="W231" t="s">
        <v>174</v>
      </c>
      <c r="X231">
        <v>509927</v>
      </c>
      <c r="Y231" t="s">
        <v>182</v>
      </c>
      <c r="Z231" t="s">
        <v>183</v>
      </c>
      <c r="AA231" t="s">
        <v>173</v>
      </c>
    </row>
    <row r="232" spans="1:27" x14ac:dyDescent="0.3">
      <c r="A232">
        <v>231</v>
      </c>
      <c r="B232" t="s">
        <v>169</v>
      </c>
      <c r="C232">
        <v>99019875</v>
      </c>
      <c r="D232" s="7" t="s">
        <v>62</v>
      </c>
      <c r="E232" t="s">
        <v>63</v>
      </c>
      <c r="F232" t="s">
        <v>176</v>
      </c>
      <c r="G232" t="s">
        <v>177</v>
      </c>
      <c r="H232" s="133">
        <v>1000</v>
      </c>
      <c r="I232">
        <v>0</v>
      </c>
      <c r="J232" s="133">
        <v>1000</v>
      </c>
      <c r="K232" s="133">
        <v>34345</v>
      </c>
      <c r="L232" s="133">
        <v>34345</v>
      </c>
      <c r="M232" s="150">
        <v>0.40952546296296299</v>
      </c>
      <c r="N232" s="150">
        <v>0.40952546296296299</v>
      </c>
      <c r="O232" t="s">
        <v>172</v>
      </c>
      <c r="Q232">
        <v>516706</v>
      </c>
      <c r="R232">
        <v>516706</v>
      </c>
      <c r="S232">
        <v>516686</v>
      </c>
      <c r="T232">
        <v>0</v>
      </c>
      <c r="U232" t="s">
        <v>173</v>
      </c>
      <c r="V232">
        <v>0</v>
      </c>
      <c r="W232" t="s">
        <v>174</v>
      </c>
      <c r="X232">
        <v>516686</v>
      </c>
      <c r="Z232" t="s">
        <v>175</v>
      </c>
      <c r="AA232" t="s">
        <v>173</v>
      </c>
    </row>
    <row r="233" spans="1:27" x14ac:dyDescent="0.3">
      <c r="A233">
        <v>232</v>
      </c>
      <c r="B233" t="s">
        <v>169</v>
      </c>
      <c r="C233">
        <v>99019875</v>
      </c>
      <c r="D233" s="7" t="s">
        <v>69</v>
      </c>
      <c r="E233" t="s">
        <v>70</v>
      </c>
      <c r="F233" t="s">
        <v>176</v>
      </c>
      <c r="G233" t="s">
        <v>177</v>
      </c>
      <c r="H233" s="133">
        <v>1000</v>
      </c>
      <c r="I233">
        <v>0</v>
      </c>
      <c r="J233">
        <v>590</v>
      </c>
      <c r="K233" s="133">
        <v>10470</v>
      </c>
      <c r="L233" s="133">
        <v>10470</v>
      </c>
      <c r="M233" s="150">
        <v>0.40964120370370366</v>
      </c>
      <c r="N233" s="150">
        <v>0.40965277777777781</v>
      </c>
      <c r="O233" t="s">
        <v>172</v>
      </c>
      <c r="Q233">
        <v>517889</v>
      </c>
      <c r="R233">
        <v>517889</v>
      </c>
      <c r="S233">
        <v>517535</v>
      </c>
      <c r="T233">
        <v>410</v>
      </c>
      <c r="U233" t="s">
        <v>173</v>
      </c>
      <c r="V233">
        <v>0</v>
      </c>
      <c r="W233" t="s">
        <v>174</v>
      </c>
      <c r="X233">
        <v>517535</v>
      </c>
      <c r="Z233" t="s">
        <v>175</v>
      </c>
      <c r="AA233" t="s">
        <v>173</v>
      </c>
    </row>
    <row r="234" spans="1:27" x14ac:dyDescent="0.3">
      <c r="A234">
        <v>233</v>
      </c>
      <c r="B234" t="s">
        <v>169</v>
      </c>
      <c r="C234">
        <v>99019875</v>
      </c>
      <c r="D234" s="7" t="s">
        <v>77</v>
      </c>
      <c r="E234" t="s">
        <v>78</v>
      </c>
      <c r="F234" t="s">
        <v>176</v>
      </c>
      <c r="G234" t="s">
        <v>177</v>
      </c>
      <c r="H234" s="133">
        <v>1000</v>
      </c>
      <c r="I234">
        <v>0</v>
      </c>
      <c r="J234">
        <v>997</v>
      </c>
      <c r="K234" s="133">
        <v>7595</v>
      </c>
      <c r="L234" s="133">
        <v>7595</v>
      </c>
      <c r="M234" s="150">
        <v>0.40983796296296293</v>
      </c>
      <c r="N234" s="150">
        <v>0.41001157407407413</v>
      </c>
      <c r="O234" t="s">
        <v>172</v>
      </c>
      <c r="Q234">
        <v>520764</v>
      </c>
      <c r="R234">
        <v>520764</v>
      </c>
      <c r="S234">
        <v>520372</v>
      </c>
      <c r="T234">
        <v>3</v>
      </c>
      <c r="U234" t="s">
        <v>173</v>
      </c>
      <c r="V234">
        <v>0</v>
      </c>
      <c r="W234" t="s">
        <v>174</v>
      </c>
      <c r="X234">
        <v>520372</v>
      </c>
      <c r="Z234" t="s">
        <v>175</v>
      </c>
      <c r="AA234" t="s">
        <v>173</v>
      </c>
    </row>
    <row r="235" spans="1:27" x14ac:dyDescent="0.3">
      <c r="A235">
        <v>234</v>
      </c>
      <c r="B235" t="s">
        <v>180</v>
      </c>
      <c r="C235">
        <v>99019421</v>
      </c>
      <c r="D235" s="7" t="s">
        <v>185</v>
      </c>
      <c r="E235" t="s">
        <v>181</v>
      </c>
      <c r="F235" t="s">
        <v>176</v>
      </c>
      <c r="G235" t="s">
        <v>177</v>
      </c>
      <c r="H235" s="133">
        <v>10000</v>
      </c>
      <c r="I235">
        <v>0</v>
      </c>
      <c r="J235">
        <v>594</v>
      </c>
      <c r="K235" s="133">
        <v>13965</v>
      </c>
      <c r="L235" s="133">
        <v>13965</v>
      </c>
      <c r="M235" s="150">
        <v>0.40993055555555552</v>
      </c>
      <c r="N235" s="150">
        <v>0.41002314814814816</v>
      </c>
      <c r="O235" t="s">
        <v>172</v>
      </c>
      <c r="Q235">
        <v>522100</v>
      </c>
      <c r="R235">
        <v>522100</v>
      </c>
      <c r="S235">
        <v>522092</v>
      </c>
      <c r="T235" s="133">
        <v>9406</v>
      </c>
      <c r="U235" t="s">
        <v>173</v>
      </c>
      <c r="V235">
        <v>0</v>
      </c>
      <c r="W235" t="s">
        <v>174</v>
      </c>
      <c r="X235">
        <v>522092</v>
      </c>
      <c r="Y235" t="s">
        <v>182</v>
      </c>
      <c r="Z235" t="s">
        <v>183</v>
      </c>
      <c r="AA235" t="s">
        <v>173</v>
      </c>
    </row>
    <row r="236" spans="1:27" x14ac:dyDescent="0.3">
      <c r="A236">
        <v>235</v>
      </c>
      <c r="B236" t="s">
        <v>169</v>
      </c>
      <c r="C236">
        <v>99019875</v>
      </c>
      <c r="D236" s="7" t="s">
        <v>62</v>
      </c>
      <c r="E236" t="s">
        <v>63</v>
      </c>
      <c r="F236" t="s">
        <v>170</v>
      </c>
      <c r="G236" t="s">
        <v>177</v>
      </c>
      <c r="H236" s="133">
        <v>1000</v>
      </c>
      <c r="I236">
        <v>0</v>
      </c>
      <c r="J236" s="133">
        <v>1000</v>
      </c>
      <c r="K236" s="133">
        <v>34285</v>
      </c>
      <c r="L236" s="133">
        <v>34285</v>
      </c>
      <c r="M236" s="150">
        <v>0.40994212962962967</v>
      </c>
      <c r="N236" s="150">
        <v>0.40994212962962967</v>
      </c>
      <c r="O236" t="s">
        <v>172</v>
      </c>
      <c r="Q236">
        <v>522272</v>
      </c>
      <c r="R236">
        <v>522272</v>
      </c>
      <c r="S236">
        <v>522257</v>
      </c>
      <c r="T236">
        <v>0</v>
      </c>
      <c r="U236" t="s">
        <v>173</v>
      </c>
      <c r="V236">
        <v>0</v>
      </c>
      <c r="W236" t="s">
        <v>174</v>
      </c>
      <c r="X236">
        <v>522257</v>
      </c>
      <c r="Z236" t="s">
        <v>175</v>
      </c>
      <c r="AA236" t="s">
        <v>173</v>
      </c>
    </row>
    <row r="237" spans="1:27" x14ac:dyDescent="0.3">
      <c r="A237">
        <v>236</v>
      </c>
      <c r="B237" t="s">
        <v>169</v>
      </c>
      <c r="C237">
        <v>99019875</v>
      </c>
      <c r="D237" s="7" t="s">
        <v>94</v>
      </c>
      <c r="E237" t="s">
        <v>95</v>
      </c>
      <c r="F237" t="s">
        <v>176</v>
      </c>
      <c r="G237" t="s">
        <v>177</v>
      </c>
      <c r="H237" s="133">
        <v>1000</v>
      </c>
      <c r="I237">
        <v>0</v>
      </c>
      <c r="J237">
        <v>1</v>
      </c>
      <c r="K237" s="133">
        <v>22190</v>
      </c>
      <c r="L237" s="133">
        <v>22190</v>
      </c>
      <c r="M237" s="150">
        <v>0.40998842592592594</v>
      </c>
      <c r="N237" s="150">
        <v>0.41</v>
      </c>
      <c r="O237" t="s">
        <v>172</v>
      </c>
      <c r="Q237">
        <v>523512</v>
      </c>
      <c r="R237">
        <v>523512</v>
      </c>
      <c r="S237">
        <v>523185</v>
      </c>
      <c r="T237">
        <v>999</v>
      </c>
      <c r="U237" t="s">
        <v>173</v>
      </c>
      <c r="V237">
        <v>0</v>
      </c>
      <c r="W237" t="s">
        <v>174</v>
      </c>
      <c r="X237">
        <v>523185</v>
      </c>
      <c r="Z237" t="s">
        <v>175</v>
      </c>
      <c r="AA237" t="s">
        <v>173</v>
      </c>
    </row>
    <row r="238" spans="1:27" x14ac:dyDescent="0.3">
      <c r="A238">
        <v>237</v>
      </c>
      <c r="B238" t="s">
        <v>169</v>
      </c>
      <c r="C238">
        <v>99019875</v>
      </c>
      <c r="D238" s="7" t="s">
        <v>69</v>
      </c>
      <c r="E238" t="s">
        <v>70</v>
      </c>
      <c r="F238" t="s">
        <v>176</v>
      </c>
      <c r="G238" t="s">
        <v>177</v>
      </c>
      <c r="H238" s="133">
        <v>1000</v>
      </c>
      <c r="I238">
        <v>0</v>
      </c>
      <c r="J238" s="133">
        <v>1000</v>
      </c>
      <c r="K238" s="133">
        <v>10465</v>
      </c>
      <c r="L238" s="133">
        <v>10465</v>
      </c>
      <c r="M238" s="150">
        <v>0.41005787037037034</v>
      </c>
      <c r="N238" s="150">
        <v>0.41008101851851847</v>
      </c>
      <c r="O238" t="s">
        <v>172</v>
      </c>
      <c r="Q238">
        <v>524908</v>
      </c>
      <c r="R238">
        <v>524908</v>
      </c>
      <c r="S238">
        <v>524746</v>
      </c>
      <c r="T238">
        <v>0</v>
      </c>
      <c r="U238" t="s">
        <v>173</v>
      </c>
      <c r="V238">
        <v>0</v>
      </c>
      <c r="W238" t="s">
        <v>174</v>
      </c>
      <c r="X238">
        <v>524746</v>
      </c>
      <c r="Z238" t="s">
        <v>175</v>
      </c>
      <c r="AA238" t="s">
        <v>173</v>
      </c>
    </row>
    <row r="239" spans="1:27" x14ac:dyDescent="0.3">
      <c r="A239">
        <v>238</v>
      </c>
      <c r="B239" t="s">
        <v>169</v>
      </c>
      <c r="C239">
        <v>99019875</v>
      </c>
      <c r="D239" s="7" t="s">
        <v>62</v>
      </c>
      <c r="E239" t="s">
        <v>63</v>
      </c>
      <c r="F239" t="s">
        <v>176</v>
      </c>
      <c r="G239" t="s">
        <v>177</v>
      </c>
      <c r="H239" s="133">
        <v>1000</v>
      </c>
      <c r="I239">
        <v>0</v>
      </c>
      <c r="J239">
        <v>1</v>
      </c>
      <c r="K239" s="133">
        <v>34330</v>
      </c>
      <c r="L239" s="133">
        <v>34330</v>
      </c>
      <c r="M239" s="150">
        <v>0.41046296296296297</v>
      </c>
      <c r="N239" s="150">
        <v>0.41046296296296297</v>
      </c>
      <c r="O239" t="s">
        <v>172</v>
      </c>
      <c r="Q239">
        <v>529747</v>
      </c>
      <c r="R239">
        <v>529747</v>
      </c>
      <c r="S239">
        <v>529739</v>
      </c>
      <c r="T239">
        <v>999</v>
      </c>
      <c r="U239" t="s">
        <v>173</v>
      </c>
      <c r="V239">
        <v>0</v>
      </c>
      <c r="W239" t="s">
        <v>174</v>
      </c>
      <c r="X239">
        <v>529739</v>
      </c>
      <c r="Z239" t="s">
        <v>175</v>
      </c>
      <c r="AA239" t="s">
        <v>173</v>
      </c>
    </row>
    <row r="240" spans="1:27" x14ac:dyDescent="0.3">
      <c r="A240">
        <v>239</v>
      </c>
      <c r="B240" t="s">
        <v>169</v>
      </c>
      <c r="C240">
        <v>99019875</v>
      </c>
      <c r="D240" s="7" t="s">
        <v>77</v>
      </c>
      <c r="E240" t="s">
        <v>78</v>
      </c>
      <c r="F240" t="s">
        <v>170</v>
      </c>
      <c r="G240" t="s">
        <v>177</v>
      </c>
      <c r="H240" s="133">
        <v>1000</v>
      </c>
      <c r="I240">
        <v>0</v>
      </c>
      <c r="J240" s="133">
        <v>1000</v>
      </c>
      <c r="K240" s="133">
        <v>7575</v>
      </c>
      <c r="L240" s="133">
        <v>7575</v>
      </c>
      <c r="M240" s="150">
        <v>0.41054398148148147</v>
      </c>
      <c r="N240" s="150">
        <v>0.41055555555555556</v>
      </c>
      <c r="O240" t="s">
        <v>172</v>
      </c>
      <c r="Q240">
        <v>530765</v>
      </c>
      <c r="R240">
        <v>530765</v>
      </c>
      <c r="S240">
        <v>530620</v>
      </c>
      <c r="T240">
        <v>0</v>
      </c>
      <c r="U240" t="s">
        <v>173</v>
      </c>
      <c r="V240">
        <v>0</v>
      </c>
      <c r="W240" t="s">
        <v>174</v>
      </c>
      <c r="X240">
        <v>530620</v>
      </c>
      <c r="Z240" t="s">
        <v>175</v>
      </c>
      <c r="AA240" t="s">
        <v>173</v>
      </c>
    </row>
    <row r="241" spans="1:27" x14ac:dyDescent="0.3">
      <c r="A241">
        <v>240</v>
      </c>
      <c r="B241" t="s">
        <v>180</v>
      </c>
      <c r="C241">
        <v>99019421</v>
      </c>
      <c r="D241" s="7" t="s">
        <v>185</v>
      </c>
      <c r="E241" t="s">
        <v>181</v>
      </c>
      <c r="F241" t="s">
        <v>176</v>
      </c>
      <c r="G241" t="s">
        <v>177</v>
      </c>
      <c r="H241" s="133">
        <v>10000</v>
      </c>
      <c r="I241">
        <v>0</v>
      </c>
      <c r="J241">
        <v>295</v>
      </c>
      <c r="K241" s="133">
        <v>13960</v>
      </c>
      <c r="L241" s="133">
        <v>13960</v>
      </c>
      <c r="M241" s="150">
        <v>0.41064814814814815</v>
      </c>
      <c r="N241" s="150">
        <v>0.41065972222222219</v>
      </c>
      <c r="O241" t="s">
        <v>172</v>
      </c>
      <c r="Q241">
        <v>532106</v>
      </c>
      <c r="R241">
        <v>532106</v>
      </c>
      <c r="S241">
        <v>532066</v>
      </c>
      <c r="T241" s="133">
        <v>9705</v>
      </c>
      <c r="U241" t="s">
        <v>173</v>
      </c>
      <c r="V241">
        <v>0</v>
      </c>
      <c r="W241" t="s">
        <v>174</v>
      </c>
      <c r="X241">
        <v>532066</v>
      </c>
      <c r="Y241" t="s">
        <v>182</v>
      </c>
      <c r="Z241" t="s">
        <v>183</v>
      </c>
      <c r="AA241" t="s">
        <v>173</v>
      </c>
    </row>
    <row r="242" spans="1:27" x14ac:dyDescent="0.3">
      <c r="A242">
        <v>241</v>
      </c>
      <c r="B242" t="s">
        <v>180</v>
      </c>
      <c r="C242">
        <v>99019421</v>
      </c>
      <c r="D242" s="7" t="s">
        <v>185</v>
      </c>
      <c r="E242" t="s">
        <v>181</v>
      </c>
      <c r="F242" t="s">
        <v>176</v>
      </c>
      <c r="G242" t="s">
        <v>177</v>
      </c>
      <c r="H242" s="133">
        <v>10000</v>
      </c>
      <c r="I242">
        <v>0</v>
      </c>
      <c r="J242">
        <v>272</v>
      </c>
      <c r="K242" s="133">
        <v>13960</v>
      </c>
      <c r="L242" s="133">
        <v>13960</v>
      </c>
      <c r="M242" s="150">
        <v>0.41068287037037038</v>
      </c>
      <c r="N242" s="150">
        <v>0.41069444444444447</v>
      </c>
      <c r="O242" t="s">
        <v>172</v>
      </c>
      <c r="Q242">
        <v>532430</v>
      </c>
      <c r="R242">
        <v>532430</v>
      </c>
      <c r="S242">
        <v>532288</v>
      </c>
      <c r="T242" s="133">
        <v>9728</v>
      </c>
      <c r="U242" t="s">
        <v>173</v>
      </c>
      <c r="V242">
        <v>0</v>
      </c>
      <c r="W242" t="s">
        <v>174</v>
      </c>
      <c r="X242">
        <v>532288</v>
      </c>
      <c r="Y242" t="s">
        <v>182</v>
      </c>
      <c r="Z242" t="s">
        <v>183</v>
      </c>
      <c r="AA242" t="s">
        <v>173</v>
      </c>
    </row>
    <row r="243" spans="1:27" x14ac:dyDescent="0.3">
      <c r="A243">
        <v>242</v>
      </c>
      <c r="B243" t="s">
        <v>169</v>
      </c>
      <c r="C243">
        <v>99019875</v>
      </c>
      <c r="D243" s="7" t="s">
        <v>77</v>
      </c>
      <c r="E243" t="s">
        <v>78</v>
      </c>
      <c r="F243" t="s">
        <v>170</v>
      </c>
      <c r="G243" t="s">
        <v>171</v>
      </c>
      <c r="H243" s="133">
        <v>1000</v>
      </c>
      <c r="I243">
        <v>0</v>
      </c>
      <c r="J243" s="133">
        <v>1000</v>
      </c>
      <c r="K243" s="133">
        <v>7570</v>
      </c>
      <c r="L243" s="133">
        <v>7570</v>
      </c>
      <c r="M243" s="150">
        <v>0.41090277777777778</v>
      </c>
      <c r="N243" s="150">
        <v>0.41090277777777778</v>
      </c>
      <c r="O243" t="s">
        <v>172</v>
      </c>
      <c r="Q243">
        <v>534705</v>
      </c>
      <c r="R243">
        <v>534705</v>
      </c>
      <c r="S243">
        <v>0</v>
      </c>
      <c r="T243">
        <v>0</v>
      </c>
      <c r="U243" t="s">
        <v>173</v>
      </c>
      <c r="V243">
        <v>0</v>
      </c>
      <c r="W243" t="s">
        <v>174</v>
      </c>
      <c r="X243">
        <v>0</v>
      </c>
      <c r="Z243" t="s">
        <v>175</v>
      </c>
      <c r="AA243" t="s">
        <v>173</v>
      </c>
    </row>
    <row r="244" spans="1:27" x14ac:dyDescent="0.3">
      <c r="A244">
        <v>243</v>
      </c>
      <c r="B244" t="s">
        <v>169</v>
      </c>
      <c r="C244">
        <v>99019875</v>
      </c>
      <c r="D244" s="7" t="s">
        <v>62</v>
      </c>
      <c r="E244" t="s">
        <v>63</v>
      </c>
      <c r="F244" t="s">
        <v>170</v>
      </c>
      <c r="G244" t="s">
        <v>177</v>
      </c>
      <c r="H244" s="133">
        <v>1000</v>
      </c>
      <c r="I244">
        <v>0</v>
      </c>
      <c r="J244" s="133">
        <v>1000</v>
      </c>
      <c r="K244" s="133">
        <v>34300</v>
      </c>
      <c r="L244" s="133">
        <v>34300</v>
      </c>
      <c r="M244" s="150">
        <v>0.41140046296296301</v>
      </c>
      <c r="N244" s="150">
        <v>0.41141203703703705</v>
      </c>
      <c r="O244" t="s">
        <v>172</v>
      </c>
      <c r="Q244">
        <v>541528</v>
      </c>
      <c r="R244">
        <v>541528</v>
      </c>
      <c r="S244">
        <v>541506</v>
      </c>
      <c r="T244">
        <v>0</v>
      </c>
      <c r="U244" t="s">
        <v>173</v>
      </c>
      <c r="V244">
        <v>0</v>
      </c>
      <c r="W244" t="s">
        <v>174</v>
      </c>
      <c r="X244">
        <v>541506</v>
      </c>
      <c r="Z244" t="s">
        <v>175</v>
      </c>
      <c r="AA244" t="s">
        <v>173</v>
      </c>
    </row>
    <row r="245" spans="1:27" x14ac:dyDescent="0.3">
      <c r="A245">
        <v>244</v>
      </c>
      <c r="B245" t="s">
        <v>169</v>
      </c>
      <c r="C245">
        <v>99019875</v>
      </c>
      <c r="D245" s="7" t="s">
        <v>140</v>
      </c>
      <c r="E245" t="s">
        <v>178</v>
      </c>
      <c r="F245" t="s">
        <v>170</v>
      </c>
      <c r="G245" t="s">
        <v>177</v>
      </c>
      <c r="H245" s="133">
        <v>1000</v>
      </c>
      <c r="I245">
        <v>0</v>
      </c>
      <c r="J245">
        <v>999</v>
      </c>
      <c r="K245" s="133">
        <v>8740</v>
      </c>
      <c r="L245" s="133">
        <v>8740</v>
      </c>
      <c r="M245" s="150">
        <v>0.41173611111111108</v>
      </c>
      <c r="N245" s="150">
        <v>0.41175925925925921</v>
      </c>
      <c r="O245" t="s">
        <v>172</v>
      </c>
      <c r="Q245">
        <v>546056</v>
      </c>
      <c r="R245">
        <v>546056</v>
      </c>
      <c r="S245">
        <v>544453</v>
      </c>
      <c r="T245">
        <v>1</v>
      </c>
      <c r="U245" t="s">
        <v>173</v>
      </c>
      <c r="V245">
        <v>0</v>
      </c>
      <c r="W245" t="s">
        <v>174</v>
      </c>
      <c r="X245">
        <v>544453</v>
      </c>
      <c r="Z245" t="s">
        <v>175</v>
      </c>
      <c r="AA245" t="s">
        <v>173</v>
      </c>
    </row>
    <row r="246" spans="1:27" x14ac:dyDescent="0.3">
      <c r="A246">
        <v>245</v>
      </c>
      <c r="B246" t="s">
        <v>169</v>
      </c>
      <c r="C246">
        <v>99019875</v>
      </c>
      <c r="D246" s="7" t="s">
        <v>75</v>
      </c>
      <c r="E246" t="s">
        <v>76</v>
      </c>
      <c r="F246" t="s">
        <v>176</v>
      </c>
      <c r="G246" t="s">
        <v>177</v>
      </c>
      <c r="H246" s="133">
        <v>1000</v>
      </c>
      <c r="I246">
        <v>0</v>
      </c>
      <c r="J246">
        <v>278</v>
      </c>
      <c r="K246" s="133">
        <v>21145</v>
      </c>
      <c r="L246" s="133">
        <v>21145</v>
      </c>
      <c r="M246" s="150">
        <v>0.41216435185185185</v>
      </c>
      <c r="N246" s="150">
        <v>0.41216435185185185</v>
      </c>
      <c r="O246" t="s">
        <v>172</v>
      </c>
      <c r="Q246">
        <v>551779</v>
      </c>
      <c r="R246">
        <v>551779</v>
      </c>
      <c r="S246">
        <v>551609</v>
      </c>
      <c r="T246">
        <v>722</v>
      </c>
      <c r="U246" t="s">
        <v>173</v>
      </c>
      <c r="V246">
        <v>0</v>
      </c>
      <c r="W246" t="s">
        <v>174</v>
      </c>
      <c r="X246">
        <v>551609</v>
      </c>
      <c r="Z246" t="s">
        <v>175</v>
      </c>
      <c r="AA246" t="s">
        <v>173</v>
      </c>
    </row>
    <row r="247" spans="1:27" x14ac:dyDescent="0.3">
      <c r="A247">
        <v>246</v>
      </c>
      <c r="B247" t="s">
        <v>169</v>
      </c>
      <c r="C247">
        <v>99019875</v>
      </c>
      <c r="D247" s="7" t="s">
        <v>69</v>
      </c>
      <c r="E247" t="s">
        <v>70</v>
      </c>
      <c r="F247" t="s">
        <v>176</v>
      </c>
      <c r="G247" t="s">
        <v>177</v>
      </c>
      <c r="H247" s="133">
        <v>1000</v>
      </c>
      <c r="I247">
        <v>0</v>
      </c>
      <c r="J247">
        <v>683</v>
      </c>
      <c r="K247" s="133">
        <v>10465</v>
      </c>
      <c r="L247" s="133">
        <v>10465</v>
      </c>
      <c r="M247" s="150">
        <v>0.41234953703703708</v>
      </c>
      <c r="N247" s="150">
        <v>0.41236111111111112</v>
      </c>
      <c r="O247" t="s">
        <v>172</v>
      </c>
      <c r="Q247">
        <v>553916</v>
      </c>
      <c r="R247">
        <v>553916</v>
      </c>
      <c r="S247">
        <v>553645</v>
      </c>
      <c r="T247">
        <v>317</v>
      </c>
      <c r="U247" t="s">
        <v>173</v>
      </c>
      <c r="V247">
        <v>0</v>
      </c>
      <c r="W247" t="s">
        <v>174</v>
      </c>
      <c r="X247">
        <v>553645</v>
      </c>
      <c r="Z247" t="s">
        <v>175</v>
      </c>
      <c r="AA247" t="s">
        <v>173</v>
      </c>
    </row>
    <row r="248" spans="1:27" x14ac:dyDescent="0.3">
      <c r="A248">
        <v>247</v>
      </c>
      <c r="B248" t="s">
        <v>169</v>
      </c>
      <c r="C248">
        <v>99019875</v>
      </c>
      <c r="D248" s="7" t="s">
        <v>62</v>
      </c>
      <c r="E248" t="s">
        <v>63</v>
      </c>
      <c r="F248" t="s">
        <v>176</v>
      </c>
      <c r="G248" t="s">
        <v>177</v>
      </c>
      <c r="H248" s="133">
        <v>1000</v>
      </c>
      <c r="I248">
        <v>0</v>
      </c>
      <c r="J248" s="133">
        <v>1000</v>
      </c>
      <c r="K248" s="133">
        <v>34300</v>
      </c>
      <c r="L248" s="133">
        <v>34300</v>
      </c>
      <c r="M248" s="150">
        <v>0.41335648148148146</v>
      </c>
      <c r="N248" s="150">
        <v>0.4133680555555555</v>
      </c>
      <c r="O248" t="s">
        <v>172</v>
      </c>
      <c r="Q248">
        <v>564958</v>
      </c>
      <c r="R248">
        <v>564958</v>
      </c>
      <c r="S248">
        <v>564911</v>
      </c>
      <c r="T248">
        <v>0</v>
      </c>
      <c r="U248" t="s">
        <v>173</v>
      </c>
      <c r="V248">
        <v>0</v>
      </c>
      <c r="W248" t="s">
        <v>174</v>
      </c>
      <c r="X248">
        <v>564911</v>
      </c>
      <c r="Z248" t="s">
        <v>175</v>
      </c>
      <c r="AA248" t="s">
        <v>173</v>
      </c>
    </row>
    <row r="249" spans="1:27" x14ac:dyDescent="0.3">
      <c r="A249">
        <v>248</v>
      </c>
      <c r="B249" t="s">
        <v>180</v>
      </c>
      <c r="C249">
        <v>99019421</v>
      </c>
      <c r="D249" s="7" t="s">
        <v>185</v>
      </c>
      <c r="E249" t="s">
        <v>181</v>
      </c>
      <c r="F249" t="s">
        <v>176</v>
      </c>
      <c r="G249" t="s">
        <v>177</v>
      </c>
      <c r="H249" s="133">
        <v>10000</v>
      </c>
      <c r="I249">
        <v>0</v>
      </c>
      <c r="J249">
        <v>150</v>
      </c>
      <c r="K249" s="133">
        <v>13880</v>
      </c>
      <c r="L249" s="133">
        <v>13880</v>
      </c>
      <c r="M249" s="150">
        <v>0.41358796296296302</v>
      </c>
      <c r="N249" s="150">
        <v>0.41366898148148151</v>
      </c>
      <c r="O249" t="s">
        <v>172</v>
      </c>
      <c r="Q249">
        <v>567131</v>
      </c>
      <c r="R249">
        <v>567131</v>
      </c>
      <c r="S249">
        <v>567080</v>
      </c>
      <c r="T249" s="133">
        <v>9850</v>
      </c>
      <c r="U249" t="s">
        <v>173</v>
      </c>
      <c r="V249">
        <v>0</v>
      </c>
      <c r="W249" t="s">
        <v>174</v>
      </c>
      <c r="X249">
        <v>567080</v>
      </c>
      <c r="Y249" t="s">
        <v>182</v>
      </c>
      <c r="Z249" t="s">
        <v>183</v>
      </c>
      <c r="AA249" t="s">
        <v>173</v>
      </c>
    </row>
    <row r="250" spans="1:27" x14ac:dyDescent="0.3">
      <c r="A250">
        <v>249</v>
      </c>
      <c r="B250" t="s">
        <v>180</v>
      </c>
      <c r="C250">
        <v>99019421</v>
      </c>
      <c r="D250" s="7" t="s">
        <v>185</v>
      </c>
      <c r="E250" t="s">
        <v>181</v>
      </c>
      <c r="F250" t="s">
        <v>176</v>
      </c>
      <c r="G250" t="s">
        <v>177</v>
      </c>
      <c r="H250" s="133">
        <v>10000</v>
      </c>
      <c r="I250">
        <v>0</v>
      </c>
      <c r="J250" s="133">
        <v>10000</v>
      </c>
      <c r="K250" s="133">
        <v>13870</v>
      </c>
      <c r="L250" s="133">
        <v>13870</v>
      </c>
      <c r="M250" s="150">
        <v>0.41398148148148151</v>
      </c>
      <c r="N250" s="150">
        <v>0.4140625</v>
      </c>
      <c r="O250" t="s">
        <v>172</v>
      </c>
      <c r="Q250">
        <v>571586</v>
      </c>
      <c r="R250">
        <v>571586</v>
      </c>
      <c r="S250">
        <v>571336</v>
      </c>
      <c r="T250">
        <v>0</v>
      </c>
      <c r="U250" t="s">
        <v>173</v>
      </c>
      <c r="V250">
        <v>0</v>
      </c>
      <c r="W250" t="s">
        <v>174</v>
      </c>
      <c r="X250">
        <v>571336</v>
      </c>
      <c r="Y250" t="s">
        <v>182</v>
      </c>
      <c r="Z250" t="s">
        <v>183</v>
      </c>
      <c r="AA250" t="s">
        <v>173</v>
      </c>
    </row>
    <row r="251" spans="1:27" x14ac:dyDescent="0.3">
      <c r="A251">
        <v>250</v>
      </c>
      <c r="B251" t="s">
        <v>180</v>
      </c>
      <c r="C251">
        <v>99019421</v>
      </c>
      <c r="D251" s="7" t="s">
        <v>185</v>
      </c>
      <c r="E251" t="s">
        <v>181</v>
      </c>
      <c r="F251" t="s">
        <v>176</v>
      </c>
      <c r="G251" t="s">
        <v>177</v>
      </c>
      <c r="H251" s="133">
        <v>10000</v>
      </c>
      <c r="I251">
        <v>0</v>
      </c>
      <c r="J251" s="133">
        <v>9349</v>
      </c>
      <c r="K251" s="133">
        <v>13865</v>
      </c>
      <c r="L251" s="133">
        <v>13865</v>
      </c>
      <c r="M251" s="150">
        <v>0.41403935185185187</v>
      </c>
      <c r="N251" s="150">
        <v>0.41405092592592596</v>
      </c>
      <c r="O251" t="s">
        <v>172</v>
      </c>
      <c r="Q251">
        <v>572375</v>
      </c>
      <c r="R251">
        <v>572375</v>
      </c>
      <c r="S251">
        <v>571697</v>
      </c>
      <c r="T251">
        <v>651</v>
      </c>
      <c r="U251" t="s">
        <v>173</v>
      </c>
      <c r="V251">
        <v>0</v>
      </c>
      <c r="W251" t="s">
        <v>174</v>
      </c>
      <c r="X251">
        <v>571697</v>
      </c>
      <c r="Y251" t="s">
        <v>182</v>
      </c>
      <c r="Z251" t="s">
        <v>183</v>
      </c>
      <c r="AA251" t="s">
        <v>173</v>
      </c>
    </row>
    <row r="252" spans="1:27" x14ac:dyDescent="0.3">
      <c r="A252">
        <v>251</v>
      </c>
      <c r="B252" t="s">
        <v>169</v>
      </c>
      <c r="C252">
        <v>99019875</v>
      </c>
      <c r="D252" s="7" t="s">
        <v>62</v>
      </c>
      <c r="E252" t="s">
        <v>63</v>
      </c>
      <c r="F252" t="s">
        <v>176</v>
      </c>
      <c r="G252" t="s">
        <v>177</v>
      </c>
      <c r="H252" s="133">
        <v>1000</v>
      </c>
      <c r="I252">
        <v>0</v>
      </c>
      <c r="J252" s="133">
        <v>1000</v>
      </c>
      <c r="K252" s="133">
        <v>34355</v>
      </c>
      <c r="L252" s="133">
        <v>34355</v>
      </c>
      <c r="M252" s="150">
        <v>0.41408564814814813</v>
      </c>
      <c r="N252" s="150">
        <v>0.41408564814814813</v>
      </c>
      <c r="O252" t="s">
        <v>172</v>
      </c>
      <c r="Q252">
        <v>572881</v>
      </c>
      <c r="R252">
        <v>572881</v>
      </c>
      <c r="S252">
        <v>572807</v>
      </c>
      <c r="T252">
        <v>0</v>
      </c>
      <c r="U252" t="s">
        <v>173</v>
      </c>
      <c r="V252">
        <v>0</v>
      </c>
      <c r="W252" t="s">
        <v>174</v>
      </c>
      <c r="X252">
        <v>572807</v>
      </c>
      <c r="Z252" t="s">
        <v>175</v>
      </c>
      <c r="AA252" t="s">
        <v>173</v>
      </c>
    </row>
    <row r="253" spans="1:27" x14ac:dyDescent="0.3">
      <c r="A253">
        <v>252</v>
      </c>
      <c r="B253" t="s">
        <v>180</v>
      </c>
      <c r="C253">
        <v>99019421</v>
      </c>
      <c r="D253" s="7" t="s">
        <v>185</v>
      </c>
      <c r="E253" t="s">
        <v>181</v>
      </c>
      <c r="F253" t="s">
        <v>176</v>
      </c>
      <c r="G253" t="s">
        <v>177</v>
      </c>
      <c r="H253" s="133">
        <v>10000</v>
      </c>
      <c r="I253">
        <v>0</v>
      </c>
      <c r="J253" s="133">
        <v>10000</v>
      </c>
      <c r="K253" s="133">
        <v>13855</v>
      </c>
      <c r="L253" s="133">
        <v>13855</v>
      </c>
      <c r="M253" s="150">
        <v>0.41446759259259264</v>
      </c>
      <c r="N253" s="150">
        <v>0.41456018518518517</v>
      </c>
      <c r="O253" t="s">
        <v>172</v>
      </c>
      <c r="Q253">
        <v>576781</v>
      </c>
      <c r="R253">
        <v>576781</v>
      </c>
      <c r="S253">
        <v>576147</v>
      </c>
      <c r="T253">
        <v>0</v>
      </c>
      <c r="U253" t="s">
        <v>173</v>
      </c>
      <c r="V253">
        <v>0</v>
      </c>
      <c r="W253" t="s">
        <v>174</v>
      </c>
      <c r="X253">
        <v>576147</v>
      </c>
      <c r="Y253" t="s">
        <v>182</v>
      </c>
      <c r="Z253" t="s">
        <v>183</v>
      </c>
      <c r="AA253" t="s">
        <v>173</v>
      </c>
    </row>
    <row r="254" spans="1:27" x14ac:dyDescent="0.3">
      <c r="A254">
        <v>253</v>
      </c>
      <c r="B254" t="s">
        <v>180</v>
      </c>
      <c r="C254">
        <v>99019421</v>
      </c>
      <c r="D254" s="7" t="s">
        <v>185</v>
      </c>
      <c r="E254" t="s">
        <v>181</v>
      </c>
      <c r="F254" t="s">
        <v>176</v>
      </c>
      <c r="G254" t="s">
        <v>177</v>
      </c>
      <c r="H254" s="133">
        <v>10000</v>
      </c>
      <c r="I254">
        <v>0</v>
      </c>
      <c r="J254" s="133">
        <v>10000</v>
      </c>
      <c r="K254" s="133">
        <v>13860</v>
      </c>
      <c r="L254" s="133">
        <v>13860</v>
      </c>
      <c r="M254" s="150">
        <v>0.41556712962962966</v>
      </c>
      <c r="N254" s="150">
        <v>0.41556712962962966</v>
      </c>
      <c r="O254" t="s">
        <v>172</v>
      </c>
      <c r="Q254">
        <v>587358</v>
      </c>
      <c r="R254">
        <v>587358</v>
      </c>
      <c r="S254">
        <v>586696</v>
      </c>
      <c r="T254">
        <v>0</v>
      </c>
      <c r="U254" t="s">
        <v>173</v>
      </c>
      <c r="V254">
        <v>0</v>
      </c>
      <c r="W254" t="s">
        <v>174</v>
      </c>
      <c r="X254">
        <v>586696</v>
      </c>
      <c r="Y254" t="s">
        <v>182</v>
      </c>
      <c r="Z254" t="s">
        <v>183</v>
      </c>
      <c r="AA254" t="s">
        <v>173</v>
      </c>
    </row>
    <row r="255" spans="1:27" x14ac:dyDescent="0.3">
      <c r="A255">
        <v>254</v>
      </c>
      <c r="B255" t="s">
        <v>169</v>
      </c>
      <c r="C255">
        <v>99019875</v>
      </c>
      <c r="D255" s="7" t="s">
        <v>140</v>
      </c>
      <c r="E255" t="s">
        <v>178</v>
      </c>
      <c r="F255" t="s">
        <v>170</v>
      </c>
      <c r="G255" t="s">
        <v>177</v>
      </c>
      <c r="H255" s="133">
        <v>1000</v>
      </c>
      <c r="I255">
        <v>0</v>
      </c>
      <c r="J255" s="133">
        <v>1000</v>
      </c>
      <c r="K255" s="133">
        <v>8685</v>
      </c>
      <c r="L255" s="133">
        <v>8685</v>
      </c>
      <c r="M255" s="150">
        <v>0.41585648148148152</v>
      </c>
      <c r="N255" s="150">
        <v>0.41596064814814815</v>
      </c>
      <c r="O255" t="s">
        <v>172</v>
      </c>
      <c r="Q255">
        <v>590956</v>
      </c>
      <c r="R255">
        <v>590956</v>
      </c>
      <c r="S255">
        <v>590840</v>
      </c>
      <c r="T255">
        <v>0</v>
      </c>
      <c r="U255" t="s">
        <v>173</v>
      </c>
      <c r="V255">
        <v>0</v>
      </c>
      <c r="W255" t="s">
        <v>174</v>
      </c>
      <c r="X255">
        <v>590840</v>
      </c>
      <c r="Z255" t="s">
        <v>175</v>
      </c>
      <c r="AA255" t="s">
        <v>173</v>
      </c>
    </row>
    <row r="256" spans="1:27" x14ac:dyDescent="0.3">
      <c r="A256">
        <v>255</v>
      </c>
      <c r="B256" t="s">
        <v>180</v>
      </c>
      <c r="C256">
        <v>99019421</v>
      </c>
      <c r="D256" s="7" t="s">
        <v>185</v>
      </c>
      <c r="E256" t="s">
        <v>181</v>
      </c>
      <c r="F256" t="s">
        <v>176</v>
      </c>
      <c r="G256" t="s">
        <v>177</v>
      </c>
      <c r="H256" s="133">
        <v>10000</v>
      </c>
      <c r="I256">
        <v>0</v>
      </c>
      <c r="J256">
        <v>4</v>
      </c>
      <c r="K256" s="133">
        <v>13845</v>
      </c>
      <c r="L256" s="133">
        <v>13845</v>
      </c>
      <c r="M256" s="150">
        <v>0.41608796296296297</v>
      </c>
      <c r="N256" s="150">
        <v>0.41609953703703706</v>
      </c>
      <c r="O256" t="s">
        <v>172</v>
      </c>
      <c r="Q256">
        <v>593812</v>
      </c>
      <c r="R256">
        <v>593812</v>
      </c>
      <c r="S256">
        <v>593366</v>
      </c>
      <c r="T256" s="133">
        <v>9996</v>
      </c>
      <c r="U256" t="s">
        <v>173</v>
      </c>
      <c r="V256">
        <v>0</v>
      </c>
      <c r="W256" t="s">
        <v>174</v>
      </c>
      <c r="X256">
        <v>593366</v>
      </c>
      <c r="Y256" t="s">
        <v>182</v>
      </c>
      <c r="Z256" t="s">
        <v>183</v>
      </c>
      <c r="AA256" t="s">
        <v>173</v>
      </c>
    </row>
    <row r="257" spans="1:27" x14ac:dyDescent="0.3">
      <c r="A257">
        <v>256</v>
      </c>
      <c r="B257" t="s">
        <v>169</v>
      </c>
      <c r="C257">
        <v>99019875</v>
      </c>
      <c r="D257" s="7" t="s">
        <v>62</v>
      </c>
      <c r="E257" t="s">
        <v>63</v>
      </c>
      <c r="F257" t="s">
        <v>170</v>
      </c>
      <c r="G257" t="s">
        <v>177</v>
      </c>
      <c r="H257" s="133">
        <v>1000</v>
      </c>
      <c r="I257">
        <v>0</v>
      </c>
      <c r="J257" s="133">
        <v>1000</v>
      </c>
      <c r="K257" s="133">
        <v>34390</v>
      </c>
      <c r="L257" s="133">
        <v>34390</v>
      </c>
      <c r="M257" s="150">
        <v>0.41614583333333338</v>
      </c>
      <c r="N257" s="150">
        <v>0.41615740740740742</v>
      </c>
      <c r="O257" t="s">
        <v>172</v>
      </c>
      <c r="Q257">
        <v>594669</v>
      </c>
      <c r="R257">
        <v>594669</v>
      </c>
      <c r="S257">
        <v>594645</v>
      </c>
      <c r="T257">
        <v>0</v>
      </c>
      <c r="U257" t="s">
        <v>173</v>
      </c>
      <c r="V257">
        <v>0</v>
      </c>
      <c r="W257" t="s">
        <v>174</v>
      </c>
      <c r="X257">
        <v>594645</v>
      </c>
      <c r="Z257" t="s">
        <v>175</v>
      </c>
      <c r="AA257" t="s">
        <v>173</v>
      </c>
    </row>
    <row r="258" spans="1:27" x14ac:dyDescent="0.3">
      <c r="A258">
        <v>257</v>
      </c>
      <c r="B258" t="s">
        <v>169</v>
      </c>
      <c r="C258">
        <v>99019875</v>
      </c>
      <c r="D258" s="7" t="s">
        <v>102</v>
      </c>
      <c r="E258" t="s">
        <v>103</v>
      </c>
      <c r="F258" t="s">
        <v>170</v>
      </c>
      <c r="G258" t="s">
        <v>177</v>
      </c>
      <c r="H258" s="133">
        <v>1000</v>
      </c>
      <c r="I258">
        <v>0</v>
      </c>
      <c r="J258" s="133">
        <v>1000</v>
      </c>
      <c r="K258" s="133">
        <v>27310</v>
      </c>
      <c r="L258" s="133">
        <v>27310</v>
      </c>
      <c r="M258" s="150">
        <v>0.4163310185185185</v>
      </c>
      <c r="N258" s="150">
        <v>0.4163425925925926</v>
      </c>
      <c r="O258" t="s">
        <v>172</v>
      </c>
      <c r="Q258">
        <v>596533</v>
      </c>
      <c r="R258">
        <v>596533</v>
      </c>
      <c r="S258">
        <v>596472</v>
      </c>
      <c r="T258">
        <v>0</v>
      </c>
      <c r="U258" t="s">
        <v>173</v>
      </c>
      <c r="V258">
        <v>0</v>
      </c>
      <c r="W258" t="s">
        <v>174</v>
      </c>
      <c r="X258">
        <v>596472</v>
      </c>
      <c r="Z258" t="s">
        <v>175</v>
      </c>
      <c r="AA258" t="s">
        <v>173</v>
      </c>
    </row>
    <row r="259" spans="1:27" x14ac:dyDescent="0.3">
      <c r="A259">
        <v>258</v>
      </c>
      <c r="B259" t="s">
        <v>169</v>
      </c>
      <c r="C259">
        <v>99019875</v>
      </c>
      <c r="D259" s="7" t="s">
        <v>140</v>
      </c>
      <c r="E259" t="s">
        <v>178</v>
      </c>
      <c r="F259" t="s">
        <v>170</v>
      </c>
      <c r="G259" t="s">
        <v>177</v>
      </c>
      <c r="H259" s="133">
        <v>1000</v>
      </c>
      <c r="I259">
        <v>0</v>
      </c>
      <c r="J259" s="133">
        <v>1000</v>
      </c>
      <c r="K259" s="133">
        <v>8685</v>
      </c>
      <c r="L259" s="133">
        <v>8685</v>
      </c>
      <c r="M259" s="150">
        <v>0.41635416666666664</v>
      </c>
      <c r="N259" s="150">
        <v>0.41637731481481483</v>
      </c>
      <c r="O259" t="s">
        <v>172</v>
      </c>
      <c r="Q259">
        <v>596817</v>
      </c>
      <c r="R259">
        <v>596817</v>
      </c>
      <c r="S259">
        <v>596302</v>
      </c>
      <c r="T259">
        <v>0</v>
      </c>
      <c r="U259" t="s">
        <v>173</v>
      </c>
      <c r="V259">
        <v>0</v>
      </c>
      <c r="W259" t="s">
        <v>174</v>
      </c>
      <c r="X259">
        <v>596302</v>
      </c>
      <c r="Z259" t="s">
        <v>175</v>
      </c>
      <c r="AA259" t="s">
        <v>173</v>
      </c>
    </row>
    <row r="260" spans="1:27" x14ac:dyDescent="0.3">
      <c r="A260">
        <v>259</v>
      </c>
      <c r="B260" t="s">
        <v>169</v>
      </c>
      <c r="C260">
        <v>99019875</v>
      </c>
      <c r="D260" s="7" t="s">
        <v>77</v>
      </c>
      <c r="E260" t="s">
        <v>78</v>
      </c>
      <c r="F260" t="s">
        <v>170</v>
      </c>
      <c r="G260" t="s">
        <v>177</v>
      </c>
      <c r="H260" s="133">
        <v>1000</v>
      </c>
      <c r="I260">
        <v>0</v>
      </c>
      <c r="J260" s="133">
        <v>1000</v>
      </c>
      <c r="K260" s="133">
        <v>7465</v>
      </c>
      <c r="L260" s="133">
        <v>7465</v>
      </c>
      <c r="M260" s="150">
        <v>0.41635416666666664</v>
      </c>
      <c r="N260" s="150">
        <v>0.41636574074074079</v>
      </c>
      <c r="O260" t="s">
        <v>172</v>
      </c>
      <c r="Q260">
        <v>596868</v>
      </c>
      <c r="R260">
        <v>596868</v>
      </c>
      <c r="S260">
        <v>596850</v>
      </c>
      <c r="T260">
        <v>0</v>
      </c>
      <c r="U260" t="s">
        <v>173</v>
      </c>
      <c r="V260">
        <v>0</v>
      </c>
      <c r="W260" t="s">
        <v>174</v>
      </c>
      <c r="X260">
        <v>596850</v>
      </c>
      <c r="Z260" t="s">
        <v>175</v>
      </c>
      <c r="AA260" t="s">
        <v>173</v>
      </c>
    </row>
    <row r="261" spans="1:27" x14ac:dyDescent="0.3">
      <c r="A261">
        <v>260</v>
      </c>
      <c r="B261" t="s">
        <v>169</v>
      </c>
      <c r="C261">
        <v>99019875</v>
      </c>
      <c r="D261" s="7" t="s">
        <v>62</v>
      </c>
      <c r="E261" t="s">
        <v>63</v>
      </c>
      <c r="F261" t="s">
        <v>170</v>
      </c>
      <c r="G261" t="s">
        <v>177</v>
      </c>
      <c r="H261" s="133">
        <v>1000</v>
      </c>
      <c r="I261">
        <v>0</v>
      </c>
      <c r="J261" s="133">
        <v>1000</v>
      </c>
      <c r="K261" s="133">
        <v>34345</v>
      </c>
      <c r="L261" s="133">
        <v>34345</v>
      </c>
      <c r="M261" s="150">
        <v>0.41651620370370374</v>
      </c>
      <c r="N261" s="150">
        <v>0.41652777777777777</v>
      </c>
      <c r="O261" t="s">
        <v>172</v>
      </c>
      <c r="Q261">
        <v>598349</v>
      </c>
      <c r="R261">
        <v>598349</v>
      </c>
      <c r="S261">
        <v>598328</v>
      </c>
      <c r="T261">
        <v>0</v>
      </c>
      <c r="U261" t="s">
        <v>173</v>
      </c>
      <c r="V261">
        <v>0</v>
      </c>
      <c r="W261" t="s">
        <v>174</v>
      </c>
      <c r="X261">
        <v>598328</v>
      </c>
      <c r="Z261" t="s">
        <v>175</v>
      </c>
      <c r="AA261" t="s">
        <v>173</v>
      </c>
    </row>
    <row r="262" spans="1:27" x14ac:dyDescent="0.3">
      <c r="A262">
        <v>261</v>
      </c>
      <c r="B262" t="s">
        <v>169</v>
      </c>
      <c r="C262">
        <v>99019875</v>
      </c>
      <c r="D262" s="7" t="s">
        <v>75</v>
      </c>
      <c r="E262" t="s">
        <v>76</v>
      </c>
      <c r="F262" t="s">
        <v>176</v>
      </c>
      <c r="G262" t="s">
        <v>177</v>
      </c>
      <c r="H262" s="133">
        <v>1000</v>
      </c>
      <c r="I262">
        <v>0</v>
      </c>
      <c r="J262">
        <v>3</v>
      </c>
      <c r="K262" s="133">
        <v>21135</v>
      </c>
      <c r="L262" s="133">
        <v>21135</v>
      </c>
      <c r="M262" s="150">
        <v>0.4165625</v>
      </c>
      <c r="N262" s="150">
        <v>0.4165625</v>
      </c>
      <c r="O262" t="s">
        <v>172</v>
      </c>
      <c r="Q262">
        <v>598940</v>
      </c>
      <c r="R262">
        <v>598940</v>
      </c>
      <c r="S262">
        <v>598904</v>
      </c>
      <c r="T262">
        <v>997</v>
      </c>
      <c r="U262" t="s">
        <v>173</v>
      </c>
      <c r="V262">
        <v>0</v>
      </c>
      <c r="W262" t="s">
        <v>174</v>
      </c>
      <c r="X262">
        <v>598904</v>
      </c>
      <c r="Z262" t="s">
        <v>175</v>
      </c>
      <c r="AA262" t="s">
        <v>173</v>
      </c>
    </row>
    <row r="263" spans="1:27" x14ac:dyDescent="0.3">
      <c r="A263">
        <v>262</v>
      </c>
      <c r="B263" t="s">
        <v>169</v>
      </c>
      <c r="C263">
        <v>99019875</v>
      </c>
      <c r="D263" s="7" t="s">
        <v>102</v>
      </c>
      <c r="E263" t="s">
        <v>103</v>
      </c>
      <c r="F263" t="s">
        <v>170</v>
      </c>
      <c r="G263" t="s">
        <v>177</v>
      </c>
      <c r="H263" s="133">
        <v>1000</v>
      </c>
      <c r="I263">
        <v>0</v>
      </c>
      <c r="J263">
        <v>28</v>
      </c>
      <c r="K263" s="133">
        <v>27285</v>
      </c>
      <c r="L263" s="133">
        <v>27285</v>
      </c>
      <c r="M263" s="150">
        <v>0.41681712962962963</v>
      </c>
      <c r="N263" s="150">
        <v>0.41682870370370373</v>
      </c>
      <c r="O263" t="s">
        <v>172</v>
      </c>
      <c r="Q263">
        <v>602525</v>
      </c>
      <c r="R263">
        <v>602525</v>
      </c>
      <c r="S263">
        <v>602522</v>
      </c>
      <c r="T263">
        <v>972</v>
      </c>
      <c r="U263" t="s">
        <v>173</v>
      </c>
      <c r="V263">
        <v>0</v>
      </c>
      <c r="W263" t="s">
        <v>174</v>
      </c>
      <c r="X263">
        <v>602522</v>
      </c>
      <c r="Z263" t="s">
        <v>175</v>
      </c>
      <c r="AA263" t="s">
        <v>173</v>
      </c>
    </row>
    <row r="264" spans="1:27" x14ac:dyDescent="0.3">
      <c r="A264">
        <v>263</v>
      </c>
      <c r="B264" t="s">
        <v>169</v>
      </c>
      <c r="C264">
        <v>99019875</v>
      </c>
      <c r="D264" s="7" t="s">
        <v>67</v>
      </c>
      <c r="E264" t="s">
        <v>68</v>
      </c>
      <c r="F264" t="s">
        <v>176</v>
      </c>
      <c r="G264" t="s">
        <v>177</v>
      </c>
      <c r="H264" s="133">
        <v>1000</v>
      </c>
      <c r="I264">
        <v>0</v>
      </c>
      <c r="J264" s="133">
        <v>1000</v>
      </c>
      <c r="K264" s="133">
        <v>4915</v>
      </c>
      <c r="L264" s="133">
        <v>4915</v>
      </c>
      <c r="M264" s="150">
        <v>0.41684027777777777</v>
      </c>
      <c r="N264" s="150">
        <v>0.41690972222222222</v>
      </c>
      <c r="O264" t="s">
        <v>172</v>
      </c>
      <c r="Q264">
        <v>602738</v>
      </c>
      <c r="R264">
        <v>602738</v>
      </c>
      <c r="S264">
        <v>600738</v>
      </c>
      <c r="T264">
        <v>0</v>
      </c>
      <c r="U264" t="s">
        <v>173</v>
      </c>
      <c r="V264">
        <v>0</v>
      </c>
      <c r="W264" t="s">
        <v>174</v>
      </c>
      <c r="X264">
        <v>600738</v>
      </c>
      <c r="Z264" t="s">
        <v>175</v>
      </c>
      <c r="AA264" t="s">
        <v>173</v>
      </c>
    </row>
    <row r="265" spans="1:27" x14ac:dyDescent="0.3">
      <c r="A265">
        <v>264</v>
      </c>
      <c r="B265" t="s">
        <v>169</v>
      </c>
      <c r="C265">
        <v>99019875</v>
      </c>
      <c r="D265" s="7" t="s">
        <v>69</v>
      </c>
      <c r="E265" t="s">
        <v>70</v>
      </c>
      <c r="F265" t="s">
        <v>176</v>
      </c>
      <c r="G265" t="s">
        <v>177</v>
      </c>
      <c r="H265" s="133">
        <v>1000</v>
      </c>
      <c r="I265">
        <v>0</v>
      </c>
      <c r="J265" s="133">
        <v>1000</v>
      </c>
      <c r="K265" s="133">
        <v>10445</v>
      </c>
      <c r="L265" s="133">
        <v>10445</v>
      </c>
      <c r="M265" s="150">
        <v>0.41690972222222222</v>
      </c>
      <c r="N265" s="150">
        <v>0.41690972222222222</v>
      </c>
      <c r="O265" t="s">
        <v>172</v>
      </c>
      <c r="Q265">
        <v>603723</v>
      </c>
      <c r="R265">
        <v>603723</v>
      </c>
      <c r="S265">
        <v>603527</v>
      </c>
      <c r="T265">
        <v>0</v>
      </c>
      <c r="U265" t="s">
        <v>173</v>
      </c>
      <c r="V265">
        <v>0</v>
      </c>
      <c r="W265" t="s">
        <v>174</v>
      </c>
      <c r="X265">
        <v>603527</v>
      </c>
      <c r="Z265" t="s">
        <v>175</v>
      </c>
      <c r="AA265" t="s">
        <v>173</v>
      </c>
    </row>
    <row r="266" spans="1:27" x14ac:dyDescent="0.3">
      <c r="A266">
        <v>265</v>
      </c>
      <c r="B266" t="s">
        <v>169</v>
      </c>
      <c r="C266">
        <v>99019875</v>
      </c>
      <c r="D266" s="7" t="s">
        <v>100</v>
      </c>
      <c r="E266" t="s">
        <v>101</v>
      </c>
      <c r="F266" t="s">
        <v>176</v>
      </c>
      <c r="G266" t="s">
        <v>177</v>
      </c>
      <c r="H266" s="133">
        <v>1000</v>
      </c>
      <c r="I266">
        <v>0</v>
      </c>
      <c r="J266">
        <v>6</v>
      </c>
      <c r="K266" s="133">
        <v>15610</v>
      </c>
      <c r="L266" s="133">
        <v>15610</v>
      </c>
      <c r="M266" s="150">
        <v>0.41692129629629626</v>
      </c>
      <c r="N266" s="150">
        <v>0.41693287037037036</v>
      </c>
      <c r="O266" t="s">
        <v>172</v>
      </c>
      <c r="Q266">
        <v>604044</v>
      </c>
      <c r="R266">
        <v>604044</v>
      </c>
      <c r="S266">
        <v>604040</v>
      </c>
      <c r="T266">
        <v>994</v>
      </c>
      <c r="U266" t="s">
        <v>173</v>
      </c>
      <c r="V266">
        <v>0</v>
      </c>
      <c r="W266" t="s">
        <v>174</v>
      </c>
      <c r="X266">
        <v>604040</v>
      </c>
      <c r="Z266" t="s">
        <v>175</v>
      </c>
      <c r="AA266" t="s">
        <v>173</v>
      </c>
    </row>
    <row r="267" spans="1:27" x14ac:dyDescent="0.3">
      <c r="A267">
        <v>266</v>
      </c>
      <c r="B267" t="s">
        <v>169</v>
      </c>
      <c r="C267">
        <v>99019875</v>
      </c>
      <c r="D267" s="7" t="s">
        <v>100</v>
      </c>
      <c r="E267" t="s">
        <v>101</v>
      </c>
      <c r="F267" t="s">
        <v>176</v>
      </c>
      <c r="G267" t="s">
        <v>177</v>
      </c>
      <c r="H267" s="133">
        <v>1000</v>
      </c>
      <c r="I267">
        <v>0</v>
      </c>
      <c r="J267">
        <v>173</v>
      </c>
      <c r="K267" s="133">
        <v>15605</v>
      </c>
      <c r="L267" s="133">
        <v>15605</v>
      </c>
      <c r="M267" s="150">
        <v>0.41692129629629626</v>
      </c>
      <c r="N267" s="150">
        <v>0.41693287037037036</v>
      </c>
      <c r="O267" t="s">
        <v>172</v>
      </c>
      <c r="Q267">
        <v>604048</v>
      </c>
      <c r="R267">
        <v>604048</v>
      </c>
      <c r="S267">
        <v>604044</v>
      </c>
      <c r="T267">
        <v>821</v>
      </c>
      <c r="U267" t="s">
        <v>173</v>
      </c>
      <c r="V267">
        <v>6</v>
      </c>
      <c r="W267" t="s">
        <v>174</v>
      </c>
      <c r="X267">
        <v>604044</v>
      </c>
      <c r="Z267" t="s">
        <v>175</v>
      </c>
      <c r="AA267" t="s">
        <v>173</v>
      </c>
    </row>
    <row r="268" spans="1:27" x14ac:dyDescent="0.3">
      <c r="A268">
        <v>267</v>
      </c>
      <c r="B268" t="s">
        <v>169</v>
      </c>
      <c r="C268">
        <v>99019875</v>
      </c>
      <c r="D268" s="7" t="s">
        <v>134</v>
      </c>
      <c r="E268" t="s">
        <v>135</v>
      </c>
      <c r="F268" t="s">
        <v>170</v>
      </c>
      <c r="G268" t="s">
        <v>177</v>
      </c>
      <c r="H268" s="133">
        <v>1000</v>
      </c>
      <c r="I268">
        <v>0</v>
      </c>
      <c r="J268">
        <v>185</v>
      </c>
      <c r="K268" s="133">
        <v>7940</v>
      </c>
      <c r="L268" s="133">
        <v>7940</v>
      </c>
      <c r="M268" s="150">
        <v>0.41699074074074072</v>
      </c>
      <c r="N268" s="150">
        <v>0.41700231481481481</v>
      </c>
      <c r="O268" t="s">
        <v>172</v>
      </c>
      <c r="Q268">
        <v>604690</v>
      </c>
      <c r="R268">
        <v>604690</v>
      </c>
      <c r="S268">
        <v>604052</v>
      </c>
      <c r="T268">
        <v>815</v>
      </c>
      <c r="U268" t="s">
        <v>173</v>
      </c>
      <c r="V268">
        <v>0</v>
      </c>
      <c r="W268" t="s">
        <v>174</v>
      </c>
      <c r="X268">
        <v>604052</v>
      </c>
      <c r="Z268" t="s">
        <v>175</v>
      </c>
      <c r="AA268" t="s">
        <v>173</v>
      </c>
    </row>
    <row r="269" spans="1:27" x14ac:dyDescent="0.3">
      <c r="A269">
        <v>268</v>
      </c>
      <c r="B269" t="s">
        <v>169</v>
      </c>
      <c r="C269">
        <v>99019875</v>
      </c>
      <c r="D269" s="7" t="s">
        <v>75</v>
      </c>
      <c r="E269" t="s">
        <v>76</v>
      </c>
      <c r="F269" t="s">
        <v>176</v>
      </c>
      <c r="G269" t="s">
        <v>177</v>
      </c>
      <c r="H269" s="133">
        <v>1000</v>
      </c>
      <c r="I269">
        <v>0</v>
      </c>
      <c r="J269">
        <v>3</v>
      </c>
      <c r="K269" s="133">
        <v>21155</v>
      </c>
      <c r="L269" s="133">
        <v>21155</v>
      </c>
      <c r="M269" s="150">
        <v>0.41715277777777776</v>
      </c>
      <c r="N269" s="150">
        <v>0.41715277777777776</v>
      </c>
      <c r="O269" t="s">
        <v>172</v>
      </c>
      <c r="Q269">
        <v>606280</v>
      </c>
      <c r="R269">
        <v>606280</v>
      </c>
      <c r="S269">
        <v>606247</v>
      </c>
      <c r="T269">
        <v>997</v>
      </c>
      <c r="U269" t="s">
        <v>173</v>
      </c>
      <c r="V269">
        <v>0</v>
      </c>
      <c r="W269" t="s">
        <v>174</v>
      </c>
      <c r="X269">
        <v>606247</v>
      </c>
      <c r="Z269" t="s">
        <v>175</v>
      </c>
      <c r="AA269" t="s">
        <v>173</v>
      </c>
    </row>
    <row r="270" spans="1:27" x14ac:dyDescent="0.3">
      <c r="A270">
        <v>269</v>
      </c>
      <c r="B270" t="s">
        <v>169</v>
      </c>
      <c r="C270">
        <v>99019875</v>
      </c>
      <c r="D270" s="7" t="s">
        <v>77</v>
      </c>
      <c r="E270" t="s">
        <v>78</v>
      </c>
      <c r="F270" t="s">
        <v>170</v>
      </c>
      <c r="G270" t="s">
        <v>177</v>
      </c>
      <c r="H270" s="133">
        <v>1000</v>
      </c>
      <c r="I270">
        <v>0</v>
      </c>
      <c r="J270">
        <v>405</v>
      </c>
      <c r="K270" s="133">
        <v>7465</v>
      </c>
      <c r="L270" s="133">
        <v>7465</v>
      </c>
      <c r="M270" s="150">
        <v>0.41722222222222222</v>
      </c>
      <c r="N270" s="150">
        <v>0.41723379629629626</v>
      </c>
      <c r="O270" t="s">
        <v>172</v>
      </c>
      <c r="Q270">
        <v>606988</v>
      </c>
      <c r="R270">
        <v>606988</v>
      </c>
      <c r="S270">
        <v>606863</v>
      </c>
      <c r="T270">
        <v>595</v>
      </c>
      <c r="U270" t="s">
        <v>173</v>
      </c>
      <c r="V270">
        <v>0</v>
      </c>
      <c r="W270" t="s">
        <v>174</v>
      </c>
      <c r="X270">
        <v>606863</v>
      </c>
      <c r="Z270" t="s">
        <v>175</v>
      </c>
      <c r="AA270" t="s">
        <v>173</v>
      </c>
    </row>
    <row r="271" spans="1:27" x14ac:dyDescent="0.3">
      <c r="A271">
        <v>270</v>
      </c>
      <c r="B271" t="s">
        <v>169</v>
      </c>
      <c r="C271">
        <v>99019875</v>
      </c>
      <c r="D271" s="7" t="s">
        <v>62</v>
      </c>
      <c r="E271" t="s">
        <v>63</v>
      </c>
      <c r="F271" t="s">
        <v>170</v>
      </c>
      <c r="G271" t="s">
        <v>177</v>
      </c>
      <c r="H271" s="133">
        <v>1000</v>
      </c>
      <c r="I271">
        <v>0</v>
      </c>
      <c r="J271" s="133">
        <v>1000</v>
      </c>
      <c r="K271" s="133">
        <v>34370</v>
      </c>
      <c r="L271" s="133">
        <v>34370</v>
      </c>
      <c r="M271" s="150">
        <v>0.41745370370370366</v>
      </c>
      <c r="N271" s="150">
        <v>0.41745370370370366</v>
      </c>
      <c r="O271" t="s">
        <v>172</v>
      </c>
      <c r="Q271">
        <v>609221</v>
      </c>
      <c r="R271">
        <v>609221</v>
      </c>
      <c r="S271">
        <v>609168</v>
      </c>
      <c r="T271">
        <v>0</v>
      </c>
      <c r="U271" t="s">
        <v>173</v>
      </c>
      <c r="V271">
        <v>0</v>
      </c>
      <c r="W271" t="s">
        <v>174</v>
      </c>
      <c r="X271">
        <v>609168</v>
      </c>
      <c r="Z271" t="s">
        <v>175</v>
      </c>
      <c r="AA271" t="s">
        <v>173</v>
      </c>
    </row>
    <row r="272" spans="1:27" x14ac:dyDescent="0.3">
      <c r="A272">
        <v>271</v>
      </c>
      <c r="B272" t="s">
        <v>169</v>
      </c>
      <c r="C272">
        <v>99019875</v>
      </c>
      <c r="D272" s="7" t="s">
        <v>102</v>
      </c>
      <c r="E272" t="s">
        <v>103</v>
      </c>
      <c r="F272" t="s">
        <v>170</v>
      </c>
      <c r="G272" t="s">
        <v>177</v>
      </c>
      <c r="H272" s="133">
        <v>1000</v>
      </c>
      <c r="I272">
        <v>0</v>
      </c>
      <c r="J272">
        <v>6</v>
      </c>
      <c r="K272" s="133">
        <v>27345</v>
      </c>
      <c r="L272" s="133">
        <v>27345</v>
      </c>
      <c r="M272" s="150">
        <v>0.41768518518518521</v>
      </c>
      <c r="N272" s="150">
        <v>0.41768518518518521</v>
      </c>
      <c r="O272" t="s">
        <v>172</v>
      </c>
      <c r="Q272">
        <v>611253</v>
      </c>
      <c r="R272">
        <v>611253</v>
      </c>
      <c r="S272">
        <v>611195</v>
      </c>
      <c r="T272">
        <v>994</v>
      </c>
      <c r="U272" t="s">
        <v>173</v>
      </c>
      <c r="V272">
        <v>0</v>
      </c>
      <c r="W272" t="s">
        <v>174</v>
      </c>
      <c r="X272">
        <v>611195</v>
      </c>
      <c r="Z272" t="s">
        <v>175</v>
      </c>
      <c r="AA272" t="s">
        <v>173</v>
      </c>
    </row>
    <row r="273" spans="1:27" x14ac:dyDescent="0.3">
      <c r="A273">
        <v>272</v>
      </c>
      <c r="B273" t="s">
        <v>169</v>
      </c>
      <c r="C273">
        <v>99019875</v>
      </c>
      <c r="D273" s="7" t="s">
        <v>62</v>
      </c>
      <c r="E273" t="s">
        <v>63</v>
      </c>
      <c r="F273" t="s">
        <v>176</v>
      </c>
      <c r="G273" t="s">
        <v>177</v>
      </c>
      <c r="H273" s="133">
        <v>1000</v>
      </c>
      <c r="I273">
        <v>0</v>
      </c>
      <c r="J273">
        <v>1</v>
      </c>
      <c r="K273" s="133">
        <v>34355</v>
      </c>
      <c r="L273" s="133">
        <v>34355</v>
      </c>
      <c r="M273" s="150">
        <v>0.41780092592592594</v>
      </c>
      <c r="N273" s="150">
        <v>0.41781249999999998</v>
      </c>
      <c r="O273" t="s">
        <v>172</v>
      </c>
      <c r="Q273">
        <v>612081</v>
      </c>
      <c r="R273">
        <v>612081</v>
      </c>
      <c r="S273">
        <v>612046</v>
      </c>
      <c r="T273">
        <v>999</v>
      </c>
      <c r="U273" t="s">
        <v>173</v>
      </c>
      <c r="V273">
        <v>0</v>
      </c>
      <c r="W273" t="s">
        <v>174</v>
      </c>
      <c r="X273">
        <v>612046</v>
      </c>
      <c r="Z273" t="s">
        <v>175</v>
      </c>
      <c r="AA273" t="s">
        <v>173</v>
      </c>
    </row>
    <row r="274" spans="1:27" x14ac:dyDescent="0.3">
      <c r="A274">
        <v>273</v>
      </c>
      <c r="B274" t="s">
        <v>169</v>
      </c>
      <c r="C274">
        <v>99019875</v>
      </c>
      <c r="D274" s="7" t="s">
        <v>75</v>
      </c>
      <c r="E274" t="s">
        <v>76</v>
      </c>
      <c r="F274" t="s">
        <v>176</v>
      </c>
      <c r="G274" t="s">
        <v>177</v>
      </c>
      <c r="H274" s="133">
        <v>1000</v>
      </c>
      <c r="I274">
        <v>0</v>
      </c>
      <c r="J274">
        <v>14</v>
      </c>
      <c r="K274" s="133">
        <v>21155</v>
      </c>
      <c r="L274" s="133">
        <v>21155</v>
      </c>
      <c r="M274" s="150">
        <v>0.41784722222222226</v>
      </c>
      <c r="N274" s="150">
        <v>0.4178587962962963</v>
      </c>
      <c r="O274" t="s">
        <v>172</v>
      </c>
      <c r="Q274">
        <v>612407</v>
      </c>
      <c r="R274">
        <v>612407</v>
      </c>
      <c r="S274">
        <v>612279</v>
      </c>
      <c r="T274">
        <v>986</v>
      </c>
      <c r="U274" t="s">
        <v>173</v>
      </c>
      <c r="V274">
        <v>0</v>
      </c>
      <c r="W274" t="s">
        <v>174</v>
      </c>
      <c r="X274">
        <v>612279</v>
      </c>
      <c r="Z274" t="s">
        <v>175</v>
      </c>
      <c r="AA274" t="s">
        <v>173</v>
      </c>
    </row>
    <row r="275" spans="1:27" x14ac:dyDescent="0.3">
      <c r="A275">
        <v>274</v>
      </c>
      <c r="B275" t="s">
        <v>180</v>
      </c>
      <c r="C275">
        <v>99019421</v>
      </c>
      <c r="D275" s="7" t="s">
        <v>185</v>
      </c>
      <c r="E275" t="s">
        <v>181</v>
      </c>
      <c r="F275" t="s">
        <v>176</v>
      </c>
      <c r="G275" t="s">
        <v>177</v>
      </c>
      <c r="H275" s="133">
        <v>10000</v>
      </c>
      <c r="I275">
        <v>0</v>
      </c>
      <c r="J275">
        <v>2</v>
      </c>
      <c r="K275" s="133">
        <v>13835</v>
      </c>
      <c r="L275" s="133">
        <v>13835</v>
      </c>
      <c r="M275" s="150">
        <v>0.4181597222222222</v>
      </c>
      <c r="N275" s="150">
        <v>0.41821759259259261</v>
      </c>
      <c r="O275" t="s">
        <v>172</v>
      </c>
      <c r="Q275">
        <v>615230</v>
      </c>
      <c r="R275">
        <v>615230</v>
      </c>
      <c r="S275">
        <v>615224</v>
      </c>
      <c r="T275" s="133">
        <v>9998</v>
      </c>
      <c r="U275" t="s">
        <v>173</v>
      </c>
      <c r="V275">
        <v>0</v>
      </c>
      <c r="W275" t="s">
        <v>174</v>
      </c>
      <c r="X275">
        <v>615224</v>
      </c>
      <c r="Y275" t="s">
        <v>182</v>
      </c>
      <c r="Z275" t="s">
        <v>183</v>
      </c>
      <c r="AA275" t="s">
        <v>173</v>
      </c>
    </row>
    <row r="276" spans="1:27" x14ac:dyDescent="0.3">
      <c r="A276">
        <v>275</v>
      </c>
      <c r="B276" t="s">
        <v>169</v>
      </c>
      <c r="C276">
        <v>99019875</v>
      </c>
      <c r="D276" s="7" t="s">
        <v>100</v>
      </c>
      <c r="E276" t="s">
        <v>101</v>
      </c>
      <c r="F276" t="s">
        <v>176</v>
      </c>
      <c r="G276" t="s">
        <v>177</v>
      </c>
      <c r="H276" s="133">
        <v>1000</v>
      </c>
      <c r="I276">
        <v>0</v>
      </c>
      <c r="J276">
        <v>3</v>
      </c>
      <c r="K276" s="133">
        <v>15610</v>
      </c>
      <c r="L276" s="133">
        <v>15610</v>
      </c>
      <c r="M276" s="150">
        <v>0.41817129629629629</v>
      </c>
      <c r="N276" s="150">
        <v>0.41819444444444448</v>
      </c>
      <c r="O276" t="s">
        <v>172</v>
      </c>
      <c r="Q276">
        <v>615390</v>
      </c>
      <c r="R276">
        <v>615390</v>
      </c>
      <c r="S276">
        <v>614771</v>
      </c>
      <c r="T276">
        <v>997</v>
      </c>
      <c r="U276" t="s">
        <v>173</v>
      </c>
      <c r="V276">
        <v>0</v>
      </c>
      <c r="W276" t="s">
        <v>174</v>
      </c>
      <c r="X276">
        <v>614771</v>
      </c>
      <c r="Z276" t="s">
        <v>175</v>
      </c>
      <c r="AA276" t="s">
        <v>173</v>
      </c>
    </row>
    <row r="277" spans="1:27" x14ac:dyDescent="0.3">
      <c r="A277">
        <v>276</v>
      </c>
      <c r="B277" t="s">
        <v>169</v>
      </c>
      <c r="C277">
        <v>99019875</v>
      </c>
      <c r="D277" s="7" t="s">
        <v>62</v>
      </c>
      <c r="E277" t="s">
        <v>63</v>
      </c>
      <c r="F277" t="s">
        <v>176</v>
      </c>
      <c r="G277" t="s">
        <v>177</v>
      </c>
      <c r="H277" s="133">
        <v>1000</v>
      </c>
      <c r="I277">
        <v>0</v>
      </c>
      <c r="J277">
        <v>7</v>
      </c>
      <c r="K277" s="133">
        <v>34345</v>
      </c>
      <c r="L277" s="133">
        <v>34345</v>
      </c>
      <c r="M277" s="150">
        <v>0.41825231481481479</v>
      </c>
      <c r="N277" s="150">
        <v>0.41826388888888894</v>
      </c>
      <c r="O277" t="s">
        <v>172</v>
      </c>
      <c r="Q277">
        <v>616110</v>
      </c>
      <c r="R277">
        <v>616110</v>
      </c>
      <c r="S277">
        <v>616082</v>
      </c>
      <c r="T277">
        <v>993</v>
      </c>
      <c r="U277" t="s">
        <v>173</v>
      </c>
      <c r="V277">
        <v>0</v>
      </c>
      <c r="W277" t="s">
        <v>174</v>
      </c>
      <c r="X277">
        <v>616082</v>
      </c>
      <c r="Z277" t="s">
        <v>175</v>
      </c>
      <c r="AA277" t="s">
        <v>173</v>
      </c>
    </row>
    <row r="278" spans="1:27" x14ac:dyDescent="0.3">
      <c r="A278">
        <v>277</v>
      </c>
      <c r="B278" t="s">
        <v>169</v>
      </c>
      <c r="C278">
        <v>99019875</v>
      </c>
      <c r="D278" s="7" t="s">
        <v>77</v>
      </c>
      <c r="E278" t="s">
        <v>78</v>
      </c>
      <c r="F278" t="s">
        <v>176</v>
      </c>
      <c r="G278" t="s">
        <v>177</v>
      </c>
      <c r="H278" s="133">
        <v>1000</v>
      </c>
      <c r="I278">
        <v>0</v>
      </c>
      <c r="J278" s="133">
        <v>1000</v>
      </c>
      <c r="K278" s="133">
        <v>7475</v>
      </c>
      <c r="L278" s="133">
        <v>7475</v>
      </c>
      <c r="M278" s="150">
        <v>0.41829861111111111</v>
      </c>
      <c r="N278" s="150">
        <v>0.41858796296296297</v>
      </c>
      <c r="O278" t="s">
        <v>172</v>
      </c>
      <c r="Q278">
        <v>616708</v>
      </c>
      <c r="R278">
        <v>616708</v>
      </c>
      <c r="S278">
        <v>616519</v>
      </c>
      <c r="T278">
        <v>0</v>
      </c>
      <c r="U278" t="s">
        <v>173</v>
      </c>
      <c r="V278">
        <v>0</v>
      </c>
      <c r="W278" t="s">
        <v>174</v>
      </c>
      <c r="X278">
        <v>616519</v>
      </c>
      <c r="Z278" t="s">
        <v>175</v>
      </c>
      <c r="AA278" t="s">
        <v>173</v>
      </c>
    </row>
    <row r="279" spans="1:27" x14ac:dyDescent="0.3">
      <c r="A279">
        <v>278</v>
      </c>
      <c r="B279" t="s">
        <v>169</v>
      </c>
      <c r="C279">
        <v>99019875</v>
      </c>
      <c r="D279" s="7" t="s">
        <v>77</v>
      </c>
      <c r="E279" t="s">
        <v>78</v>
      </c>
      <c r="F279" t="s">
        <v>170</v>
      </c>
      <c r="G279" t="s">
        <v>177</v>
      </c>
      <c r="H279" s="133">
        <v>1000</v>
      </c>
      <c r="I279">
        <v>0</v>
      </c>
      <c r="J279" s="133">
        <v>1000</v>
      </c>
      <c r="K279" s="133">
        <v>7450</v>
      </c>
      <c r="L279" s="133">
        <v>7450</v>
      </c>
      <c r="M279" s="150">
        <v>0.4183101851851852</v>
      </c>
      <c r="N279" s="150">
        <v>0.4183101851851852</v>
      </c>
      <c r="O279" t="s">
        <v>172</v>
      </c>
      <c r="Q279">
        <v>616800</v>
      </c>
      <c r="R279">
        <v>616800</v>
      </c>
      <c r="S279">
        <v>616518</v>
      </c>
      <c r="T279">
        <v>0</v>
      </c>
      <c r="U279" t="s">
        <v>173</v>
      </c>
      <c r="V279">
        <v>0</v>
      </c>
      <c r="W279" t="s">
        <v>174</v>
      </c>
      <c r="X279">
        <v>616518</v>
      </c>
      <c r="Z279" t="s">
        <v>175</v>
      </c>
      <c r="AA279" t="s">
        <v>173</v>
      </c>
    </row>
    <row r="280" spans="1:27" x14ac:dyDescent="0.3">
      <c r="A280">
        <v>279</v>
      </c>
      <c r="B280" t="s">
        <v>169</v>
      </c>
      <c r="C280">
        <v>99019875</v>
      </c>
      <c r="D280" s="7" t="s">
        <v>75</v>
      </c>
      <c r="E280" t="s">
        <v>76</v>
      </c>
      <c r="F280" t="s">
        <v>176</v>
      </c>
      <c r="G280" t="s">
        <v>177</v>
      </c>
      <c r="H280" s="133">
        <v>1000</v>
      </c>
      <c r="I280">
        <v>0</v>
      </c>
      <c r="J280">
        <v>21</v>
      </c>
      <c r="K280" s="133">
        <v>21155</v>
      </c>
      <c r="L280" s="133">
        <v>21155</v>
      </c>
      <c r="M280" s="150">
        <v>0.41835648148148147</v>
      </c>
      <c r="N280" s="150">
        <v>0.41835648148148147</v>
      </c>
      <c r="O280" t="s">
        <v>172</v>
      </c>
      <c r="Q280">
        <v>617336</v>
      </c>
      <c r="R280">
        <v>617336</v>
      </c>
      <c r="S280">
        <v>617293</v>
      </c>
      <c r="T280">
        <v>979</v>
      </c>
      <c r="U280" t="s">
        <v>173</v>
      </c>
      <c r="V280">
        <v>0</v>
      </c>
      <c r="W280" t="s">
        <v>174</v>
      </c>
      <c r="X280">
        <v>617293</v>
      </c>
      <c r="Z280" t="s">
        <v>175</v>
      </c>
      <c r="AA280" t="s">
        <v>173</v>
      </c>
    </row>
    <row r="281" spans="1:27" x14ac:dyDescent="0.3">
      <c r="A281">
        <v>280</v>
      </c>
      <c r="B281" t="s">
        <v>169</v>
      </c>
      <c r="C281">
        <v>99019875</v>
      </c>
      <c r="D281" s="7" t="s">
        <v>81</v>
      </c>
      <c r="E281" t="s">
        <v>82</v>
      </c>
      <c r="F281" t="s">
        <v>176</v>
      </c>
      <c r="G281" t="s">
        <v>177</v>
      </c>
      <c r="H281" s="133">
        <v>1000</v>
      </c>
      <c r="I281">
        <v>0</v>
      </c>
      <c r="J281">
        <v>1</v>
      </c>
      <c r="K281" s="133">
        <v>36935</v>
      </c>
      <c r="L281" s="133">
        <v>36935</v>
      </c>
      <c r="M281" s="150">
        <v>0.41844907407407406</v>
      </c>
      <c r="N281" s="150">
        <v>0.41846064814814815</v>
      </c>
      <c r="O281" t="s">
        <v>172</v>
      </c>
      <c r="Q281">
        <v>618267</v>
      </c>
      <c r="R281">
        <v>618267</v>
      </c>
      <c r="S281">
        <v>618203</v>
      </c>
      <c r="T281">
        <v>999</v>
      </c>
      <c r="U281" t="s">
        <v>173</v>
      </c>
      <c r="V281">
        <v>0</v>
      </c>
      <c r="W281" t="s">
        <v>174</v>
      </c>
      <c r="X281">
        <v>618203</v>
      </c>
      <c r="Z281" t="s">
        <v>175</v>
      </c>
      <c r="AA281" t="s">
        <v>173</v>
      </c>
    </row>
    <row r="282" spans="1:27" x14ac:dyDescent="0.3">
      <c r="A282">
        <v>281</v>
      </c>
      <c r="B282" t="s">
        <v>180</v>
      </c>
      <c r="C282">
        <v>99019421</v>
      </c>
      <c r="D282" s="7" t="s">
        <v>185</v>
      </c>
      <c r="E282" t="s">
        <v>181</v>
      </c>
      <c r="F282" t="s">
        <v>176</v>
      </c>
      <c r="G282" t="s">
        <v>177</v>
      </c>
      <c r="H282" s="133">
        <v>10000</v>
      </c>
      <c r="I282">
        <v>0</v>
      </c>
      <c r="J282">
        <v>1</v>
      </c>
      <c r="K282" s="133">
        <v>13845</v>
      </c>
      <c r="L282" s="133">
        <v>13845</v>
      </c>
      <c r="M282" s="150">
        <v>0.41876157407407405</v>
      </c>
      <c r="N282" s="150">
        <v>0.41890046296296296</v>
      </c>
      <c r="O282" t="s">
        <v>172</v>
      </c>
      <c r="Q282">
        <v>620938</v>
      </c>
      <c r="R282">
        <v>620938</v>
      </c>
      <c r="S282">
        <v>618996</v>
      </c>
      <c r="T282" s="133">
        <v>9999</v>
      </c>
      <c r="U282" t="s">
        <v>173</v>
      </c>
      <c r="V282">
        <v>0</v>
      </c>
      <c r="W282" t="s">
        <v>174</v>
      </c>
      <c r="X282">
        <v>618996</v>
      </c>
      <c r="Y282" t="s">
        <v>182</v>
      </c>
      <c r="Z282" t="s">
        <v>183</v>
      </c>
      <c r="AA282" t="s">
        <v>173</v>
      </c>
    </row>
    <row r="283" spans="1:27" x14ac:dyDescent="0.3">
      <c r="A283">
        <v>282</v>
      </c>
      <c r="B283" t="s">
        <v>169</v>
      </c>
      <c r="C283">
        <v>99019875</v>
      </c>
      <c r="D283" s="7" t="s">
        <v>69</v>
      </c>
      <c r="E283" t="s">
        <v>70</v>
      </c>
      <c r="F283" t="s">
        <v>176</v>
      </c>
      <c r="G283" t="s">
        <v>177</v>
      </c>
      <c r="H283" s="133">
        <v>1000</v>
      </c>
      <c r="I283">
        <v>0</v>
      </c>
      <c r="J283" s="133">
        <v>1000</v>
      </c>
      <c r="K283" s="133">
        <v>10450</v>
      </c>
      <c r="L283" s="133">
        <v>10450</v>
      </c>
      <c r="M283" s="150">
        <v>0.41928240740740735</v>
      </c>
      <c r="N283" s="150">
        <v>0.41930555555555554</v>
      </c>
      <c r="O283" t="s">
        <v>172</v>
      </c>
      <c r="Q283">
        <v>626163</v>
      </c>
      <c r="R283">
        <v>626163</v>
      </c>
      <c r="S283">
        <v>625985</v>
      </c>
      <c r="T283">
        <v>0</v>
      </c>
      <c r="U283" t="s">
        <v>173</v>
      </c>
      <c r="V283">
        <v>0</v>
      </c>
      <c r="W283" t="s">
        <v>174</v>
      </c>
      <c r="X283">
        <v>625985</v>
      </c>
      <c r="Z283" t="s">
        <v>175</v>
      </c>
      <c r="AA283" t="s">
        <v>173</v>
      </c>
    </row>
    <row r="284" spans="1:27" x14ac:dyDescent="0.3">
      <c r="A284">
        <v>283</v>
      </c>
      <c r="B284" t="s">
        <v>169</v>
      </c>
      <c r="C284">
        <v>99019875</v>
      </c>
      <c r="D284" s="7" t="s">
        <v>62</v>
      </c>
      <c r="E284" t="s">
        <v>63</v>
      </c>
      <c r="F284" t="s">
        <v>176</v>
      </c>
      <c r="G284" t="s">
        <v>177</v>
      </c>
      <c r="H284" s="133">
        <v>1000</v>
      </c>
      <c r="I284">
        <v>0</v>
      </c>
      <c r="J284" s="133">
        <v>1000</v>
      </c>
      <c r="K284" s="133">
        <v>34385</v>
      </c>
      <c r="L284" s="133">
        <v>34385</v>
      </c>
      <c r="M284" s="150">
        <v>0.4192939814814815</v>
      </c>
      <c r="N284" s="150">
        <v>0.4192939814814815</v>
      </c>
      <c r="O284" t="s">
        <v>172</v>
      </c>
      <c r="Q284">
        <v>626246</v>
      </c>
      <c r="R284">
        <v>626246</v>
      </c>
      <c r="S284">
        <v>626216</v>
      </c>
      <c r="T284">
        <v>0</v>
      </c>
      <c r="U284" t="s">
        <v>173</v>
      </c>
      <c r="V284">
        <v>0</v>
      </c>
      <c r="W284" t="s">
        <v>174</v>
      </c>
      <c r="X284">
        <v>626216</v>
      </c>
      <c r="Z284" t="s">
        <v>175</v>
      </c>
      <c r="AA284" t="s">
        <v>173</v>
      </c>
    </row>
    <row r="285" spans="1:27" x14ac:dyDescent="0.3">
      <c r="A285">
        <v>284</v>
      </c>
      <c r="B285" t="s">
        <v>169</v>
      </c>
      <c r="C285">
        <v>99019875</v>
      </c>
      <c r="D285" s="7" t="s">
        <v>140</v>
      </c>
      <c r="E285" t="s">
        <v>178</v>
      </c>
      <c r="F285" t="s">
        <v>176</v>
      </c>
      <c r="G285" t="s">
        <v>177</v>
      </c>
      <c r="H285" s="133">
        <v>1000</v>
      </c>
      <c r="I285">
        <v>0</v>
      </c>
      <c r="J285" s="133">
        <v>1000</v>
      </c>
      <c r="K285" s="133">
        <v>8725</v>
      </c>
      <c r="L285" s="133">
        <v>8725</v>
      </c>
      <c r="M285" s="150">
        <v>0.41931712962962964</v>
      </c>
      <c r="N285" s="150">
        <v>0.41936342592592596</v>
      </c>
      <c r="O285" t="s">
        <v>172</v>
      </c>
      <c r="Q285">
        <v>626727</v>
      </c>
      <c r="R285">
        <v>626727</v>
      </c>
      <c r="S285">
        <v>626041</v>
      </c>
      <c r="T285">
        <v>0</v>
      </c>
      <c r="U285" t="s">
        <v>173</v>
      </c>
      <c r="V285">
        <v>0</v>
      </c>
      <c r="W285" t="s">
        <v>174</v>
      </c>
      <c r="X285">
        <v>626041</v>
      </c>
      <c r="Z285" t="s">
        <v>175</v>
      </c>
      <c r="AA285" t="s">
        <v>173</v>
      </c>
    </row>
    <row r="286" spans="1:27" x14ac:dyDescent="0.3">
      <c r="A286">
        <v>285</v>
      </c>
      <c r="B286" t="s">
        <v>169</v>
      </c>
      <c r="C286">
        <v>99019875</v>
      </c>
      <c r="D286" s="7" t="s">
        <v>71</v>
      </c>
      <c r="E286" t="s">
        <v>72</v>
      </c>
      <c r="F286" t="s">
        <v>176</v>
      </c>
      <c r="G286" t="s">
        <v>177</v>
      </c>
      <c r="H286" s="133">
        <v>1000</v>
      </c>
      <c r="I286">
        <v>0</v>
      </c>
      <c r="J286" s="133">
        <v>1000</v>
      </c>
      <c r="K286" s="133">
        <v>18350</v>
      </c>
      <c r="L286" s="133">
        <v>18350</v>
      </c>
      <c r="M286" s="150">
        <v>0.41935185185185181</v>
      </c>
      <c r="N286" s="150">
        <v>0.41935185185185181</v>
      </c>
      <c r="O286" t="s">
        <v>172</v>
      </c>
      <c r="Q286">
        <v>627092</v>
      </c>
      <c r="R286">
        <v>627092</v>
      </c>
      <c r="S286">
        <v>627044</v>
      </c>
      <c r="T286">
        <v>0</v>
      </c>
      <c r="U286" t="s">
        <v>173</v>
      </c>
      <c r="V286">
        <v>0</v>
      </c>
      <c r="W286" t="s">
        <v>174</v>
      </c>
      <c r="X286">
        <v>627044</v>
      </c>
      <c r="Z286" t="s">
        <v>175</v>
      </c>
      <c r="AA286" t="s">
        <v>173</v>
      </c>
    </row>
    <row r="287" spans="1:27" x14ac:dyDescent="0.3">
      <c r="A287">
        <v>286</v>
      </c>
      <c r="B287" t="s">
        <v>169</v>
      </c>
      <c r="C287">
        <v>99019875</v>
      </c>
      <c r="D287" s="7" t="s">
        <v>75</v>
      </c>
      <c r="E287" t="s">
        <v>76</v>
      </c>
      <c r="F287" t="s">
        <v>176</v>
      </c>
      <c r="G287" t="s">
        <v>177</v>
      </c>
      <c r="H287" s="133">
        <v>1000</v>
      </c>
      <c r="I287">
        <v>0</v>
      </c>
      <c r="J287" s="133">
        <v>1000</v>
      </c>
      <c r="K287" s="133">
        <v>21150</v>
      </c>
      <c r="L287" s="133">
        <v>21150</v>
      </c>
      <c r="M287" s="150">
        <v>0.419375</v>
      </c>
      <c r="N287" s="150">
        <v>0.419375</v>
      </c>
      <c r="O287" t="s">
        <v>172</v>
      </c>
      <c r="Q287">
        <v>627398</v>
      </c>
      <c r="R287">
        <v>627398</v>
      </c>
      <c r="S287">
        <v>627394</v>
      </c>
      <c r="T287">
        <v>0</v>
      </c>
      <c r="U287" t="s">
        <v>173</v>
      </c>
      <c r="V287">
        <v>0</v>
      </c>
      <c r="W287" t="s">
        <v>174</v>
      </c>
      <c r="X287">
        <v>627394</v>
      </c>
      <c r="Z287" t="s">
        <v>175</v>
      </c>
      <c r="AA287" t="s">
        <v>173</v>
      </c>
    </row>
    <row r="288" spans="1:27" x14ac:dyDescent="0.3">
      <c r="A288">
        <v>287</v>
      </c>
      <c r="B288" t="s">
        <v>169</v>
      </c>
      <c r="C288">
        <v>99019875</v>
      </c>
      <c r="D288" s="7" t="s">
        <v>62</v>
      </c>
      <c r="E288" t="s">
        <v>63</v>
      </c>
      <c r="F288" t="s">
        <v>170</v>
      </c>
      <c r="G288" t="s">
        <v>177</v>
      </c>
      <c r="H288" s="133">
        <v>1000</v>
      </c>
      <c r="I288">
        <v>0</v>
      </c>
      <c r="J288" s="133">
        <v>1000</v>
      </c>
      <c r="K288" s="133">
        <v>34440</v>
      </c>
      <c r="L288" s="133">
        <v>34440</v>
      </c>
      <c r="M288" s="150">
        <v>0.41979166666666662</v>
      </c>
      <c r="N288" s="150">
        <v>0.41980324074074077</v>
      </c>
      <c r="O288" t="s">
        <v>172</v>
      </c>
      <c r="Q288">
        <v>632610</v>
      </c>
      <c r="R288">
        <v>632610</v>
      </c>
      <c r="S288">
        <v>632583</v>
      </c>
      <c r="T288">
        <v>0</v>
      </c>
      <c r="U288" t="s">
        <v>173</v>
      </c>
      <c r="V288">
        <v>0</v>
      </c>
      <c r="W288" t="s">
        <v>174</v>
      </c>
      <c r="X288">
        <v>632583</v>
      </c>
      <c r="Z288" t="s">
        <v>175</v>
      </c>
      <c r="AA288" t="s">
        <v>173</v>
      </c>
    </row>
    <row r="289" spans="1:27" x14ac:dyDescent="0.3">
      <c r="A289">
        <v>288</v>
      </c>
      <c r="B289" t="s">
        <v>180</v>
      </c>
      <c r="C289">
        <v>99019421</v>
      </c>
      <c r="D289" s="7" t="s">
        <v>185</v>
      </c>
      <c r="E289" t="s">
        <v>181</v>
      </c>
      <c r="F289" t="s">
        <v>176</v>
      </c>
      <c r="G289" t="s">
        <v>177</v>
      </c>
      <c r="H289" s="133">
        <v>10000</v>
      </c>
      <c r="I289">
        <v>0</v>
      </c>
      <c r="J289">
        <v>558</v>
      </c>
      <c r="K289" s="133">
        <v>13875</v>
      </c>
      <c r="L289" s="133">
        <v>13875</v>
      </c>
      <c r="M289" s="150">
        <v>0.41989583333333336</v>
      </c>
      <c r="N289" s="150">
        <v>0.41994212962962968</v>
      </c>
      <c r="O289" t="s">
        <v>172</v>
      </c>
      <c r="Q289">
        <v>634238</v>
      </c>
      <c r="R289">
        <v>634238</v>
      </c>
      <c r="S289">
        <v>634233</v>
      </c>
      <c r="T289" s="133">
        <v>9442</v>
      </c>
      <c r="U289" t="s">
        <v>173</v>
      </c>
      <c r="V289">
        <v>0</v>
      </c>
      <c r="W289" t="s">
        <v>174</v>
      </c>
      <c r="X289">
        <v>634233</v>
      </c>
      <c r="Y289" t="s">
        <v>182</v>
      </c>
      <c r="Z289" t="s">
        <v>183</v>
      </c>
      <c r="AA289" t="s">
        <v>173</v>
      </c>
    </row>
    <row r="290" spans="1:27" x14ac:dyDescent="0.3">
      <c r="A290">
        <v>289</v>
      </c>
      <c r="B290" t="s">
        <v>180</v>
      </c>
      <c r="C290">
        <v>99019421</v>
      </c>
      <c r="D290" s="7" t="s">
        <v>185</v>
      </c>
      <c r="E290" t="s">
        <v>181</v>
      </c>
      <c r="F290" t="s">
        <v>176</v>
      </c>
      <c r="G290" t="s">
        <v>177</v>
      </c>
      <c r="H290" s="133">
        <v>10000</v>
      </c>
      <c r="I290">
        <v>0</v>
      </c>
      <c r="J290">
        <v>300</v>
      </c>
      <c r="K290" s="133">
        <v>13870</v>
      </c>
      <c r="L290" s="133">
        <v>13870</v>
      </c>
      <c r="M290" s="150">
        <v>0.41991898148148149</v>
      </c>
      <c r="N290" s="150">
        <v>0.41993055555555553</v>
      </c>
      <c r="O290" t="s">
        <v>172</v>
      </c>
      <c r="Q290">
        <v>634504</v>
      </c>
      <c r="R290">
        <v>634504</v>
      </c>
      <c r="S290">
        <v>633970</v>
      </c>
      <c r="T290" s="133">
        <v>9700</v>
      </c>
      <c r="U290" t="s">
        <v>173</v>
      </c>
      <c r="V290">
        <v>0</v>
      </c>
      <c r="W290" t="s">
        <v>174</v>
      </c>
      <c r="X290">
        <v>633970</v>
      </c>
      <c r="Y290" t="s">
        <v>182</v>
      </c>
      <c r="Z290" t="s">
        <v>183</v>
      </c>
      <c r="AA290" t="s">
        <v>173</v>
      </c>
    </row>
    <row r="291" spans="1:27" x14ac:dyDescent="0.3">
      <c r="A291">
        <v>290</v>
      </c>
      <c r="B291" t="s">
        <v>169</v>
      </c>
      <c r="C291">
        <v>99019875</v>
      </c>
      <c r="D291" s="7" t="s">
        <v>140</v>
      </c>
      <c r="E291" t="s">
        <v>178</v>
      </c>
      <c r="F291" t="s">
        <v>176</v>
      </c>
      <c r="G291" t="s">
        <v>177</v>
      </c>
      <c r="H291" s="133">
        <v>1000</v>
      </c>
      <c r="I291">
        <v>0</v>
      </c>
      <c r="J291" s="133">
        <v>1000</v>
      </c>
      <c r="K291" s="133">
        <v>8740</v>
      </c>
      <c r="L291" s="133">
        <v>8740</v>
      </c>
      <c r="M291" s="150">
        <v>0.41996527777777781</v>
      </c>
      <c r="N291" s="150">
        <v>0.42</v>
      </c>
      <c r="O291" t="s">
        <v>172</v>
      </c>
      <c r="Q291">
        <v>634828</v>
      </c>
      <c r="R291">
        <v>634828</v>
      </c>
      <c r="S291">
        <v>634242</v>
      </c>
      <c r="T291">
        <v>0</v>
      </c>
      <c r="U291" t="s">
        <v>173</v>
      </c>
      <c r="V291">
        <v>0</v>
      </c>
      <c r="W291" t="s">
        <v>174</v>
      </c>
      <c r="X291">
        <v>634242</v>
      </c>
      <c r="Z291" t="s">
        <v>175</v>
      </c>
      <c r="AA291" t="s">
        <v>173</v>
      </c>
    </row>
    <row r="292" spans="1:27" x14ac:dyDescent="0.3">
      <c r="A292">
        <v>291</v>
      </c>
      <c r="B292" t="s">
        <v>169</v>
      </c>
      <c r="C292">
        <v>99019875</v>
      </c>
      <c r="D292" s="7" t="s">
        <v>75</v>
      </c>
      <c r="E292" t="s">
        <v>76</v>
      </c>
      <c r="F292" t="s">
        <v>176</v>
      </c>
      <c r="G292" t="s">
        <v>177</v>
      </c>
      <c r="H292" s="133">
        <v>1000</v>
      </c>
      <c r="I292">
        <v>0</v>
      </c>
      <c r="J292" s="133">
        <v>1000</v>
      </c>
      <c r="K292" s="133">
        <v>21145</v>
      </c>
      <c r="L292" s="133">
        <v>21145</v>
      </c>
      <c r="M292" s="150">
        <v>0.41997685185185185</v>
      </c>
      <c r="N292" s="150">
        <v>0.41998842592592589</v>
      </c>
      <c r="O292" t="s">
        <v>172</v>
      </c>
      <c r="Q292">
        <v>634924</v>
      </c>
      <c r="R292">
        <v>634924</v>
      </c>
      <c r="S292">
        <v>634485</v>
      </c>
      <c r="T292">
        <v>0</v>
      </c>
      <c r="U292" t="s">
        <v>173</v>
      </c>
      <c r="V292">
        <v>0</v>
      </c>
      <c r="W292" t="s">
        <v>174</v>
      </c>
      <c r="X292">
        <v>634485</v>
      </c>
      <c r="Z292" t="s">
        <v>175</v>
      </c>
      <c r="AA292" t="s">
        <v>173</v>
      </c>
    </row>
    <row r="293" spans="1:27" x14ac:dyDescent="0.3">
      <c r="A293">
        <v>292</v>
      </c>
      <c r="B293" t="s">
        <v>169</v>
      </c>
      <c r="C293">
        <v>99019875</v>
      </c>
      <c r="D293" s="7" t="s">
        <v>67</v>
      </c>
      <c r="E293" t="s">
        <v>68</v>
      </c>
      <c r="F293" t="s">
        <v>176</v>
      </c>
      <c r="G293" t="s">
        <v>177</v>
      </c>
      <c r="H293" s="133">
        <v>1000</v>
      </c>
      <c r="I293">
        <v>0</v>
      </c>
      <c r="J293">
        <v>82</v>
      </c>
      <c r="K293" s="133">
        <v>4930</v>
      </c>
      <c r="L293" s="133">
        <v>4930</v>
      </c>
      <c r="M293" s="150">
        <v>0.42018518518518522</v>
      </c>
      <c r="N293" s="150">
        <v>0.42024305555555558</v>
      </c>
      <c r="O293" t="s">
        <v>172</v>
      </c>
      <c r="Q293">
        <v>637768</v>
      </c>
      <c r="R293">
        <v>637768</v>
      </c>
      <c r="S293">
        <v>636964</v>
      </c>
      <c r="T293">
        <v>918</v>
      </c>
      <c r="U293" t="s">
        <v>173</v>
      </c>
      <c r="V293">
        <v>0</v>
      </c>
      <c r="W293" t="s">
        <v>174</v>
      </c>
      <c r="X293">
        <v>636964</v>
      </c>
      <c r="Z293" t="s">
        <v>175</v>
      </c>
      <c r="AA293" t="s">
        <v>173</v>
      </c>
    </row>
    <row r="294" spans="1:27" x14ac:dyDescent="0.3">
      <c r="A294">
        <v>293</v>
      </c>
      <c r="B294" t="s">
        <v>180</v>
      </c>
      <c r="C294">
        <v>99019421</v>
      </c>
      <c r="D294" s="7" t="s">
        <v>185</v>
      </c>
      <c r="E294" t="s">
        <v>181</v>
      </c>
      <c r="F294" t="s">
        <v>176</v>
      </c>
      <c r="G294" t="s">
        <v>177</v>
      </c>
      <c r="H294" s="133">
        <v>10000</v>
      </c>
      <c r="I294">
        <v>0</v>
      </c>
      <c r="J294" s="133">
        <v>10000</v>
      </c>
      <c r="K294" s="133">
        <v>13905</v>
      </c>
      <c r="L294" s="133">
        <v>13905</v>
      </c>
      <c r="M294" s="150">
        <v>0.42033564814814817</v>
      </c>
      <c r="N294" s="150">
        <v>0.4203587962962963</v>
      </c>
      <c r="O294" t="s">
        <v>172</v>
      </c>
      <c r="Q294">
        <v>639522</v>
      </c>
      <c r="R294">
        <v>639522</v>
      </c>
      <c r="S294">
        <v>639164</v>
      </c>
      <c r="T294">
        <v>0</v>
      </c>
      <c r="U294" t="s">
        <v>173</v>
      </c>
      <c r="V294">
        <v>0</v>
      </c>
      <c r="W294" t="s">
        <v>174</v>
      </c>
      <c r="X294">
        <v>639164</v>
      </c>
      <c r="Y294" t="s">
        <v>182</v>
      </c>
      <c r="Z294" t="s">
        <v>183</v>
      </c>
      <c r="AA294" t="s">
        <v>173</v>
      </c>
    </row>
    <row r="295" spans="1:27" x14ac:dyDescent="0.3">
      <c r="A295">
        <v>294</v>
      </c>
      <c r="B295" t="s">
        <v>169</v>
      </c>
      <c r="C295">
        <v>99019875</v>
      </c>
      <c r="D295" s="7" t="s">
        <v>75</v>
      </c>
      <c r="E295" t="s">
        <v>76</v>
      </c>
      <c r="F295" t="s">
        <v>176</v>
      </c>
      <c r="G295" t="s">
        <v>177</v>
      </c>
      <c r="H295" s="133">
        <v>1000</v>
      </c>
      <c r="I295">
        <v>0</v>
      </c>
      <c r="J295">
        <v>5</v>
      </c>
      <c r="K295" s="133">
        <v>21145</v>
      </c>
      <c r="L295" s="133">
        <v>21145</v>
      </c>
      <c r="M295" s="150">
        <v>0.42046296296296298</v>
      </c>
      <c r="N295" s="150">
        <v>0.42046296296296298</v>
      </c>
      <c r="O295" t="s">
        <v>172</v>
      </c>
      <c r="Q295">
        <v>640692</v>
      </c>
      <c r="R295">
        <v>640692</v>
      </c>
      <c r="S295">
        <v>640683</v>
      </c>
      <c r="T295">
        <v>995</v>
      </c>
      <c r="U295" t="s">
        <v>173</v>
      </c>
      <c r="V295">
        <v>0</v>
      </c>
      <c r="W295" t="s">
        <v>174</v>
      </c>
      <c r="X295">
        <v>640683</v>
      </c>
      <c r="Z295" t="s">
        <v>175</v>
      </c>
      <c r="AA295" t="s">
        <v>173</v>
      </c>
    </row>
    <row r="296" spans="1:27" x14ac:dyDescent="0.3">
      <c r="A296">
        <v>295</v>
      </c>
      <c r="B296" t="s">
        <v>169</v>
      </c>
      <c r="C296">
        <v>99019875</v>
      </c>
      <c r="D296" s="7" t="s">
        <v>62</v>
      </c>
      <c r="E296" t="s">
        <v>63</v>
      </c>
      <c r="F296" t="s">
        <v>176</v>
      </c>
      <c r="G296" t="s">
        <v>177</v>
      </c>
      <c r="H296" s="133">
        <v>1000</v>
      </c>
      <c r="I296">
        <v>0</v>
      </c>
      <c r="J296">
        <v>15</v>
      </c>
      <c r="K296" s="133">
        <v>34430</v>
      </c>
      <c r="L296" s="133">
        <v>34430</v>
      </c>
      <c r="M296" s="150">
        <v>0.42069444444444443</v>
      </c>
      <c r="N296" s="150">
        <v>0.42070601851851852</v>
      </c>
      <c r="O296" t="s">
        <v>172</v>
      </c>
      <c r="Q296">
        <v>643069</v>
      </c>
      <c r="R296">
        <v>643069</v>
      </c>
      <c r="S296">
        <v>643046</v>
      </c>
      <c r="T296">
        <v>985</v>
      </c>
      <c r="U296" t="s">
        <v>173</v>
      </c>
      <c r="V296">
        <v>0</v>
      </c>
      <c r="W296" t="s">
        <v>174</v>
      </c>
      <c r="X296">
        <v>643046</v>
      </c>
      <c r="Z296" t="s">
        <v>175</v>
      </c>
      <c r="AA296" t="s">
        <v>173</v>
      </c>
    </row>
    <row r="297" spans="1:27" x14ac:dyDescent="0.3">
      <c r="A297">
        <v>296</v>
      </c>
      <c r="B297" t="s">
        <v>169</v>
      </c>
      <c r="C297">
        <v>99019875</v>
      </c>
      <c r="D297" s="7" t="s">
        <v>75</v>
      </c>
      <c r="E297" t="s">
        <v>76</v>
      </c>
      <c r="F297" t="s">
        <v>176</v>
      </c>
      <c r="G297" t="s">
        <v>177</v>
      </c>
      <c r="H297" s="133">
        <v>1000</v>
      </c>
      <c r="I297">
        <v>0</v>
      </c>
      <c r="J297">
        <v>1</v>
      </c>
      <c r="K297" s="133">
        <v>21135</v>
      </c>
      <c r="L297" s="133">
        <v>21135</v>
      </c>
      <c r="M297" s="150">
        <v>0.42090277777777779</v>
      </c>
      <c r="N297" s="150">
        <v>0.42091435185185189</v>
      </c>
      <c r="O297" t="s">
        <v>172</v>
      </c>
      <c r="Q297">
        <v>645425</v>
      </c>
      <c r="R297">
        <v>645425</v>
      </c>
      <c r="S297">
        <v>645202</v>
      </c>
      <c r="T297">
        <v>999</v>
      </c>
      <c r="U297" t="s">
        <v>173</v>
      </c>
      <c r="V297">
        <v>0</v>
      </c>
      <c r="W297" t="s">
        <v>174</v>
      </c>
      <c r="X297">
        <v>645202</v>
      </c>
      <c r="Z297" t="s">
        <v>175</v>
      </c>
      <c r="AA297" t="s">
        <v>173</v>
      </c>
    </row>
    <row r="298" spans="1:27" x14ac:dyDescent="0.3">
      <c r="A298">
        <v>297</v>
      </c>
      <c r="B298" t="s">
        <v>169</v>
      </c>
      <c r="C298">
        <v>99019875</v>
      </c>
      <c r="D298" s="7" t="s">
        <v>62</v>
      </c>
      <c r="E298" t="s">
        <v>63</v>
      </c>
      <c r="F298" t="s">
        <v>170</v>
      </c>
      <c r="G298" t="s">
        <v>177</v>
      </c>
      <c r="H298" s="133">
        <v>1000</v>
      </c>
      <c r="I298">
        <v>0</v>
      </c>
      <c r="J298" s="133">
        <v>1000</v>
      </c>
      <c r="K298" s="133">
        <v>34380</v>
      </c>
      <c r="L298" s="133">
        <v>34380</v>
      </c>
      <c r="M298" s="150">
        <v>0.42131944444444441</v>
      </c>
      <c r="N298" s="150">
        <v>0.4213425925925926</v>
      </c>
      <c r="O298" t="s">
        <v>172</v>
      </c>
      <c r="Q298">
        <v>649068</v>
      </c>
      <c r="R298">
        <v>649068</v>
      </c>
      <c r="S298">
        <v>649038</v>
      </c>
      <c r="T298">
        <v>0</v>
      </c>
      <c r="U298" t="s">
        <v>173</v>
      </c>
      <c r="V298">
        <v>0</v>
      </c>
      <c r="W298" t="s">
        <v>174</v>
      </c>
      <c r="X298">
        <v>649038</v>
      </c>
      <c r="Z298" t="s">
        <v>175</v>
      </c>
      <c r="AA298" t="s">
        <v>173</v>
      </c>
    </row>
    <row r="299" spans="1:27" x14ac:dyDescent="0.3">
      <c r="A299">
        <v>298</v>
      </c>
      <c r="B299" t="s">
        <v>169</v>
      </c>
      <c r="C299">
        <v>99019875</v>
      </c>
      <c r="D299" s="7" t="s">
        <v>62</v>
      </c>
      <c r="E299" t="s">
        <v>63</v>
      </c>
      <c r="F299" t="s">
        <v>170</v>
      </c>
      <c r="G299" t="s">
        <v>177</v>
      </c>
      <c r="H299" s="133">
        <v>1000</v>
      </c>
      <c r="I299">
        <v>0</v>
      </c>
      <c r="J299" s="133">
        <v>1000</v>
      </c>
      <c r="K299" s="133">
        <v>34370</v>
      </c>
      <c r="L299" s="133">
        <v>34370</v>
      </c>
      <c r="M299" s="150">
        <v>0.42168981481481477</v>
      </c>
      <c r="N299" s="150">
        <v>0.42170138888888892</v>
      </c>
      <c r="O299" t="s">
        <v>172</v>
      </c>
      <c r="Q299">
        <v>652147</v>
      </c>
      <c r="R299">
        <v>652147</v>
      </c>
      <c r="S299">
        <v>652133</v>
      </c>
      <c r="T299">
        <v>0</v>
      </c>
      <c r="U299" t="s">
        <v>173</v>
      </c>
      <c r="V299">
        <v>0</v>
      </c>
      <c r="W299" t="s">
        <v>174</v>
      </c>
      <c r="X299">
        <v>652133</v>
      </c>
      <c r="Z299" t="s">
        <v>175</v>
      </c>
      <c r="AA299" t="s">
        <v>173</v>
      </c>
    </row>
    <row r="300" spans="1:27" x14ac:dyDescent="0.3">
      <c r="A300">
        <v>299</v>
      </c>
      <c r="B300" t="s">
        <v>169</v>
      </c>
      <c r="C300">
        <v>99019875</v>
      </c>
      <c r="D300" s="7" t="s">
        <v>75</v>
      </c>
      <c r="E300" t="s">
        <v>76</v>
      </c>
      <c r="F300" t="s">
        <v>176</v>
      </c>
      <c r="G300" t="s">
        <v>177</v>
      </c>
      <c r="H300" s="133">
        <v>1000</v>
      </c>
      <c r="I300">
        <v>0</v>
      </c>
      <c r="J300">
        <v>4</v>
      </c>
      <c r="K300" s="133">
        <v>21120</v>
      </c>
      <c r="L300" s="133">
        <v>21120</v>
      </c>
      <c r="M300" s="150">
        <v>0.42172453703703705</v>
      </c>
      <c r="N300" s="150">
        <v>0.42173611111111109</v>
      </c>
      <c r="O300" t="s">
        <v>172</v>
      </c>
      <c r="Q300">
        <v>652431</v>
      </c>
      <c r="R300">
        <v>652431</v>
      </c>
      <c r="S300">
        <v>652425</v>
      </c>
      <c r="T300">
        <v>996</v>
      </c>
      <c r="U300" t="s">
        <v>173</v>
      </c>
      <c r="V300">
        <v>0</v>
      </c>
      <c r="W300" t="s">
        <v>174</v>
      </c>
      <c r="X300">
        <v>652425</v>
      </c>
      <c r="Z300" t="s">
        <v>175</v>
      </c>
      <c r="AA300" t="s">
        <v>173</v>
      </c>
    </row>
    <row r="301" spans="1:27" x14ac:dyDescent="0.3">
      <c r="A301">
        <v>300</v>
      </c>
      <c r="B301" t="s">
        <v>169</v>
      </c>
      <c r="C301">
        <v>99019875</v>
      </c>
      <c r="D301" s="7" t="s">
        <v>75</v>
      </c>
      <c r="E301" t="s">
        <v>76</v>
      </c>
      <c r="F301" t="s">
        <v>176</v>
      </c>
      <c r="G301" t="s">
        <v>177</v>
      </c>
      <c r="H301" s="133">
        <v>1000</v>
      </c>
      <c r="I301">
        <v>0</v>
      </c>
      <c r="J301">
        <v>31</v>
      </c>
      <c r="K301" s="133">
        <v>21105</v>
      </c>
      <c r="L301" s="133">
        <v>21105</v>
      </c>
      <c r="M301" s="150">
        <v>0.42208333333333337</v>
      </c>
      <c r="N301" s="150">
        <v>0.42208333333333337</v>
      </c>
      <c r="O301" t="s">
        <v>172</v>
      </c>
      <c r="Q301">
        <v>656180</v>
      </c>
      <c r="R301">
        <v>656180</v>
      </c>
      <c r="S301">
        <v>656083</v>
      </c>
      <c r="T301">
        <v>969</v>
      </c>
      <c r="U301" t="s">
        <v>173</v>
      </c>
      <c r="V301">
        <v>0</v>
      </c>
      <c r="W301" t="s">
        <v>174</v>
      </c>
      <c r="X301">
        <v>656083</v>
      </c>
      <c r="Z301" t="s">
        <v>175</v>
      </c>
      <c r="AA301" t="s">
        <v>173</v>
      </c>
    </row>
    <row r="302" spans="1:27" x14ac:dyDescent="0.3">
      <c r="A302">
        <v>301</v>
      </c>
      <c r="B302" t="s">
        <v>169</v>
      </c>
      <c r="C302">
        <v>99019875</v>
      </c>
      <c r="D302" s="7" t="s">
        <v>62</v>
      </c>
      <c r="E302" t="s">
        <v>63</v>
      </c>
      <c r="F302" t="s">
        <v>176</v>
      </c>
      <c r="G302" t="s">
        <v>177</v>
      </c>
      <c r="H302" s="133">
        <v>1000</v>
      </c>
      <c r="I302">
        <v>0</v>
      </c>
      <c r="J302" s="133">
        <v>1000</v>
      </c>
      <c r="K302" s="133">
        <v>34400</v>
      </c>
      <c r="L302" s="133">
        <v>34400</v>
      </c>
      <c r="M302" s="150">
        <v>0.42214120370370373</v>
      </c>
      <c r="N302" s="150">
        <v>0.42214120370370373</v>
      </c>
      <c r="O302" t="s">
        <v>172</v>
      </c>
      <c r="Q302">
        <v>656933</v>
      </c>
      <c r="R302">
        <v>656933</v>
      </c>
      <c r="S302">
        <v>656911</v>
      </c>
      <c r="T302">
        <v>0</v>
      </c>
      <c r="U302" t="s">
        <v>173</v>
      </c>
      <c r="V302">
        <v>0</v>
      </c>
      <c r="W302" t="s">
        <v>174</v>
      </c>
      <c r="X302">
        <v>656911</v>
      </c>
      <c r="Z302" t="s">
        <v>175</v>
      </c>
      <c r="AA302" t="s">
        <v>173</v>
      </c>
    </row>
    <row r="303" spans="1:27" x14ac:dyDescent="0.3">
      <c r="A303">
        <v>302</v>
      </c>
      <c r="B303" t="s">
        <v>169</v>
      </c>
      <c r="C303">
        <v>99019875</v>
      </c>
      <c r="D303" s="7" t="s">
        <v>75</v>
      </c>
      <c r="E303" t="s">
        <v>76</v>
      </c>
      <c r="F303" t="s">
        <v>176</v>
      </c>
      <c r="G303" t="s">
        <v>171</v>
      </c>
      <c r="H303" s="133">
        <v>1000</v>
      </c>
      <c r="I303">
        <v>0</v>
      </c>
      <c r="J303" s="133">
        <v>1000</v>
      </c>
      <c r="K303" s="133">
        <v>21110</v>
      </c>
      <c r="L303" s="133">
        <v>21110</v>
      </c>
      <c r="M303" s="150">
        <v>0.42243055555555559</v>
      </c>
      <c r="N303" s="150">
        <v>0.42243055555555559</v>
      </c>
      <c r="O303" t="s">
        <v>172</v>
      </c>
      <c r="Q303">
        <v>659339</v>
      </c>
      <c r="R303">
        <v>659339</v>
      </c>
      <c r="S303">
        <v>0</v>
      </c>
      <c r="T303">
        <v>0</v>
      </c>
      <c r="U303" t="s">
        <v>173</v>
      </c>
      <c r="V303">
        <v>0</v>
      </c>
      <c r="W303" t="s">
        <v>174</v>
      </c>
      <c r="X303">
        <v>0</v>
      </c>
      <c r="Z303" t="s">
        <v>175</v>
      </c>
      <c r="AA303" t="s">
        <v>173</v>
      </c>
    </row>
    <row r="304" spans="1:27" x14ac:dyDescent="0.3">
      <c r="A304">
        <v>303</v>
      </c>
      <c r="B304" t="s">
        <v>169</v>
      </c>
      <c r="C304">
        <v>99019875</v>
      </c>
      <c r="D304" s="7" t="s">
        <v>102</v>
      </c>
      <c r="E304" t="s">
        <v>103</v>
      </c>
      <c r="F304" t="s">
        <v>170</v>
      </c>
      <c r="G304" t="s">
        <v>177</v>
      </c>
      <c r="H304" s="133">
        <v>1000</v>
      </c>
      <c r="I304">
        <v>0</v>
      </c>
      <c r="J304">
        <v>295</v>
      </c>
      <c r="K304" s="133">
        <v>27210</v>
      </c>
      <c r="L304" s="133">
        <v>27210</v>
      </c>
      <c r="M304" s="150">
        <v>0.42266203703703703</v>
      </c>
      <c r="N304" s="150">
        <v>0.42266203703703703</v>
      </c>
      <c r="O304" t="s">
        <v>172</v>
      </c>
      <c r="Q304">
        <v>661232</v>
      </c>
      <c r="R304">
        <v>661232</v>
      </c>
      <c r="S304">
        <v>661214</v>
      </c>
      <c r="T304">
        <v>705</v>
      </c>
      <c r="U304" t="s">
        <v>173</v>
      </c>
      <c r="V304">
        <v>0</v>
      </c>
      <c r="W304" t="s">
        <v>174</v>
      </c>
      <c r="X304">
        <v>661214</v>
      </c>
      <c r="Z304" t="s">
        <v>175</v>
      </c>
      <c r="AA304" t="s">
        <v>173</v>
      </c>
    </row>
    <row r="305" spans="1:27" x14ac:dyDescent="0.3">
      <c r="A305">
        <v>304</v>
      </c>
      <c r="B305" t="s">
        <v>169</v>
      </c>
      <c r="C305">
        <v>99019875</v>
      </c>
      <c r="D305" s="7" t="s">
        <v>75</v>
      </c>
      <c r="E305" t="s">
        <v>76</v>
      </c>
      <c r="F305" t="s">
        <v>176</v>
      </c>
      <c r="G305" t="s">
        <v>177</v>
      </c>
      <c r="H305" s="133">
        <v>1000</v>
      </c>
      <c r="I305">
        <v>0</v>
      </c>
      <c r="J305">
        <v>1</v>
      </c>
      <c r="K305" s="133">
        <v>21110</v>
      </c>
      <c r="L305" s="133">
        <v>21110</v>
      </c>
      <c r="M305" s="150">
        <v>0.42307870370370365</v>
      </c>
      <c r="N305" s="150">
        <v>0.4230902777777778</v>
      </c>
      <c r="O305" t="s">
        <v>172</v>
      </c>
      <c r="Q305">
        <v>664852</v>
      </c>
      <c r="R305">
        <v>664852</v>
      </c>
      <c r="S305">
        <v>664702</v>
      </c>
      <c r="T305">
        <v>999</v>
      </c>
      <c r="U305" t="s">
        <v>173</v>
      </c>
      <c r="V305">
        <v>0</v>
      </c>
      <c r="W305" t="s">
        <v>174</v>
      </c>
      <c r="X305">
        <v>664702</v>
      </c>
      <c r="Z305" t="s">
        <v>175</v>
      </c>
      <c r="AA305" t="s">
        <v>173</v>
      </c>
    </row>
    <row r="306" spans="1:27" x14ac:dyDescent="0.3">
      <c r="A306">
        <v>305</v>
      </c>
      <c r="B306" t="s">
        <v>169</v>
      </c>
      <c r="C306">
        <v>99019875</v>
      </c>
      <c r="D306" s="7" t="s">
        <v>71</v>
      </c>
      <c r="E306" t="s">
        <v>72</v>
      </c>
      <c r="F306" t="s">
        <v>176</v>
      </c>
      <c r="G306" t="s">
        <v>177</v>
      </c>
      <c r="H306" s="133">
        <v>1000</v>
      </c>
      <c r="I306">
        <v>0</v>
      </c>
      <c r="J306">
        <v>1</v>
      </c>
      <c r="K306" s="133">
        <v>18335</v>
      </c>
      <c r="L306" s="133">
        <v>18335</v>
      </c>
      <c r="M306" s="150">
        <v>0.42331018518518521</v>
      </c>
      <c r="N306" s="150">
        <v>0.42333333333333334</v>
      </c>
      <c r="O306" t="s">
        <v>172</v>
      </c>
      <c r="Q306">
        <v>666915</v>
      </c>
      <c r="R306">
        <v>666915</v>
      </c>
      <c r="S306">
        <v>666912</v>
      </c>
      <c r="T306">
        <v>999</v>
      </c>
      <c r="U306" t="s">
        <v>173</v>
      </c>
      <c r="V306">
        <v>0</v>
      </c>
      <c r="W306" t="s">
        <v>174</v>
      </c>
      <c r="X306">
        <v>666912</v>
      </c>
      <c r="Z306" t="s">
        <v>175</v>
      </c>
      <c r="AA306" t="s">
        <v>173</v>
      </c>
    </row>
    <row r="307" spans="1:27" x14ac:dyDescent="0.3">
      <c r="A307">
        <v>306</v>
      </c>
      <c r="B307" t="s">
        <v>169</v>
      </c>
      <c r="C307">
        <v>99019875</v>
      </c>
      <c r="D307" s="7" t="s">
        <v>69</v>
      </c>
      <c r="E307" t="s">
        <v>70</v>
      </c>
      <c r="F307" t="s">
        <v>176</v>
      </c>
      <c r="G307" t="s">
        <v>177</v>
      </c>
      <c r="H307" s="133">
        <v>1000</v>
      </c>
      <c r="I307">
        <v>0</v>
      </c>
      <c r="J307">
        <v>952</v>
      </c>
      <c r="K307" s="133">
        <v>10480</v>
      </c>
      <c r="L307" s="133">
        <v>10480</v>
      </c>
      <c r="M307" s="150">
        <v>0.42333333333333334</v>
      </c>
      <c r="N307" s="150">
        <v>0.42335648148148147</v>
      </c>
      <c r="O307" t="s">
        <v>172</v>
      </c>
      <c r="Q307">
        <v>667145</v>
      </c>
      <c r="R307">
        <v>667145</v>
      </c>
      <c r="S307">
        <v>666977</v>
      </c>
      <c r="T307">
        <v>48</v>
      </c>
      <c r="U307" t="s">
        <v>173</v>
      </c>
      <c r="V307">
        <v>0</v>
      </c>
      <c r="W307" t="s">
        <v>174</v>
      </c>
      <c r="X307">
        <v>666977</v>
      </c>
      <c r="Z307" t="s">
        <v>175</v>
      </c>
      <c r="AA307" t="s">
        <v>173</v>
      </c>
    </row>
    <row r="308" spans="1:27" x14ac:dyDescent="0.3">
      <c r="A308">
        <v>307</v>
      </c>
      <c r="B308" t="s">
        <v>169</v>
      </c>
      <c r="C308">
        <v>99019875</v>
      </c>
      <c r="D308" s="7" t="s">
        <v>62</v>
      </c>
      <c r="E308" t="s">
        <v>63</v>
      </c>
      <c r="F308" t="s">
        <v>176</v>
      </c>
      <c r="G308" t="s">
        <v>177</v>
      </c>
      <c r="H308" s="133">
        <v>1000</v>
      </c>
      <c r="I308">
        <v>0</v>
      </c>
      <c r="J308" s="133">
        <v>1000</v>
      </c>
      <c r="K308" s="133">
        <v>34450</v>
      </c>
      <c r="L308" s="133">
        <v>34450</v>
      </c>
      <c r="M308" s="150">
        <v>0.42337962962962966</v>
      </c>
      <c r="N308" s="150">
        <v>0.4233912037037037</v>
      </c>
      <c r="O308" t="s">
        <v>172</v>
      </c>
      <c r="Q308">
        <v>667572</v>
      </c>
      <c r="R308">
        <v>667572</v>
      </c>
      <c r="S308">
        <v>667533</v>
      </c>
      <c r="T308">
        <v>0</v>
      </c>
      <c r="U308" t="s">
        <v>173</v>
      </c>
      <c r="V308">
        <v>0</v>
      </c>
      <c r="W308" t="s">
        <v>174</v>
      </c>
      <c r="X308">
        <v>667533</v>
      </c>
      <c r="Z308" t="s">
        <v>175</v>
      </c>
      <c r="AA308" t="s">
        <v>173</v>
      </c>
    </row>
    <row r="309" spans="1:27" x14ac:dyDescent="0.3">
      <c r="A309">
        <v>308</v>
      </c>
      <c r="B309" t="s">
        <v>169</v>
      </c>
      <c r="C309">
        <v>99019875</v>
      </c>
      <c r="D309" s="7" t="s">
        <v>110</v>
      </c>
      <c r="E309" t="s">
        <v>179</v>
      </c>
      <c r="F309" t="s">
        <v>176</v>
      </c>
      <c r="G309" t="s">
        <v>177</v>
      </c>
      <c r="H309">
        <v>500</v>
      </c>
      <c r="I309">
        <v>0</v>
      </c>
      <c r="J309">
        <v>81</v>
      </c>
      <c r="K309" s="133">
        <v>49160</v>
      </c>
      <c r="L309" s="133">
        <v>49160</v>
      </c>
      <c r="M309" s="150">
        <v>0.4233912037037037</v>
      </c>
      <c r="N309" s="150">
        <v>0.42340277777777779</v>
      </c>
      <c r="O309" t="s">
        <v>172</v>
      </c>
      <c r="Q309">
        <v>667714</v>
      </c>
      <c r="R309">
        <v>667714</v>
      </c>
      <c r="S309">
        <v>667711</v>
      </c>
      <c r="T309">
        <v>419</v>
      </c>
      <c r="U309" t="s">
        <v>173</v>
      </c>
      <c r="V309">
        <v>0</v>
      </c>
      <c r="W309" t="s">
        <v>174</v>
      </c>
      <c r="X309">
        <v>667711</v>
      </c>
      <c r="Z309" t="s">
        <v>175</v>
      </c>
      <c r="AA309" t="s">
        <v>173</v>
      </c>
    </row>
    <row r="310" spans="1:27" x14ac:dyDescent="0.3">
      <c r="A310">
        <v>309</v>
      </c>
      <c r="B310" t="s">
        <v>169</v>
      </c>
      <c r="C310">
        <v>99019875</v>
      </c>
      <c r="D310" s="7" t="s">
        <v>102</v>
      </c>
      <c r="E310" t="s">
        <v>103</v>
      </c>
      <c r="F310" t="s">
        <v>170</v>
      </c>
      <c r="G310" t="s">
        <v>177</v>
      </c>
      <c r="H310" s="133">
        <v>1000</v>
      </c>
      <c r="I310">
        <v>0</v>
      </c>
      <c r="J310">
        <v>1</v>
      </c>
      <c r="K310" s="133">
        <v>27250</v>
      </c>
      <c r="L310" s="133">
        <v>27250</v>
      </c>
      <c r="M310" s="150">
        <v>0.42385416666666664</v>
      </c>
      <c r="N310" s="150">
        <v>0.42387731481481478</v>
      </c>
      <c r="O310" t="s">
        <v>172</v>
      </c>
      <c r="Q310">
        <v>671745</v>
      </c>
      <c r="R310">
        <v>671745</v>
      </c>
      <c r="S310">
        <v>671672</v>
      </c>
      <c r="T310">
        <v>999</v>
      </c>
      <c r="U310" t="s">
        <v>173</v>
      </c>
      <c r="V310">
        <v>0</v>
      </c>
      <c r="W310" t="s">
        <v>174</v>
      </c>
      <c r="X310">
        <v>671672</v>
      </c>
      <c r="Z310" t="s">
        <v>175</v>
      </c>
      <c r="AA310" t="s">
        <v>173</v>
      </c>
    </row>
    <row r="311" spans="1:27" x14ac:dyDescent="0.3">
      <c r="A311">
        <v>310</v>
      </c>
      <c r="B311" t="s">
        <v>169</v>
      </c>
      <c r="C311">
        <v>99019875</v>
      </c>
      <c r="D311" s="7" t="s">
        <v>67</v>
      </c>
      <c r="E311" t="s">
        <v>68</v>
      </c>
      <c r="F311" t="s">
        <v>176</v>
      </c>
      <c r="G311" t="s">
        <v>177</v>
      </c>
      <c r="H311" s="133">
        <v>1000</v>
      </c>
      <c r="I311">
        <v>0</v>
      </c>
      <c r="J311">
        <v>50</v>
      </c>
      <c r="K311" s="133">
        <v>4940</v>
      </c>
      <c r="L311" s="133">
        <v>4940</v>
      </c>
      <c r="M311" s="150">
        <v>0.42391203703703706</v>
      </c>
      <c r="N311" s="150">
        <v>0.42418981481481483</v>
      </c>
      <c r="O311" t="s">
        <v>172</v>
      </c>
      <c r="Q311">
        <v>672229</v>
      </c>
      <c r="R311">
        <v>672229</v>
      </c>
      <c r="S311">
        <v>672228</v>
      </c>
      <c r="T311">
        <v>950</v>
      </c>
      <c r="U311" t="s">
        <v>173</v>
      </c>
      <c r="V311">
        <v>0</v>
      </c>
      <c r="W311" t="s">
        <v>174</v>
      </c>
      <c r="X311">
        <v>672228</v>
      </c>
      <c r="Z311" t="s">
        <v>175</v>
      </c>
      <c r="AA311" t="s">
        <v>173</v>
      </c>
    </row>
    <row r="312" spans="1:27" x14ac:dyDescent="0.3">
      <c r="A312">
        <v>311</v>
      </c>
      <c r="B312" t="s">
        <v>169</v>
      </c>
      <c r="C312">
        <v>99019875</v>
      </c>
      <c r="D312" s="7" t="s">
        <v>62</v>
      </c>
      <c r="E312" t="s">
        <v>63</v>
      </c>
      <c r="F312" t="s">
        <v>170</v>
      </c>
      <c r="G312" t="s">
        <v>177</v>
      </c>
      <c r="H312" s="133">
        <v>1000</v>
      </c>
      <c r="I312">
        <v>0</v>
      </c>
      <c r="J312" s="133">
        <v>1000</v>
      </c>
      <c r="K312" s="133">
        <v>34390</v>
      </c>
      <c r="L312" s="133">
        <v>34390</v>
      </c>
      <c r="M312" s="150">
        <v>0.42391203703703706</v>
      </c>
      <c r="N312" s="150">
        <v>0.42391203703703706</v>
      </c>
      <c r="O312" t="s">
        <v>172</v>
      </c>
      <c r="Q312">
        <v>672289</v>
      </c>
      <c r="R312">
        <v>672289</v>
      </c>
      <c r="S312">
        <v>672269</v>
      </c>
      <c r="T312">
        <v>0</v>
      </c>
      <c r="U312" t="s">
        <v>173</v>
      </c>
      <c r="V312">
        <v>0</v>
      </c>
      <c r="W312" t="s">
        <v>174</v>
      </c>
      <c r="X312">
        <v>672269</v>
      </c>
      <c r="Z312" t="s">
        <v>175</v>
      </c>
      <c r="AA312" t="s">
        <v>173</v>
      </c>
    </row>
    <row r="313" spans="1:27" x14ac:dyDescent="0.3">
      <c r="A313">
        <v>312</v>
      </c>
      <c r="B313" t="s">
        <v>169</v>
      </c>
      <c r="C313">
        <v>99019875</v>
      </c>
      <c r="D313" s="7" t="s">
        <v>62</v>
      </c>
      <c r="E313" t="s">
        <v>63</v>
      </c>
      <c r="F313" t="s">
        <v>170</v>
      </c>
      <c r="G313" t="s">
        <v>177</v>
      </c>
      <c r="H313" s="133">
        <v>1000</v>
      </c>
      <c r="I313">
        <v>0</v>
      </c>
      <c r="J313" s="133">
        <v>1000</v>
      </c>
      <c r="K313" s="133">
        <v>34400</v>
      </c>
      <c r="L313" s="133">
        <v>34400</v>
      </c>
      <c r="M313" s="150">
        <v>0.4244560185185185</v>
      </c>
      <c r="N313" s="150">
        <v>0.42446759259259265</v>
      </c>
      <c r="O313" t="s">
        <v>172</v>
      </c>
      <c r="Q313">
        <v>677460</v>
      </c>
      <c r="R313">
        <v>677460</v>
      </c>
      <c r="S313">
        <v>677438</v>
      </c>
      <c r="T313">
        <v>0</v>
      </c>
      <c r="U313" t="s">
        <v>173</v>
      </c>
      <c r="V313">
        <v>0</v>
      </c>
      <c r="W313" t="s">
        <v>174</v>
      </c>
      <c r="X313">
        <v>677438</v>
      </c>
      <c r="Z313" t="s">
        <v>175</v>
      </c>
      <c r="AA313" t="s">
        <v>173</v>
      </c>
    </row>
    <row r="314" spans="1:27" x14ac:dyDescent="0.3">
      <c r="A314">
        <v>313</v>
      </c>
      <c r="B314" t="s">
        <v>169</v>
      </c>
      <c r="C314">
        <v>99019875</v>
      </c>
      <c r="D314" s="7" t="s">
        <v>69</v>
      </c>
      <c r="E314" t="s">
        <v>70</v>
      </c>
      <c r="F314" t="s">
        <v>176</v>
      </c>
      <c r="G314" t="s">
        <v>177</v>
      </c>
      <c r="H314" s="133">
        <v>1000</v>
      </c>
      <c r="I314">
        <v>0</v>
      </c>
      <c r="J314">
        <v>15</v>
      </c>
      <c r="K314" s="133">
        <v>10505</v>
      </c>
      <c r="L314" s="133">
        <v>10505</v>
      </c>
      <c r="M314" s="150">
        <v>0.42474537037037036</v>
      </c>
      <c r="N314" s="150">
        <v>0.42474537037037036</v>
      </c>
      <c r="O314" t="s">
        <v>172</v>
      </c>
      <c r="Q314">
        <v>680150</v>
      </c>
      <c r="R314">
        <v>680150</v>
      </c>
      <c r="S314">
        <v>679827</v>
      </c>
      <c r="T314">
        <v>985</v>
      </c>
      <c r="U314" t="s">
        <v>173</v>
      </c>
      <c r="V314">
        <v>0</v>
      </c>
      <c r="W314" t="s">
        <v>174</v>
      </c>
      <c r="X314">
        <v>679827</v>
      </c>
      <c r="Z314" t="s">
        <v>175</v>
      </c>
      <c r="AA314" t="s">
        <v>173</v>
      </c>
    </row>
    <row r="315" spans="1:27" x14ac:dyDescent="0.3">
      <c r="A315">
        <v>314</v>
      </c>
      <c r="B315" t="s">
        <v>169</v>
      </c>
      <c r="C315">
        <v>99019875</v>
      </c>
      <c r="D315" s="7" t="s">
        <v>75</v>
      </c>
      <c r="E315" t="s">
        <v>76</v>
      </c>
      <c r="F315" t="s">
        <v>176</v>
      </c>
      <c r="G315" t="s">
        <v>177</v>
      </c>
      <c r="H315" s="133">
        <v>1000</v>
      </c>
      <c r="I315">
        <v>0</v>
      </c>
      <c r="J315">
        <v>1</v>
      </c>
      <c r="K315" s="133">
        <v>21135</v>
      </c>
      <c r="L315" s="133">
        <v>21135</v>
      </c>
      <c r="M315" s="150">
        <v>0.42482638888888885</v>
      </c>
      <c r="N315" s="150">
        <v>0.424837962962963</v>
      </c>
      <c r="O315" t="s">
        <v>172</v>
      </c>
      <c r="Q315">
        <v>681139</v>
      </c>
      <c r="R315">
        <v>681139</v>
      </c>
      <c r="S315">
        <v>681048</v>
      </c>
      <c r="T315">
        <v>999</v>
      </c>
      <c r="U315" t="s">
        <v>173</v>
      </c>
      <c r="V315">
        <v>0</v>
      </c>
      <c r="W315" t="s">
        <v>174</v>
      </c>
      <c r="X315">
        <v>681048</v>
      </c>
      <c r="Z315" t="s">
        <v>175</v>
      </c>
      <c r="AA315" t="s">
        <v>173</v>
      </c>
    </row>
    <row r="316" spans="1:27" x14ac:dyDescent="0.3">
      <c r="A316">
        <v>315</v>
      </c>
      <c r="B316" t="s">
        <v>169</v>
      </c>
      <c r="C316">
        <v>99019875</v>
      </c>
      <c r="D316" s="7" t="s">
        <v>102</v>
      </c>
      <c r="E316" t="s">
        <v>103</v>
      </c>
      <c r="F316" t="s">
        <v>170</v>
      </c>
      <c r="G316" t="s">
        <v>177</v>
      </c>
      <c r="H316" s="133">
        <v>1000</v>
      </c>
      <c r="I316">
        <v>0</v>
      </c>
      <c r="J316">
        <v>980</v>
      </c>
      <c r="K316" s="133">
        <v>27290</v>
      </c>
      <c r="L316" s="133">
        <v>27290</v>
      </c>
      <c r="M316" s="150">
        <v>0.42498842592592595</v>
      </c>
      <c r="N316" s="150">
        <v>0.42502314814814812</v>
      </c>
      <c r="O316" t="s">
        <v>172</v>
      </c>
      <c r="Q316">
        <v>682411</v>
      </c>
      <c r="R316">
        <v>682411</v>
      </c>
      <c r="S316">
        <v>682396</v>
      </c>
      <c r="T316">
        <v>20</v>
      </c>
      <c r="U316" t="s">
        <v>173</v>
      </c>
      <c r="V316">
        <v>0</v>
      </c>
      <c r="W316" t="s">
        <v>174</v>
      </c>
      <c r="X316">
        <v>682396</v>
      </c>
      <c r="Z316" t="s">
        <v>175</v>
      </c>
      <c r="AA316" t="s">
        <v>173</v>
      </c>
    </row>
    <row r="317" spans="1:27" x14ac:dyDescent="0.3">
      <c r="A317">
        <v>316</v>
      </c>
      <c r="B317" t="s">
        <v>169</v>
      </c>
      <c r="C317">
        <v>99019875</v>
      </c>
      <c r="D317" s="7" t="s">
        <v>62</v>
      </c>
      <c r="E317" t="s">
        <v>63</v>
      </c>
      <c r="F317" t="s">
        <v>170</v>
      </c>
      <c r="G317" t="s">
        <v>177</v>
      </c>
      <c r="H317" s="133">
        <v>1000</v>
      </c>
      <c r="I317">
        <v>0</v>
      </c>
      <c r="J317" s="133">
        <v>1000</v>
      </c>
      <c r="K317" s="133">
        <v>34415</v>
      </c>
      <c r="L317" s="133">
        <v>34415</v>
      </c>
      <c r="M317" s="150">
        <v>0.42501157407407408</v>
      </c>
      <c r="N317" s="150">
        <v>0.42501157407407408</v>
      </c>
      <c r="O317" t="s">
        <v>172</v>
      </c>
      <c r="Q317">
        <v>682673</v>
      </c>
      <c r="R317">
        <v>682673</v>
      </c>
      <c r="S317">
        <v>682669</v>
      </c>
      <c r="T317">
        <v>0</v>
      </c>
      <c r="U317" t="s">
        <v>173</v>
      </c>
      <c r="V317">
        <v>0</v>
      </c>
      <c r="W317" t="s">
        <v>174</v>
      </c>
      <c r="X317">
        <v>682669</v>
      </c>
      <c r="Z317" t="s">
        <v>175</v>
      </c>
      <c r="AA317" t="s">
        <v>173</v>
      </c>
    </row>
    <row r="318" spans="1:27" x14ac:dyDescent="0.3">
      <c r="A318">
        <v>317</v>
      </c>
      <c r="B318" t="s">
        <v>169</v>
      </c>
      <c r="C318">
        <v>99019875</v>
      </c>
      <c r="D318" s="7" t="s">
        <v>102</v>
      </c>
      <c r="E318" t="s">
        <v>103</v>
      </c>
      <c r="F318" t="s">
        <v>170</v>
      </c>
      <c r="G318" t="s">
        <v>177</v>
      </c>
      <c r="H318" s="133">
        <v>1000</v>
      </c>
      <c r="I318">
        <v>0</v>
      </c>
      <c r="J318">
        <v>20</v>
      </c>
      <c r="K318" s="133">
        <v>27285</v>
      </c>
      <c r="L318" s="133">
        <v>27285</v>
      </c>
      <c r="M318" s="150">
        <v>0.42501157407407408</v>
      </c>
      <c r="N318" s="150">
        <v>0.42502314814814812</v>
      </c>
      <c r="O318" t="s">
        <v>172</v>
      </c>
      <c r="Q318">
        <v>682685</v>
      </c>
      <c r="R318">
        <v>682685</v>
      </c>
      <c r="S318">
        <v>682411</v>
      </c>
      <c r="T318">
        <v>0</v>
      </c>
      <c r="U318" t="s">
        <v>173</v>
      </c>
      <c r="V318">
        <v>980</v>
      </c>
      <c r="W318" t="s">
        <v>174</v>
      </c>
      <c r="X318">
        <v>682411</v>
      </c>
      <c r="Z318" t="s">
        <v>175</v>
      </c>
      <c r="AA318" t="s">
        <v>173</v>
      </c>
    </row>
    <row r="319" spans="1:27" x14ac:dyDescent="0.3">
      <c r="A319">
        <v>318</v>
      </c>
      <c r="B319" t="s">
        <v>169</v>
      </c>
      <c r="C319">
        <v>99019875</v>
      </c>
      <c r="D319" s="7" t="s">
        <v>77</v>
      </c>
      <c r="E319" t="s">
        <v>78</v>
      </c>
      <c r="F319" t="s">
        <v>170</v>
      </c>
      <c r="G319" t="s">
        <v>177</v>
      </c>
      <c r="H319" s="133">
        <v>1000</v>
      </c>
      <c r="I319">
        <v>0</v>
      </c>
      <c r="J319">
        <v>980</v>
      </c>
      <c r="K319" s="133">
        <v>7500</v>
      </c>
      <c r="L319" s="133">
        <v>7500</v>
      </c>
      <c r="M319" s="150">
        <v>0.42509259259259258</v>
      </c>
      <c r="N319" s="150">
        <v>0.42510416666666667</v>
      </c>
      <c r="O319" t="s">
        <v>172</v>
      </c>
      <c r="Q319">
        <v>683623</v>
      </c>
      <c r="R319">
        <v>683623</v>
      </c>
      <c r="S319">
        <v>683616</v>
      </c>
      <c r="T319">
        <v>20</v>
      </c>
      <c r="U319" t="s">
        <v>173</v>
      </c>
      <c r="V319">
        <v>0</v>
      </c>
      <c r="W319" t="s">
        <v>174</v>
      </c>
      <c r="X319">
        <v>683616</v>
      </c>
      <c r="Z319" t="s">
        <v>175</v>
      </c>
      <c r="AA319" t="s">
        <v>173</v>
      </c>
    </row>
    <row r="320" spans="1:27" x14ac:dyDescent="0.3">
      <c r="A320">
        <v>319</v>
      </c>
      <c r="B320" t="s">
        <v>169</v>
      </c>
      <c r="C320">
        <v>99019875</v>
      </c>
      <c r="D320" s="7" t="s">
        <v>75</v>
      </c>
      <c r="E320" t="s">
        <v>76</v>
      </c>
      <c r="F320" t="s">
        <v>176</v>
      </c>
      <c r="G320" t="s">
        <v>177</v>
      </c>
      <c r="H320" s="133">
        <v>1000</v>
      </c>
      <c r="I320">
        <v>0</v>
      </c>
      <c r="J320">
        <v>2</v>
      </c>
      <c r="K320" s="133">
        <v>21140</v>
      </c>
      <c r="L320" s="133">
        <v>21140</v>
      </c>
      <c r="M320" s="150">
        <v>0.42518518518518517</v>
      </c>
      <c r="N320" s="150">
        <v>0.4251967592592592</v>
      </c>
      <c r="O320" t="s">
        <v>172</v>
      </c>
      <c r="Q320">
        <v>684414</v>
      </c>
      <c r="R320">
        <v>684414</v>
      </c>
      <c r="S320">
        <v>684226</v>
      </c>
      <c r="T320">
        <v>998</v>
      </c>
      <c r="U320" t="s">
        <v>173</v>
      </c>
      <c r="V320">
        <v>0</v>
      </c>
      <c r="W320" t="s">
        <v>174</v>
      </c>
      <c r="X320">
        <v>684226</v>
      </c>
      <c r="Z320" t="s">
        <v>175</v>
      </c>
      <c r="AA320" t="s">
        <v>173</v>
      </c>
    </row>
    <row r="321" spans="1:27" x14ac:dyDescent="0.3">
      <c r="A321">
        <v>320</v>
      </c>
      <c r="B321" t="s">
        <v>180</v>
      </c>
      <c r="C321">
        <v>99019421</v>
      </c>
      <c r="D321" s="7" t="s">
        <v>185</v>
      </c>
      <c r="E321" t="s">
        <v>181</v>
      </c>
      <c r="F321" t="s">
        <v>176</v>
      </c>
      <c r="G321" t="s">
        <v>177</v>
      </c>
      <c r="H321" s="133">
        <v>10000</v>
      </c>
      <c r="I321">
        <v>0</v>
      </c>
      <c r="J321" s="133">
        <v>10000</v>
      </c>
      <c r="K321" s="133">
        <v>13915</v>
      </c>
      <c r="L321" s="133">
        <v>13915</v>
      </c>
      <c r="M321" s="150">
        <v>0.42534722222222227</v>
      </c>
      <c r="N321" s="150">
        <v>0.4253587962962963</v>
      </c>
      <c r="O321" t="s">
        <v>172</v>
      </c>
      <c r="Q321">
        <v>685780</v>
      </c>
      <c r="R321">
        <v>685780</v>
      </c>
      <c r="S321">
        <v>685738</v>
      </c>
      <c r="T321">
        <v>0</v>
      </c>
      <c r="U321" t="s">
        <v>173</v>
      </c>
      <c r="V321">
        <v>0</v>
      </c>
      <c r="W321" t="s">
        <v>174</v>
      </c>
      <c r="X321">
        <v>685738</v>
      </c>
      <c r="Y321" t="s">
        <v>182</v>
      </c>
      <c r="Z321" t="s">
        <v>183</v>
      </c>
      <c r="AA321" t="s">
        <v>173</v>
      </c>
    </row>
    <row r="322" spans="1:27" x14ac:dyDescent="0.3">
      <c r="A322">
        <v>321</v>
      </c>
      <c r="B322" t="s">
        <v>180</v>
      </c>
      <c r="C322">
        <v>99019421</v>
      </c>
      <c r="D322" s="7" t="s">
        <v>185</v>
      </c>
      <c r="E322" t="s">
        <v>181</v>
      </c>
      <c r="F322" t="s">
        <v>176</v>
      </c>
      <c r="G322" t="s">
        <v>177</v>
      </c>
      <c r="H322" s="133">
        <v>10000</v>
      </c>
      <c r="I322">
        <v>0</v>
      </c>
      <c r="J322" s="133">
        <v>10000</v>
      </c>
      <c r="K322" s="133">
        <v>13915</v>
      </c>
      <c r="L322" s="133">
        <v>13915</v>
      </c>
      <c r="M322" s="150">
        <v>0.4253703703703704</v>
      </c>
      <c r="N322" s="150">
        <v>0.42540509259259257</v>
      </c>
      <c r="O322" t="s">
        <v>172</v>
      </c>
      <c r="Q322">
        <v>686014</v>
      </c>
      <c r="R322">
        <v>686014</v>
      </c>
      <c r="S322">
        <v>686013</v>
      </c>
      <c r="T322">
        <v>0</v>
      </c>
      <c r="U322" t="s">
        <v>173</v>
      </c>
      <c r="V322">
        <v>0</v>
      </c>
      <c r="W322" t="s">
        <v>174</v>
      </c>
      <c r="X322">
        <v>686013</v>
      </c>
      <c r="Y322" t="s">
        <v>182</v>
      </c>
      <c r="Z322" t="s">
        <v>183</v>
      </c>
      <c r="AA322" t="s">
        <v>173</v>
      </c>
    </row>
    <row r="323" spans="1:27" x14ac:dyDescent="0.3">
      <c r="A323">
        <v>322</v>
      </c>
      <c r="B323" t="s">
        <v>180</v>
      </c>
      <c r="C323">
        <v>99019421</v>
      </c>
      <c r="D323" s="7" t="s">
        <v>185</v>
      </c>
      <c r="E323" t="s">
        <v>181</v>
      </c>
      <c r="F323" t="s">
        <v>176</v>
      </c>
      <c r="G323" t="s">
        <v>177</v>
      </c>
      <c r="H323" s="133">
        <v>10000</v>
      </c>
      <c r="I323">
        <v>0</v>
      </c>
      <c r="J323" s="133">
        <v>10000</v>
      </c>
      <c r="K323" s="133">
        <v>13910</v>
      </c>
      <c r="L323" s="133">
        <v>13910</v>
      </c>
      <c r="M323" s="150">
        <v>0.42539351851851853</v>
      </c>
      <c r="N323" s="150">
        <v>0.42539351851851853</v>
      </c>
      <c r="O323" t="s">
        <v>172</v>
      </c>
      <c r="Q323">
        <v>686115</v>
      </c>
      <c r="R323">
        <v>686115</v>
      </c>
      <c r="S323">
        <v>685955</v>
      </c>
      <c r="T323">
        <v>0</v>
      </c>
      <c r="U323" t="s">
        <v>173</v>
      </c>
      <c r="V323">
        <v>0</v>
      </c>
      <c r="W323" t="s">
        <v>174</v>
      </c>
      <c r="X323">
        <v>685955</v>
      </c>
      <c r="Y323" t="s">
        <v>182</v>
      </c>
      <c r="Z323" t="s">
        <v>183</v>
      </c>
      <c r="AA323" t="s">
        <v>173</v>
      </c>
    </row>
    <row r="324" spans="1:27" x14ac:dyDescent="0.3">
      <c r="A324">
        <v>323</v>
      </c>
      <c r="B324" t="s">
        <v>180</v>
      </c>
      <c r="C324">
        <v>99019421</v>
      </c>
      <c r="D324" s="7" t="s">
        <v>185</v>
      </c>
      <c r="E324" t="s">
        <v>181</v>
      </c>
      <c r="F324" t="s">
        <v>176</v>
      </c>
      <c r="G324" t="s">
        <v>177</v>
      </c>
      <c r="H324" s="133">
        <v>10000</v>
      </c>
      <c r="I324">
        <v>0</v>
      </c>
      <c r="J324">
        <v>2</v>
      </c>
      <c r="K324" s="133">
        <v>13925</v>
      </c>
      <c r="L324" s="133">
        <v>13925</v>
      </c>
      <c r="M324" s="150">
        <v>0.42553240740740739</v>
      </c>
      <c r="N324" s="150">
        <v>0.42560185185185184</v>
      </c>
      <c r="O324" t="s">
        <v>172</v>
      </c>
      <c r="Q324">
        <v>687281</v>
      </c>
      <c r="R324">
        <v>687281</v>
      </c>
      <c r="S324">
        <v>687238</v>
      </c>
      <c r="T324" s="133">
        <v>9998</v>
      </c>
      <c r="U324" t="s">
        <v>173</v>
      </c>
      <c r="V324">
        <v>0</v>
      </c>
      <c r="W324" t="s">
        <v>174</v>
      </c>
      <c r="X324">
        <v>687238</v>
      </c>
      <c r="Y324" t="s">
        <v>182</v>
      </c>
      <c r="Z324" t="s">
        <v>183</v>
      </c>
      <c r="AA324" t="s">
        <v>173</v>
      </c>
    </row>
    <row r="325" spans="1:27" x14ac:dyDescent="0.3">
      <c r="A325">
        <v>324</v>
      </c>
      <c r="B325" t="s">
        <v>169</v>
      </c>
      <c r="C325">
        <v>99019875</v>
      </c>
      <c r="D325" s="7" t="s">
        <v>75</v>
      </c>
      <c r="E325" t="s">
        <v>76</v>
      </c>
      <c r="F325" t="s">
        <v>176</v>
      </c>
      <c r="G325" t="s">
        <v>177</v>
      </c>
      <c r="H325" s="133">
        <v>1000</v>
      </c>
      <c r="I325">
        <v>0</v>
      </c>
      <c r="J325">
        <v>5</v>
      </c>
      <c r="K325" s="133">
        <v>21140</v>
      </c>
      <c r="L325" s="133">
        <v>21140</v>
      </c>
      <c r="M325" s="150">
        <v>0.42560185185185184</v>
      </c>
      <c r="N325" s="150">
        <v>0.42564814814814816</v>
      </c>
      <c r="O325" t="s">
        <v>172</v>
      </c>
      <c r="Q325">
        <v>687913</v>
      </c>
      <c r="R325">
        <v>687913</v>
      </c>
      <c r="S325">
        <v>687846</v>
      </c>
      <c r="T325">
        <v>995</v>
      </c>
      <c r="U325" t="s">
        <v>173</v>
      </c>
      <c r="V325">
        <v>0</v>
      </c>
      <c r="W325" t="s">
        <v>174</v>
      </c>
      <c r="X325">
        <v>687846</v>
      </c>
      <c r="Z325" t="s">
        <v>175</v>
      </c>
      <c r="AA325" t="s">
        <v>173</v>
      </c>
    </row>
    <row r="326" spans="1:27" x14ac:dyDescent="0.3">
      <c r="A326">
        <v>325</v>
      </c>
      <c r="B326" t="s">
        <v>180</v>
      </c>
      <c r="C326">
        <v>99019421</v>
      </c>
      <c r="D326" s="7" t="s">
        <v>185</v>
      </c>
      <c r="E326" t="s">
        <v>181</v>
      </c>
      <c r="F326" t="s">
        <v>176</v>
      </c>
      <c r="G326" t="s">
        <v>177</v>
      </c>
      <c r="H326" s="133">
        <v>10000</v>
      </c>
      <c r="I326">
        <v>0</v>
      </c>
      <c r="J326">
        <v>721</v>
      </c>
      <c r="K326" s="133">
        <v>13920</v>
      </c>
      <c r="L326" s="133">
        <v>13920</v>
      </c>
      <c r="M326" s="150">
        <v>0.42570601851851847</v>
      </c>
      <c r="N326" s="150">
        <v>0.42571759259259262</v>
      </c>
      <c r="O326" t="s">
        <v>172</v>
      </c>
      <c r="Q326">
        <v>688830</v>
      </c>
      <c r="R326">
        <v>688830</v>
      </c>
      <c r="S326">
        <v>688824</v>
      </c>
      <c r="T326" s="133">
        <v>9279</v>
      </c>
      <c r="U326" t="s">
        <v>173</v>
      </c>
      <c r="V326">
        <v>0</v>
      </c>
      <c r="W326" t="s">
        <v>174</v>
      </c>
      <c r="X326">
        <v>688824</v>
      </c>
      <c r="Y326" t="s">
        <v>182</v>
      </c>
      <c r="Z326" t="s">
        <v>183</v>
      </c>
      <c r="AA326" t="s">
        <v>173</v>
      </c>
    </row>
    <row r="327" spans="1:27" x14ac:dyDescent="0.3">
      <c r="A327">
        <v>326</v>
      </c>
      <c r="B327" t="s">
        <v>180</v>
      </c>
      <c r="C327">
        <v>99019421</v>
      </c>
      <c r="D327" s="7" t="s">
        <v>185</v>
      </c>
      <c r="E327" t="s">
        <v>181</v>
      </c>
      <c r="F327" t="s">
        <v>176</v>
      </c>
      <c r="G327" t="s">
        <v>171</v>
      </c>
      <c r="H327" s="133">
        <v>10000</v>
      </c>
      <c r="I327">
        <v>0</v>
      </c>
      <c r="J327" s="133">
        <v>10000</v>
      </c>
      <c r="K327" s="133">
        <v>13930</v>
      </c>
      <c r="L327" s="133">
        <v>13930</v>
      </c>
      <c r="M327" s="150">
        <v>0.42571759259259262</v>
      </c>
      <c r="N327" s="150">
        <v>0.42575231481481479</v>
      </c>
      <c r="O327" t="s">
        <v>172</v>
      </c>
      <c r="Q327">
        <v>688944</v>
      </c>
      <c r="R327">
        <v>688944</v>
      </c>
      <c r="S327">
        <v>0</v>
      </c>
      <c r="T327">
        <v>0</v>
      </c>
      <c r="U327" t="s">
        <v>173</v>
      </c>
      <c r="V327">
        <v>0</v>
      </c>
      <c r="W327" t="s">
        <v>174</v>
      </c>
      <c r="X327">
        <v>0</v>
      </c>
      <c r="Y327" t="s">
        <v>182</v>
      </c>
      <c r="Z327" t="s">
        <v>183</v>
      </c>
      <c r="AA327" t="s">
        <v>173</v>
      </c>
    </row>
    <row r="328" spans="1:27" x14ac:dyDescent="0.3">
      <c r="A328">
        <v>327</v>
      </c>
      <c r="B328" t="s">
        <v>169</v>
      </c>
      <c r="C328">
        <v>99019875</v>
      </c>
      <c r="D328" s="7" t="s">
        <v>89</v>
      </c>
      <c r="E328" t="s">
        <v>90</v>
      </c>
      <c r="F328" t="s">
        <v>170</v>
      </c>
      <c r="G328" t="s">
        <v>177</v>
      </c>
      <c r="H328" s="133">
        <v>1000</v>
      </c>
      <c r="I328">
        <v>0</v>
      </c>
      <c r="J328">
        <v>167</v>
      </c>
      <c r="K328" s="133">
        <v>3135</v>
      </c>
      <c r="L328" s="133">
        <v>3135</v>
      </c>
      <c r="M328" s="150">
        <v>0.42596064814814816</v>
      </c>
      <c r="N328" s="150">
        <v>0.42600694444444448</v>
      </c>
      <c r="O328" t="s">
        <v>172</v>
      </c>
      <c r="Q328">
        <v>691353</v>
      </c>
      <c r="R328">
        <v>691353</v>
      </c>
      <c r="S328">
        <v>691318</v>
      </c>
      <c r="T328">
        <v>833</v>
      </c>
      <c r="U328" t="s">
        <v>173</v>
      </c>
      <c r="V328">
        <v>0</v>
      </c>
      <c r="W328" t="s">
        <v>174</v>
      </c>
      <c r="X328">
        <v>691318</v>
      </c>
      <c r="Z328" t="s">
        <v>175</v>
      </c>
      <c r="AA328" t="s">
        <v>173</v>
      </c>
    </row>
    <row r="329" spans="1:27" x14ac:dyDescent="0.3">
      <c r="A329">
        <v>328</v>
      </c>
      <c r="B329" t="s">
        <v>180</v>
      </c>
      <c r="C329">
        <v>99019421</v>
      </c>
      <c r="D329" s="7" t="s">
        <v>185</v>
      </c>
      <c r="E329" t="s">
        <v>181</v>
      </c>
      <c r="F329" t="s">
        <v>176</v>
      </c>
      <c r="G329" t="s">
        <v>177</v>
      </c>
      <c r="H329" s="133">
        <v>10000</v>
      </c>
      <c r="I329">
        <v>0</v>
      </c>
      <c r="J329" s="133">
        <v>4988</v>
      </c>
      <c r="K329" s="133">
        <v>13925</v>
      </c>
      <c r="L329" s="133">
        <v>13925</v>
      </c>
      <c r="M329" s="150">
        <v>0.42603009259259261</v>
      </c>
      <c r="N329" s="150">
        <v>0.42605324074074075</v>
      </c>
      <c r="O329" t="s">
        <v>172</v>
      </c>
      <c r="Q329">
        <v>692223</v>
      </c>
      <c r="R329">
        <v>692223</v>
      </c>
      <c r="S329">
        <v>692199</v>
      </c>
      <c r="T329" s="133">
        <v>5012</v>
      </c>
      <c r="U329" t="s">
        <v>173</v>
      </c>
      <c r="V329">
        <v>0</v>
      </c>
      <c r="W329" t="s">
        <v>174</v>
      </c>
      <c r="X329">
        <v>692199</v>
      </c>
      <c r="Y329" t="s">
        <v>182</v>
      </c>
      <c r="Z329" t="s">
        <v>183</v>
      </c>
      <c r="AA329" t="s">
        <v>173</v>
      </c>
    </row>
    <row r="330" spans="1:27" x14ac:dyDescent="0.3">
      <c r="A330">
        <v>329</v>
      </c>
      <c r="B330" t="s">
        <v>180</v>
      </c>
      <c r="C330">
        <v>99019421</v>
      </c>
      <c r="D330" s="7" t="s">
        <v>185</v>
      </c>
      <c r="E330" t="s">
        <v>181</v>
      </c>
      <c r="F330" t="s">
        <v>176</v>
      </c>
      <c r="G330" t="s">
        <v>177</v>
      </c>
      <c r="H330" s="133">
        <v>10000</v>
      </c>
      <c r="I330">
        <v>0</v>
      </c>
      <c r="J330" s="133">
        <v>10000</v>
      </c>
      <c r="K330" s="133">
        <v>13920</v>
      </c>
      <c r="L330" s="133">
        <v>13920</v>
      </c>
      <c r="M330" s="150">
        <v>0.42604166666666665</v>
      </c>
      <c r="N330" s="150">
        <v>0.42604166666666665</v>
      </c>
      <c r="O330" t="s">
        <v>172</v>
      </c>
      <c r="Q330">
        <v>692291</v>
      </c>
      <c r="R330">
        <v>692291</v>
      </c>
      <c r="S330">
        <v>692272</v>
      </c>
      <c r="T330">
        <v>0</v>
      </c>
      <c r="U330" t="s">
        <v>173</v>
      </c>
      <c r="V330">
        <v>0</v>
      </c>
      <c r="W330" t="s">
        <v>174</v>
      </c>
      <c r="X330">
        <v>692272</v>
      </c>
      <c r="Y330" t="s">
        <v>182</v>
      </c>
      <c r="Z330" t="s">
        <v>183</v>
      </c>
      <c r="AA330" t="s">
        <v>173</v>
      </c>
    </row>
    <row r="331" spans="1:27" x14ac:dyDescent="0.3">
      <c r="A331">
        <v>330</v>
      </c>
      <c r="B331" t="s">
        <v>169</v>
      </c>
      <c r="C331">
        <v>99019875</v>
      </c>
      <c r="D331" s="7" t="s">
        <v>81</v>
      </c>
      <c r="E331" t="s">
        <v>82</v>
      </c>
      <c r="F331" t="s">
        <v>170</v>
      </c>
      <c r="G331" t="s">
        <v>177</v>
      </c>
      <c r="H331" s="133">
        <v>1000</v>
      </c>
      <c r="I331">
        <v>0</v>
      </c>
      <c r="J331">
        <v>10</v>
      </c>
      <c r="K331" s="133">
        <v>36940</v>
      </c>
      <c r="L331" s="133">
        <v>36940</v>
      </c>
      <c r="M331" s="150">
        <v>0.42605324074074075</v>
      </c>
      <c r="N331" s="150">
        <v>0.42606481481481479</v>
      </c>
      <c r="O331" t="s">
        <v>172</v>
      </c>
      <c r="Q331">
        <v>692423</v>
      </c>
      <c r="R331">
        <v>692423</v>
      </c>
      <c r="S331">
        <v>692346</v>
      </c>
      <c r="T331">
        <v>990</v>
      </c>
      <c r="U331" t="s">
        <v>173</v>
      </c>
      <c r="V331">
        <v>0</v>
      </c>
      <c r="W331" t="s">
        <v>174</v>
      </c>
      <c r="X331">
        <v>692346</v>
      </c>
      <c r="Z331" t="s">
        <v>175</v>
      </c>
      <c r="AA331" t="s">
        <v>173</v>
      </c>
    </row>
    <row r="332" spans="1:27" x14ac:dyDescent="0.3">
      <c r="A332">
        <v>331</v>
      </c>
      <c r="B332" t="s">
        <v>169</v>
      </c>
      <c r="C332">
        <v>99019875</v>
      </c>
      <c r="D332" s="7" t="s">
        <v>62</v>
      </c>
      <c r="E332" t="s">
        <v>63</v>
      </c>
      <c r="F332" t="s">
        <v>170</v>
      </c>
      <c r="G332" t="s">
        <v>177</v>
      </c>
      <c r="H332" s="133">
        <v>1000</v>
      </c>
      <c r="I332">
        <v>0</v>
      </c>
      <c r="J332">
        <v>34</v>
      </c>
      <c r="K332" s="133">
        <v>34425</v>
      </c>
      <c r="L332" s="133">
        <v>34425</v>
      </c>
      <c r="M332" s="150">
        <v>0.42616898148148147</v>
      </c>
      <c r="N332" s="150">
        <v>0.42616898148148147</v>
      </c>
      <c r="O332" t="s">
        <v>172</v>
      </c>
      <c r="Q332">
        <v>693917</v>
      </c>
      <c r="R332">
        <v>693917</v>
      </c>
      <c r="S332">
        <v>693875</v>
      </c>
      <c r="T332">
        <v>966</v>
      </c>
      <c r="U332" t="s">
        <v>173</v>
      </c>
      <c r="V332">
        <v>0</v>
      </c>
      <c r="W332" t="s">
        <v>174</v>
      </c>
      <c r="X332">
        <v>693875</v>
      </c>
      <c r="Z332" t="s">
        <v>175</v>
      </c>
      <c r="AA332" t="s">
        <v>173</v>
      </c>
    </row>
    <row r="333" spans="1:27" x14ac:dyDescent="0.3">
      <c r="A333">
        <v>332</v>
      </c>
      <c r="B333" t="s">
        <v>169</v>
      </c>
      <c r="C333">
        <v>99019875</v>
      </c>
      <c r="D333" s="7" t="s">
        <v>62</v>
      </c>
      <c r="E333" t="s">
        <v>63</v>
      </c>
      <c r="F333" t="s">
        <v>170</v>
      </c>
      <c r="G333" t="s">
        <v>177</v>
      </c>
      <c r="H333" s="133">
        <v>1000</v>
      </c>
      <c r="I333">
        <v>0</v>
      </c>
      <c r="J333">
        <v>966</v>
      </c>
      <c r="K333" s="133">
        <v>34420</v>
      </c>
      <c r="L333" s="133">
        <v>34420</v>
      </c>
      <c r="M333" s="150">
        <v>0.42616898148148147</v>
      </c>
      <c r="N333" s="150">
        <v>0.42616898148148147</v>
      </c>
      <c r="O333" t="s">
        <v>172</v>
      </c>
      <c r="Q333">
        <v>693941</v>
      </c>
      <c r="R333">
        <v>693941</v>
      </c>
      <c r="S333">
        <v>693917</v>
      </c>
      <c r="T333">
        <v>0</v>
      </c>
      <c r="U333" t="s">
        <v>173</v>
      </c>
      <c r="V333">
        <v>34</v>
      </c>
      <c r="W333" t="s">
        <v>174</v>
      </c>
      <c r="X333">
        <v>693917</v>
      </c>
      <c r="Z333" t="s">
        <v>175</v>
      </c>
      <c r="AA333" t="s">
        <v>173</v>
      </c>
    </row>
    <row r="334" spans="1:27" x14ac:dyDescent="0.3">
      <c r="A334">
        <v>333</v>
      </c>
      <c r="B334" t="s">
        <v>180</v>
      </c>
      <c r="C334">
        <v>99019421</v>
      </c>
      <c r="D334" s="7" t="s">
        <v>185</v>
      </c>
      <c r="E334" t="s">
        <v>181</v>
      </c>
      <c r="F334" t="s">
        <v>176</v>
      </c>
      <c r="G334" t="s">
        <v>177</v>
      </c>
      <c r="H334" s="133">
        <v>10000</v>
      </c>
      <c r="I334">
        <v>0</v>
      </c>
      <c r="J334" s="133">
        <v>10000</v>
      </c>
      <c r="K334" s="133">
        <v>13910</v>
      </c>
      <c r="L334" s="133">
        <v>13910</v>
      </c>
      <c r="M334" s="150">
        <v>0.42622685185185188</v>
      </c>
      <c r="N334" s="150">
        <v>0.42629629629629634</v>
      </c>
      <c r="O334" t="s">
        <v>172</v>
      </c>
      <c r="Q334">
        <v>694956</v>
      </c>
      <c r="R334">
        <v>694956</v>
      </c>
      <c r="S334">
        <v>694892</v>
      </c>
      <c r="T334">
        <v>0</v>
      </c>
      <c r="U334" t="s">
        <v>173</v>
      </c>
      <c r="V334">
        <v>0</v>
      </c>
      <c r="W334" t="s">
        <v>174</v>
      </c>
      <c r="X334">
        <v>694892</v>
      </c>
      <c r="Y334" t="s">
        <v>182</v>
      </c>
      <c r="Z334" t="s">
        <v>183</v>
      </c>
      <c r="AA334" t="s">
        <v>173</v>
      </c>
    </row>
    <row r="335" spans="1:27" x14ac:dyDescent="0.3">
      <c r="A335">
        <v>334</v>
      </c>
      <c r="B335" t="s">
        <v>180</v>
      </c>
      <c r="C335">
        <v>99019421</v>
      </c>
      <c r="D335" s="7" t="s">
        <v>185</v>
      </c>
      <c r="E335" t="s">
        <v>181</v>
      </c>
      <c r="F335" t="s">
        <v>176</v>
      </c>
      <c r="G335" t="s">
        <v>177</v>
      </c>
      <c r="H335" s="133">
        <v>10000</v>
      </c>
      <c r="I335">
        <v>0</v>
      </c>
      <c r="J335" s="133">
        <v>10000</v>
      </c>
      <c r="K335" s="133">
        <v>13915</v>
      </c>
      <c r="L335" s="133">
        <v>13915</v>
      </c>
      <c r="M335" s="150">
        <v>0.42628472222222219</v>
      </c>
      <c r="N335" s="150">
        <v>0.42629629629629634</v>
      </c>
      <c r="O335" t="s">
        <v>172</v>
      </c>
      <c r="Q335">
        <v>695366</v>
      </c>
      <c r="R335">
        <v>695366</v>
      </c>
      <c r="S335">
        <v>695336</v>
      </c>
      <c r="T335">
        <v>0</v>
      </c>
      <c r="U335" t="s">
        <v>173</v>
      </c>
      <c r="V335">
        <v>0</v>
      </c>
      <c r="W335" t="s">
        <v>174</v>
      </c>
      <c r="X335">
        <v>695336</v>
      </c>
      <c r="Y335" t="s">
        <v>182</v>
      </c>
      <c r="Z335" t="s">
        <v>183</v>
      </c>
      <c r="AA335" t="s">
        <v>173</v>
      </c>
    </row>
    <row r="336" spans="1:27" x14ac:dyDescent="0.3">
      <c r="A336">
        <v>335</v>
      </c>
      <c r="B336" t="s">
        <v>180</v>
      </c>
      <c r="C336">
        <v>99019421</v>
      </c>
      <c r="D336" s="7" t="s">
        <v>185</v>
      </c>
      <c r="E336" t="s">
        <v>181</v>
      </c>
      <c r="F336" t="s">
        <v>176</v>
      </c>
      <c r="G336" t="s">
        <v>171</v>
      </c>
      <c r="H336" s="133">
        <v>10000</v>
      </c>
      <c r="I336">
        <v>0</v>
      </c>
      <c r="J336">
        <v>263</v>
      </c>
      <c r="K336" s="133">
        <v>13925</v>
      </c>
      <c r="L336" s="133">
        <v>13925</v>
      </c>
      <c r="M336" s="150">
        <v>0.42629629629629634</v>
      </c>
      <c r="N336" s="150">
        <v>0.42641203703703701</v>
      </c>
      <c r="O336" t="s">
        <v>172</v>
      </c>
      <c r="Q336">
        <v>695444</v>
      </c>
      <c r="R336">
        <v>695444</v>
      </c>
      <c r="S336">
        <v>0</v>
      </c>
      <c r="T336" s="133">
        <v>9737</v>
      </c>
      <c r="U336" t="s">
        <v>173</v>
      </c>
      <c r="V336">
        <v>0</v>
      </c>
      <c r="W336" t="s">
        <v>174</v>
      </c>
      <c r="X336">
        <v>0</v>
      </c>
      <c r="Y336" t="s">
        <v>182</v>
      </c>
      <c r="Z336" t="s">
        <v>183</v>
      </c>
      <c r="AA336" t="s">
        <v>173</v>
      </c>
    </row>
    <row r="337" spans="1:27" x14ac:dyDescent="0.3">
      <c r="A337">
        <v>336</v>
      </c>
      <c r="B337" t="s">
        <v>169</v>
      </c>
      <c r="C337">
        <v>99019875</v>
      </c>
      <c r="D337" s="7" t="s">
        <v>89</v>
      </c>
      <c r="E337" t="s">
        <v>90</v>
      </c>
      <c r="F337" t="s">
        <v>170</v>
      </c>
      <c r="G337" t="s">
        <v>177</v>
      </c>
      <c r="H337" s="133">
        <v>1000</v>
      </c>
      <c r="I337">
        <v>0</v>
      </c>
      <c r="J337">
        <v>167</v>
      </c>
      <c r="K337" s="133">
        <v>3130</v>
      </c>
      <c r="L337" s="133">
        <v>3130</v>
      </c>
      <c r="M337" s="150">
        <v>0.42640046296296297</v>
      </c>
      <c r="N337" s="150">
        <v>0.42643518518518514</v>
      </c>
      <c r="O337" t="s">
        <v>172</v>
      </c>
      <c r="Q337">
        <v>696242</v>
      </c>
      <c r="R337">
        <v>696242</v>
      </c>
      <c r="S337">
        <v>695710</v>
      </c>
      <c r="T337">
        <v>833</v>
      </c>
      <c r="U337" t="s">
        <v>173</v>
      </c>
      <c r="V337">
        <v>0</v>
      </c>
      <c r="W337" t="s">
        <v>174</v>
      </c>
      <c r="X337">
        <v>695710</v>
      </c>
      <c r="Z337" t="s">
        <v>175</v>
      </c>
      <c r="AA337" t="s">
        <v>173</v>
      </c>
    </row>
    <row r="338" spans="1:27" x14ac:dyDescent="0.3">
      <c r="A338">
        <v>337</v>
      </c>
      <c r="B338" t="s">
        <v>180</v>
      </c>
      <c r="C338">
        <v>99019421</v>
      </c>
      <c r="D338" s="7" t="s">
        <v>185</v>
      </c>
      <c r="E338" t="s">
        <v>181</v>
      </c>
      <c r="F338" t="s">
        <v>176</v>
      </c>
      <c r="G338" t="s">
        <v>177</v>
      </c>
      <c r="H338" s="133">
        <v>10000</v>
      </c>
      <c r="I338">
        <v>0</v>
      </c>
      <c r="J338" s="133">
        <v>10000</v>
      </c>
      <c r="K338" s="133">
        <v>13930</v>
      </c>
      <c r="L338" s="133">
        <v>13930</v>
      </c>
      <c r="M338" s="150">
        <v>0.42665509259259254</v>
      </c>
      <c r="N338" s="150">
        <v>0.42679398148148145</v>
      </c>
      <c r="O338" t="s">
        <v>172</v>
      </c>
      <c r="Q338">
        <v>698416</v>
      </c>
      <c r="R338">
        <v>698416</v>
      </c>
      <c r="S338">
        <v>698369</v>
      </c>
      <c r="T338">
        <v>0</v>
      </c>
      <c r="U338" t="s">
        <v>173</v>
      </c>
      <c r="V338">
        <v>0</v>
      </c>
      <c r="W338" t="s">
        <v>174</v>
      </c>
      <c r="X338">
        <v>698369</v>
      </c>
      <c r="Y338" t="s">
        <v>182</v>
      </c>
      <c r="Z338" t="s">
        <v>183</v>
      </c>
      <c r="AA338" t="s">
        <v>173</v>
      </c>
    </row>
    <row r="339" spans="1:27" x14ac:dyDescent="0.3">
      <c r="A339">
        <v>338</v>
      </c>
      <c r="B339" t="s">
        <v>180</v>
      </c>
      <c r="C339">
        <v>99019421</v>
      </c>
      <c r="D339" s="7" t="s">
        <v>185</v>
      </c>
      <c r="E339" t="s">
        <v>181</v>
      </c>
      <c r="F339" t="s">
        <v>176</v>
      </c>
      <c r="G339" t="s">
        <v>177</v>
      </c>
      <c r="H339" s="133">
        <v>10000</v>
      </c>
      <c r="I339">
        <v>0</v>
      </c>
      <c r="J339" s="133">
        <v>2066</v>
      </c>
      <c r="K339" s="133">
        <v>13920</v>
      </c>
      <c r="L339" s="133">
        <v>13920</v>
      </c>
      <c r="M339" s="150">
        <v>0.4268865740740741</v>
      </c>
      <c r="N339" s="150">
        <v>0.4268865740740741</v>
      </c>
      <c r="O339" t="s">
        <v>172</v>
      </c>
      <c r="Q339">
        <v>700396</v>
      </c>
      <c r="R339">
        <v>700396</v>
      </c>
      <c r="S339">
        <v>700187</v>
      </c>
      <c r="T339" s="133">
        <v>7934</v>
      </c>
      <c r="U339" t="s">
        <v>173</v>
      </c>
      <c r="V339">
        <v>0</v>
      </c>
      <c r="W339" t="s">
        <v>174</v>
      </c>
      <c r="X339">
        <v>700187</v>
      </c>
      <c r="Y339" t="s">
        <v>182</v>
      </c>
      <c r="Z339" t="s">
        <v>183</v>
      </c>
      <c r="AA339" t="s">
        <v>173</v>
      </c>
    </row>
    <row r="340" spans="1:27" x14ac:dyDescent="0.3">
      <c r="A340">
        <v>339</v>
      </c>
      <c r="B340" t="s">
        <v>169</v>
      </c>
      <c r="C340">
        <v>99019875</v>
      </c>
      <c r="D340" s="7" t="s">
        <v>62</v>
      </c>
      <c r="E340" t="s">
        <v>63</v>
      </c>
      <c r="F340" t="s">
        <v>170</v>
      </c>
      <c r="G340" t="s">
        <v>177</v>
      </c>
      <c r="H340" s="133">
        <v>1000</v>
      </c>
      <c r="I340">
        <v>0</v>
      </c>
      <c r="J340" s="133">
        <v>1000</v>
      </c>
      <c r="K340" s="133">
        <v>34420</v>
      </c>
      <c r="L340" s="133">
        <v>34420</v>
      </c>
      <c r="M340" s="150">
        <v>0.42689814814814814</v>
      </c>
      <c r="N340" s="150">
        <v>0.42689814814814814</v>
      </c>
      <c r="O340" t="s">
        <v>172</v>
      </c>
      <c r="Q340">
        <v>700567</v>
      </c>
      <c r="R340">
        <v>700567</v>
      </c>
      <c r="S340">
        <v>700551</v>
      </c>
      <c r="T340">
        <v>0</v>
      </c>
      <c r="U340" t="s">
        <v>173</v>
      </c>
      <c r="V340">
        <v>0</v>
      </c>
      <c r="W340" t="s">
        <v>174</v>
      </c>
      <c r="X340">
        <v>700551</v>
      </c>
      <c r="Z340" t="s">
        <v>175</v>
      </c>
      <c r="AA340" t="s">
        <v>173</v>
      </c>
    </row>
    <row r="341" spans="1:27" x14ac:dyDescent="0.3">
      <c r="A341">
        <v>340</v>
      </c>
      <c r="B341" t="s">
        <v>180</v>
      </c>
      <c r="C341">
        <v>99019421</v>
      </c>
      <c r="D341" s="7" t="s">
        <v>185</v>
      </c>
      <c r="E341" t="s">
        <v>181</v>
      </c>
      <c r="F341" t="s">
        <v>176</v>
      </c>
      <c r="G341" t="s">
        <v>177</v>
      </c>
      <c r="H341" s="133">
        <v>10000</v>
      </c>
      <c r="I341">
        <v>0</v>
      </c>
      <c r="J341" s="133">
        <v>7254</v>
      </c>
      <c r="K341" s="133">
        <v>13930</v>
      </c>
      <c r="L341" s="133">
        <v>13930</v>
      </c>
      <c r="M341" s="150">
        <v>0.42704861111111114</v>
      </c>
      <c r="N341" s="150">
        <v>0.42706018518518518</v>
      </c>
      <c r="O341" t="s">
        <v>172</v>
      </c>
      <c r="Q341">
        <v>701810</v>
      </c>
      <c r="R341">
        <v>701810</v>
      </c>
      <c r="S341">
        <v>701415</v>
      </c>
      <c r="T341" s="133">
        <v>2746</v>
      </c>
      <c r="U341" t="s">
        <v>173</v>
      </c>
      <c r="V341">
        <v>0</v>
      </c>
      <c r="W341" t="s">
        <v>174</v>
      </c>
      <c r="X341">
        <v>701415</v>
      </c>
      <c r="Y341" t="s">
        <v>182</v>
      </c>
      <c r="Z341" t="s">
        <v>183</v>
      </c>
      <c r="AA341" t="s">
        <v>173</v>
      </c>
    </row>
    <row r="342" spans="1:27" x14ac:dyDescent="0.3">
      <c r="A342">
        <v>341</v>
      </c>
      <c r="B342" t="s">
        <v>180</v>
      </c>
      <c r="C342">
        <v>99019421</v>
      </c>
      <c r="D342" s="7" t="s">
        <v>185</v>
      </c>
      <c r="E342" t="s">
        <v>181</v>
      </c>
      <c r="F342" t="s">
        <v>176</v>
      </c>
      <c r="G342" t="s">
        <v>177</v>
      </c>
      <c r="H342" s="133">
        <v>10000</v>
      </c>
      <c r="I342">
        <v>0</v>
      </c>
      <c r="J342">
        <v>263</v>
      </c>
      <c r="K342" s="133">
        <v>13925</v>
      </c>
      <c r="L342" s="133">
        <v>13925</v>
      </c>
      <c r="M342" s="150">
        <v>0.42721064814814813</v>
      </c>
      <c r="N342" s="150">
        <v>0.42721064814814813</v>
      </c>
      <c r="O342" t="s">
        <v>172</v>
      </c>
      <c r="Q342">
        <v>703217</v>
      </c>
      <c r="R342">
        <v>703217</v>
      </c>
      <c r="S342">
        <v>703206</v>
      </c>
      <c r="T342" s="133">
        <v>9737</v>
      </c>
      <c r="U342" t="s">
        <v>173</v>
      </c>
      <c r="V342">
        <v>0</v>
      </c>
      <c r="W342" t="s">
        <v>174</v>
      </c>
      <c r="X342">
        <v>703206</v>
      </c>
      <c r="Y342" t="s">
        <v>182</v>
      </c>
      <c r="Z342" t="s">
        <v>183</v>
      </c>
      <c r="AA342" t="s">
        <v>173</v>
      </c>
    </row>
    <row r="343" spans="1:27" x14ac:dyDescent="0.3">
      <c r="A343">
        <v>342</v>
      </c>
      <c r="B343" t="s">
        <v>180</v>
      </c>
      <c r="C343">
        <v>99019421</v>
      </c>
      <c r="D343" s="7" t="s">
        <v>185</v>
      </c>
      <c r="E343" t="s">
        <v>181</v>
      </c>
      <c r="F343" t="s">
        <v>176</v>
      </c>
      <c r="G343" t="s">
        <v>177</v>
      </c>
      <c r="H343" s="133">
        <v>10000</v>
      </c>
      <c r="I343">
        <v>0</v>
      </c>
      <c r="J343" s="133">
        <v>3714</v>
      </c>
      <c r="K343" s="133">
        <v>13930</v>
      </c>
      <c r="L343" s="133">
        <v>13930</v>
      </c>
      <c r="M343" s="150">
        <v>0.42728009259259259</v>
      </c>
      <c r="N343" s="150">
        <v>0.42730324074074072</v>
      </c>
      <c r="O343" t="s">
        <v>172</v>
      </c>
      <c r="Q343">
        <v>703849</v>
      </c>
      <c r="R343">
        <v>703849</v>
      </c>
      <c r="S343">
        <v>703833</v>
      </c>
      <c r="T343" s="133">
        <v>6286</v>
      </c>
      <c r="U343" t="s">
        <v>173</v>
      </c>
      <c r="V343">
        <v>0</v>
      </c>
      <c r="W343" t="s">
        <v>174</v>
      </c>
      <c r="X343">
        <v>703833</v>
      </c>
      <c r="Y343" t="s">
        <v>182</v>
      </c>
      <c r="Z343" t="s">
        <v>183</v>
      </c>
      <c r="AA343" t="s">
        <v>173</v>
      </c>
    </row>
    <row r="344" spans="1:27" x14ac:dyDescent="0.3">
      <c r="A344">
        <v>343</v>
      </c>
      <c r="B344" t="s">
        <v>180</v>
      </c>
      <c r="C344">
        <v>99019421</v>
      </c>
      <c r="D344" s="7" t="s">
        <v>185</v>
      </c>
      <c r="E344" t="s">
        <v>181</v>
      </c>
      <c r="F344" t="s">
        <v>176</v>
      </c>
      <c r="G344" t="s">
        <v>177</v>
      </c>
      <c r="H344" s="133">
        <v>10000</v>
      </c>
      <c r="I344">
        <v>0</v>
      </c>
      <c r="J344">
        <v>300</v>
      </c>
      <c r="K344" s="133">
        <v>13930</v>
      </c>
      <c r="L344" s="133">
        <v>13930</v>
      </c>
      <c r="M344" s="150">
        <v>0.42737268518518517</v>
      </c>
      <c r="N344" s="150">
        <v>0.42747685185185186</v>
      </c>
      <c r="O344" t="s">
        <v>172</v>
      </c>
      <c r="Q344">
        <v>704895</v>
      </c>
      <c r="R344">
        <v>704895</v>
      </c>
      <c r="S344">
        <v>704888</v>
      </c>
      <c r="T344" s="133">
        <v>9700</v>
      </c>
      <c r="U344" t="s">
        <v>173</v>
      </c>
      <c r="V344">
        <v>0</v>
      </c>
      <c r="W344" t="s">
        <v>174</v>
      </c>
      <c r="X344">
        <v>704888</v>
      </c>
      <c r="Y344" t="s">
        <v>182</v>
      </c>
      <c r="Z344" t="s">
        <v>183</v>
      </c>
      <c r="AA344" t="s">
        <v>173</v>
      </c>
    </row>
    <row r="345" spans="1:27" x14ac:dyDescent="0.3">
      <c r="A345">
        <v>344</v>
      </c>
      <c r="B345" t="s">
        <v>180</v>
      </c>
      <c r="C345">
        <v>99019421</v>
      </c>
      <c r="D345" s="7" t="s">
        <v>185</v>
      </c>
      <c r="E345" t="s">
        <v>181</v>
      </c>
      <c r="F345" t="s">
        <v>176</v>
      </c>
      <c r="G345" t="s">
        <v>177</v>
      </c>
      <c r="H345" s="133">
        <v>10000</v>
      </c>
      <c r="I345">
        <v>0</v>
      </c>
      <c r="J345" s="133">
        <v>10000</v>
      </c>
      <c r="K345" s="133">
        <v>13950</v>
      </c>
      <c r="L345" s="133">
        <v>13950</v>
      </c>
      <c r="M345" s="150">
        <v>0.42768518518518522</v>
      </c>
      <c r="N345" s="150">
        <v>0.42773148148148149</v>
      </c>
      <c r="O345" t="s">
        <v>172</v>
      </c>
      <c r="Q345">
        <v>707871</v>
      </c>
      <c r="R345">
        <v>707871</v>
      </c>
      <c r="S345">
        <v>707132</v>
      </c>
      <c r="T345">
        <v>0</v>
      </c>
      <c r="U345" t="s">
        <v>173</v>
      </c>
      <c r="V345">
        <v>0</v>
      </c>
      <c r="W345" t="s">
        <v>174</v>
      </c>
      <c r="X345">
        <v>707132</v>
      </c>
      <c r="Y345" t="s">
        <v>182</v>
      </c>
      <c r="Z345" t="s">
        <v>183</v>
      </c>
      <c r="AA345" t="s">
        <v>173</v>
      </c>
    </row>
    <row r="346" spans="1:27" x14ac:dyDescent="0.3">
      <c r="A346">
        <v>345</v>
      </c>
      <c r="B346" t="s">
        <v>180</v>
      </c>
      <c r="C346">
        <v>99019421</v>
      </c>
      <c r="D346" s="7" t="s">
        <v>185</v>
      </c>
      <c r="E346" t="s">
        <v>181</v>
      </c>
      <c r="F346" t="s">
        <v>176</v>
      </c>
      <c r="G346" t="s">
        <v>177</v>
      </c>
      <c r="H346" s="133">
        <v>10000</v>
      </c>
      <c r="I346">
        <v>0</v>
      </c>
      <c r="J346" s="133">
        <v>10000</v>
      </c>
      <c r="K346" s="133">
        <v>13955</v>
      </c>
      <c r="L346" s="133">
        <v>13955</v>
      </c>
      <c r="M346" s="150">
        <v>0.42769675925925926</v>
      </c>
      <c r="N346" s="150">
        <v>0.42774305555555553</v>
      </c>
      <c r="O346" t="s">
        <v>172</v>
      </c>
      <c r="Q346">
        <v>707941</v>
      </c>
      <c r="R346">
        <v>707941</v>
      </c>
      <c r="S346">
        <v>707525</v>
      </c>
      <c r="T346">
        <v>0</v>
      </c>
      <c r="U346" t="s">
        <v>173</v>
      </c>
      <c r="V346">
        <v>0</v>
      </c>
      <c r="W346" t="s">
        <v>174</v>
      </c>
      <c r="X346">
        <v>707525</v>
      </c>
      <c r="Y346" t="s">
        <v>182</v>
      </c>
      <c r="Z346" t="s">
        <v>183</v>
      </c>
      <c r="AA346" t="s">
        <v>173</v>
      </c>
    </row>
    <row r="347" spans="1:27" x14ac:dyDescent="0.3">
      <c r="A347">
        <v>346</v>
      </c>
      <c r="B347" t="s">
        <v>169</v>
      </c>
      <c r="C347">
        <v>99019875</v>
      </c>
      <c r="D347" s="7" t="s">
        <v>89</v>
      </c>
      <c r="E347" t="s">
        <v>90</v>
      </c>
      <c r="F347" t="s">
        <v>170</v>
      </c>
      <c r="G347" t="s">
        <v>177</v>
      </c>
      <c r="H347" s="133">
        <v>1000</v>
      </c>
      <c r="I347">
        <v>0</v>
      </c>
      <c r="J347">
        <v>167</v>
      </c>
      <c r="K347" s="133">
        <v>3130</v>
      </c>
      <c r="L347" s="133">
        <v>3130</v>
      </c>
      <c r="M347" s="150">
        <v>0.42776620370370372</v>
      </c>
      <c r="N347" s="150">
        <v>0.42780092592592595</v>
      </c>
      <c r="O347" t="s">
        <v>172</v>
      </c>
      <c r="Q347">
        <v>708888</v>
      </c>
      <c r="R347">
        <v>708888</v>
      </c>
      <c r="S347">
        <v>701775</v>
      </c>
      <c r="T347">
        <v>833</v>
      </c>
      <c r="U347" t="s">
        <v>173</v>
      </c>
      <c r="V347">
        <v>0</v>
      </c>
      <c r="W347" t="s">
        <v>174</v>
      </c>
      <c r="X347">
        <v>701775</v>
      </c>
      <c r="Z347" t="s">
        <v>175</v>
      </c>
      <c r="AA347" t="s">
        <v>173</v>
      </c>
    </row>
    <row r="348" spans="1:27" x14ac:dyDescent="0.3">
      <c r="A348">
        <v>347</v>
      </c>
      <c r="B348" t="s">
        <v>169</v>
      </c>
      <c r="C348">
        <v>99019875</v>
      </c>
      <c r="D348" s="7" t="s">
        <v>140</v>
      </c>
      <c r="E348" t="s">
        <v>178</v>
      </c>
      <c r="F348" t="s">
        <v>176</v>
      </c>
      <c r="G348" t="s">
        <v>177</v>
      </c>
      <c r="H348" s="133">
        <v>1000</v>
      </c>
      <c r="I348">
        <v>0</v>
      </c>
      <c r="J348" s="133">
        <v>1000</v>
      </c>
      <c r="K348" s="133">
        <v>8750</v>
      </c>
      <c r="L348" s="133">
        <v>8750</v>
      </c>
      <c r="M348" s="150">
        <v>0.42782407407407402</v>
      </c>
      <c r="N348" s="150">
        <v>0.42784722222222221</v>
      </c>
      <c r="O348" t="s">
        <v>172</v>
      </c>
      <c r="Q348">
        <v>709295</v>
      </c>
      <c r="R348">
        <v>709295</v>
      </c>
      <c r="S348">
        <v>709244</v>
      </c>
      <c r="T348">
        <v>0</v>
      </c>
      <c r="U348" t="s">
        <v>173</v>
      </c>
      <c r="V348">
        <v>0</v>
      </c>
      <c r="W348" t="s">
        <v>174</v>
      </c>
      <c r="X348">
        <v>709244</v>
      </c>
      <c r="Z348" t="s">
        <v>175</v>
      </c>
      <c r="AA348" t="s">
        <v>173</v>
      </c>
    </row>
    <row r="349" spans="1:27" x14ac:dyDescent="0.3">
      <c r="A349">
        <v>348</v>
      </c>
      <c r="B349" t="s">
        <v>169</v>
      </c>
      <c r="C349">
        <v>99019875</v>
      </c>
      <c r="D349" s="7" t="s">
        <v>75</v>
      </c>
      <c r="E349" t="s">
        <v>76</v>
      </c>
      <c r="F349" t="s">
        <v>176</v>
      </c>
      <c r="G349" t="s">
        <v>177</v>
      </c>
      <c r="H349" s="133">
        <v>1000</v>
      </c>
      <c r="I349">
        <v>0</v>
      </c>
      <c r="J349">
        <v>3</v>
      </c>
      <c r="K349" s="133">
        <v>21180</v>
      </c>
      <c r="L349" s="133">
        <v>21180</v>
      </c>
      <c r="M349" s="150">
        <v>0.42803240740740739</v>
      </c>
      <c r="N349" s="150">
        <v>0.42805555555555558</v>
      </c>
      <c r="O349" t="s">
        <v>172</v>
      </c>
      <c r="Q349">
        <v>711443</v>
      </c>
      <c r="R349">
        <v>711443</v>
      </c>
      <c r="S349">
        <v>711352</v>
      </c>
      <c r="T349">
        <v>997</v>
      </c>
      <c r="U349" t="s">
        <v>173</v>
      </c>
      <c r="V349">
        <v>0</v>
      </c>
      <c r="W349" t="s">
        <v>174</v>
      </c>
      <c r="X349">
        <v>711352</v>
      </c>
      <c r="Z349" t="s">
        <v>175</v>
      </c>
      <c r="AA349" t="s">
        <v>173</v>
      </c>
    </row>
    <row r="350" spans="1:27" x14ac:dyDescent="0.3">
      <c r="A350">
        <v>349</v>
      </c>
      <c r="B350" t="s">
        <v>169</v>
      </c>
      <c r="C350">
        <v>99019875</v>
      </c>
      <c r="D350" s="7" t="s">
        <v>62</v>
      </c>
      <c r="E350" t="s">
        <v>63</v>
      </c>
      <c r="F350" t="s">
        <v>170</v>
      </c>
      <c r="G350" t="s">
        <v>177</v>
      </c>
      <c r="H350" s="133">
        <v>1000</v>
      </c>
      <c r="I350">
        <v>0</v>
      </c>
      <c r="J350" s="133">
        <v>1000</v>
      </c>
      <c r="K350" s="133">
        <v>34515</v>
      </c>
      <c r="L350" s="133">
        <v>34515</v>
      </c>
      <c r="M350" s="150">
        <v>0.42819444444444449</v>
      </c>
      <c r="N350" s="150">
        <v>0.42819444444444449</v>
      </c>
      <c r="O350" t="s">
        <v>172</v>
      </c>
      <c r="Q350">
        <v>713060</v>
      </c>
      <c r="R350">
        <v>713060</v>
      </c>
      <c r="S350">
        <v>713055</v>
      </c>
      <c r="T350">
        <v>0</v>
      </c>
      <c r="U350" t="s">
        <v>173</v>
      </c>
      <c r="V350">
        <v>0</v>
      </c>
      <c r="W350" t="s">
        <v>174</v>
      </c>
      <c r="X350">
        <v>713055</v>
      </c>
      <c r="Z350" t="s">
        <v>175</v>
      </c>
      <c r="AA350" t="s">
        <v>173</v>
      </c>
    </row>
    <row r="351" spans="1:27" x14ac:dyDescent="0.3">
      <c r="A351">
        <v>350</v>
      </c>
      <c r="B351" t="s">
        <v>169</v>
      </c>
      <c r="C351">
        <v>99019875</v>
      </c>
      <c r="D351" s="7" t="s">
        <v>75</v>
      </c>
      <c r="E351" t="s">
        <v>76</v>
      </c>
      <c r="F351" t="s">
        <v>176</v>
      </c>
      <c r="G351" t="s">
        <v>171</v>
      </c>
      <c r="H351" s="133">
        <v>1000</v>
      </c>
      <c r="I351">
        <v>0</v>
      </c>
      <c r="J351">
        <v>1</v>
      </c>
      <c r="K351" s="133">
        <v>21180</v>
      </c>
      <c r="L351" s="133">
        <v>21180</v>
      </c>
      <c r="M351" s="150">
        <v>0.4283912037037037</v>
      </c>
      <c r="N351" s="150">
        <v>0.4283912037037037</v>
      </c>
      <c r="O351" t="s">
        <v>172</v>
      </c>
      <c r="Q351">
        <v>714963</v>
      </c>
      <c r="R351">
        <v>714963</v>
      </c>
      <c r="S351">
        <v>0</v>
      </c>
      <c r="T351">
        <v>999</v>
      </c>
      <c r="U351" t="s">
        <v>173</v>
      </c>
      <c r="V351">
        <v>0</v>
      </c>
      <c r="W351" t="s">
        <v>174</v>
      </c>
      <c r="X351">
        <v>0</v>
      </c>
      <c r="Z351" t="s">
        <v>175</v>
      </c>
      <c r="AA351" t="s">
        <v>173</v>
      </c>
    </row>
    <row r="352" spans="1:27" x14ac:dyDescent="0.3">
      <c r="A352">
        <v>351</v>
      </c>
      <c r="B352" t="s">
        <v>169</v>
      </c>
      <c r="C352">
        <v>99019875</v>
      </c>
      <c r="D352" s="7" t="s">
        <v>62</v>
      </c>
      <c r="E352" t="s">
        <v>63</v>
      </c>
      <c r="F352" t="s">
        <v>170</v>
      </c>
      <c r="G352" t="s">
        <v>177</v>
      </c>
      <c r="H352" s="133">
        <v>1000</v>
      </c>
      <c r="I352">
        <v>0</v>
      </c>
      <c r="J352" s="133">
        <v>1000</v>
      </c>
      <c r="K352" s="133">
        <v>34495</v>
      </c>
      <c r="L352" s="133">
        <v>34495</v>
      </c>
      <c r="M352" s="150">
        <v>0.42861111111111111</v>
      </c>
      <c r="N352" s="150">
        <v>0.42861111111111111</v>
      </c>
      <c r="O352" t="s">
        <v>172</v>
      </c>
      <c r="Q352">
        <v>717197</v>
      </c>
      <c r="R352">
        <v>717197</v>
      </c>
      <c r="S352">
        <v>717188</v>
      </c>
      <c r="T352">
        <v>0</v>
      </c>
      <c r="U352" t="s">
        <v>173</v>
      </c>
      <c r="V352">
        <v>0</v>
      </c>
      <c r="W352" t="s">
        <v>174</v>
      </c>
      <c r="X352">
        <v>717188</v>
      </c>
      <c r="Z352" t="s">
        <v>175</v>
      </c>
      <c r="AA352" t="s">
        <v>173</v>
      </c>
    </row>
    <row r="353" spans="1:27" x14ac:dyDescent="0.3">
      <c r="A353">
        <v>352</v>
      </c>
      <c r="B353" t="s">
        <v>169</v>
      </c>
      <c r="C353">
        <v>99019875</v>
      </c>
      <c r="D353" s="7" t="s">
        <v>106</v>
      </c>
      <c r="E353" t="s">
        <v>107</v>
      </c>
      <c r="F353" t="s">
        <v>176</v>
      </c>
      <c r="G353" t="s">
        <v>177</v>
      </c>
      <c r="H353" s="133">
        <v>1000</v>
      </c>
      <c r="I353">
        <v>0</v>
      </c>
      <c r="J353">
        <v>1</v>
      </c>
      <c r="K353" s="133">
        <v>3585</v>
      </c>
      <c r="L353" s="133">
        <v>3585</v>
      </c>
      <c r="M353" s="150">
        <v>0.42868055555555556</v>
      </c>
      <c r="N353" s="150">
        <v>0.42872685185185189</v>
      </c>
      <c r="O353" t="s">
        <v>172</v>
      </c>
      <c r="Q353">
        <v>717988</v>
      </c>
      <c r="R353">
        <v>717988</v>
      </c>
      <c r="S353">
        <v>717825</v>
      </c>
      <c r="T353">
        <v>999</v>
      </c>
      <c r="U353" t="s">
        <v>173</v>
      </c>
      <c r="V353">
        <v>0</v>
      </c>
      <c r="W353" t="s">
        <v>174</v>
      </c>
      <c r="X353">
        <v>717825</v>
      </c>
      <c r="Z353" t="s">
        <v>175</v>
      </c>
      <c r="AA353" t="s">
        <v>173</v>
      </c>
    </row>
    <row r="354" spans="1:27" x14ac:dyDescent="0.3">
      <c r="A354">
        <v>353</v>
      </c>
      <c r="B354" t="s">
        <v>169</v>
      </c>
      <c r="C354">
        <v>99019875</v>
      </c>
      <c r="D354" s="7" t="s">
        <v>75</v>
      </c>
      <c r="E354" t="s">
        <v>76</v>
      </c>
      <c r="F354" t="s">
        <v>176</v>
      </c>
      <c r="G354" t="s">
        <v>177</v>
      </c>
      <c r="H354" s="133">
        <v>1000</v>
      </c>
      <c r="I354">
        <v>0</v>
      </c>
      <c r="J354">
        <v>19</v>
      </c>
      <c r="K354" s="133">
        <v>21175</v>
      </c>
      <c r="L354" s="133">
        <v>21175</v>
      </c>
      <c r="M354" s="150">
        <v>0.42892361111111116</v>
      </c>
      <c r="N354" s="150">
        <v>0.42892361111111116</v>
      </c>
      <c r="O354" t="s">
        <v>172</v>
      </c>
      <c r="Q354">
        <v>720197</v>
      </c>
      <c r="R354">
        <v>720197</v>
      </c>
      <c r="S354">
        <v>720171</v>
      </c>
      <c r="T354">
        <v>981</v>
      </c>
      <c r="U354" t="s">
        <v>173</v>
      </c>
      <c r="V354">
        <v>0</v>
      </c>
      <c r="W354" t="s">
        <v>174</v>
      </c>
      <c r="X354">
        <v>720171</v>
      </c>
      <c r="Z354" t="s">
        <v>175</v>
      </c>
      <c r="AA354" t="s">
        <v>173</v>
      </c>
    </row>
    <row r="355" spans="1:27" x14ac:dyDescent="0.3">
      <c r="A355">
        <v>354</v>
      </c>
      <c r="B355" t="s">
        <v>169</v>
      </c>
      <c r="C355">
        <v>99019875</v>
      </c>
      <c r="D355" s="7" t="s">
        <v>62</v>
      </c>
      <c r="E355" t="s">
        <v>63</v>
      </c>
      <c r="F355" t="s">
        <v>170</v>
      </c>
      <c r="G355" t="s">
        <v>177</v>
      </c>
      <c r="H355" s="133">
        <v>1000</v>
      </c>
      <c r="I355">
        <v>0</v>
      </c>
      <c r="J355" s="133">
        <v>1000</v>
      </c>
      <c r="K355" s="133">
        <v>34485</v>
      </c>
      <c r="L355" s="133">
        <v>34485</v>
      </c>
      <c r="M355" s="150">
        <v>0.42895833333333333</v>
      </c>
      <c r="N355" s="150">
        <v>0.42895833333333333</v>
      </c>
      <c r="O355" t="s">
        <v>172</v>
      </c>
      <c r="Q355">
        <v>720514</v>
      </c>
      <c r="R355">
        <v>720514</v>
      </c>
      <c r="S355">
        <v>720504</v>
      </c>
      <c r="T355">
        <v>0</v>
      </c>
      <c r="U355" t="s">
        <v>173</v>
      </c>
      <c r="V355">
        <v>0</v>
      </c>
      <c r="W355" t="s">
        <v>174</v>
      </c>
      <c r="X355">
        <v>720504</v>
      </c>
      <c r="Z355" t="s">
        <v>175</v>
      </c>
      <c r="AA355" t="s">
        <v>173</v>
      </c>
    </row>
    <row r="356" spans="1:27" x14ac:dyDescent="0.3">
      <c r="A356">
        <v>355</v>
      </c>
      <c r="B356" t="s">
        <v>169</v>
      </c>
      <c r="C356">
        <v>99019875</v>
      </c>
      <c r="D356" s="7" t="s">
        <v>62</v>
      </c>
      <c r="E356" t="s">
        <v>63</v>
      </c>
      <c r="F356" t="s">
        <v>170</v>
      </c>
      <c r="G356" t="s">
        <v>177</v>
      </c>
      <c r="H356" s="133">
        <v>1000</v>
      </c>
      <c r="I356">
        <v>0</v>
      </c>
      <c r="J356" s="133">
        <v>1000</v>
      </c>
      <c r="K356" s="133">
        <v>34545</v>
      </c>
      <c r="L356" s="133">
        <v>34545</v>
      </c>
      <c r="M356" s="150">
        <v>0.42949074074074073</v>
      </c>
      <c r="N356" s="150">
        <v>0.42949074074074073</v>
      </c>
      <c r="O356" t="s">
        <v>172</v>
      </c>
      <c r="Q356">
        <v>726002</v>
      </c>
      <c r="R356">
        <v>726002</v>
      </c>
      <c r="S356">
        <v>725980</v>
      </c>
      <c r="T356">
        <v>0</v>
      </c>
      <c r="U356" t="s">
        <v>173</v>
      </c>
      <c r="V356">
        <v>0</v>
      </c>
      <c r="W356" t="s">
        <v>174</v>
      </c>
      <c r="X356">
        <v>725980</v>
      </c>
      <c r="Z356" t="s">
        <v>175</v>
      </c>
      <c r="AA356" t="s">
        <v>173</v>
      </c>
    </row>
    <row r="357" spans="1:27" x14ac:dyDescent="0.3">
      <c r="A357">
        <v>356</v>
      </c>
      <c r="B357" t="s">
        <v>169</v>
      </c>
      <c r="C357">
        <v>99019875</v>
      </c>
      <c r="D357" s="7" t="s">
        <v>62</v>
      </c>
      <c r="E357" t="s">
        <v>63</v>
      </c>
      <c r="F357" t="s">
        <v>170</v>
      </c>
      <c r="G357" t="s">
        <v>171</v>
      </c>
      <c r="H357" s="133">
        <v>1000</v>
      </c>
      <c r="I357">
        <v>0</v>
      </c>
      <c r="J357" s="133">
        <v>1000</v>
      </c>
      <c r="K357" s="133">
        <v>34490</v>
      </c>
      <c r="L357" s="133">
        <v>34490</v>
      </c>
      <c r="M357" s="150">
        <v>0.42983796296296295</v>
      </c>
      <c r="N357" s="150">
        <v>0.42983796296296295</v>
      </c>
      <c r="O357" t="s">
        <v>172</v>
      </c>
      <c r="Q357">
        <v>729533</v>
      </c>
      <c r="R357">
        <v>729533</v>
      </c>
      <c r="S357">
        <v>0</v>
      </c>
      <c r="T357">
        <v>0</v>
      </c>
      <c r="U357" t="s">
        <v>173</v>
      </c>
      <c r="V357">
        <v>0</v>
      </c>
      <c r="W357" t="s">
        <v>174</v>
      </c>
      <c r="X357">
        <v>0</v>
      </c>
      <c r="Z357" t="s">
        <v>175</v>
      </c>
      <c r="AA357" t="s">
        <v>173</v>
      </c>
    </row>
    <row r="358" spans="1:27" x14ac:dyDescent="0.3">
      <c r="A358">
        <v>357</v>
      </c>
      <c r="B358" t="s">
        <v>169</v>
      </c>
      <c r="C358">
        <v>99019875</v>
      </c>
      <c r="D358" s="7" t="s">
        <v>114</v>
      </c>
      <c r="E358" t="s">
        <v>115</v>
      </c>
      <c r="F358" t="s">
        <v>170</v>
      </c>
      <c r="G358" t="s">
        <v>177</v>
      </c>
      <c r="H358" s="133">
        <v>1000</v>
      </c>
      <c r="I358">
        <v>0</v>
      </c>
      <c r="J358" s="133">
        <v>1000</v>
      </c>
      <c r="K358" s="133">
        <v>54415</v>
      </c>
      <c r="L358" s="133">
        <v>54415</v>
      </c>
      <c r="M358" s="150">
        <v>0.43003472222222222</v>
      </c>
      <c r="N358" s="150">
        <v>0.43004629629629632</v>
      </c>
      <c r="O358" t="s">
        <v>172</v>
      </c>
      <c r="Q358">
        <v>731817</v>
      </c>
      <c r="R358">
        <v>731817</v>
      </c>
      <c r="S358">
        <v>731742</v>
      </c>
      <c r="T358">
        <v>0</v>
      </c>
      <c r="U358" t="s">
        <v>173</v>
      </c>
      <c r="V358">
        <v>0</v>
      </c>
      <c r="W358" t="s">
        <v>174</v>
      </c>
      <c r="X358">
        <v>731742</v>
      </c>
      <c r="Z358" t="s">
        <v>175</v>
      </c>
      <c r="AA358" t="s">
        <v>173</v>
      </c>
    </row>
    <row r="359" spans="1:27" x14ac:dyDescent="0.3">
      <c r="A359">
        <v>358</v>
      </c>
      <c r="B359" t="s">
        <v>169</v>
      </c>
      <c r="C359">
        <v>99019875</v>
      </c>
      <c r="D359" s="7" t="s">
        <v>62</v>
      </c>
      <c r="E359" t="s">
        <v>63</v>
      </c>
      <c r="F359" t="s">
        <v>170</v>
      </c>
      <c r="G359" t="s">
        <v>171</v>
      </c>
      <c r="H359" s="133">
        <v>1000</v>
      </c>
      <c r="I359">
        <v>0</v>
      </c>
      <c r="J359" s="133">
        <v>1000</v>
      </c>
      <c r="K359" s="133">
        <v>34455</v>
      </c>
      <c r="L359" s="133">
        <v>34450</v>
      </c>
      <c r="M359" s="150">
        <v>0.43018518518518517</v>
      </c>
      <c r="N359" s="150">
        <v>0.43018518518518517</v>
      </c>
      <c r="O359" t="s">
        <v>172</v>
      </c>
      <c r="Q359">
        <v>733284</v>
      </c>
      <c r="R359">
        <v>733284</v>
      </c>
      <c r="S359">
        <v>0</v>
      </c>
      <c r="T359">
        <v>0</v>
      </c>
      <c r="U359" t="s">
        <v>173</v>
      </c>
      <c r="V359">
        <v>0</v>
      </c>
      <c r="W359" t="s">
        <v>174</v>
      </c>
      <c r="X359">
        <v>0</v>
      </c>
      <c r="Z359" t="s">
        <v>175</v>
      </c>
      <c r="AA359" t="s">
        <v>173</v>
      </c>
    </row>
    <row r="360" spans="1:27" x14ac:dyDescent="0.3">
      <c r="A360">
        <v>359</v>
      </c>
      <c r="B360" t="s">
        <v>169</v>
      </c>
      <c r="C360">
        <v>99019875</v>
      </c>
      <c r="D360" s="7" t="s">
        <v>62</v>
      </c>
      <c r="E360" t="s">
        <v>63</v>
      </c>
      <c r="F360" t="s">
        <v>170</v>
      </c>
      <c r="G360" t="s">
        <v>171</v>
      </c>
      <c r="H360" s="133">
        <v>1000</v>
      </c>
      <c r="I360">
        <v>0</v>
      </c>
      <c r="J360" s="133">
        <v>1000</v>
      </c>
      <c r="K360" s="133">
        <v>34445</v>
      </c>
      <c r="L360" s="133">
        <v>34445</v>
      </c>
      <c r="M360" s="150">
        <v>0.43053240740740745</v>
      </c>
      <c r="N360" s="150">
        <v>0.43053240740740745</v>
      </c>
      <c r="O360" t="s">
        <v>172</v>
      </c>
      <c r="Q360">
        <v>736837</v>
      </c>
      <c r="R360">
        <v>736837</v>
      </c>
      <c r="S360">
        <v>0</v>
      </c>
      <c r="T360">
        <v>0</v>
      </c>
      <c r="U360" t="s">
        <v>173</v>
      </c>
      <c r="V360">
        <v>0</v>
      </c>
      <c r="W360" t="s">
        <v>174</v>
      </c>
      <c r="X360">
        <v>0</v>
      </c>
      <c r="Z360" t="s">
        <v>175</v>
      </c>
      <c r="AA360" t="s">
        <v>173</v>
      </c>
    </row>
    <row r="361" spans="1:27" x14ac:dyDescent="0.3">
      <c r="A361">
        <v>360</v>
      </c>
      <c r="B361" t="s">
        <v>180</v>
      </c>
      <c r="C361">
        <v>99019421</v>
      </c>
      <c r="D361" s="7" t="s">
        <v>185</v>
      </c>
      <c r="E361" t="s">
        <v>181</v>
      </c>
      <c r="F361" t="s">
        <v>176</v>
      </c>
      <c r="G361" t="s">
        <v>177</v>
      </c>
      <c r="H361" s="133">
        <v>10000</v>
      </c>
      <c r="I361">
        <v>0</v>
      </c>
      <c r="J361">
        <v>3</v>
      </c>
      <c r="K361" s="133">
        <v>13935</v>
      </c>
      <c r="L361" s="133">
        <v>13935</v>
      </c>
      <c r="M361" s="150">
        <v>0.43094907407407407</v>
      </c>
      <c r="N361" s="150">
        <v>0.43108796296296298</v>
      </c>
      <c r="O361" t="s">
        <v>172</v>
      </c>
      <c r="Q361">
        <v>740876</v>
      </c>
      <c r="R361">
        <v>740876</v>
      </c>
      <c r="S361">
        <v>740769</v>
      </c>
      <c r="T361" s="133">
        <v>9997</v>
      </c>
      <c r="U361" t="s">
        <v>173</v>
      </c>
      <c r="V361">
        <v>0</v>
      </c>
      <c r="W361" t="s">
        <v>174</v>
      </c>
      <c r="X361">
        <v>740769</v>
      </c>
      <c r="Y361" t="s">
        <v>182</v>
      </c>
      <c r="Z361" t="s">
        <v>183</v>
      </c>
      <c r="AA361" t="s">
        <v>173</v>
      </c>
    </row>
    <row r="362" spans="1:27" x14ac:dyDescent="0.3">
      <c r="A362">
        <v>361</v>
      </c>
      <c r="B362" t="s">
        <v>169</v>
      </c>
      <c r="C362">
        <v>99019875</v>
      </c>
      <c r="D362" s="7" t="s">
        <v>62</v>
      </c>
      <c r="E362" t="s">
        <v>63</v>
      </c>
      <c r="F362" t="s">
        <v>170</v>
      </c>
      <c r="G362" t="s">
        <v>177</v>
      </c>
      <c r="H362" s="133">
        <v>1000</v>
      </c>
      <c r="I362">
        <v>0</v>
      </c>
      <c r="J362" s="133">
        <v>1000</v>
      </c>
      <c r="K362" s="133">
        <v>34435</v>
      </c>
      <c r="L362" s="133">
        <v>34435</v>
      </c>
      <c r="M362" s="150">
        <v>0.43096064814814811</v>
      </c>
      <c r="N362" s="150">
        <v>0.43096064814814811</v>
      </c>
      <c r="O362" t="s">
        <v>172</v>
      </c>
      <c r="Q362">
        <v>740972</v>
      </c>
      <c r="R362">
        <v>740972</v>
      </c>
      <c r="S362">
        <v>740962</v>
      </c>
      <c r="T362">
        <v>0</v>
      </c>
      <c r="U362" t="s">
        <v>173</v>
      </c>
      <c r="V362">
        <v>0</v>
      </c>
      <c r="W362" t="s">
        <v>174</v>
      </c>
      <c r="X362">
        <v>740962</v>
      </c>
      <c r="Z362" t="s">
        <v>175</v>
      </c>
      <c r="AA362" t="s">
        <v>173</v>
      </c>
    </row>
    <row r="363" spans="1:27" x14ac:dyDescent="0.3">
      <c r="A363">
        <v>362</v>
      </c>
      <c r="B363" t="s">
        <v>180</v>
      </c>
      <c r="C363">
        <v>99019421</v>
      </c>
      <c r="D363" s="7" t="s">
        <v>185</v>
      </c>
      <c r="E363" t="s">
        <v>181</v>
      </c>
      <c r="F363" t="s">
        <v>176</v>
      </c>
      <c r="G363" t="s">
        <v>177</v>
      </c>
      <c r="H363" s="133">
        <v>10000</v>
      </c>
      <c r="I363">
        <v>0</v>
      </c>
      <c r="J363">
        <v>57</v>
      </c>
      <c r="K363" s="133">
        <v>13920</v>
      </c>
      <c r="L363" s="133">
        <v>13920</v>
      </c>
      <c r="M363" s="150">
        <v>0.43126157407407412</v>
      </c>
      <c r="N363" s="150">
        <v>0.43128472222222225</v>
      </c>
      <c r="O363" t="s">
        <v>172</v>
      </c>
      <c r="Q363">
        <v>744243</v>
      </c>
      <c r="R363">
        <v>744243</v>
      </c>
      <c r="S363">
        <v>744240</v>
      </c>
      <c r="T363" s="133">
        <v>9943</v>
      </c>
      <c r="U363" t="s">
        <v>173</v>
      </c>
      <c r="V363">
        <v>0</v>
      </c>
      <c r="W363" t="s">
        <v>174</v>
      </c>
      <c r="X363">
        <v>744240</v>
      </c>
      <c r="Y363" t="s">
        <v>182</v>
      </c>
      <c r="Z363" t="s">
        <v>183</v>
      </c>
      <c r="AA363" t="s">
        <v>173</v>
      </c>
    </row>
    <row r="364" spans="1:27" x14ac:dyDescent="0.3">
      <c r="A364">
        <v>363</v>
      </c>
      <c r="B364" t="s">
        <v>169</v>
      </c>
      <c r="C364">
        <v>99019875</v>
      </c>
      <c r="D364" s="7" t="s">
        <v>62</v>
      </c>
      <c r="E364" t="s">
        <v>63</v>
      </c>
      <c r="F364" t="s">
        <v>170</v>
      </c>
      <c r="G364" t="s">
        <v>171</v>
      </c>
      <c r="H364" s="133">
        <v>1000</v>
      </c>
      <c r="I364">
        <v>0</v>
      </c>
      <c r="J364" s="133">
        <v>1000</v>
      </c>
      <c r="K364" s="133">
        <v>34450</v>
      </c>
      <c r="L364" s="133">
        <v>34450</v>
      </c>
      <c r="M364" s="150">
        <v>0.43130787037037038</v>
      </c>
      <c r="N364" s="150">
        <v>0.43130787037037038</v>
      </c>
      <c r="O364" t="s">
        <v>172</v>
      </c>
      <c r="Q364">
        <v>744928</v>
      </c>
      <c r="R364">
        <v>744928</v>
      </c>
      <c r="S364">
        <v>0</v>
      </c>
      <c r="T364">
        <v>0</v>
      </c>
      <c r="U364" t="s">
        <v>173</v>
      </c>
      <c r="V364">
        <v>0</v>
      </c>
      <c r="W364" t="s">
        <v>174</v>
      </c>
      <c r="X364">
        <v>0</v>
      </c>
      <c r="Z364" t="s">
        <v>175</v>
      </c>
      <c r="AA364" t="s">
        <v>173</v>
      </c>
    </row>
    <row r="365" spans="1:27" x14ac:dyDescent="0.3">
      <c r="A365">
        <v>364</v>
      </c>
      <c r="B365" t="s">
        <v>180</v>
      </c>
      <c r="C365">
        <v>99019421</v>
      </c>
      <c r="D365" s="7" t="s">
        <v>185</v>
      </c>
      <c r="E365" t="s">
        <v>181</v>
      </c>
      <c r="F365" t="s">
        <v>176</v>
      </c>
      <c r="G365" t="s">
        <v>177</v>
      </c>
      <c r="H365" s="133">
        <v>10000</v>
      </c>
      <c r="I365">
        <v>0</v>
      </c>
      <c r="J365" s="133">
        <v>10000</v>
      </c>
      <c r="K365" s="133">
        <v>13905</v>
      </c>
      <c r="L365" s="133">
        <v>13905</v>
      </c>
      <c r="M365" s="150">
        <v>0.4314236111111111</v>
      </c>
      <c r="N365" s="150">
        <v>0.43145833333333333</v>
      </c>
      <c r="O365" t="s">
        <v>172</v>
      </c>
      <c r="Q365">
        <v>746810</v>
      </c>
      <c r="R365">
        <v>746810</v>
      </c>
      <c r="S365">
        <v>746724</v>
      </c>
      <c r="T365">
        <v>0</v>
      </c>
      <c r="U365" t="s">
        <v>173</v>
      </c>
      <c r="V365">
        <v>0</v>
      </c>
      <c r="W365" t="s">
        <v>174</v>
      </c>
      <c r="X365">
        <v>746724</v>
      </c>
      <c r="Y365" t="s">
        <v>182</v>
      </c>
      <c r="Z365" t="s">
        <v>183</v>
      </c>
      <c r="AA365" t="s">
        <v>173</v>
      </c>
    </row>
    <row r="366" spans="1:27" x14ac:dyDescent="0.3">
      <c r="A366">
        <v>365</v>
      </c>
      <c r="B366" t="s">
        <v>169</v>
      </c>
      <c r="C366">
        <v>99019875</v>
      </c>
      <c r="D366" s="7" t="s">
        <v>140</v>
      </c>
      <c r="E366" t="s">
        <v>178</v>
      </c>
      <c r="F366" t="s">
        <v>170</v>
      </c>
      <c r="G366" t="s">
        <v>177</v>
      </c>
      <c r="H366" s="133">
        <v>1000</v>
      </c>
      <c r="I366">
        <v>0</v>
      </c>
      <c r="J366" s="133">
        <v>1000</v>
      </c>
      <c r="K366" s="133">
        <v>8715</v>
      </c>
      <c r="L366" s="133">
        <v>8715</v>
      </c>
      <c r="M366" s="150">
        <v>0.43155092592592598</v>
      </c>
      <c r="N366" s="150">
        <v>0.43162037037037032</v>
      </c>
      <c r="O366" t="s">
        <v>172</v>
      </c>
      <c r="Q366">
        <v>748254</v>
      </c>
      <c r="R366">
        <v>748254</v>
      </c>
      <c r="S366">
        <v>748062</v>
      </c>
      <c r="T366">
        <v>0</v>
      </c>
      <c r="U366" t="s">
        <v>173</v>
      </c>
      <c r="V366">
        <v>0</v>
      </c>
      <c r="W366" t="s">
        <v>174</v>
      </c>
      <c r="X366">
        <v>748062</v>
      </c>
      <c r="Z366" t="s">
        <v>175</v>
      </c>
      <c r="AA366" t="s">
        <v>173</v>
      </c>
    </row>
    <row r="367" spans="1:27" x14ac:dyDescent="0.3">
      <c r="A367">
        <v>366</v>
      </c>
      <c r="B367" t="s">
        <v>169</v>
      </c>
      <c r="C367">
        <v>99019875</v>
      </c>
      <c r="D367" s="7" t="s">
        <v>62</v>
      </c>
      <c r="E367" t="s">
        <v>63</v>
      </c>
      <c r="F367" t="s">
        <v>170</v>
      </c>
      <c r="G367" t="s">
        <v>177</v>
      </c>
      <c r="H367" s="133">
        <v>1000</v>
      </c>
      <c r="I367">
        <v>0</v>
      </c>
      <c r="J367">
        <v>995</v>
      </c>
      <c r="K367" s="133">
        <v>34445</v>
      </c>
      <c r="L367" s="133">
        <v>34445</v>
      </c>
      <c r="M367" s="150">
        <v>0.43166666666666664</v>
      </c>
      <c r="N367" s="150">
        <v>0.43166666666666664</v>
      </c>
      <c r="O367" t="s">
        <v>172</v>
      </c>
      <c r="Q367">
        <v>749492</v>
      </c>
      <c r="R367">
        <v>749492</v>
      </c>
      <c r="S367">
        <v>749480</v>
      </c>
      <c r="T367">
        <v>5</v>
      </c>
      <c r="U367" t="s">
        <v>173</v>
      </c>
      <c r="V367">
        <v>0</v>
      </c>
      <c r="W367" t="s">
        <v>174</v>
      </c>
      <c r="X367">
        <v>749480</v>
      </c>
      <c r="Z367" t="s">
        <v>175</v>
      </c>
      <c r="AA367" t="s">
        <v>173</v>
      </c>
    </row>
    <row r="368" spans="1:27" x14ac:dyDescent="0.3">
      <c r="A368">
        <v>367</v>
      </c>
      <c r="B368" t="s">
        <v>169</v>
      </c>
      <c r="C368">
        <v>99019875</v>
      </c>
      <c r="D368" s="7" t="s">
        <v>75</v>
      </c>
      <c r="E368" t="s">
        <v>76</v>
      </c>
      <c r="F368" t="s">
        <v>176</v>
      </c>
      <c r="G368" t="s">
        <v>177</v>
      </c>
      <c r="H368" s="133">
        <v>1000</v>
      </c>
      <c r="I368">
        <v>0</v>
      </c>
      <c r="J368">
        <v>1</v>
      </c>
      <c r="K368" s="133">
        <v>21180</v>
      </c>
      <c r="L368" s="133">
        <v>21180</v>
      </c>
      <c r="M368" s="150">
        <v>0.43215277777777777</v>
      </c>
      <c r="N368" s="150">
        <v>0.43215277777777777</v>
      </c>
      <c r="O368" t="s">
        <v>172</v>
      </c>
      <c r="Q368">
        <v>753990</v>
      </c>
      <c r="R368">
        <v>753990</v>
      </c>
      <c r="S368">
        <v>753977</v>
      </c>
      <c r="T368">
        <v>999</v>
      </c>
      <c r="U368" t="s">
        <v>173</v>
      </c>
      <c r="V368">
        <v>0</v>
      </c>
      <c r="W368" t="s">
        <v>174</v>
      </c>
      <c r="X368">
        <v>753977</v>
      </c>
      <c r="Z368" t="s">
        <v>175</v>
      </c>
      <c r="AA368" t="s">
        <v>173</v>
      </c>
    </row>
    <row r="369" spans="1:27" x14ac:dyDescent="0.3">
      <c r="A369">
        <v>368</v>
      </c>
      <c r="B369" t="s">
        <v>169</v>
      </c>
      <c r="C369">
        <v>99019875</v>
      </c>
      <c r="D369" s="7" t="s">
        <v>140</v>
      </c>
      <c r="E369" t="s">
        <v>178</v>
      </c>
      <c r="F369" t="s">
        <v>170</v>
      </c>
      <c r="G369" t="s">
        <v>177</v>
      </c>
      <c r="H369" s="133">
        <v>1000</v>
      </c>
      <c r="I369">
        <v>0</v>
      </c>
      <c r="J369">
        <v>914</v>
      </c>
      <c r="K369" s="133">
        <v>8725</v>
      </c>
      <c r="L369" s="133">
        <v>8725</v>
      </c>
      <c r="M369" s="150">
        <v>0.43247685185185186</v>
      </c>
      <c r="N369" s="150">
        <v>0.4324884259259259</v>
      </c>
      <c r="O369" t="s">
        <v>172</v>
      </c>
      <c r="Q369">
        <v>756911</v>
      </c>
      <c r="R369">
        <v>756911</v>
      </c>
      <c r="S369">
        <v>756824</v>
      </c>
      <c r="T369">
        <v>86</v>
      </c>
      <c r="U369" t="s">
        <v>173</v>
      </c>
      <c r="V369">
        <v>0</v>
      </c>
      <c r="W369" t="s">
        <v>174</v>
      </c>
      <c r="X369">
        <v>756824</v>
      </c>
      <c r="Z369" t="s">
        <v>175</v>
      </c>
      <c r="AA369" t="s">
        <v>173</v>
      </c>
    </row>
    <row r="370" spans="1:27" x14ac:dyDescent="0.3">
      <c r="A370">
        <v>369</v>
      </c>
      <c r="B370" t="s">
        <v>169</v>
      </c>
      <c r="C370">
        <v>99019875</v>
      </c>
      <c r="D370" s="7" t="s">
        <v>75</v>
      </c>
      <c r="E370" t="s">
        <v>76</v>
      </c>
      <c r="F370" t="s">
        <v>176</v>
      </c>
      <c r="G370" t="s">
        <v>177</v>
      </c>
      <c r="H370" s="133">
        <v>1000</v>
      </c>
      <c r="I370">
        <v>0</v>
      </c>
      <c r="J370">
        <v>2</v>
      </c>
      <c r="K370" s="133">
        <v>21180</v>
      </c>
      <c r="L370" s="133">
        <v>21180</v>
      </c>
      <c r="M370" s="150">
        <v>0.43250000000000005</v>
      </c>
      <c r="N370" s="150">
        <v>0.43251157407407409</v>
      </c>
      <c r="O370" t="s">
        <v>172</v>
      </c>
      <c r="Q370">
        <v>757203</v>
      </c>
      <c r="R370">
        <v>757203</v>
      </c>
      <c r="S370">
        <v>757159</v>
      </c>
      <c r="T370">
        <v>998</v>
      </c>
      <c r="U370" t="s">
        <v>173</v>
      </c>
      <c r="V370">
        <v>0</v>
      </c>
      <c r="W370" t="s">
        <v>174</v>
      </c>
      <c r="X370">
        <v>757159</v>
      </c>
      <c r="Z370" t="s">
        <v>175</v>
      </c>
      <c r="AA370" t="s">
        <v>173</v>
      </c>
    </row>
    <row r="371" spans="1:27" x14ac:dyDescent="0.3">
      <c r="A371">
        <v>370</v>
      </c>
      <c r="B371" t="s">
        <v>169</v>
      </c>
      <c r="C371">
        <v>99019875</v>
      </c>
      <c r="D371" s="7" t="s">
        <v>114</v>
      </c>
      <c r="E371" t="s">
        <v>115</v>
      </c>
      <c r="F371" t="s">
        <v>170</v>
      </c>
      <c r="G371" t="s">
        <v>177</v>
      </c>
      <c r="H371" s="133">
        <v>1000</v>
      </c>
      <c r="I371">
        <v>0</v>
      </c>
      <c r="J371">
        <v>741</v>
      </c>
      <c r="K371" s="133">
        <v>54400</v>
      </c>
      <c r="L371" s="133">
        <v>54400</v>
      </c>
      <c r="M371" s="150">
        <v>0.4325694444444444</v>
      </c>
      <c r="N371" s="150">
        <v>0.4325694444444444</v>
      </c>
      <c r="O371" t="s">
        <v>172</v>
      </c>
      <c r="Q371">
        <v>757980</v>
      </c>
      <c r="R371">
        <v>757980</v>
      </c>
      <c r="S371">
        <v>757971</v>
      </c>
      <c r="T371">
        <v>259</v>
      </c>
      <c r="U371" t="s">
        <v>173</v>
      </c>
      <c r="V371">
        <v>0</v>
      </c>
      <c r="W371" t="s">
        <v>174</v>
      </c>
      <c r="X371">
        <v>757971</v>
      </c>
      <c r="Z371" t="s">
        <v>175</v>
      </c>
      <c r="AA371" t="s">
        <v>173</v>
      </c>
    </row>
    <row r="372" spans="1:27" x14ac:dyDescent="0.3">
      <c r="A372">
        <v>371</v>
      </c>
      <c r="B372" t="s">
        <v>169</v>
      </c>
      <c r="C372">
        <v>99019875</v>
      </c>
      <c r="D372" s="7" t="s">
        <v>62</v>
      </c>
      <c r="E372" t="s">
        <v>63</v>
      </c>
      <c r="F372" t="s">
        <v>176</v>
      </c>
      <c r="G372" t="s">
        <v>177</v>
      </c>
      <c r="H372" s="133">
        <v>5000</v>
      </c>
      <c r="I372">
        <v>0</v>
      </c>
      <c r="J372" s="133">
        <v>5000</v>
      </c>
      <c r="K372" s="133">
        <v>34480</v>
      </c>
      <c r="L372" s="133">
        <v>34480</v>
      </c>
      <c r="M372" s="150">
        <v>0.43258101851851855</v>
      </c>
      <c r="N372" s="150">
        <v>0.43314814814814812</v>
      </c>
      <c r="O372" t="s">
        <v>172</v>
      </c>
      <c r="Q372">
        <v>758141</v>
      </c>
      <c r="R372">
        <v>758141</v>
      </c>
      <c r="S372">
        <v>757894</v>
      </c>
      <c r="T372">
        <v>0</v>
      </c>
      <c r="U372" t="s">
        <v>173</v>
      </c>
      <c r="V372">
        <v>0</v>
      </c>
      <c r="W372" t="s">
        <v>174</v>
      </c>
      <c r="X372">
        <v>757894</v>
      </c>
      <c r="Z372" t="s">
        <v>173</v>
      </c>
      <c r="AA372" t="s">
        <v>173</v>
      </c>
    </row>
    <row r="373" spans="1:27" x14ac:dyDescent="0.3">
      <c r="A373">
        <v>372</v>
      </c>
      <c r="B373" t="s">
        <v>169</v>
      </c>
      <c r="C373">
        <v>99019875</v>
      </c>
      <c r="D373" s="7" t="s">
        <v>69</v>
      </c>
      <c r="E373" t="s">
        <v>70</v>
      </c>
      <c r="F373" t="s">
        <v>176</v>
      </c>
      <c r="G373" t="s">
        <v>177</v>
      </c>
      <c r="H373" s="133">
        <v>1000</v>
      </c>
      <c r="I373">
        <v>0</v>
      </c>
      <c r="J373">
        <v>27</v>
      </c>
      <c r="K373" s="133">
        <v>10485</v>
      </c>
      <c r="L373" s="133">
        <v>10485</v>
      </c>
      <c r="M373" s="150">
        <v>0.43322916666666672</v>
      </c>
      <c r="N373" s="150">
        <v>0.43326388888888889</v>
      </c>
      <c r="O373" t="s">
        <v>172</v>
      </c>
      <c r="Q373">
        <v>763411</v>
      </c>
      <c r="R373">
        <v>763411</v>
      </c>
      <c r="S373">
        <v>763317</v>
      </c>
      <c r="T373">
        <v>973</v>
      </c>
      <c r="U373" t="s">
        <v>173</v>
      </c>
      <c r="V373">
        <v>0</v>
      </c>
      <c r="W373" t="s">
        <v>174</v>
      </c>
      <c r="X373">
        <v>763317</v>
      </c>
      <c r="Z373" t="s">
        <v>175</v>
      </c>
      <c r="AA373" t="s">
        <v>173</v>
      </c>
    </row>
    <row r="374" spans="1:27" x14ac:dyDescent="0.3">
      <c r="A374">
        <v>373</v>
      </c>
      <c r="B374" t="s">
        <v>169</v>
      </c>
      <c r="C374">
        <v>99019875</v>
      </c>
      <c r="D374" s="7" t="s">
        <v>75</v>
      </c>
      <c r="E374" t="s">
        <v>76</v>
      </c>
      <c r="F374" t="s">
        <v>176</v>
      </c>
      <c r="G374" t="s">
        <v>177</v>
      </c>
      <c r="H374" s="133">
        <v>1000</v>
      </c>
      <c r="I374">
        <v>0</v>
      </c>
      <c r="J374">
        <v>1</v>
      </c>
      <c r="K374" s="133">
        <v>21165</v>
      </c>
      <c r="L374" s="133">
        <v>21165</v>
      </c>
      <c r="M374" s="150">
        <v>0.43326388888888889</v>
      </c>
      <c r="N374" s="150">
        <v>0.43327546296296293</v>
      </c>
      <c r="O374" t="s">
        <v>172</v>
      </c>
      <c r="Q374">
        <v>763684</v>
      </c>
      <c r="R374">
        <v>763684</v>
      </c>
      <c r="S374">
        <v>763627</v>
      </c>
      <c r="T374">
        <v>999</v>
      </c>
      <c r="U374" t="s">
        <v>173</v>
      </c>
      <c r="V374">
        <v>0</v>
      </c>
      <c r="W374" t="s">
        <v>174</v>
      </c>
      <c r="X374">
        <v>763627</v>
      </c>
      <c r="Z374" t="s">
        <v>175</v>
      </c>
      <c r="AA374" t="s">
        <v>173</v>
      </c>
    </row>
    <row r="375" spans="1:27" x14ac:dyDescent="0.3">
      <c r="A375">
        <v>374</v>
      </c>
      <c r="B375" t="s">
        <v>169</v>
      </c>
      <c r="C375">
        <v>99019875</v>
      </c>
      <c r="D375" s="7" t="s">
        <v>114</v>
      </c>
      <c r="E375" t="s">
        <v>115</v>
      </c>
      <c r="F375" t="s">
        <v>170</v>
      </c>
      <c r="G375" t="s">
        <v>177</v>
      </c>
      <c r="H375" s="133">
        <v>1000</v>
      </c>
      <c r="I375">
        <v>0</v>
      </c>
      <c r="J375">
        <v>278</v>
      </c>
      <c r="K375" s="133">
        <v>54375</v>
      </c>
      <c r="L375" s="133">
        <v>54375</v>
      </c>
      <c r="M375" s="150">
        <v>0.43366898148148153</v>
      </c>
      <c r="N375" s="150">
        <v>0.43368055555555557</v>
      </c>
      <c r="O375" t="s">
        <v>172</v>
      </c>
      <c r="Q375">
        <v>767010</v>
      </c>
      <c r="R375">
        <v>767010</v>
      </c>
      <c r="S375">
        <v>766992</v>
      </c>
      <c r="T375">
        <v>722</v>
      </c>
      <c r="U375" t="s">
        <v>173</v>
      </c>
      <c r="V375">
        <v>0</v>
      </c>
      <c r="W375" t="s">
        <v>174</v>
      </c>
      <c r="X375">
        <v>766992</v>
      </c>
      <c r="Z375" t="s">
        <v>175</v>
      </c>
      <c r="AA375" t="s">
        <v>173</v>
      </c>
    </row>
    <row r="376" spans="1:27" x14ac:dyDescent="0.3">
      <c r="A376">
        <v>375</v>
      </c>
      <c r="B376" t="s">
        <v>169</v>
      </c>
      <c r="C376">
        <v>99019875</v>
      </c>
      <c r="D376" s="7" t="s">
        <v>75</v>
      </c>
      <c r="E376" t="s">
        <v>76</v>
      </c>
      <c r="F376" t="s">
        <v>176</v>
      </c>
      <c r="G376" t="s">
        <v>177</v>
      </c>
      <c r="H376" s="133">
        <v>1000</v>
      </c>
      <c r="I376">
        <v>0</v>
      </c>
      <c r="J376">
        <v>3</v>
      </c>
      <c r="K376" s="133">
        <v>21150</v>
      </c>
      <c r="L376" s="133">
        <v>21150</v>
      </c>
      <c r="M376" s="150">
        <v>0.43373842592592587</v>
      </c>
      <c r="N376" s="150">
        <v>0.43373842592592587</v>
      </c>
      <c r="O376" t="s">
        <v>172</v>
      </c>
      <c r="Q376">
        <v>767576</v>
      </c>
      <c r="R376">
        <v>767576</v>
      </c>
      <c r="S376">
        <v>767559</v>
      </c>
      <c r="T376">
        <v>997</v>
      </c>
      <c r="U376" t="s">
        <v>173</v>
      </c>
      <c r="V376">
        <v>0</v>
      </c>
      <c r="W376" t="s">
        <v>174</v>
      </c>
      <c r="X376">
        <v>767559</v>
      </c>
      <c r="Z376" t="s">
        <v>175</v>
      </c>
      <c r="AA376" t="s">
        <v>173</v>
      </c>
    </row>
    <row r="377" spans="1:27" x14ac:dyDescent="0.3">
      <c r="A377">
        <v>376</v>
      </c>
      <c r="B377" t="s">
        <v>169</v>
      </c>
      <c r="C377">
        <v>99019875</v>
      </c>
      <c r="D377" s="7" t="s">
        <v>75</v>
      </c>
      <c r="E377" t="s">
        <v>76</v>
      </c>
      <c r="F377" t="s">
        <v>176</v>
      </c>
      <c r="G377" t="s">
        <v>177</v>
      </c>
      <c r="H377" s="133">
        <v>1000</v>
      </c>
      <c r="I377">
        <v>0</v>
      </c>
      <c r="J377">
        <v>5</v>
      </c>
      <c r="K377" s="133">
        <v>21160</v>
      </c>
      <c r="L377" s="133">
        <v>21160</v>
      </c>
      <c r="M377" s="150">
        <v>0.43445601851851851</v>
      </c>
      <c r="N377" s="150">
        <v>0.43446759259259254</v>
      </c>
      <c r="O377" t="s">
        <v>172</v>
      </c>
      <c r="Q377">
        <v>773325</v>
      </c>
      <c r="R377">
        <v>773325</v>
      </c>
      <c r="S377">
        <v>773322</v>
      </c>
      <c r="T377">
        <v>995</v>
      </c>
      <c r="U377" t="s">
        <v>173</v>
      </c>
      <c r="V377">
        <v>0</v>
      </c>
      <c r="W377" t="s">
        <v>174</v>
      </c>
      <c r="X377">
        <v>773322</v>
      </c>
      <c r="Z377" t="s">
        <v>175</v>
      </c>
      <c r="AA377" t="s">
        <v>173</v>
      </c>
    </row>
    <row r="378" spans="1:27" x14ac:dyDescent="0.3">
      <c r="A378">
        <v>377</v>
      </c>
      <c r="B378" t="s">
        <v>169</v>
      </c>
      <c r="C378">
        <v>99019875</v>
      </c>
      <c r="D378" s="7" t="s">
        <v>62</v>
      </c>
      <c r="E378" t="s">
        <v>63</v>
      </c>
      <c r="F378" t="s">
        <v>170</v>
      </c>
      <c r="G378" t="s">
        <v>177</v>
      </c>
      <c r="H378" s="133">
        <v>1000</v>
      </c>
      <c r="I378">
        <v>0</v>
      </c>
      <c r="J378">
        <v>30</v>
      </c>
      <c r="K378" s="133">
        <v>34435</v>
      </c>
      <c r="L378" s="133">
        <v>34435</v>
      </c>
      <c r="M378" s="150">
        <v>0.43460648148148145</v>
      </c>
      <c r="N378" s="150">
        <v>0.43460648148148145</v>
      </c>
      <c r="O378" t="s">
        <v>172</v>
      </c>
      <c r="Q378">
        <v>774705</v>
      </c>
      <c r="R378">
        <v>774705</v>
      </c>
      <c r="S378">
        <v>774683</v>
      </c>
      <c r="T378">
        <v>970</v>
      </c>
      <c r="U378" t="s">
        <v>173</v>
      </c>
      <c r="V378">
        <v>0</v>
      </c>
      <c r="W378" t="s">
        <v>174</v>
      </c>
      <c r="X378">
        <v>774683</v>
      </c>
      <c r="Z378" t="s">
        <v>175</v>
      </c>
      <c r="AA378" t="s">
        <v>173</v>
      </c>
    </row>
    <row r="379" spans="1:27" x14ac:dyDescent="0.3">
      <c r="A379">
        <v>378</v>
      </c>
      <c r="B379" t="s">
        <v>169</v>
      </c>
      <c r="C379">
        <v>99019875</v>
      </c>
      <c r="D379" s="7" t="s">
        <v>75</v>
      </c>
      <c r="E379" t="s">
        <v>76</v>
      </c>
      <c r="F379" t="s">
        <v>176</v>
      </c>
      <c r="G379" t="s">
        <v>177</v>
      </c>
      <c r="H379" s="133">
        <v>1000</v>
      </c>
      <c r="I379">
        <v>0</v>
      </c>
      <c r="J379">
        <v>50</v>
      </c>
      <c r="K379" s="133">
        <v>21170</v>
      </c>
      <c r="L379" s="133">
        <v>21170</v>
      </c>
      <c r="M379" s="150">
        <v>0.43506944444444445</v>
      </c>
      <c r="N379" s="150">
        <v>0.43508101851851855</v>
      </c>
      <c r="O379" t="s">
        <v>172</v>
      </c>
      <c r="Q379">
        <v>778695</v>
      </c>
      <c r="R379">
        <v>778695</v>
      </c>
      <c r="S379">
        <v>778172</v>
      </c>
      <c r="T379">
        <v>950</v>
      </c>
      <c r="U379" t="s">
        <v>173</v>
      </c>
      <c r="V379">
        <v>0</v>
      </c>
      <c r="W379" t="s">
        <v>174</v>
      </c>
      <c r="X379">
        <v>778172</v>
      </c>
      <c r="Z379" t="s">
        <v>175</v>
      </c>
      <c r="AA379" t="s">
        <v>173</v>
      </c>
    </row>
    <row r="380" spans="1:27" x14ac:dyDescent="0.3">
      <c r="A380">
        <v>379</v>
      </c>
      <c r="B380" t="s">
        <v>169</v>
      </c>
      <c r="C380">
        <v>99019875</v>
      </c>
      <c r="D380" s="7" t="s">
        <v>102</v>
      </c>
      <c r="E380" t="s">
        <v>103</v>
      </c>
      <c r="F380" t="s">
        <v>176</v>
      </c>
      <c r="G380" t="s">
        <v>177</v>
      </c>
      <c r="H380" s="133">
        <v>1000</v>
      </c>
      <c r="I380">
        <v>0</v>
      </c>
      <c r="J380">
        <v>365</v>
      </c>
      <c r="K380" s="133">
        <v>27390</v>
      </c>
      <c r="L380" s="133">
        <v>27390</v>
      </c>
      <c r="M380" s="150">
        <v>0.43577546296296293</v>
      </c>
      <c r="N380" s="150">
        <v>0.43577546296296293</v>
      </c>
      <c r="O380" t="s">
        <v>172</v>
      </c>
      <c r="Q380">
        <v>784673</v>
      </c>
      <c r="R380">
        <v>784673</v>
      </c>
      <c r="S380">
        <v>784633</v>
      </c>
      <c r="T380">
        <v>635</v>
      </c>
      <c r="U380" t="s">
        <v>173</v>
      </c>
      <c r="V380">
        <v>0</v>
      </c>
      <c r="W380" t="s">
        <v>174</v>
      </c>
      <c r="X380">
        <v>784633</v>
      </c>
      <c r="Z380" t="s">
        <v>175</v>
      </c>
      <c r="AA380" t="s">
        <v>173</v>
      </c>
    </row>
    <row r="381" spans="1:27" x14ac:dyDescent="0.3">
      <c r="A381">
        <v>380</v>
      </c>
      <c r="B381" t="s">
        <v>169</v>
      </c>
      <c r="C381">
        <v>99019875</v>
      </c>
      <c r="D381" s="7" t="s">
        <v>62</v>
      </c>
      <c r="E381" t="s">
        <v>63</v>
      </c>
      <c r="F381" t="s">
        <v>170</v>
      </c>
      <c r="G381" t="s">
        <v>177</v>
      </c>
      <c r="H381" s="133">
        <v>1000</v>
      </c>
      <c r="I381">
        <v>0</v>
      </c>
      <c r="J381">
        <v>500</v>
      </c>
      <c r="K381" s="133">
        <v>34385</v>
      </c>
      <c r="L381" s="133">
        <v>34385</v>
      </c>
      <c r="M381" s="150">
        <v>0.43605324074074076</v>
      </c>
      <c r="N381" s="150">
        <v>0.43606481481481479</v>
      </c>
      <c r="O381" t="s">
        <v>172</v>
      </c>
      <c r="Q381">
        <v>786831</v>
      </c>
      <c r="R381">
        <v>786831</v>
      </c>
      <c r="S381">
        <v>786811</v>
      </c>
      <c r="T381">
        <v>500</v>
      </c>
      <c r="U381" t="s">
        <v>173</v>
      </c>
      <c r="V381">
        <v>0</v>
      </c>
      <c r="W381" t="s">
        <v>174</v>
      </c>
      <c r="X381">
        <v>786811</v>
      </c>
      <c r="Z381" t="s">
        <v>175</v>
      </c>
      <c r="AA381" t="s">
        <v>173</v>
      </c>
    </row>
    <row r="382" spans="1:27" x14ac:dyDescent="0.3">
      <c r="A382">
        <v>381</v>
      </c>
      <c r="B382" t="s">
        <v>169</v>
      </c>
      <c r="C382">
        <v>99019875</v>
      </c>
      <c r="D382" s="7" t="s">
        <v>140</v>
      </c>
      <c r="E382" t="s">
        <v>178</v>
      </c>
      <c r="F382" t="s">
        <v>170</v>
      </c>
      <c r="G382" t="s">
        <v>177</v>
      </c>
      <c r="H382" s="133">
        <v>1000</v>
      </c>
      <c r="I382">
        <v>0</v>
      </c>
      <c r="J382" s="133">
        <v>1000</v>
      </c>
      <c r="K382" s="133">
        <v>8720</v>
      </c>
      <c r="L382" s="133">
        <v>8719</v>
      </c>
      <c r="M382" s="150">
        <v>0.43608796296296298</v>
      </c>
      <c r="N382" s="150">
        <v>0.43608796296296298</v>
      </c>
      <c r="O382" t="s">
        <v>172</v>
      </c>
      <c r="Q382">
        <v>787060</v>
      </c>
      <c r="R382">
        <v>787060</v>
      </c>
      <c r="S382">
        <v>786385</v>
      </c>
      <c r="T382">
        <v>0</v>
      </c>
      <c r="U382" t="s">
        <v>173</v>
      </c>
      <c r="V382">
        <v>0</v>
      </c>
      <c r="W382" t="s">
        <v>174</v>
      </c>
      <c r="X382">
        <v>786385</v>
      </c>
      <c r="Z382" t="s">
        <v>175</v>
      </c>
      <c r="AA382" t="s">
        <v>173</v>
      </c>
    </row>
    <row r="383" spans="1:27" x14ac:dyDescent="0.3">
      <c r="A383">
        <v>382</v>
      </c>
      <c r="B383" t="s">
        <v>169</v>
      </c>
      <c r="C383">
        <v>99019875</v>
      </c>
      <c r="D383" s="7" t="s">
        <v>102</v>
      </c>
      <c r="E383" t="s">
        <v>103</v>
      </c>
      <c r="F383" t="s">
        <v>176</v>
      </c>
      <c r="G383" t="s">
        <v>177</v>
      </c>
      <c r="H383" s="133">
        <v>1000</v>
      </c>
      <c r="I383">
        <v>0</v>
      </c>
      <c r="J383">
        <v>814</v>
      </c>
      <c r="K383" s="133">
        <v>27380</v>
      </c>
      <c r="L383" s="133">
        <v>27380</v>
      </c>
      <c r="M383" s="150">
        <v>0.43633101851851852</v>
      </c>
      <c r="N383" s="150">
        <v>0.43634259259259256</v>
      </c>
      <c r="O383" t="s">
        <v>172</v>
      </c>
      <c r="Q383">
        <v>789477</v>
      </c>
      <c r="R383">
        <v>789477</v>
      </c>
      <c r="S383">
        <v>789452</v>
      </c>
      <c r="T383">
        <v>186</v>
      </c>
      <c r="U383" t="s">
        <v>173</v>
      </c>
      <c r="V383">
        <v>0</v>
      </c>
      <c r="W383" t="s">
        <v>174</v>
      </c>
      <c r="X383">
        <v>789452</v>
      </c>
      <c r="Z383" t="s">
        <v>175</v>
      </c>
      <c r="AA383" t="s">
        <v>173</v>
      </c>
    </row>
    <row r="384" spans="1:27" x14ac:dyDescent="0.3">
      <c r="A384">
        <v>383</v>
      </c>
      <c r="B384" t="s">
        <v>169</v>
      </c>
      <c r="C384">
        <v>99019875</v>
      </c>
      <c r="D384" s="7" t="s">
        <v>140</v>
      </c>
      <c r="E384" t="s">
        <v>178</v>
      </c>
      <c r="F384" t="s">
        <v>170</v>
      </c>
      <c r="G384" t="s">
        <v>177</v>
      </c>
      <c r="H384" s="133">
        <v>1000</v>
      </c>
      <c r="I384">
        <v>0</v>
      </c>
      <c r="J384" s="133">
        <v>1000</v>
      </c>
      <c r="K384" s="133">
        <v>8705</v>
      </c>
      <c r="L384" s="133">
        <v>8705</v>
      </c>
      <c r="M384" s="150">
        <v>0.43653935185185189</v>
      </c>
      <c r="N384" s="150">
        <v>0.43655092592592593</v>
      </c>
      <c r="O384" t="s">
        <v>172</v>
      </c>
      <c r="Q384">
        <v>791484</v>
      </c>
      <c r="R384">
        <v>791484</v>
      </c>
      <c r="S384">
        <v>790978</v>
      </c>
      <c r="T384">
        <v>0</v>
      </c>
      <c r="U384" t="s">
        <v>173</v>
      </c>
      <c r="V384">
        <v>0</v>
      </c>
      <c r="W384" t="s">
        <v>174</v>
      </c>
      <c r="X384">
        <v>790978</v>
      </c>
      <c r="Z384" t="s">
        <v>175</v>
      </c>
      <c r="AA384" t="s">
        <v>173</v>
      </c>
    </row>
    <row r="385" spans="1:27" x14ac:dyDescent="0.3">
      <c r="A385">
        <v>384</v>
      </c>
      <c r="B385" t="s">
        <v>169</v>
      </c>
      <c r="C385">
        <v>99019875</v>
      </c>
      <c r="D385" s="7" t="s">
        <v>126</v>
      </c>
      <c r="E385" t="s">
        <v>127</v>
      </c>
      <c r="F385" t="s">
        <v>176</v>
      </c>
      <c r="G385" t="s">
        <v>177</v>
      </c>
      <c r="H385" s="133">
        <v>1000</v>
      </c>
      <c r="I385">
        <v>0</v>
      </c>
      <c r="J385">
        <v>1</v>
      </c>
      <c r="K385" s="133">
        <v>12410</v>
      </c>
      <c r="L385" s="133">
        <v>12410</v>
      </c>
      <c r="M385" s="150">
        <v>0.43656249999999996</v>
      </c>
      <c r="N385" s="150">
        <v>0.43656249999999996</v>
      </c>
      <c r="O385" t="s">
        <v>172</v>
      </c>
      <c r="Q385">
        <v>791833</v>
      </c>
      <c r="R385">
        <v>791833</v>
      </c>
      <c r="S385">
        <v>791267</v>
      </c>
      <c r="T385">
        <v>999</v>
      </c>
      <c r="U385" t="s">
        <v>173</v>
      </c>
      <c r="V385">
        <v>0</v>
      </c>
      <c r="W385" t="s">
        <v>174</v>
      </c>
      <c r="X385">
        <v>791267</v>
      </c>
      <c r="Z385" t="s">
        <v>175</v>
      </c>
      <c r="AA385" t="s">
        <v>173</v>
      </c>
    </row>
    <row r="386" spans="1:27" x14ac:dyDescent="0.3">
      <c r="A386">
        <v>385</v>
      </c>
      <c r="B386" t="s">
        <v>169</v>
      </c>
      <c r="C386">
        <v>99019875</v>
      </c>
      <c r="D386" s="7" t="s">
        <v>62</v>
      </c>
      <c r="E386" t="s">
        <v>63</v>
      </c>
      <c r="F386" t="s">
        <v>170</v>
      </c>
      <c r="G386" t="s">
        <v>177</v>
      </c>
      <c r="H386" s="133">
        <v>1000</v>
      </c>
      <c r="I386">
        <v>0</v>
      </c>
      <c r="J386">
        <v>620</v>
      </c>
      <c r="K386" s="133">
        <v>34310</v>
      </c>
      <c r="L386" s="133">
        <v>34310</v>
      </c>
      <c r="M386" s="150">
        <v>0.43820601851851854</v>
      </c>
      <c r="N386" s="150">
        <v>0.43821759259259263</v>
      </c>
      <c r="O386" t="s">
        <v>172</v>
      </c>
      <c r="Q386">
        <v>808702</v>
      </c>
      <c r="R386">
        <v>808702</v>
      </c>
      <c r="S386">
        <v>808668</v>
      </c>
      <c r="T386">
        <v>380</v>
      </c>
      <c r="U386" t="s">
        <v>173</v>
      </c>
      <c r="V386">
        <v>0</v>
      </c>
      <c r="W386" t="s">
        <v>174</v>
      </c>
      <c r="X386">
        <v>808668</v>
      </c>
      <c r="Z386" t="s">
        <v>175</v>
      </c>
      <c r="AA386" t="s">
        <v>173</v>
      </c>
    </row>
    <row r="387" spans="1:27" x14ac:dyDescent="0.3">
      <c r="A387">
        <v>386</v>
      </c>
      <c r="B387" t="s">
        <v>180</v>
      </c>
      <c r="C387">
        <v>99019421</v>
      </c>
      <c r="D387" s="7" t="s">
        <v>185</v>
      </c>
      <c r="E387" t="s">
        <v>181</v>
      </c>
      <c r="F387" t="s">
        <v>176</v>
      </c>
      <c r="G387" t="s">
        <v>177</v>
      </c>
      <c r="H387" s="133">
        <v>10000</v>
      </c>
      <c r="I387">
        <v>0</v>
      </c>
      <c r="J387" s="133">
        <v>10000</v>
      </c>
      <c r="K387" s="133">
        <v>13850</v>
      </c>
      <c r="L387" s="133">
        <v>13850</v>
      </c>
      <c r="M387" s="150">
        <v>0.43822916666666667</v>
      </c>
      <c r="N387" s="150">
        <v>0.43827546296296299</v>
      </c>
      <c r="O387" t="s">
        <v>172</v>
      </c>
      <c r="Q387">
        <v>808885</v>
      </c>
      <c r="R387">
        <v>808885</v>
      </c>
      <c r="S387">
        <v>808269</v>
      </c>
      <c r="T387">
        <v>0</v>
      </c>
      <c r="U387" t="s">
        <v>173</v>
      </c>
      <c r="V387">
        <v>0</v>
      </c>
      <c r="W387" t="s">
        <v>174</v>
      </c>
      <c r="X387">
        <v>808269</v>
      </c>
      <c r="Y387" t="s">
        <v>182</v>
      </c>
      <c r="Z387" t="s">
        <v>183</v>
      </c>
      <c r="AA387" t="s">
        <v>173</v>
      </c>
    </row>
    <row r="388" spans="1:27" x14ac:dyDescent="0.3">
      <c r="A388">
        <v>387</v>
      </c>
      <c r="B388" t="s">
        <v>180</v>
      </c>
      <c r="C388">
        <v>99019421</v>
      </c>
      <c r="D388" s="7" t="s">
        <v>185</v>
      </c>
      <c r="E388" t="s">
        <v>181</v>
      </c>
      <c r="F388" t="s">
        <v>176</v>
      </c>
      <c r="G388" t="s">
        <v>177</v>
      </c>
      <c r="H388" s="133">
        <v>10000</v>
      </c>
      <c r="I388">
        <v>0</v>
      </c>
      <c r="J388" s="133">
        <v>10000</v>
      </c>
      <c r="K388" s="133">
        <v>13845</v>
      </c>
      <c r="L388" s="133">
        <v>13845</v>
      </c>
      <c r="M388" s="150">
        <v>0.43824074074074071</v>
      </c>
      <c r="N388" s="150">
        <v>0.43824074074074071</v>
      </c>
      <c r="O388" t="s">
        <v>172</v>
      </c>
      <c r="Q388">
        <v>808901</v>
      </c>
      <c r="R388">
        <v>808901</v>
      </c>
      <c r="S388">
        <v>808407</v>
      </c>
      <c r="T388">
        <v>0</v>
      </c>
      <c r="U388" t="s">
        <v>173</v>
      </c>
      <c r="V388">
        <v>0</v>
      </c>
      <c r="W388" t="s">
        <v>174</v>
      </c>
      <c r="X388">
        <v>808407</v>
      </c>
      <c r="Y388" t="s">
        <v>182</v>
      </c>
      <c r="Z388" t="s">
        <v>183</v>
      </c>
      <c r="AA388" t="s">
        <v>173</v>
      </c>
    </row>
    <row r="389" spans="1:27" x14ac:dyDescent="0.3">
      <c r="A389">
        <v>388</v>
      </c>
      <c r="B389" t="s">
        <v>169</v>
      </c>
      <c r="C389">
        <v>99019875</v>
      </c>
      <c r="D389" s="7" t="s">
        <v>75</v>
      </c>
      <c r="E389" t="s">
        <v>76</v>
      </c>
      <c r="F389" t="s">
        <v>176</v>
      </c>
      <c r="G389" t="s">
        <v>177</v>
      </c>
      <c r="H389" s="133">
        <v>1000</v>
      </c>
      <c r="I389">
        <v>0</v>
      </c>
      <c r="J389">
        <v>36</v>
      </c>
      <c r="K389" s="133">
        <v>21115</v>
      </c>
      <c r="L389" s="133">
        <v>21115</v>
      </c>
      <c r="M389" s="150">
        <v>0.43864583333333335</v>
      </c>
      <c r="N389" s="150">
        <v>0.43864583333333335</v>
      </c>
      <c r="O389" t="s">
        <v>172</v>
      </c>
      <c r="Q389">
        <v>813079</v>
      </c>
      <c r="R389">
        <v>813079</v>
      </c>
      <c r="S389">
        <v>813067</v>
      </c>
      <c r="T389">
        <v>964</v>
      </c>
      <c r="U389" t="s">
        <v>173</v>
      </c>
      <c r="V389">
        <v>0</v>
      </c>
      <c r="W389" t="s">
        <v>174</v>
      </c>
      <c r="X389">
        <v>813067</v>
      </c>
      <c r="Z389" t="s">
        <v>175</v>
      </c>
      <c r="AA389" t="s">
        <v>173</v>
      </c>
    </row>
    <row r="390" spans="1:27" x14ac:dyDescent="0.3">
      <c r="A390">
        <v>389</v>
      </c>
      <c r="B390" t="s">
        <v>169</v>
      </c>
      <c r="C390">
        <v>99019875</v>
      </c>
      <c r="D390" s="7" t="s">
        <v>75</v>
      </c>
      <c r="E390" t="s">
        <v>76</v>
      </c>
      <c r="F390" t="s">
        <v>176</v>
      </c>
      <c r="G390" t="s">
        <v>177</v>
      </c>
      <c r="H390" s="133">
        <v>1000</v>
      </c>
      <c r="I390">
        <v>0</v>
      </c>
      <c r="J390">
        <v>23</v>
      </c>
      <c r="K390" s="133">
        <v>21120</v>
      </c>
      <c r="L390" s="133">
        <v>21120</v>
      </c>
      <c r="M390" s="150">
        <v>0.43899305555555551</v>
      </c>
      <c r="N390" s="150">
        <v>0.43899305555555551</v>
      </c>
      <c r="O390" t="s">
        <v>172</v>
      </c>
      <c r="Q390">
        <v>816603</v>
      </c>
      <c r="R390">
        <v>816603</v>
      </c>
      <c r="S390">
        <v>816551</v>
      </c>
      <c r="T390">
        <v>977</v>
      </c>
      <c r="U390" t="s">
        <v>173</v>
      </c>
      <c r="V390">
        <v>0</v>
      </c>
      <c r="W390" t="s">
        <v>174</v>
      </c>
      <c r="X390">
        <v>816551</v>
      </c>
      <c r="Z390" t="s">
        <v>175</v>
      </c>
      <c r="AA390" t="s">
        <v>173</v>
      </c>
    </row>
    <row r="391" spans="1:27" x14ac:dyDescent="0.3">
      <c r="A391">
        <v>390</v>
      </c>
      <c r="B391" t="s">
        <v>169</v>
      </c>
      <c r="C391">
        <v>99019875</v>
      </c>
      <c r="D391" s="7" t="s">
        <v>62</v>
      </c>
      <c r="E391" t="s">
        <v>63</v>
      </c>
      <c r="F391" t="s">
        <v>170</v>
      </c>
      <c r="G391" t="s">
        <v>177</v>
      </c>
      <c r="H391" s="133">
        <v>1000</v>
      </c>
      <c r="I391">
        <v>0</v>
      </c>
      <c r="J391" s="133">
        <v>1000</v>
      </c>
      <c r="K391" s="133">
        <v>34280</v>
      </c>
      <c r="L391" s="133">
        <v>34280</v>
      </c>
      <c r="M391" s="150">
        <v>0.43905092592592593</v>
      </c>
      <c r="N391" s="150">
        <v>0.43906249999999997</v>
      </c>
      <c r="O391" t="s">
        <v>172</v>
      </c>
      <c r="Q391">
        <v>817436</v>
      </c>
      <c r="R391">
        <v>817436</v>
      </c>
      <c r="S391">
        <v>817423</v>
      </c>
      <c r="T391">
        <v>0</v>
      </c>
      <c r="U391" t="s">
        <v>173</v>
      </c>
      <c r="V391">
        <v>0</v>
      </c>
      <c r="W391" t="s">
        <v>174</v>
      </c>
      <c r="X391">
        <v>817423</v>
      </c>
      <c r="Z391" t="s">
        <v>175</v>
      </c>
      <c r="AA391" t="s">
        <v>173</v>
      </c>
    </row>
    <row r="392" spans="1:27" x14ac:dyDescent="0.3">
      <c r="A392">
        <v>391</v>
      </c>
      <c r="B392" t="s">
        <v>169</v>
      </c>
      <c r="C392">
        <v>99019875</v>
      </c>
      <c r="D392" s="7" t="s">
        <v>75</v>
      </c>
      <c r="E392" t="s">
        <v>76</v>
      </c>
      <c r="F392" t="s">
        <v>176</v>
      </c>
      <c r="G392" t="s">
        <v>171</v>
      </c>
      <c r="H392" s="133">
        <v>1000</v>
      </c>
      <c r="I392">
        <v>0</v>
      </c>
      <c r="J392">
        <v>25</v>
      </c>
      <c r="K392" s="133">
        <v>21125</v>
      </c>
      <c r="L392" s="133">
        <v>21125</v>
      </c>
      <c r="M392" s="150">
        <v>0.43934027777777779</v>
      </c>
      <c r="N392" s="150">
        <v>0.43934027777777779</v>
      </c>
      <c r="O392" t="s">
        <v>172</v>
      </c>
      <c r="Q392">
        <v>820425</v>
      </c>
      <c r="R392">
        <v>820425</v>
      </c>
      <c r="S392">
        <v>0</v>
      </c>
      <c r="T392">
        <v>975</v>
      </c>
      <c r="U392" t="s">
        <v>173</v>
      </c>
      <c r="V392">
        <v>0</v>
      </c>
      <c r="W392" t="s">
        <v>174</v>
      </c>
      <c r="X392">
        <v>0</v>
      </c>
      <c r="Z392" t="s">
        <v>175</v>
      </c>
      <c r="AA392" t="s">
        <v>173</v>
      </c>
    </row>
    <row r="393" spans="1:27" x14ac:dyDescent="0.3">
      <c r="A393">
        <v>392</v>
      </c>
      <c r="B393" t="s">
        <v>169</v>
      </c>
      <c r="C393">
        <v>99019875</v>
      </c>
      <c r="D393" s="7" t="s">
        <v>62</v>
      </c>
      <c r="E393" t="s">
        <v>63</v>
      </c>
      <c r="F393" t="s">
        <v>170</v>
      </c>
      <c r="G393" t="s">
        <v>177</v>
      </c>
      <c r="H393" s="133">
        <v>1000</v>
      </c>
      <c r="I393">
        <v>0</v>
      </c>
      <c r="J393" s="133">
        <v>1000</v>
      </c>
      <c r="K393" s="133">
        <v>34265</v>
      </c>
      <c r="L393" s="133">
        <v>34265</v>
      </c>
      <c r="M393" s="150">
        <v>0.43945601851851851</v>
      </c>
      <c r="N393" s="150">
        <v>0.4394675925925926</v>
      </c>
      <c r="O393" t="s">
        <v>172</v>
      </c>
      <c r="Q393">
        <v>821454</v>
      </c>
      <c r="R393">
        <v>821454</v>
      </c>
      <c r="S393">
        <v>821420</v>
      </c>
      <c r="T393">
        <v>0</v>
      </c>
      <c r="U393" t="s">
        <v>173</v>
      </c>
      <c r="V393">
        <v>0</v>
      </c>
      <c r="W393" t="s">
        <v>174</v>
      </c>
      <c r="X393">
        <v>821420</v>
      </c>
      <c r="Z393" t="s">
        <v>175</v>
      </c>
      <c r="AA393" t="s">
        <v>173</v>
      </c>
    </row>
    <row r="394" spans="1:27" x14ac:dyDescent="0.3">
      <c r="A394">
        <v>393</v>
      </c>
      <c r="B394" t="s">
        <v>180</v>
      </c>
      <c r="C394">
        <v>99019421</v>
      </c>
      <c r="D394" s="7" t="s">
        <v>185</v>
      </c>
      <c r="E394" t="s">
        <v>181</v>
      </c>
      <c r="F394" t="s">
        <v>176</v>
      </c>
      <c r="G394" t="s">
        <v>177</v>
      </c>
      <c r="H394" s="133">
        <v>10000</v>
      </c>
      <c r="I394">
        <v>0</v>
      </c>
      <c r="J394" s="133">
        <v>2000</v>
      </c>
      <c r="K394" s="133">
        <v>13850</v>
      </c>
      <c r="L394" s="133">
        <v>13850</v>
      </c>
      <c r="M394" s="150">
        <v>0.43974537037037037</v>
      </c>
      <c r="N394" s="150">
        <v>0.43975694444444446</v>
      </c>
      <c r="O394" t="s">
        <v>172</v>
      </c>
      <c r="Q394">
        <v>823905</v>
      </c>
      <c r="R394">
        <v>823905</v>
      </c>
      <c r="S394">
        <v>823879</v>
      </c>
      <c r="T394" s="133">
        <v>8000</v>
      </c>
      <c r="U394" t="s">
        <v>173</v>
      </c>
      <c r="V394">
        <v>0</v>
      </c>
      <c r="W394" t="s">
        <v>174</v>
      </c>
      <c r="X394">
        <v>823879</v>
      </c>
      <c r="Y394" t="s">
        <v>182</v>
      </c>
      <c r="Z394" t="s">
        <v>183</v>
      </c>
      <c r="AA394" t="s">
        <v>173</v>
      </c>
    </row>
    <row r="395" spans="1:27" x14ac:dyDescent="0.3">
      <c r="A395">
        <v>394</v>
      </c>
      <c r="B395" t="s">
        <v>169</v>
      </c>
      <c r="C395">
        <v>99019875</v>
      </c>
      <c r="D395" s="7" t="s">
        <v>75</v>
      </c>
      <c r="E395" t="s">
        <v>76</v>
      </c>
      <c r="F395" t="s">
        <v>176</v>
      </c>
      <c r="G395" t="s">
        <v>177</v>
      </c>
      <c r="H395" s="133">
        <v>1000</v>
      </c>
      <c r="I395">
        <v>0</v>
      </c>
      <c r="J395">
        <v>2</v>
      </c>
      <c r="K395" s="133">
        <v>21115</v>
      </c>
      <c r="L395" s="133">
        <v>21115</v>
      </c>
      <c r="M395" s="150">
        <v>0.44006944444444446</v>
      </c>
      <c r="N395" s="150">
        <v>0.4400810185185185</v>
      </c>
      <c r="O395" t="s">
        <v>172</v>
      </c>
      <c r="Q395">
        <v>827270</v>
      </c>
      <c r="R395">
        <v>827270</v>
      </c>
      <c r="S395">
        <v>827261</v>
      </c>
      <c r="T395">
        <v>998</v>
      </c>
      <c r="U395" t="s">
        <v>173</v>
      </c>
      <c r="V395">
        <v>0</v>
      </c>
      <c r="W395" t="s">
        <v>174</v>
      </c>
      <c r="X395">
        <v>827261</v>
      </c>
      <c r="Z395" t="s">
        <v>175</v>
      </c>
      <c r="AA395" t="s">
        <v>173</v>
      </c>
    </row>
    <row r="396" spans="1:27" x14ac:dyDescent="0.3">
      <c r="A396">
        <v>395</v>
      </c>
      <c r="B396" t="s">
        <v>180</v>
      </c>
      <c r="C396">
        <v>99019421</v>
      </c>
      <c r="D396" s="7" t="s">
        <v>185</v>
      </c>
      <c r="E396" t="s">
        <v>181</v>
      </c>
      <c r="F396" t="s">
        <v>176</v>
      </c>
      <c r="G396" t="s">
        <v>177</v>
      </c>
      <c r="H396" s="133">
        <v>10000</v>
      </c>
      <c r="I396">
        <v>0</v>
      </c>
      <c r="J396" s="133">
        <v>10000</v>
      </c>
      <c r="K396" s="133">
        <v>13850</v>
      </c>
      <c r="L396" s="133">
        <v>13850</v>
      </c>
      <c r="M396" s="150">
        <v>0.44015046296296295</v>
      </c>
      <c r="N396" s="150">
        <v>0.44020833333333331</v>
      </c>
      <c r="O396" t="s">
        <v>172</v>
      </c>
      <c r="Q396">
        <v>827877</v>
      </c>
      <c r="R396">
        <v>827877</v>
      </c>
      <c r="S396">
        <v>827868</v>
      </c>
      <c r="T396">
        <v>0</v>
      </c>
      <c r="U396" t="s">
        <v>173</v>
      </c>
      <c r="V396">
        <v>0</v>
      </c>
      <c r="W396" t="s">
        <v>174</v>
      </c>
      <c r="X396">
        <v>827868</v>
      </c>
      <c r="Y396" t="s">
        <v>182</v>
      </c>
      <c r="Z396" t="s">
        <v>183</v>
      </c>
      <c r="AA396" t="s">
        <v>173</v>
      </c>
    </row>
    <row r="397" spans="1:27" x14ac:dyDescent="0.3">
      <c r="A397">
        <v>396</v>
      </c>
      <c r="B397" t="s">
        <v>169</v>
      </c>
      <c r="C397">
        <v>99019875</v>
      </c>
      <c r="D397" s="7" t="s">
        <v>96</v>
      </c>
      <c r="E397" t="s">
        <v>97</v>
      </c>
      <c r="F397" t="s">
        <v>176</v>
      </c>
      <c r="G397" t="s">
        <v>177</v>
      </c>
      <c r="H397" s="133">
        <v>1000</v>
      </c>
      <c r="I397">
        <v>0</v>
      </c>
      <c r="J397">
        <v>11</v>
      </c>
      <c r="K397" s="133">
        <v>8375</v>
      </c>
      <c r="L397" s="133">
        <v>8375</v>
      </c>
      <c r="M397" s="150">
        <v>0.44016203703703699</v>
      </c>
      <c r="N397" s="150">
        <v>0.44016203703703699</v>
      </c>
      <c r="O397" t="s">
        <v>172</v>
      </c>
      <c r="Q397">
        <v>828018</v>
      </c>
      <c r="R397">
        <v>828018</v>
      </c>
      <c r="S397">
        <v>827769</v>
      </c>
      <c r="T397">
        <v>989</v>
      </c>
      <c r="U397" t="s">
        <v>173</v>
      </c>
      <c r="V397">
        <v>0</v>
      </c>
      <c r="W397" t="s">
        <v>174</v>
      </c>
      <c r="X397">
        <v>827769</v>
      </c>
      <c r="Z397" t="s">
        <v>175</v>
      </c>
      <c r="AA397" t="s">
        <v>173</v>
      </c>
    </row>
    <row r="398" spans="1:27" x14ac:dyDescent="0.3">
      <c r="A398">
        <v>397</v>
      </c>
      <c r="B398" t="s">
        <v>180</v>
      </c>
      <c r="C398">
        <v>99019421</v>
      </c>
      <c r="D398" s="7" t="s">
        <v>185</v>
      </c>
      <c r="E398" t="s">
        <v>181</v>
      </c>
      <c r="F398" t="s">
        <v>176</v>
      </c>
      <c r="G398" t="s">
        <v>177</v>
      </c>
      <c r="H398" s="133">
        <v>10000</v>
      </c>
      <c r="I398">
        <v>0</v>
      </c>
      <c r="J398" s="133">
        <v>10000</v>
      </c>
      <c r="K398" s="133">
        <v>13845</v>
      </c>
      <c r="L398" s="133">
        <v>13845</v>
      </c>
      <c r="M398" s="150">
        <v>0.44018518518518518</v>
      </c>
      <c r="N398" s="150">
        <v>0.44019675925925927</v>
      </c>
      <c r="O398" t="s">
        <v>172</v>
      </c>
      <c r="Q398">
        <v>828197</v>
      </c>
      <c r="R398">
        <v>828197</v>
      </c>
      <c r="S398">
        <v>827573</v>
      </c>
      <c r="T398">
        <v>0</v>
      </c>
      <c r="U398" t="s">
        <v>173</v>
      </c>
      <c r="V398">
        <v>0</v>
      </c>
      <c r="W398" t="s">
        <v>174</v>
      </c>
      <c r="X398">
        <v>827573</v>
      </c>
      <c r="Y398" t="s">
        <v>182</v>
      </c>
      <c r="Z398" t="s">
        <v>183</v>
      </c>
      <c r="AA398" t="s">
        <v>173</v>
      </c>
    </row>
    <row r="399" spans="1:27" x14ac:dyDescent="0.3">
      <c r="A399">
        <v>398</v>
      </c>
      <c r="B399" t="s">
        <v>180</v>
      </c>
      <c r="C399">
        <v>99019421</v>
      </c>
      <c r="D399" s="7" t="s">
        <v>185</v>
      </c>
      <c r="E399" t="s">
        <v>181</v>
      </c>
      <c r="F399" t="s">
        <v>176</v>
      </c>
      <c r="G399" t="s">
        <v>177</v>
      </c>
      <c r="H399" s="133">
        <v>10000</v>
      </c>
      <c r="I399">
        <v>0</v>
      </c>
      <c r="J399" s="133">
        <v>2000</v>
      </c>
      <c r="K399" s="133">
        <v>13850</v>
      </c>
      <c r="L399" s="133">
        <v>13850</v>
      </c>
      <c r="M399" s="150">
        <v>0.44033564814814818</v>
      </c>
      <c r="N399" s="150">
        <v>0.44035879629629626</v>
      </c>
      <c r="O399" t="s">
        <v>172</v>
      </c>
      <c r="Q399">
        <v>829904</v>
      </c>
      <c r="R399">
        <v>829904</v>
      </c>
      <c r="S399">
        <v>829903</v>
      </c>
      <c r="T399" s="133">
        <v>8000</v>
      </c>
      <c r="U399" t="s">
        <v>173</v>
      </c>
      <c r="V399">
        <v>0</v>
      </c>
      <c r="W399" t="s">
        <v>174</v>
      </c>
      <c r="X399">
        <v>829903</v>
      </c>
      <c r="Y399" t="s">
        <v>182</v>
      </c>
      <c r="Z399" t="s">
        <v>183</v>
      </c>
      <c r="AA399" t="s">
        <v>173</v>
      </c>
    </row>
    <row r="400" spans="1:27" x14ac:dyDescent="0.3">
      <c r="A400">
        <v>399</v>
      </c>
      <c r="B400" t="s">
        <v>180</v>
      </c>
      <c r="C400">
        <v>99019421</v>
      </c>
      <c r="D400" s="7" t="s">
        <v>185</v>
      </c>
      <c r="E400" t="s">
        <v>181</v>
      </c>
      <c r="F400" t="s">
        <v>176</v>
      </c>
      <c r="G400" t="s">
        <v>177</v>
      </c>
      <c r="H400" s="133">
        <v>10000</v>
      </c>
      <c r="I400">
        <v>0</v>
      </c>
      <c r="J400" s="133">
        <v>10000</v>
      </c>
      <c r="K400" s="133">
        <v>13845</v>
      </c>
      <c r="L400" s="133">
        <v>13845</v>
      </c>
      <c r="M400" s="150">
        <v>0.44056712962962963</v>
      </c>
      <c r="N400" s="150">
        <v>0.44057870370370367</v>
      </c>
      <c r="O400" t="s">
        <v>172</v>
      </c>
      <c r="Q400">
        <v>831747</v>
      </c>
      <c r="R400">
        <v>831747</v>
      </c>
      <c r="S400">
        <v>831542</v>
      </c>
      <c r="T400">
        <v>0</v>
      </c>
      <c r="U400" t="s">
        <v>173</v>
      </c>
      <c r="V400">
        <v>0</v>
      </c>
      <c r="W400" t="s">
        <v>174</v>
      </c>
      <c r="X400">
        <v>831542</v>
      </c>
      <c r="Y400" t="s">
        <v>182</v>
      </c>
      <c r="Z400" t="s">
        <v>183</v>
      </c>
      <c r="AA400" t="s">
        <v>173</v>
      </c>
    </row>
    <row r="401" spans="1:27" x14ac:dyDescent="0.3">
      <c r="A401">
        <v>400</v>
      </c>
      <c r="B401" t="s">
        <v>169</v>
      </c>
      <c r="C401">
        <v>99019875</v>
      </c>
      <c r="D401" s="7" t="s">
        <v>62</v>
      </c>
      <c r="E401" t="s">
        <v>63</v>
      </c>
      <c r="F401" t="s">
        <v>176</v>
      </c>
      <c r="G401" t="s">
        <v>177</v>
      </c>
      <c r="H401" s="133">
        <v>1000</v>
      </c>
      <c r="I401">
        <v>0</v>
      </c>
      <c r="J401" s="133">
        <v>1000</v>
      </c>
      <c r="K401" s="133">
        <v>34305</v>
      </c>
      <c r="L401" s="133">
        <v>34305</v>
      </c>
      <c r="M401" s="150">
        <v>0.44065972222222222</v>
      </c>
      <c r="N401" s="150">
        <v>0.44067129629629626</v>
      </c>
      <c r="O401" t="s">
        <v>172</v>
      </c>
      <c r="Q401">
        <v>832607</v>
      </c>
      <c r="R401">
        <v>832607</v>
      </c>
      <c r="S401">
        <v>832599</v>
      </c>
      <c r="T401">
        <v>0</v>
      </c>
      <c r="U401" t="s">
        <v>173</v>
      </c>
      <c r="V401">
        <v>0</v>
      </c>
      <c r="W401" t="s">
        <v>174</v>
      </c>
      <c r="X401">
        <v>832599</v>
      </c>
      <c r="Z401" t="s">
        <v>175</v>
      </c>
      <c r="AA401" t="s">
        <v>173</v>
      </c>
    </row>
    <row r="402" spans="1:27" x14ac:dyDescent="0.3">
      <c r="A402">
        <v>401</v>
      </c>
      <c r="B402" t="s">
        <v>169</v>
      </c>
      <c r="C402">
        <v>99019875</v>
      </c>
      <c r="D402" s="7" t="s">
        <v>114</v>
      </c>
      <c r="E402" t="s">
        <v>115</v>
      </c>
      <c r="F402" t="s">
        <v>176</v>
      </c>
      <c r="G402" t="s">
        <v>177</v>
      </c>
      <c r="H402" s="133">
        <v>1000</v>
      </c>
      <c r="I402">
        <v>0</v>
      </c>
      <c r="J402" s="133">
        <v>1000</v>
      </c>
      <c r="K402" s="133">
        <v>54250</v>
      </c>
      <c r="L402" s="133">
        <v>54250</v>
      </c>
      <c r="M402" s="150">
        <v>0.44067129629629626</v>
      </c>
      <c r="N402" s="150">
        <v>0.44069444444444444</v>
      </c>
      <c r="O402" t="s">
        <v>172</v>
      </c>
      <c r="Q402">
        <v>832846</v>
      </c>
      <c r="R402">
        <v>832846</v>
      </c>
      <c r="S402">
        <v>832837</v>
      </c>
      <c r="T402">
        <v>0</v>
      </c>
      <c r="U402" t="s">
        <v>173</v>
      </c>
      <c r="V402">
        <v>0</v>
      </c>
      <c r="W402" t="s">
        <v>174</v>
      </c>
      <c r="X402">
        <v>832837</v>
      </c>
      <c r="Z402" t="s">
        <v>175</v>
      </c>
      <c r="AA402" t="s">
        <v>173</v>
      </c>
    </row>
    <row r="403" spans="1:27" x14ac:dyDescent="0.3">
      <c r="A403">
        <v>402</v>
      </c>
      <c r="B403" t="s">
        <v>180</v>
      </c>
      <c r="C403">
        <v>99019421</v>
      </c>
      <c r="D403" s="7" t="s">
        <v>185</v>
      </c>
      <c r="E403" t="s">
        <v>181</v>
      </c>
      <c r="F403" t="s">
        <v>176</v>
      </c>
      <c r="G403" t="s">
        <v>177</v>
      </c>
      <c r="H403" s="133">
        <v>10000</v>
      </c>
      <c r="I403">
        <v>0</v>
      </c>
      <c r="J403">
        <v>290</v>
      </c>
      <c r="K403" s="133">
        <v>13870</v>
      </c>
      <c r="L403" s="133">
        <v>13870</v>
      </c>
      <c r="M403" s="150">
        <v>0.44070601851851854</v>
      </c>
      <c r="N403" s="150">
        <v>0.44072916666666667</v>
      </c>
      <c r="O403" t="s">
        <v>172</v>
      </c>
      <c r="Q403">
        <v>833234</v>
      </c>
      <c r="R403">
        <v>833234</v>
      </c>
      <c r="S403">
        <v>833193</v>
      </c>
      <c r="T403" s="133">
        <v>9710</v>
      </c>
      <c r="U403" t="s">
        <v>173</v>
      </c>
      <c r="V403">
        <v>0</v>
      </c>
      <c r="W403" t="s">
        <v>174</v>
      </c>
      <c r="X403">
        <v>833193</v>
      </c>
      <c r="Y403" t="s">
        <v>182</v>
      </c>
      <c r="Z403" t="s">
        <v>183</v>
      </c>
      <c r="AA403" t="s">
        <v>173</v>
      </c>
    </row>
    <row r="404" spans="1:27" x14ac:dyDescent="0.3">
      <c r="A404">
        <v>403</v>
      </c>
      <c r="B404" t="s">
        <v>169</v>
      </c>
      <c r="C404">
        <v>99019875</v>
      </c>
      <c r="D404" s="7" t="s">
        <v>69</v>
      </c>
      <c r="E404" t="s">
        <v>70</v>
      </c>
      <c r="F404" t="s">
        <v>176</v>
      </c>
      <c r="G404" t="s">
        <v>177</v>
      </c>
      <c r="H404" s="133">
        <v>1000</v>
      </c>
      <c r="I404">
        <v>0</v>
      </c>
      <c r="J404" s="133">
        <v>1000</v>
      </c>
      <c r="K404" s="133">
        <v>10415</v>
      </c>
      <c r="L404" s="133">
        <v>10415</v>
      </c>
      <c r="M404" s="150">
        <v>0.44074074074074071</v>
      </c>
      <c r="N404" s="150">
        <v>0.44074074074074071</v>
      </c>
      <c r="O404" t="s">
        <v>172</v>
      </c>
      <c r="Q404">
        <v>833505</v>
      </c>
      <c r="R404">
        <v>833505</v>
      </c>
      <c r="S404">
        <v>833347</v>
      </c>
      <c r="T404">
        <v>0</v>
      </c>
      <c r="U404" t="s">
        <v>173</v>
      </c>
      <c r="V404">
        <v>0</v>
      </c>
      <c r="W404" t="s">
        <v>174</v>
      </c>
      <c r="X404">
        <v>833347</v>
      </c>
      <c r="Z404" t="s">
        <v>175</v>
      </c>
      <c r="AA404" t="s">
        <v>173</v>
      </c>
    </row>
    <row r="405" spans="1:27" x14ac:dyDescent="0.3">
      <c r="A405">
        <v>404</v>
      </c>
      <c r="B405" t="s">
        <v>180</v>
      </c>
      <c r="C405">
        <v>99019421</v>
      </c>
      <c r="D405" s="7" t="s">
        <v>185</v>
      </c>
      <c r="E405" t="s">
        <v>181</v>
      </c>
      <c r="F405" t="s">
        <v>176</v>
      </c>
      <c r="G405" t="s">
        <v>177</v>
      </c>
      <c r="H405" s="133">
        <v>10000</v>
      </c>
      <c r="I405">
        <v>0</v>
      </c>
      <c r="J405" s="133">
        <v>10000</v>
      </c>
      <c r="K405" s="133">
        <v>13870</v>
      </c>
      <c r="L405" s="133">
        <v>13870</v>
      </c>
      <c r="M405" s="150">
        <v>0.44078703703703703</v>
      </c>
      <c r="N405" s="150">
        <v>0.44081018518518517</v>
      </c>
      <c r="O405" t="s">
        <v>172</v>
      </c>
      <c r="Q405">
        <v>833994</v>
      </c>
      <c r="R405">
        <v>833994</v>
      </c>
      <c r="S405">
        <v>833973</v>
      </c>
      <c r="T405">
        <v>0</v>
      </c>
      <c r="U405" t="s">
        <v>173</v>
      </c>
      <c r="V405">
        <v>0</v>
      </c>
      <c r="W405" t="s">
        <v>174</v>
      </c>
      <c r="X405">
        <v>833973</v>
      </c>
      <c r="Y405" t="s">
        <v>182</v>
      </c>
      <c r="Z405" t="s">
        <v>183</v>
      </c>
      <c r="AA405" t="s">
        <v>173</v>
      </c>
    </row>
    <row r="406" spans="1:27" x14ac:dyDescent="0.3">
      <c r="A406">
        <v>405</v>
      </c>
      <c r="B406" t="s">
        <v>169</v>
      </c>
      <c r="C406">
        <v>99019875</v>
      </c>
      <c r="D406" s="7" t="s">
        <v>75</v>
      </c>
      <c r="E406" t="s">
        <v>76</v>
      </c>
      <c r="F406" t="s">
        <v>176</v>
      </c>
      <c r="G406" t="s">
        <v>177</v>
      </c>
      <c r="H406" s="133">
        <v>1000</v>
      </c>
      <c r="I406">
        <v>0</v>
      </c>
      <c r="J406">
        <v>5</v>
      </c>
      <c r="K406" s="133">
        <v>21115</v>
      </c>
      <c r="L406" s="133">
        <v>21115</v>
      </c>
      <c r="M406" s="150">
        <v>0.4408217592592592</v>
      </c>
      <c r="N406" s="150">
        <v>0.44084490740740739</v>
      </c>
      <c r="O406" t="s">
        <v>172</v>
      </c>
      <c r="Q406">
        <v>834335</v>
      </c>
      <c r="R406">
        <v>834335</v>
      </c>
      <c r="S406">
        <v>834179</v>
      </c>
      <c r="T406">
        <v>995</v>
      </c>
      <c r="U406" t="s">
        <v>173</v>
      </c>
      <c r="V406">
        <v>0</v>
      </c>
      <c r="W406" t="s">
        <v>174</v>
      </c>
      <c r="X406">
        <v>834179</v>
      </c>
      <c r="Z406" t="s">
        <v>175</v>
      </c>
      <c r="AA406" t="s">
        <v>173</v>
      </c>
    </row>
    <row r="407" spans="1:27" x14ac:dyDescent="0.3">
      <c r="A407">
        <v>406</v>
      </c>
      <c r="B407" t="s">
        <v>180</v>
      </c>
      <c r="C407">
        <v>99019421</v>
      </c>
      <c r="D407" s="7" t="s">
        <v>185</v>
      </c>
      <c r="E407" t="s">
        <v>181</v>
      </c>
      <c r="F407" t="s">
        <v>176</v>
      </c>
      <c r="G407" t="s">
        <v>177</v>
      </c>
      <c r="H407" s="133">
        <v>10000</v>
      </c>
      <c r="I407">
        <v>0</v>
      </c>
      <c r="J407">
        <v>34</v>
      </c>
      <c r="K407" s="133">
        <v>13880</v>
      </c>
      <c r="L407" s="133">
        <v>13880</v>
      </c>
      <c r="M407" s="150">
        <v>0.4409837962962963</v>
      </c>
      <c r="N407" s="150">
        <v>0.4409953703703704</v>
      </c>
      <c r="O407" t="s">
        <v>172</v>
      </c>
      <c r="Q407">
        <v>835484</v>
      </c>
      <c r="R407">
        <v>835484</v>
      </c>
      <c r="S407">
        <v>835372</v>
      </c>
      <c r="T407" s="133">
        <v>9966</v>
      </c>
      <c r="U407" t="s">
        <v>173</v>
      </c>
      <c r="V407">
        <v>0</v>
      </c>
      <c r="W407" t="s">
        <v>174</v>
      </c>
      <c r="X407">
        <v>835372</v>
      </c>
      <c r="Y407" t="s">
        <v>182</v>
      </c>
      <c r="Z407" t="s">
        <v>183</v>
      </c>
      <c r="AA407" t="s">
        <v>173</v>
      </c>
    </row>
    <row r="408" spans="1:27" x14ac:dyDescent="0.3">
      <c r="A408">
        <v>407</v>
      </c>
      <c r="B408" t="s">
        <v>169</v>
      </c>
      <c r="C408">
        <v>99019875</v>
      </c>
      <c r="D408" s="7" t="s">
        <v>62</v>
      </c>
      <c r="E408" t="s">
        <v>63</v>
      </c>
      <c r="F408" t="s">
        <v>170</v>
      </c>
      <c r="G408" t="s">
        <v>177</v>
      </c>
      <c r="H408" s="133">
        <v>1000</v>
      </c>
      <c r="I408">
        <v>0</v>
      </c>
      <c r="J408" s="133">
        <v>1000</v>
      </c>
      <c r="K408" s="133">
        <v>34265</v>
      </c>
      <c r="L408" s="133">
        <v>34265</v>
      </c>
      <c r="M408" s="150">
        <v>0.44138888888888889</v>
      </c>
      <c r="N408" s="150">
        <v>0.44140046296296293</v>
      </c>
      <c r="O408" t="s">
        <v>172</v>
      </c>
      <c r="Q408">
        <v>839519</v>
      </c>
      <c r="R408">
        <v>839519</v>
      </c>
      <c r="S408">
        <v>839444</v>
      </c>
      <c r="T408">
        <v>0</v>
      </c>
      <c r="U408" t="s">
        <v>173</v>
      </c>
      <c r="V408">
        <v>0</v>
      </c>
      <c r="W408" t="s">
        <v>174</v>
      </c>
      <c r="X408">
        <v>839444</v>
      </c>
      <c r="Z408" t="s">
        <v>175</v>
      </c>
      <c r="AA408" t="s">
        <v>173</v>
      </c>
    </row>
    <row r="409" spans="1:27" x14ac:dyDescent="0.3">
      <c r="A409">
        <v>408</v>
      </c>
      <c r="B409" t="s">
        <v>169</v>
      </c>
      <c r="C409">
        <v>99019875</v>
      </c>
      <c r="D409" s="7" t="s">
        <v>69</v>
      </c>
      <c r="E409" t="s">
        <v>70</v>
      </c>
      <c r="F409" t="s">
        <v>170</v>
      </c>
      <c r="G409" t="s">
        <v>171</v>
      </c>
      <c r="H409" s="133">
        <v>5000</v>
      </c>
      <c r="I409">
        <v>0</v>
      </c>
      <c r="J409" s="133">
        <v>5000</v>
      </c>
      <c r="K409" s="133">
        <v>10410</v>
      </c>
      <c r="L409" s="133">
        <v>10410</v>
      </c>
      <c r="M409" s="150">
        <v>0.44141203703703707</v>
      </c>
      <c r="N409" s="150">
        <v>0.44141203703703707</v>
      </c>
      <c r="O409" t="s">
        <v>172</v>
      </c>
      <c r="Q409">
        <v>839838</v>
      </c>
      <c r="R409">
        <v>839838</v>
      </c>
      <c r="S409">
        <v>0</v>
      </c>
      <c r="T409">
        <v>0</v>
      </c>
      <c r="U409" t="s">
        <v>173</v>
      </c>
      <c r="V409">
        <v>0</v>
      </c>
      <c r="W409" t="s">
        <v>174</v>
      </c>
      <c r="X409">
        <v>0</v>
      </c>
      <c r="Z409" t="s">
        <v>173</v>
      </c>
      <c r="AA409" t="s">
        <v>173</v>
      </c>
    </row>
    <row r="410" spans="1:27" x14ac:dyDescent="0.3">
      <c r="A410">
        <v>409</v>
      </c>
      <c r="B410" t="s">
        <v>169</v>
      </c>
      <c r="C410">
        <v>99019875</v>
      </c>
      <c r="D410" s="7" t="s">
        <v>75</v>
      </c>
      <c r="E410" t="s">
        <v>76</v>
      </c>
      <c r="F410" t="s">
        <v>176</v>
      </c>
      <c r="G410" t="s">
        <v>177</v>
      </c>
      <c r="H410" s="133">
        <v>1000</v>
      </c>
      <c r="I410">
        <v>0</v>
      </c>
      <c r="J410">
        <v>21</v>
      </c>
      <c r="K410" s="133">
        <v>21105</v>
      </c>
      <c r="L410" s="133">
        <v>21105</v>
      </c>
      <c r="M410" s="150">
        <v>0.44144675925925925</v>
      </c>
      <c r="N410" s="150">
        <v>0.44144675925925925</v>
      </c>
      <c r="O410" t="s">
        <v>172</v>
      </c>
      <c r="Q410">
        <v>840279</v>
      </c>
      <c r="R410">
        <v>840279</v>
      </c>
      <c r="S410">
        <v>840206</v>
      </c>
      <c r="T410">
        <v>979</v>
      </c>
      <c r="U410" t="s">
        <v>173</v>
      </c>
      <c r="V410">
        <v>0</v>
      </c>
      <c r="W410" t="s">
        <v>174</v>
      </c>
      <c r="X410">
        <v>840206</v>
      </c>
      <c r="Z410" t="s">
        <v>175</v>
      </c>
      <c r="AA410" t="s">
        <v>173</v>
      </c>
    </row>
    <row r="411" spans="1:27" x14ac:dyDescent="0.3">
      <c r="A411">
        <v>410</v>
      </c>
      <c r="B411" t="s">
        <v>180</v>
      </c>
      <c r="C411">
        <v>99019421</v>
      </c>
      <c r="D411" s="7" t="s">
        <v>185</v>
      </c>
      <c r="E411" t="s">
        <v>181</v>
      </c>
      <c r="F411" t="s">
        <v>176</v>
      </c>
      <c r="G411" t="s">
        <v>177</v>
      </c>
      <c r="H411" s="133">
        <v>10000</v>
      </c>
      <c r="I411">
        <v>0</v>
      </c>
      <c r="J411">
        <v>982</v>
      </c>
      <c r="K411" s="133">
        <v>13865</v>
      </c>
      <c r="L411" s="133">
        <v>13865</v>
      </c>
      <c r="M411" s="150">
        <v>0.44149305555555557</v>
      </c>
      <c r="N411" s="150">
        <v>0.44150462962962966</v>
      </c>
      <c r="O411" t="s">
        <v>172</v>
      </c>
      <c r="Q411">
        <v>840887</v>
      </c>
      <c r="R411">
        <v>840887</v>
      </c>
      <c r="S411">
        <v>840860</v>
      </c>
      <c r="T411" s="133">
        <v>9018</v>
      </c>
      <c r="U411" t="s">
        <v>173</v>
      </c>
      <c r="V411">
        <v>0</v>
      </c>
      <c r="W411" t="s">
        <v>174</v>
      </c>
      <c r="X411">
        <v>840860</v>
      </c>
      <c r="Y411" t="s">
        <v>182</v>
      </c>
      <c r="Z411" t="s">
        <v>183</v>
      </c>
      <c r="AA411" t="s">
        <v>173</v>
      </c>
    </row>
    <row r="412" spans="1:27" x14ac:dyDescent="0.3">
      <c r="A412">
        <v>411</v>
      </c>
      <c r="B412" t="s">
        <v>180</v>
      </c>
      <c r="C412">
        <v>99019421</v>
      </c>
      <c r="D412" s="7" t="s">
        <v>185</v>
      </c>
      <c r="E412" t="s">
        <v>181</v>
      </c>
      <c r="F412" t="s">
        <v>176</v>
      </c>
      <c r="G412" t="s">
        <v>177</v>
      </c>
      <c r="H412" s="133">
        <v>10000</v>
      </c>
      <c r="I412">
        <v>0</v>
      </c>
      <c r="J412" s="133">
        <v>10000</v>
      </c>
      <c r="K412" s="133">
        <v>13880</v>
      </c>
      <c r="L412" s="133">
        <v>13880</v>
      </c>
      <c r="M412" s="150">
        <v>0.44164351851851852</v>
      </c>
      <c r="N412" s="150">
        <v>0.44165509259259261</v>
      </c>
      <c r="O412" t="s">
        <v>172</v>
      </c>
      <c r="Q412">
        <v>842243</v>
      </c>
      <c r="R412">
        <v>842243</v>
      </c>
      <c r="S412">
        <v>842239</v>
      </c>
      <c r="T412">
        <v>0</v>
      </c>
      <c r="U412" t="s">
        <v>173</v>
      </c>
      <c r="V412">
        <v>0</v>
      </c>
      <c r="W412" t="s">
        <v>174</v>
      </c>
      <c r="X412">
        <v>842239</v>
      </c>
      <c r="Y412" t="s">
        <v>182</v>
      </c>
      <c r="Z412" t="s">
        <v>183</v>
      </c>
      <c r="AA412" t="s">
        <v>173</v>
      </c>
    </row>
    <row r="413" spans="1:27" x14ac:dyDescent="0.3">
      <c r="A413">
        <v>412</v>
      </c>
      <c r="B413" t="s">
        <v>169</v>
      </c>
      <c r="C413">
        <v>99019875</v>
      </c>
      <c r="D413" s="7" t="s">
        <v>96</v>
      </c>
      <c r="E413" t="s">
        <v>97</v>
      </c>
      <c r="F413" t="s">
        <v>176</v>
      </c>
      <c r="G413" t="s">
        <v>177</v>
      </c>
      <c r="H413" s="133">
        <v>1000</v>
      </c>
      <c r="I413">
        <v>0</v>
      </c>
      <c r="J413">
        <v>5</v>
      </c>
      <c r="K413" s="133">
        <v>8365</v>
      </c>
      <c r="L413" s="133">
        <v>8365</v>
      </c>
      <c r="M413" s="150">
        <v>0.44178240740740743</v>
      </c>
      <c r="N413" s="150">
        <v>0.44178240740740743</v>
      </c>
      <c r="O413" t="s">
        <v>172</v>
      </c>
      <c r="Q413">
        <v>843441</v>
      </c>
      <c r="R413">
        <v>843441</v>
      </c>
      <c r="S413">
        <v>843435</v>
      </c>
      <c r="T413">
        <v>995</v>
      </c>
      <c r="U413" t="s">
        <v>173</v>
      </c>
      <c r="V413">
        <v>0</v>
      </c>
      <c r="W413" t="s">
        <v>174</v>
      </c>
      <c r="X413">
        <v>843435</v>
      </c>
      <c r="Z413" t="s">
        <v>175</v>
      </c>
      <c r="AA413" t="s">
        <v>173</v>
      </c>
    </row>
    <row r="414" spans="1:27" x14ac:dyDescent="0.3">
      <c r="A414">
        <v>413</v>
      </c>
      <c r="B414" t="s">
        <v>180</v>
      </c>
      <c r="C414">
        <v>99019421</v>
      </c>
      <c r="D414" s="7" t="s">
        <v>185</v>
      </c>
      <c r="E414" t="s">
        <v>181</v>
      </c>
      <c r="F414" t="s">
        <v>176</v>
      </c>
      <c r="G414" t="s">
        <v>177</v>
      </c>
      <c r="H414" s="133">
        <v>10000</v>
      </c>
      <c r="I414">
        <v>0</v>
      </c>
      <c r="J414">
        <v>1</v>
      </c>
      <c r="K414" s="133">
        <v>13880</v>
      </c>
      <c r="L414" s="133">
        <v>13880</v>
      </c>
      <c r="M414" s="150">
        <v>0.4418287037037037</v>
      </c>
      <c r="N414" s="150">
        <v>0.44187500000000002</v>
      </c>
      <c r="O414" t="s">
        <v>172</v>
      </c>
      <c r="Q414">
        <v>843743</v>
      </c>
      <c r="R414">
        <v>843743</v>
      </c>
      <c r="S414">
        <v>843735</v>
      </c>
      <c r="T414" s="133">
        <v>9999</v>
      </c>
      <c r="U414" t="s">
        <v>173</v>
      </c>
      <c r="V414">
        <v>0</v>
      </c>
      <c r="W414" t="s">
        <v>174</v>
      </c>
      <c r="X414">
        <v>843735</v>
      </c>
      <c r="Y414" t="s">
        <v>182</v>
      </c>
      <c r="Z414" t="s">
        <v>183</v>
      </c>
      <c r="AA414" t="s">
        <v>173</v>
      </c>
    </row>
    <row r="415" spans="1:27" x14ac:dyDescent="0.3">
      <c r="A415">
        <v>414</v>
      </c>
      <c r="B415" t="s">
        <v>180</v>
      </c>
      <c r="C415">
        <v>99019421</v>
      </c>
      <c r="D415" s="7" t="s">
        <v>185</v>
      </c>
      <c r="E415" t="s">
        <v>181</v>
      </c>
      <c r="F415" t="s">
        <v>176</v>
      </c>
      <c r="G415" t="s">
        <v>177</v>
      </c>
      <c r="H415" s="133">
        <v>10000</v>
      </c>
      <c r="I415">
        <v>0</v>
      </c>
      <c r="J415">
        <v>353</v>
      </c>
      <c r="K415" s="133">
        <v>13875</v>
      </c>
      <c r="L415" s="133">
        <v>13875</v>
      </c>
      <c r="M415" s="150">
        <v>0.44195601851851851</v>
      </c>
      <c r="N415" s="150">
        <v>0.44195601851851851</v>
      </c>
      <c r="O415" t="s">
        <v>172</v>
      </c>
      <c r="Q415">
        <v>844820</v>
      </c>
      <c r="R415">
        <v>844820</v>
      </c>
      <c r="S415">
        <v>844804</v>
      </c>
      <c r="T415" s="133">
        <v>9647</v>
      </c>
      <c r="U415" t="s">
        <v>173</v>
      </c>
      <c r="V415">
        <v>0</v>
      </c>
      <c r="W415" t="s">
        <v>174</v>
      </c>
      <c r="X415">
        <v>844804</v>
      </c>
      <c r="Y415" t="s">
        <v>182</v>
      </c>
      <c r="Z415" t="s">
        <v>183</v>
      </c>
      <c r="AA415" t="s">
        <v>173</v>
      </c>
    </row>
    <row r="416" spans="1:27" x14ac:dyDescent="0.3">
      <c r="A416">
        <v>415</v>
      </c>
      <c r="B416" t="s">
        <v>180</v>
      </c>
      <c r="C416">
        <v>99019421</v>
      </c>
      <c r="D416" s="7" t="s">
        <v>185</v>
      </c>
      <c r="E416" t="s">
        <v>181</v>
      </c>
      <c r="F416" t="s">
        <v>176</v>
      </c>
      <c r="G416" t="s">
        <v>171</v>
      </c>
      <c r="H416" s="133">
        <v>10000</v>
      </c>
      <c r="I416">
        <v>0</v>
      </c>
      <c r="J416" s="133">
        <v>10000</v>
      </c>
      <c r="K416" s="133">
        <v>13875</v>
      </c>
      <c r="L416" s="133">
        <v>13875</v>
      </c>
      <c r="M416" s="150">
        <v>0.44196759259259261</v>
      </c>
      <c r="N416" s="150">
        <v>0.44201388888888887</v>
      </c>
      <c r="O416" t="s">
        <v>172</v>
      </c>
      <c r="Q416">
        <v>844926</v>
      </c>
      <c r="R416">
        <v>844926</v>
      </c>
      <c r="S416">
        <v>0</v>
      </c>
      <c r="T416">
        <v>0</v>
      </c>
      <c r="U416" t="s">
        <v>173</v>
      </c>
      <c r="V416">
        <v>0</v>
      </c>
      <c r="W416" t="s">
        <v>174</v>
      </c>
      <c r="X416">
        <v>0</v>
      </c>
      <c r="Y416" t="s">
        <v>182</v>
      </c>
      <c r="Z416" t="s">
        <v>183</v>
      </c>
      <c r="AA416" t="s">
        <v>173</v>
      </c>
    </row>
    <row r="417" spans="1:27" x14ac:dyDescent="0.3">
      <c r="A417">
        <v>416</v>
      </c>
      <c r="B417" t="s">
        <v>180</v>
      </c>
      <c r="C417">
        <v>99019421</v>
      </c>
      <c r="D417" s="7" t="s">
        <v>185</v>
      </c>
      <c r="E417" t="s">
        <v>181</v>
      </c>
      <c r="F417" t="s">
        <v>176</v>
      </c>
      <c r="G417" t="s">
        <v>177</v>
      </c>
      <c r="H417" s="133">
        <v>10000</v>
      </c>
      <c r="I417">
        <v>0</v>
      </c>
      <c r="J417" s="133">
        <v>10000</v>
      </c>
      <c r="K417" s="133">
        <v>13875</v>
      </c>
      <c r="L417" s="133">
        <v>13875</v>
      </c>
      <c r="M417" s="150">
        <v>0.44201388888888887</v>
      </c>
      <c r="N417" s="150">
        <v>0.4420486111111111</v>
      </c>
      <c r="O417" t="s">
        <v>172</v>
      </c>
      <c r="Q417">
        <v>845266</v>
      </c>
      <c r="R417">
        <v>845266</v>
      </c>
      <c r="S417">
        <v>845230</v>
      </c>
      <c r="T417">
        <v>0</v>
      </c>
      <c r="U417" t="s">
        <v>173</v>
      </c>
      <c r="V417">
        <v>0</v>
      </c>
      <c r="W417" t="s">
        <v>174</v>
      </c>
      <c r="X417">
        <v>845230</v>
      </c>
      <c r="Y417" t="s">
        <v>182</v>
      </c>
      <c r="Z417" t="s">
        <v>183</v>
      </c>
      <c r="AA417" t="s">
        <v>173</v>
      </c>
    </row>
    <row r="418" spans="1:27" x14ac:dyDescent="0.3">
      <c r="A418">
        <v>417</v>
      </c>
      <c r="B418" t="s">
        <v>180</v>
      </c>
      <c r="C418">
        <v>99019421</v>
      </c>
      <c r="D418" s="7" t="s">
        <v>185</v>
      </c>
      <c r="E418" t="s">
        <v>181</v>
      </c>
      <c r="F418" t="s">
        <v>176</v>
      </c>
      <c r="G418" t="s">
        <v>177</v>
      </c>
      <c r="H418" s="133">
        <v>10000</v>
      </c>
      <c r="I418">
        <v>0</v>
      </c>
      <c r="J418" s="133">
        <v>10000</v>
      </c>
      <c r="K418" s="133">
        <v>13880</v>
      </c>
      <c r="L418" s="133">
        <v>13880</v>
      </c>
      <c r="M418" s="150">
        <v>0.44202546296296297</v>
      </c>
      <c r="N418" s="150">
        <v>0.4420486111111111</v>
      </c>
      <c r="O418" t="s">
        <v>172</v>
      </c>
      <c r="Q418">
        <v>845340</v>
      </c>
      <c r="R418">
        <v>845340</v>
      </c>
      <c r="S418">
        <v>845312</v>
      </c>
      <c r="T418">
        <v>0</v>
      </c>
      <c r="U418" t="s">
        <v>173</v>
      </c>
      <c r="V418">
        <v>0</v>
      </c>
      <c r="W418" t="s">
        <v>174</v>
      </c>
      <c r="X418">
        <v>845312</v>
      </c>
      <c r="Y418" t="s">
        <v>182</v>
      </c>
      <c r="Z418" t="s">
        <v>183</v>
      </c>
      <c r="AA418" t="s">
        <v>173</v>
      </c>
    </row>
    <row r="419" spans="1:27" x14ac:dyDescent="0.3">
      <c r="A419">
        <v>418</v>
      </c>
      <c r="B419" t="s">
        <v>169</v>
      </c>
      <c r="C419">
        <v>99019875</v>
      </c>
      <c r="D419" s="7" t="s">
        <v>69</v>
      </c>
      <c r="E419" t="s">
        <v>70</v>
      </c>
      <c r="F419" t="s">
        <v>176</v>
      </c>
      <c r="G419" t="s">
        <v>177</v>
      </c>
      <c r="H419" s="133">
        <v>1000</v>
      </c>
      <c r="I419">
        <v>0</v>
      </c>
      <c r="J419" s="133">
        <v>1000</v>
      </c>
      <c r="K419" s="133">
        <v>10400</v>
      </c>
      <c r="L419" s="133">
        <v>10400</v>
      </c>
      <c r="M419" s="150">
        <v>0.44241898148148145</v>
      </c>
      <c r="N419" s="150">
        <v>0.44241898148148145</v>
      </c>
      <c r="O419" t="s">
        <v>172</v>
      </c>
      <c r="Q419">
        <v>849107</v>
      </c>
      <c r="R419">
        <v>849107</v>
      </c>
      <c r="S419">
        <v>849086</v>
      </c>
      <c r="T419">
        <v>0</v>
      </c>
      <c r="U419" t="s">
        <v>173</v>
      </c>
      <c r="V419">
        <v>0</v>
      </c>
      <c r="W419" t="s">
        <v>174</v>
      </c>
      <c r="X419">
        <v>849086</v>
      </c>
      <c r="Z419" t="s">
        <v>175</v>
      </c>
      <c r="AA419" t="s">
        <v>173</v>
      </c>
    </row>
    <row r="420" spans="1:27" x14ac:dyDescent="0.3">
      <c r="A420">
        <v>419</v>
      </c>
      <c r="B420" t="s">
        <v>169</v>
      </c>
      <c r="C420">
        <v>99019875</v>
      </c>
      <c r="D420" s="7" t="s">
        <v>96</v>
      </c>
      <c r="E420" t="s">
        <v>97</v>
      </c>
      <c r="F420" t="s">
        <v>176</v>
      </c>
      <c r="G420" t="s">
        <v>177</v>
      </c>
      <c r="H420" s="133">
        <v>1000</v>
      </c>
      <c r="I420">
        <v>0</v>
      </c>
      <c r="J420">
        <v>6</v>
      </c>
      <c r="K420" s="133">
        <v>8355</v>
      </c>
      <c r="L420" s="133">
        <v>8355</v>
      </c>
      <c r="M420" s="150">
        <v>0.44246527777777778</v>
      </c>
      <c r="N420" s="150">
        <v>0.44246527777777778</v>
      </c>
      <c r="O420" t="s">
        <v>172</v>
      </c>
      <c r="Q420">
        <v>849568</v>
      </c>
      <c r="R420">
        <v>849568</v>
      </c>
      <c r="S420">
        <v>849064</v>
      </c>
      <c r="T420">
        <v>994</v>
      </c>
      <c r="U420" t="s">
        <v>173</v>
      </c>
      <c r="V420">
        <v>0</v>
      </c>
      <c r="W420" t="s">
        <v>174</v>
      </c>
      <c r="X420">
        <v>849064</v>
      </c>
      <c r="Z420" t="s">
        <v>175</v>
      </c>
      <c r="AA420" t="s">
        <v>173</v>
      </c>
    </row>
    <row r="421" spans="1:27" x14ac:dyDescent="0.3">
      <c r="A421">
        <v>420</v>
      </c>
      <c r="B421" t="s">
        <v>169</v>
      </c>
      <c r="C421">
        <v>99019875</v>
      </c>
      <c r="D421" s="7" t="s">
        <v>140</v>
      </c>
      <c r="E421" t="s">
        <v>178</v>
      </c>
      <c r="F421" t="s">
        <v>170</v>
      </c>
      <c r="G421" t="s">
        <v>177</v>
      </c>
      <c r="H421" s="133">
        <v>1000</v>
      </c>
      <c r="I421">
        <v>0</v>
      </c>
      <c r="J421" s="133">
        <v>1000</v>
      </c>
      <c r="K421" s="133">
        <v>8655</v>
      </c>
      <c r="L421" s="133">
        <v>8655</v>
      </c>
      <c r="M421" s="150">
        <v>0.44275462962962964</v>
      </c>
      <c r="N421" s="150">
        <v>0.44284722222222223</v>
      </c>
      <c r="O421" t="s">
        <v>172</v>
      </c>
      <c r="Q421">
        <v>852647</v>
      </c>
      <c r="R421">
        <v>852647</v>
      </c>
      <c r="S421">
        <v>851666</v>
      </c>
      <c r="T421">
        <v>0</v>
      </c>
      <c r="U421" t="s">
        <v>173</v>
      </c>
      <c r="V421">
        <v>0</v>
      </c>
      <c r="W421" t="s">
        <v>174</v>
      </c>
      <c r="X421">
        <v>851666</v>
      </c>
      <c r="Z421" t="s">
        <v>175</v>
      </c>
      <c r="AA421" t="s">
        <v>173</v>
      </c>
    </row>
    <row r="422" spans="1:27" x14ac:dyDescent="0.3">
      <c r="A422">
        <v>421</v>
      </c>
      <c r="B422" t="s">
        <v>169</v>
      </c>
      <c r="C422">
        <v>99019875</v>
      </c>
      <c r="D422" s="7" t="s">
        <v>75</v>
      </c>
      <c r="E422" t="s">
        <v>76</v>
      </c>
      <c r="F422" t="s">
        <v>176</v>
      </c>
      <c r="G422" t="s">
        <v>177</v>
      </c>
      <c r="H422" s="133">
        <v>1000</v>
      </c>
      <c r="I422">
        <v>0</v>
      </c>
      <c r="J422">
        <v>143</v>
      </c>
      <c r="K422" s="133">
        <v>21075</v>
      </c>
      <c r="L422" s="133">
        <v>21075</v>
      </c>
      <c r="M422" s="150">
        <v>0.44287037037037041</v>
      </c>
      <c r="N422" s="150">
        <v>0.44288194444444445</v>
      </c>
      <c r="O422" t="s">
        <v>172</v>
      </c>
      <c r="Q422">
        <v>854272</v>
      </c>
      <c r="R422">
        <v>854272</v>
      </c>
      <c r="S422">
        <v>854240</v>
      </c>
      <c r="T422">
        <v>857</v>
      </c>
      <c r="U422" t="s">
        <v>173</v>
      </c>
      <c r="V422">
        <v>0</v>
      </c>
      <c r="W422" t="s">
        <v>174</v>
      </c>
      <c r="X422">
        <v>854240</v>
      </c>
      <c r="Z422" t="s">
        <v>175</v>
      </c>
      <c r="AA422" t="s">
        <v>173</v>
      </c>
    </row>
    <row r="423" spans="1:27" x14ac:dyDescent="0.3">
      <c r="A423">
        <v>422</v>
      </c>
      <c r="B423" t="s">
        <v>169</v>
      </c>
      <c r="C423">
        <v>99019875</v>
      </c>
      <c r="D423" s="7" t="s">
        <v>96</v>
      </c>
      <c r="E423" t="s">
        <v>97</v>
      </c>
      <c r="F423" t="s">
        <v>176</v>
      </c>
      <c r="G423" t="s">
        <v>177</v>
      </c>
      <c r="H423" s="133">
        <v>1000</v>
      </c>
      <c r="I423">
        <v>0</v>
      </c>
      <c r="J423">
        <v>40</v>
      </c>
      <c r="K423" s="133">
        <v>8350</v>
      </c>
      <c r="L423" s="133">
        <v>8350</v>
      </c>
      <c r="M423" s="150">
        <v>0.44288194444444445</v>
      </c>
      <c r="N423" s="150">
        <v>0.44289351851851855</v>
      </c>
      <c r="O423" t="s">
        <v>172</v>
      </c>
      <c r="Q423">
        <v>854483</v>
      </c>
      <c r="R423">
        <v>854483</v>
      </c>
      <c r="S423">
        <v>854419</v>
      </c>
      <c r="T423">
        <v>960</v>
      </c>
      <c r="U423" t="s">
        <v>173</v>
      </c>
      <c r="V423">
        <v>0</v>
      </c>
      <c r="W423" t="s">
        <v>174</v>
      </c>
      <c r="X423">
        <v>854419</v>
      </c>
      <c r="Z423" t="s">
        <v>175</v>
      </c>
      <c r="AA423" t="s">
        <v>173</v>
      </c>
    </row>
    <row r="424" spans="1:27" x14ac:dyDescent="0.3">
      <c r="A424">
        <v>423</v>
      </c>
      <c r="B424" t="s">
        <v>169</v>
      </c>
      <c r="C424">
        <v>99019875</v>
      </c>
      <c r="D424" s="7" t="s">
        <v>96</v>
      </c>
      <c r="E424" t="s">
        <v>97</v>
      </c>
      <c r="F424" t="s">
        <v>176</v>
      </c>
      <c r="G424" t="s">
        <v>177</v>
      </c>
      <c r="H424" s="133">
        <v>1000</v>
      </c>
      <c r="I424">
        <v>0</v>
      </c>
      <c r="J424">
        <v>8</v>
      </c>
      <c r="K424" s="133">
        <v>8340</v>
      </c>
      <c r="L424" s="133">
        <v>8340</v>
      </c>
      <c r="M424" s="150">
        <v>0.4432638888888889</v>
      </c>
      <c r="N424" s="150">
        <v>0.4432638888888889</v>
      </c>
      <c r="O424" t="s">
        <v>172</v>
      </c>
      <c r="Q424">
        <v>859713</v>
      </c>
      <c r="R424">
        <v>859713</v>
      </c>
      <c r="S424">
        <v>859600</v>
      </c>
      <c r="T424">
        <v>992</v>
      </c>
      <c r="U424" t="s">
        <v>173</v>
      </c>
      <c r="V424">
        <v>0</v>
      </c>
      <c r="W424" t="s">
        <v>174</v>
      </c>
      <c r="X424">
        <v>859600</v>
      </c>
      <c r="Z424" t="s">
        <v>175</v>
      </c>
      <c r="AA424" t="s">
        <v>173</v>
      </c>
    </row>
    <row r="425" spans="1:27" x14ac:dyDescent="0.3">
      <c r="A425">
        <v>424</v>
      </c>
      <c r="B425" t="s">
        <v>169</v>
      </c>
      <c r="C425">
        <v>99019875</v>
      </c>
      <c r="D425" s="7" t="s">
        <v>62</v>
      </c>
      <c r="E425" t="s">
        <v>63</v>
      </c>
      <c r="F425" t="s">
        <v>170</v>
      </c>
      <c r="G425" t="s">
        <v>177</v>
      </c>
      <c r="H425" s="133">
        <v>1000</v>
      </c>
      <c r="I425">
        <v>0</v>
      </c>
      <c r="J425">
        <v>912</v>
      </c>
      <c r="K425" s="133">
        <v>34175</v>
      </c>
      <c r="L425" s="133">
        <v>34175</v>
      </c>
      <c r="M425" s="150">
        <v>0.44339120370370372</v>
      </c>
      <c r="N425" s="150">
        <v>0.44341435185185185</v>
      </c>
      <c r="O425" t="s">
        <v>172</v>
      </c>
      <c r="Q425">
        <v>861348</v>
      </c>
      <c r="R425">
        <v>861348</v>
      </c>
      <c r="S425">
        <v>861276</v>
      </c>
      <c r="T425">
        <v>88</v>
      </c>
      <c r="U425" t="s">
        <v>173</v>
      </c>
      <c r="V425">
        <v>0</v>
      </c>
      <c r="W425" t="s">
        <v>174</v>
      </c>
      <c r="X425">
        <v>861276</v>
      </c>
      <c r="Z425" t="s">
        <v>175</v>
      </c>
      <c r="AA425" t="s">
        <v>173</v>
      </c>
    </row>
    <row r="426" spans="1:27" x14ac:dyDescent="0.3">
      <c r="A426">
        <v>425</v>
      </c>
      <c r="B426" t="s">
        <v>169</v>
      </c>
      <c r="C426">
        <v>99019875</v>
      </c>
      <c r="D426" s="7" t="s">
        <v>75</v>
      </c>
      <c r="E426" t="s">
        <v>76</v>
      </c>
      <c r="F426" t="s">
        <v>176</v>
      </c>
      <c r="G426" t="s">
        <v>177</v>
      </c>
      <c r="H426" s="133">
        <v>1000</v>
      </c>
      <c r="I426">
        <v>0</v>
      </c>
      <c r="J426">
        <v>130</v>
      </c>
      <c r="K426" s="133">
        <v>21060</v>
      </c>
      <c r="L426" s="133">
        <v>21060</v>
      </c>
      <c r="M426" s="150">
        <v>0.44346064814814817</v>
      </c>
      <c r="N426" s="150">
        <v>0.44348379629629631</v>
      </c>
      <c r="O426" t="s">
        <v>172</v>
      </c>
      <c r="Q426">
        <v>862800</v>
      </c>
      <c r="R426">
        <v>862800</v>
      </c>
      <c r="S426">
        <v>862784</v>
      </c>
      <c r="T426">
        <v>870</v>
      </c>
      <c r="U426" t="s">
        <v>173</v>
      </c>
      <c r="V426">
        <v>0</v>
      </c>
      <c r="W426" t="s">
        <v>174</v>
      </c>
      <c r="X426">
        <v>862784</v>
      </c>
      <c r="Z426" t="s">
        <v>175</v>
      </c>
      <c r="AA426" t="s">
        <v>173</v>
      </c>
    </row>
    <row r="427" spans="1:27" x14ac:dyDescent="0.3">
      <c r="A427">
        <v>426</v>
      </c>
      <c r="B427" t="s">
        <v>169</v>
      </c>
      <c r="C427">
        <v>99019875</v>
      </c>
      <c r="D427" s="7" t="s">
        <v>114</v>
      </c>
      <c r="E427" t="s">
        <v>115</v>
      </c>
      <c r="F427" t="s">
        <v>170</v>
      </c>
      <c r="G427" t="s">
        <v>177</v>
      </c>
      <c r="H427" s="133">
        <v>1000</v>
      </c>
      <c r="I427">
        <v>0</v>
      </c>
      <c r="J427">
        <v>17</v>
      </c>
      <c r="K427" s="133">
        <v>53870</v>
      </c>
      <c r="L427" s="133">
        <v>53870</v>
      </c>
      <c r="M427" s="150">
        <v>0.44354166666666667</v>
      </c>
      <c r="N427" s="150">
        <v>0.44355324074074076</v>
      </c>
      <c r="O427" t="s">
        <v>172</v>
      </c>
      <c r="Q427">
        <v>864061</v>
      </c>
      <c r="R427">
        <v>864061</v>
      </c>
      <c r="S427">
        <v>864055</v>
      </c>
      <c r="T427">
        <v>983</v>
      </c>
      <c r="U427" t="s">
        <v>173</v>
      </c>
      <c r="V427">
        <v>0</v>
      </c>
      <c r="W427" t="s">
        <v>174</v>
      </c>
      <c r="X427">
        <v>864055</v>
      </c>
      <c r="Z427" t="s">
        <v>175</v>
      </c>
      <c r="AA427" t="s">
        <v>173</v>
      </c>
    </row>
    <row r="428" spans="1:27" x14ac:dyDescent="0.3">
      <c r="A428">
        <v>427</v>
      </c>
      <c r="B428" t="s">
        <v>169</v>
      </c>
      <c r="C428">
        <v>99019875</v>
      </c>
      <c r="D428" s="7" t="s">
        <v>62</v>
      </c>
      <c r="E428" t="s">
        <v>63</v>
      </c>
      <c r="F428" t="s">
        <v>176</v>
      </c>
      <c r="G428" t="s">
        <v>177</v>
      </c>
      <c r="H428" s="133">
        <v>1000</v>
      </c>
      <c r="I428">
        <v>0</v>
      </c>
      <c r="J428" s="133">
        <v>1000</v>
      </c>
      <c r="K428" s="133">
        <v>34175</v>
      </c>
      <c r="L428" s="133">
        <v>34175</v>
      </c>
      <c r="M428" s="150">
        <v>0.44391203703703702</v>
      </c>
      <c r="N428" s="150">
        <v>0.44391203703703702</v>
      </c>
      <c r="O428" t="s">
        <v>172</v>
      </c>
      <c r="Q428">
        <v>868370</v>
      </c>
      <c r="R428">
        <v>868370</v>
      </c>
      <c r="S428">
        <v>868345</v>
      </c>
      <c r="T428">
        <v>0</v>
      </c>
      <c r="U428" t="s">
        <v>173</v>
      </c>
      <c r="V428">
        <v>0</v>
      </c>
      <c r="W428" t="s">
        <v>174</v>
      </c>
      <c r="X428">
        <v>868345</v>
      </c>
      <c r="Z428" t="s">
        <v>175</v>
      </c>
      <c r="AA428" t="s">
        <v>173</v>
      </c>
    </row>
    <row r="429" spans="1:27" x14ac:dyDescent="0.3">
      <c r="A429">
        <v>428</v>
      </c>
      <c r="B429" t="s">
        <v>169</v>
      </c>
      <c r="C429">
        <v>99019875</v>
      </c>
      <c r="D429" s="7" t="s">
        <v>75</v>
      </c>
      <c r="E429" t="s">
        <v>76</v>
      </c>
      <c r="F429" t="s">
        <v>176</v>
      </c>
      <c r="G429" t="s">
        <v>177</v>
      </c>
      <c r="H429" s="133">
        <v>1000</v>
      </c>
      <c r="I429">
        <v>0</v>
      </c>
      <c r="J429">
        <v>6</v>
      </c>
      <c r="K429" s="133">
        <v>21045</v>
      </c>
      <c r="L429" s="133">
        <v>21045</v>
      </c>
      <c r="M429" s="150">
        <v>0.44391203703703702</v>
      </c>
      <c r="N429" s="150">
        <v>0.44393518518518515</v>
      </c>
      <c r="O429" t="s">
        <v>172</v>
      </c>
      <c r="Q429">
        <v>868450</v>
      </c>
      <c r="R429">
        <v>868450</v>
      </c>
      <c r="S429">
        <v>868254</v>
      </c>
      <c r="T429">
        <v>994</v>
      </c>
      <c r="U429" t="s">
        <v>173</v>
      </c>
      <c r="V429">
        <v>0</v>
      </c>
      <c r="W429" t="s">
        <v>174</v>
      </c>
      <c r="X429">
        <v>868254</v>
      </c>
      <c r="Z429" t="s">
        <v>175</v>
      </c>
      <c r="AA429" t="s">
        <v>173</v>
      </c>
    </row>
    <row r="430" spans="1:27" x14ac:dyDescent="0.3">
      <c r="A430">
        <v>429</v>
      </c>
      <c r="B430" t="s">
        <v>169</v>
      </c>
      <c r="C430">
        <v>99019875</v>
      </c>
      <c r="D430" s="7" t="s">
        <v>67</v>
      </c>
      <c r="E430" t="s">
        <v>68</v>
      </c>
      <c r="F430" t="s">
        <v>176</v>
      </c>
      <c r="G430" t="s">
        <v>177</v>
      </c>
      <c r="H430" s="133">
        <v>1000</v>
      </c>
      <c r="I430">
        <v>0</v>
      </c>
      <c r="J430">
        <v>3</v>
      </c>
      <c r="K430" s="133">
        <v>4875</v>
      </c>
      <c r="L430" s="133">
        <v>4875</v>
      </c>
      <c r="M430" s="150">
        <v>0.44395833333333329</v>
      </c>
      <c r="N430" s="150">
        <v>0.4442592592592593</v>
      </c>
      <c r="O430" t="s">
        <v>172</v>
      </c>
      <c r="Q430">
        <v>868947</v>
      </c>
      <c r="R430">
        <v>868947</v>
      </c>
      <c r="S430">
        <v>868768</v>
      </c>
      <c r="T430">
        <v>997</v>
      </c>
      <c r="U430" t="s">
        <v>173</v>
      </c>
      <c r="V430">
        <v>0</v>
      </c>
      <c r="W430" t="s">
        <v>174</v>
      </c>
      <c r="X430">
        <v>868768</v>
      </c>
      <c r="Z430" t="s">
        <v>175</v>
      </c>
      <c r="AA430" t="s">
        <v>173</v>
      </c>
    </row>
    <row r="431" spans="1:27" x14ac:dyDescent="0.3">
      <c r="A431">
        <v>430</v>
      </c>
      <c r="B431" t="s">
        <v>169</v>
      </c>
      <c r="C431">
        <v>99019875</v>
      </c>
      <c r="D431" s="7" t="s">
        <v>81</v>
      </c>
      <c r="E431" t="s">
        <v>82</v>
      </c>
      <c r="F431" t="s">
        <v>170</v>
      </c>
      <c r="G431" t="s">
        <v>177</v>
      </c>
      <c r="H431" s="133">
        <v>1000</v>
      </c>
      <c r="I431">
        <v>0</v>
      </c>
      <c r="J431">
        <v>18</v>
      </c>
      <c r="K431" s="133">
        <v>36640</v>
      </c>
      <c r="L431" s="133">
        <v>36640</v>
      </c>
      <c r="M431" s="150">
        <v>0.44435185185185189</v>
      </c>
      <c r="N431" s="150">
        <v>0.44435185185185189</v>
      </c>
      <c r="O431" t="s">
        <v>172</v>
      </c>
      <c r="Q431">
        <v>872847</v>
      </c>
      <c r="R431">
        <v>872847</v>
      </c>
      <c r="S431">
        <v>872779</v>
      </c>
      <c r="T431">
        <v>982</v>
      </c>
      <c r="U431" t="s">
        <v>173</v>
      </c>
      <c r="V431">
        <v>0</v>
      </c>
      <c r="W431" t="s">
        <v>174</v>
      </c>
      <c r="X431">
        <v>872779</v>
      </c>
      <c r="Z431" t="s">
        <v>175</v>
      </c>
      <c r="AA431" t="s">
        <v>173</v>
      </c>
    </row>
    <row r="432" spans="1:27" x14ac:dyDescent="0.3">
      <c r="A432">
        <v>431</v>
      </c>
      <c r="B432" t="s">
        <v>169</v>
      </c>
      <c r="C432">
        <v>99019875</v>
      </c>
      <c r="D432" s="7" t="s">
        <v>69</v>
      </c>
      <c r="E432" t="s">
        <v>70</v>
      </c>
      <c r="F432" t="s">
        <v>176</v>
      </c>
      <c r="G432" t="s">
        <v>177</v>
      </c>
      <c r="H432" s="133">
        <v>1000</v>
      </c>
      <c r="I432">
        <v>0</v>
      </c>
      <c r="J432">
        <v>788</v>
      </c>
      <c r="K432" s="133">
        <v>10385</v>
      </c>
      <c r="L432" s="133">
        <v>10385</v>
      </c>
      <c r="M432" s="150">
        <v>0.44472222222222224</v>
      </c>
      <c r="N432" s="150">
        <v>0.44474537037037037</v>
      </c>
      <c r="O432" t="s">
        <v>172</v>
      </c>
      <c r="Q432">
        <v>877685</v>
      </c>
      <c r="R432">
        <v>877685</v>
      </c>
      <c r="S432">
        <v>877597</v>
      </c>
      <c r="T432">
        <v>212</v>
      </c>
      <c r="U432" t="s">
        <v>173</v>
      </c>
      <c r="V432">
        <v>0</v>
      </c>
      <c r="W432" t="s">
        <v>174</v>
      </c>
      <c r="X432">
        <v>877597</v>
      </c>
      <c r="Z432" t="s">
        <v>175</v>
      </c>
      <c r="AA432" t="s">
        <v>173</v>
      </c>
    </row>
    <row r="433" spans="1:27" x14ac:dyDescent="0.3">
      <c r="A433">
        <v>432</v>
      </c>
      <c r="B433" t="s">
        <v>169</v>
      </c>
      <c r="C433">
        <v>99019875</v>
      </c>
      <c r="D433" s="7" t="s">
        <v>67</v>
      </c>
      <c r="E433" t="s">
        <v>68</v>
      </c>
      <c r="F433" t="s">
        <v>176</v>
      </c>
      <c r="G433" t="s">
        <v>177</v>
      </c>
      <c r="H433" s="133">
        <v>1000</v>
      </c>
      <c r="I433">
        <v>0</v>
      </c>
      <c r="J433">
        <v>59</v>
      </c>
      <c r="K433" s="133">
        <v>4880</v>
      </c>
      <c r="L433" s="133">
        <v>4880</v>
      </c>
      <c r="M433" s="150">
        <v>0.44473379629629628</v>
      </c>
      <c r="N433" s="150">
        <v>0.44474537037037037</v>
      </c>
      <c r="O433" t="s">
        <v>172</v>
      </c>
      <c r="Q433">
        <v>877965</v>
      </c>
      <c r="R433">
        <v>877965</v>
      </c>
      <c r="S433">
        <v>877590</v>
      </c>
      <c r="T433">
        <v>941</v>
      </c>
      <c r="U433" t="s">
        <v>173</v>
      </c>
      <c r="V433">
        <v>0</v>
      </c>
      <c r="W433" t="s">
        <v>174</v>
      </c>
      <c r="X433">
        <v>877590</v>
      </c>
      <c r="Z433" t="s">
        <v>175</v>
      </c>
      <c r="AA433" t="s">
        <v>173</v>
      </c>
    </row>
    <row r="434" spans="1:27" x14ac:dyDescent="0.3">
      <c r="A434">
        <v>433</v>
      </c>
      <c r="B434" t="s">
        <v>169</v>
      </c>
      <c r="C434">
        <v>99019875</v>
      </c>
      <c r="D434" s="7" t="s">
        <v>75</v>
      </c>
      <c r="E434" t="s">
        <v>76</v>
      </c>
      <c r="F434" t="s">
        <v>176</v>
      </c>
      <c r="G434" t="s">
        <v>177</v>
      </c>
      <c r="H434" s="133">
        <v>1000</v>
      </c>
      <c r="I434">
        <v>0</v>
      </c>
      <c r="J434">
        <v>23</v>
      </c>
      <c r="K434" s="133">
        <v>21055</v>
      </c>
      <c r="L434" s="133">
        <v>21055</v>
      </c>
      <c r="M434" s="150">
        <v>0.44481481481481483</v>
      </c>
      <c r="N434" s="150">
        <v>0.44483796296296302</v>
      </c>
      <c r="O434" t="s">
        <v>172</v>
      </c>
      <c r="Q434">
        <v>879030</v>
      </c>
      <c r="R434">
        <v>879030</v>
      </c>
      <c r="S434">
        <v>878759</v>
      </c>
      <c r="T434">
        <v>977</v>
      </c>
      <c r="U434" t="s">
        <v>173</v>
      </c>
      <c r="V434">
        <v>0</v>
      </c>
      <c r="W434" t="s">
        <v>174</v>
      </c>
      <c r="X434">
        <v>878759</v>
      </c>
      <c r="Z434" t="s">
        <v>175</v>
      </c>
      <c r="AA434" t="s">
        <v>173</v>
      </c>
    </row>
    <row r="435" spans="1:27" x14ac:dyDescent="0.3">
      <c r="A435">
        <v>434</v>
      </c>
      <c r="B435" t="s">
        <v>169</v>
      </c>
      <c r="C435">
        <v>99019875</v>
      </c>
      <c r="D435" s="7" t="s">
        <v>75</v>
      </c>
      <c r="E435" t="s">
        <v>76</v>
      </c>
      <c r="F435" t="s">
        <v>176</v>
      </c>
      <c r="G435" t="s">
        <v>177</v>
      </c>
      <c r="H435" s="133">
        <v>1000</v>
      </c>
      <c r="I435">
        <v>0</v>
      </c>
      <c r="J435">
        <v>3</v>
      </c>
      <c r="K435" s="133">
        <v>21065</v>
      </c>
      <c r="L435" s="133">
        <v>21065</v>
      </c>
      <c r="M435" s="150">
        <v>0.44518518518518518</v>
      </c>
      <c r="N435" s="150">
        <v>0.44519675925925922</v>
      </c>
      <c r="O435" t="s">
        <v>172</v>
      </c>
      <c r="Q435">
        <v>882715</v>
      </c>
      <c r="R435">
        <v>882715</v>
      </c>
      <c r="S435">
        <v>882635</v>
      </c>
      <c r="T435">
        <v>997</v>
      </c>
      <c r="U435" t="s">
        <v>173</v>
      </c>
      <c r="V435">
        <v>0</v>
      </c>
      <c r="W435" t="s">
        <v>174</v>
      </c>
      <c r="X435">
        <v>882635</v>
      </c>
      <c r="Z435" t="s">
        <v>175</v>
      </c>
      <c r="AA435" t="s">
        <v>173</v>
      </c>
    </row>
    <row r="436" spans="1:27" x14ac:dyDescent="0.3">
      <c r="A436">
        <v>435</v>
      </c>
      <c r="B436" t="s">
        <v>169</v>
      </c>
      <c r="C436">
        <v>99019875</v>
      </c>
      <c r="D436" s="7" t="s">
        <v>75</v>
      </c>
      <c r="E436" t="s">
        <v>76</v>
      </c>
      <c r="F436" t="s">
        <v>176</v>
      </c>
      <c r="G436" t="s">
        <v>177</v>
      </c>
      <c r="H436" s="133">
        <v>1000</v>
      </c>
      <c r="I436">
        <v>0</v>
      </c>
      <c r="J436">
        <v>1</v>
      </c>
      <c r="K436" s="133">
        <v>21070</v>
      </c>
      <c r="L436" s="133">
        <v>21070</v>
      </c>
      <c r="M436" s="150">
        <v>0.4455324074074074</v>
      </c>
      <c r="N436" s="150">
        <v>0.4455324074074074</v>
      </c>
      <c r="O436" t="s">
        <v>172</v>
      </c>
      <c r="Q436">
        <v>885971</v>
      </c>
      <c r="R436">
        <v>885971</v>
      </c>
      <c r="S436">
        <v>885957</v>
      </c>
      <c r="T436">
        <v>999</v>
      </c>
      <c r="U436" t="s">
        <v>173</v>
      </c>
      <c r="V436">
        <v>0</v>
      </c>
      <c r="W436" t="s">
        <v>174</v>
      </c>
      <c r="X436">
        <v>885957</v>
      </c>
      <c r="Z436" t="s">
        <v>175</v>
      </c>
      <c r="AA436" t="s">
        <v>173</v>
      </c>
    </row>
    <row r="437" spans="1:27" x14ac:dyDescent="0.3">
      <c r="A437">
        <v>436</v>
      </c>
      <c r="B437" t="s">
        <v>169</v>
      </c>
      <c r="C437">
        <v>99019875</v>
      </c>
      <c r="D437" s="7" t="s">
        <v>62</v>
      </c>
      <c r="E437" t="s">
        <v>63</v>
      </c>
      <c r="F437" t="s">
        <v>176</v>
      </c>
      <c r="G437" t="s">
        <v>177</v>
      </c>
      <c r="H437" s="133">
        <v>1000</v>
      </c>
      <c r="I437">
        <v>0</v>
      </c>
      <c r="J437" s="133">
        <v>1000</v>
      </c>
      <c r="K437" s="133">
        <v>34275</v>
      </c>
      <c r="L437" s="133">
        <v>34275</v>
      </c>
      <c r="M437" s="150">
        <v>0.4456134259259259</v>
      </c>
      <c r="N437" s="150">
        <v>0.44587962962962963</v>
      </c>
      <c r="O437" t="s">
        <v>172</v>
      </c>
      <c r="Q437">
        <v>886657</v>
      </c>
      <c r="R437">
        <v>886657</v>
      </c>
      <c r="S437">
        <v>886655</v>
      </c>
      <c r="T437">
        <v>0</v>
      </c>
      <c r="U437" t="s">
        <v>173</v>
      </c>
      <c r="V437">
        <v>0</v>
      </c>
      <c r="W437" t="s">
        <v>174</v>
      </c>
      <c r="X437">
        <v>886655</v>
      </c>
      <c r="Z437" t="s">
        <v>175</v>
      </c>
      <c r="AA437" t="s">
        <v>173</v>
      </c>
    </row>
    <row r="438" spans="1:27" x14ac:dyDescent="0.3">
      <c r="A438">
        <v>437</v>
      </c>
      <c r="B438" t="s">
        <v>169</v>
      </c>
      <c r="C438">
        <v>99019875</v>
      </c>
      <c r="D438" s="7" t="s">
        <v>62</v>
      </c>
      <c r="E438" t="s">
        <v>63</v>
      </c>
      <c r="F438" t="s">
        <v>170</v>
      </c>
      <c r="G438" t="s">
        <v>177</v>
      </c>
      <c r="H438" s="133">
        <v>1000</v>
      </c>
      <c r="I438">
        <v>0</v>
      </c>
      <c r="J438" s="133">
        <v>1000</v>
      </c>
      <c r="K438" s="133">
        <v>34210</v>
      </c>
      <c r="L438" s="133">
        <v>34210</v>
      </c>
      <c r="M438" s="150">
        <v>0.4456134259259259</v>
      </c>
      <c r="N438" s="150">
        <v>0.4456134259259259</v>
      </c>
      <c r="O438" t="s">
        <v>172</v>
      </c>
      <c r="Q438">
        <v>886658</v>
      </c>
      <c r="R438">
        <v>886658</v>
      </c>
      <c r="S438">
        <v>886654</v>
      </c>
      <c r="T438">
        <v>0</v>
      </c>
      <c r="U438" t="s">
        <v>173</v>
      </c>
      <c r="V438">
        <v>0</v>
      </c>
      <c r="W438" t="s">
        <v>174</v>
      </c>
      <c r="X438">
        <v>886654</v>
      </c>
      <c r="Z438" t="s">
        <v>175</v>
      </c>
      <c r="AA438" t="s">
        <v>173</v>
      </c>
    </row>
    <row r="439" spans="1:27" x14ac:dyDescent="0.3">
      <c r="A439">
        <v>438</v>
      </c>
      <c r="B439" t="s">
        <v>169</v>
      </c>
      <c r="C439">
        <v>99019875</v>
      </c>
      <c r="D439" s="7" t="s">
        <v>140</v>
      </c>
      <c r="E439" t="s">
        <v>178</v>
      </c>
      <c r="F439" t="s">
        <v>176</v>
      </c>
      <c r="G439" t="s">
        <v>177</v>
      </c>
      <c r="H439" s="133">
        <v>1000</v>
      </c>
      <c r="I439">
        <v>0</v>
      </c>
      <c r="J439">
        <v>3</v>
      </c>
      <c r="K439" s="133">
        <v>8665</v>
      </c>
      <c r="L439" s="133">
        <v>8665</v>
      </c>
      <c r="M439" s="150">
        <v>0.44579861111111113</v>
      </c>
      <c r="N439" s="150">
        <v>0.44581018518518517</v>
      </c>
      <c r="O439" t="s">
        <v>172</v>
      </c>
      <c r="Q439">
        <v>888496</v>
      </c>
      <c r="R439">
        <v>888496</v>
      </c>
      <c r="S439">
        <v>888478</v>
      </c>
      <c r="T439">
        <v>997</v>
      </c>
      <c r="U439" t="s">
        <v>173</v>
      </c>
      <c r="V439">
        <v>0</v>
      </c>
      <c r="W439" t="s">
        <v>174</v>
      </c>
      <c r="X439">
        <v>888478</v>
      </c>
      <c r="Z439" t="s">
        <v>175</v>
      </c>
      <c r="AA439" t="s">
        <v>173</v>
      </c>
    </row>
    <row r="440" spans="1:27" x14ac:dyDescent="0.3">
      <c r="A440">
        <v>439</v>
      </c>
      <c r="B440" t="s">
        <v>169</v>
      </c>
      <c r="C440">
        <v>99019875</v>
      </c>
      <c r="D440" s="7" t="s">
        <v>102</v>
      </c>
      <c r="E440" t="s">
        <v>103</v>
      </c>
      <c r="F440" t="s">
        <v>176</v>
      </c>
      <c r="G440" t="s">
        <v>177</v>
      </c>
      <c r="H440" s="133">
        <v>1000</v>
      </c>
      <c r="I440">
        <v>0</v>
      </c>
      <c r="J440" s="133">
        <v>1000</v>
      </c>
      <c r="K440" s="133">
        <v>27300</v>
      </c>
      <c r="L440" s="133">
        <v>27300</v>
      </c>
      <c r="M440" s="150">
        <v>0.44587962962962963</v>
      </c>
      <c r="N440" s="150">
        <v>0.44587962962962963</v>
      </c>
      <c r="O440" t="s">
        <v>172</v>
      </c>
      <c r="Q440">
        <v>889338</v>
      </c>
      <c r="R440">
        <v>889338</v>
      </c>
      <c r="S440">
        <v>889149</v>
      </c>
      <c r="T440">
        <v>0</v>
      </c>
      <c r="U440" t="s">
        <v>173</v>
      </c>
      <c r="V440">
        <v>0</v>
      </c>
      <c r="W440" t="s">
        <v>174</v>
      </c>
      <c r="X440">
        <v>889149</v>
      </c>
      <c r="Z440" t="s">
        <v>175</v>
      </c>
      <c r="AA440" t="s">
        <v>173</v>
      </c>
    </row>
    <row r="441" spans="1:27" x14ac:dyDescent="0.3">
      <c r="A441">
        <v>440</v>
      </c>
      <c r="B441" t="s">
        <v>169</v>
      </c>
      <c r="C441">
        <v>99019875</v>
      </c>
      <c r="D441" s="7" t="s">
        <v>71</v>
      </c>
      <c r="E441" t="s">
        <v>72</v>
      </c>
      <c r="F441" t="s">
        <v>176</v>
      </c>
      <c r="G441" t="s">
        <v>177</v>
      </c>
      <c r="H441" s="133">
        <v>1000</v>
      </c>
      <c r="I441">
        <v>0</v>
      </c>
      <c r="J441">
        <v>7</v>
      </c>
      <c r="K441" s="133">
        <v>18220</v>
      </c>
      <c r="L441" s="133">
        <v>18220</v>
      </c>
      <c r="M441" s="150">
        <v>0.44590277777777776</v>
      </c>
      <c r="N441" s="150">
        <v>0.44592592592592589</v>
      </c>
      <c r="O441" t="s">
        <v>172</v>
      </c>
      <c r="Q441">
        <v>889749</v>
      </c>
      <c r="R441">
        <v>889749</v>
      </c>
      <c r="S441">
        <v>889474</v>
      </c>
      <c r="T441">
        <v>993</v>
      </c>
      <c r="U441" t="s">
        <v>173</v>
      </c>
      <c r="V441">
        <v>0</v>
      </c>
      <c r="W441" t="s">
        <v>174</v>
      </c>
      <c r="X441">
        <v>889474</v>
      </c>
      <c r="Z441" t="s">
        <v>175</v>
      </c>
      <c r="AA441" t="s">
        <v>173</v>
      </c>
    </row>
    <row r="442" spans="1:27" x14ac:dyDescent="0.3">
      <c r="A442">
        <v>441</v>
      </c>
      <c r="B442" t="s">
        <v>169</v>
      </c>
      <c r="C442">
        <v>99019875</v>
      </c>
      <c r="D442" s="7" t="s">
        <v>140</v>
      </c>
      <c r="E442" t="s">
        <v>178</v>
      </c>
      <c r="F442" t="s">
        <v>176</v>
      </c>
      <c r="G442" t="s">
        <v>177</v>
      </c>
      <c r="H442" s="133">
        <v>1000</v>
      </c>
      <c r="I442">
        <v>0</v>
      </c>
      <c r="J442">
        <v>6</v>
      </c>
      <c r="K442" s="133">
        <v>8670</v>
      </c>
      <c r="L442" s="133">
        <v>8670</v>
      </c>
      <c r="M442" s="150">
        <v>0.4462268518518519</v>
      </c>
      <c r="N442" s="150">
        <v>0.44623842592592594</v>
      </c>
      <c r="O442" t="s">
        <v>172</v>
      </c>
      <c r="Q442">
        <v>892679</v>
      </c>
      <c r="R442">
        <v>892679</v>
      </c>
      <c r="S442">
        <v>892084</v>
      </c>
      <c r="T442">
        <v>994</v>
      </c>
      <c r="U442" t="s">
        <v>173</v>
      </c>
      <c r="V442">
        <v>0</v>
      </c>
      <c r="W442" t="s">
        <v>174</v>
      </c>
      <c r="X442">
        <v>892084</v>
      </c>
      <c r="Z442" t="s">
        <v>175</v>
      </c>
      <c r="AA442" t="s">
        <v>173</v>
      </c>
    </row>
    <row r="443" spans="1:27" x14ac:dyDescent="0.3">
      <c r="A443">
        <v>442</v>
      </c>
      <c r="B443" t="s">
        <v>169</v>
      </c>
      <c r="C443">
        <v>99019875</v>
      </c>
      <c r="D443" s="7" t="s">
        <v>75</v>
      </c>
      <c r="E443" t="s">
        <v>76</v>
      </c>
      <c r="F443" t="s">
        <v>176</v>
      </c>
      <c r="G443" t="s">
        <v>177</v>
      </c>
      <c r="H443" s="133">
        <v>1000</v>
      </c>
      <c r="I443">
        <v>0</v>
      </c>
      <c r="J443" s="133">
        <v>1000</v>
      </c>
      <c r="K443" s="133">
        <v>21095</v>
      </c>
      <c r="L443" s="133">
        <v>21095</v>
      </c>
      <c r="M443" s="150">
        <v>0.44625000000000004</v>
      </c>
      <c r="N443" s="150">
        <v>0.44626157407407407</v>
      </c>
      <c r="O443" t="s">
        <v>172</v>
      </c>
      <c r="Q443">
        <v>892887</v>
      </c>
      <c r="R443">
        <v>892887</v>
      </c>
      <c r="S443">
        <v>892696</v>
      </c>
      <c r="T443">
        <v>0</v>
      </c>
      <c r="U443" t="s">
        <v>173</v>
      </c>
      <c r="V443">
        <v>0</v>
      </c>
      <c r="W443" t="s">
        <v>174</v>
      </c>
      <c r="X443">
        <v>892696</v>
      </c>
      <c r="Z443" t="s">
        <v>175</v>
      </c>
      <c r="AA443" t="s">
        <v>173</v>
      </c>
    </row>
    <row r="444" spans="1:27" x14ac:dyDescent="0.3">
      <c r="A444">
        <v>443</v>
      </c>
      <c r="B444" t="s">
        <v>169</v>
      </c>
      <c r="C444">
        <v>99019875</v>
      </c>
      <c r="D444" s="7" t="s">
        <v>69</v>
      </c>
      <c r="E444" t="s">
        <v>70</v>
      </c>
      <c r="F444" t="s">
        <v>176</v>
      </c>
      <c r="G444" t="s">
        <v>177</v>
      </c>
      <c r="H444" s="133">
        <v>1000</v>
      </c>
      <c r="I444">
        <v>0</v>
      </c>
      <c r="J444">
        <v>257</v>
      </c>
      <c r="K444" s="133">
        <v>10410</v>
      </c>
      <c r="L444" s="133">
        <v>10410</v>
      </c>
      <c r="M444" s="150">
        <v>0.44643518518518516</v>
      </c>
      <c r="N444" s="150">
        <v>0.44645833333333335</v>
      </c>
      <c r="O444" t="s">
        <v>172</v>
      </c>
      <c r="Q444">
        <v>894419</v>
      </c>
      <c r="R444">
        <v>894419</v>
      </c>
      <c r="S444">
        <v>894204</v>
      </c>
      <c r="T444">
        <v>743</v>
      </c>
      <c r="U444" t="s">
        <v>173</v>
      </c>
      <c r="V444">
        <v>0</v>
      </c>
      <c r="W444" t="s">
        <v>174</v>
      </c>
      <c r="X444">
        <v>894204</v>
      </c>
      <c r="Z444" t="s">
        <v>175</v>
      </c>
      <c r="AA444" t="s">
        <v>173</v>
      </c>
    </row>
    <row r="445" spans="1:27" x14ac:dyDescent="0.3">
      <c r="A445">
        <v>444</v>
      </c>
      <c r="B445" t="s">
        <v>169</v>
      </c>
      <c r="C445">
        <v>99019875</v>
      </c>
      <c r="D445" s="7" t="s">
        <v>140</v>
      </c>
      <c r="E445" t="s">
        <v>178</v>
      </c>
      <c r="F445" t="s">
        <v>176</v>
      </c>
      <c r="G445" t="s">
        <v>177</v>
      </c>
      <c r="H445" s="133">
        <v>1000</v>
      </c>
      <c r="I445">
        <v>0</v>
      </c>
      <c r="J445">
        <v>3</v>
      </c>
      <c r="K445" s="133">
        <v>8675</v>
      </c>
      <c r="L445" s="133">
        <v>8675</v>
      </c>
      <c r="M445" s="150">
        <v>0.44668981481481485</v>
      </c>
      <c r="N445" s="150">
        <v>0.44670138888888888</v>
      </c>
      <c r="O445" t="s">
        <v>172</v>
      </c>
      <c r="Q445">
        <v>896700</v>
      </c>
      <c r="R445">
        <v>896700</v>
      </c>
      <c r="S445">
        <v>895836</v>
      </c>
      <c r="T445">
        <v>997</v>
      </c>
      <c r="U445" t="s">
        <v>173</v>
      </c>
      <c r="V445">
        <v>0</v>
      </c>
      <c r="W445" t="s">
        <v>174</v>
      </c>
      <c r="X445">
        <v>895836</v>
      </c>
      <c r="Z445" t="s">
        <v>175</v>
      </c>
      <c r="AA445" t="s">
        <v>173</v>
      </c>
    </row>
    <row r="446" spans="1:27" x14ac:dyDescent="0.3">
      <c r="A446">
        <v>445</v>
      </c>
      <c r="B446" t="s">
        <v>169</v>
      </c>
      <c r="C446">
        <v>99019875</v>
      </c>
      <c r="D446" s="7" t="s">
        <v>62</v>
      </c>
      <c r="E446" t="s">
        <v>63</v>
      </c>
      <c r="F446" t="s">
        <v>170</v>
      </c>
      <c r="G446" t="s">
        <v>177</v>
      </c>
      <c r="H446" s="133">
        <v>1000</v>
      </c>
      <c r="I446">
        <v>0</v>
      </c>
      <c r="J446" s="133">
        <v>1000</v>
      </c>
      <c r="K446" s="133">
        <v>34215</v>
      </c>
      <c r="L446" s="133">
        <v>34215</v>
      </c>
      <c r="M446" s="150">
        <v>0.44710648148148152</v>
      </c>
      <c r="N446" s="150">
        <v>0.44710648148148152</v>
      </c>
      <c r="O446" t="s">
        <v>172</v>
      </c>
      <c r="Q446">
        <v>900998</v>
      </c>
      <c r="R446">
        <v>900998</v>
      </c>
      <c r="S446">
        <v>900969</v>
      </c>
      <c r="T446">
        <v>0</v>
      </c>
      <c r="U446" t="s">
        <v>173</v>
      </c>
      <c r="V446">
        <v>0</v>
      </c>
      <c r="W446" t="s">
        <v>174</v>
      </c>
      <c r="X446">
        <v>900969</v>
      </c>
      <c r="Z446" t="s">
        <v>175</v>
      </c>
      <c r="AA446" t="s">
        <v>173</v>
      </c>
    </row>
    <row r="447" spans="1:27" x14ac:dyDescent="0.3">
      <c r="A447">
        <v>446</v>
      </c>
      <c r="B447" t="s">
        <v>169</v>
      </c>
      <c r="C447">
        <v>99019875</v>
      </c>
      <c r="D447" s="7" t="s">
        <v>77</v>
      </c>
      <c r="E447" t="s">
        <v>78</v>
      </c>
      <c r="F447" t="s">
        <v>170</v>
      </c>
      <c r="G447" t="s">
        <v>177</v>
      </c>
      <c r="H447" s="133">
        <v>1000</v>
      </c>
      <c r="I447">
        <v>0</v>
      </c>
      <c r="J447">
        <v>4</v>
      </c>
      <c r="K447" s="133">
        <v>7440</v>
      </c>
      <c r="L447" s="133">
        <v>7440</v>
      </c>
      <c r="M447" s="150">
        <v>0.44730324074074074</v>
      </c>
      <c r="N447" s="150">
        <v>0.44730324074074074</v>
      </c>
      <c r="O447" t="s">
        <v>172</v>
      </c>
      <c r="Q447">
        <v>902916</v>
      </c>
      <c r="R447">
        <v>902916</v>
      </c>
      <c r="S447">
        <v>902388</v>
      </c>
      <c r="T447">
        <v>996</v>
      </c>
      <c r="U447" t="s">
        <v>173</v>
      </c>
      <c r="V447">
        <v>0</v>
      </c>
      <c r="W447" t="s">
        <v>174</v>
      </c>
      <c r="X447">
        <v>902388</v>
      </c>
      <c r="Z447" t="s">
        <v>175</v>
      </c>
      <c r="AA447" t="s">
        <v>173</v>
      </c>
    </row>
    <row r="448" spans="1:27" x14ac:dyDescent="0.3">
      <c r="A448">
        <v>447</v>
      </c>
      <c r="B448" t="s">
        <v>169</v>
      </c>
      <c r="C448">
        <v>99019875</v>
      </c>
      <c r="D448" s="7" t="s">
        <v>77</v>
      </c>
      <c r="E448" t="s">
        <v>78</v>
      </c>
      <c r="F448" t="s">
        <v>170</v>
      </c>
      <c r="G448" t="s">
        <v>177</v>
      </c>
      <c r="H448" s="133">
        <v>1000</v>
      </c>
      <c r="I448">
        <v>0</v>
      </c>
      <c r="J448">
        <v>4</v>
      </c>
      <c r="K448" s="133">
        <v>7425</v>
      </c>
      <c r="L448" s="133">
        <v>7425</v>
      </c>
      <c r="M448" s="150">
        <v>0.44796296296296295</v>
      </c>
      <c r="N448" s="150">
        <v>0.44796296296296295</v>
      </c>
      <c r="O448" t="s">
        <v>172</v>
      </c>
      <c r="Q448">
        <v>909171</v>
      </c>
      <c r="R448">
        <v>909171</v>
      </c>
      <c r="S448">
        <v>908632</v>
      </c>
      <c r="T448">
        <v>996</v>
      </c>
      <c r="U448" t="s">
        <v>173</v>
      </c>
      <c r="V448">
        <v>0</v>
      </c>
      <c r="W448" t="s">
        <v>174</v>
      </c>
      <c r="X448">
        <v>908632</v>
      </c>
      <c r="Z448" t="s">
        <v>175</v>
      </c>
      <c r="AA448" t="s">
        <v>173</v>
      </c>
    </row>
    <row r="449" spans="1:27" x14ac:dyDescent="0.3">
      <c r="A449">
        <v>448</v>
      </c>
      <c r="B449" t="s">
        <v>169</v>
      </c>
      <c r="C449">
        <v>99019875</v>
      </c>
      <c r="D449" s="7" t="s">
        <v>140</v>
      </c>
      <c r="E449" t="s">
        <v>178</v>
      </c>
      <c r="F449" t="s">
        <v>176</v>
      </c>
      <c r="G449" t="s">
        <v>177</v>
      </c>
      <c r="H449" s="133">
        <v>1000</v>
      </c>
      <c r="I449">
        <v>0</v>
      </c>
      <c r="J449">
        <v>1</v>
      </c>
      <c r="K449" s="133">
        <v>8665</v>
      </c>
      <c r="L449" s="133">
        <v>8665</v>
      </c>
      <c r="M449" s="150">
        <v>0.44989583333333333</v>
      </c>
      <c r="N449" s="150">
        <v>0.44998842592592592</v>
      </c>
      <c r="O449" t="s">
        <v>172</v>
      </c>
      <c r="Q449">
        <v>930185</v>
      </c>
      <c r="R449">
        <v>930185</v>
      </c>
      <c r="S449">
        <v>929864</v>
      </c>
      <c r="T449">
        <v>999</v>
      </c>
      <c r="U449" t="s">
        <v>173</v>
      </c>
      <c r="V449">
        <v>0</v>
      </c>
      <c r="W449" t="s">
        <v>174</v>
      </c>
      <c r="X449">
        <v>929864</v>
      </c>
      <c r="Z449" t="s">
        <v>175</v>
      </c>
      <c r="AA449" t="s">
        <v>173</v>
      </c>
    </row>
    <row r="450" spans="1:27" x14ac:dyDescent="0.3">
      <c r="A450">
        <v>449</v>
      </c>
      <c r="B450" t="s">
        <v>169</v>
      </c>
      <c r="C450">
        <v>99019875</v>
      </c>
      <c r="D450" s="7" t="s">
        <v>62</v>
      </c>
      <c r="E450" t="s">
        <v>63</v>
      </c>
      <c r="F450" t="s">
        <v>170</v>
      </c>
      <c r="G450" t="s">
        <v>177</v>
      </c>
      <c r="H450" s="133">
        <v>1000</v>
      </c>
      <c r="I450">
        <v>0</v>
      </c>
      <c r="J450" s="133">
        <v>1000</v>
      </c>
      <c r="K450" s="133">
        <v>34160</v>
      </c>
      <c r="L450" s="133">
        <v>34160</v>
      </c>
      <c r="M450" s="150">
        <v>0.45027777777777778</v>
      </c>
      <c r="N450" s="150">
        <v>0.45028935185185182</v>
      </c>
      <c r="O450" t="s">
        <v>172</v>
      </c>
      <c r="Q450">
        <v>934609</v>
      </c>
      <c r="R450">
        <v>934609</v>
      </c>
      <c r="S450">
        <v>934594</v>
      </c>
      <c r="T450">
        <v>0</v>
      </c>
      <c r="U450" t="s">
        <v>173</v>
      </c>
      <c r="V450">
        <v>0</v>
      </c>
      <c r="W450" t="s">
        <v>174</v>
      </c>
      <c r="X450">
        <v>934594</v>
      </c>
      <c r="Z450" t="s">
        <v>175</v>
      </c>
      <c r="AA450" t="s">
        <v>173</v>
      </c>
    </row>
    <row r="451" spans="1:27" x14ac:dyDescent="0.3">
      <c r="A451">
        <v>450</v>
      </c>
      <c r="B451" t="s">
        <v>169</v>
      </c>
      <c r="C451">
        <v>99019875</v>
      </c>
      <c r="D451" s="7" t="s">
        <v>62</v>
      </c>
      <c r="E451" t="s">
        <v>63</v>
      </c>
      <c r="F451" t="s">
        <v>170</v>
      </c>
      <c r="G451" t="s">
        <v>177</v>
      </c>
      <c r="H451" s="133">
        <v>1000</v>
      </c>
      <c r="I451">
        <v>0</v>
      </c>
      <c r="J451">
        <v>2</v>
      </c>
      <c r="K451" s="133">
        <v>34140</v>
      </c>
      <c r="L451" s="133">
        <v>34140</v>
      </c>
      <c r="M451" s="150">
        <v>0.45081018518518517</v>
      </c>
      <c r="N451" s="150">
        <v>0.45081018518518517</v>
      </c>
      <c r="O451" t="s">
        <v>172</v>
      </c>
      <c r="Q451">
        <v>940175</v>
      </c>
      <c r="R451">
        <v>940175</v>
      </c>
      <c r="S451">
        <v>940156</v>
      </c>
      <c r="T451">
        <v>998</v>
      </c>
      <c r="U451" t="s">
        <v>173</v>
      </c>
      <c r="V451">
        <v>0</v>
      </c>
      <c r="W451" t="s">
        <v>174</v>
      </c>
      <c r="X451">
        <v>940156</v>
      </c>
      <c r="Z451" t="s">
        <v>175</v>
      </c>
      <c r="AA451" t="s">
        <v>173</v>
      </c>
    </row>
    <row r="452" spans="1:27" x14ac:dyDescent="0.3">
      <c r="A452">
        <v>451</v>
      </c>
      <c r="B452" t="s">
        <v>169</v>
      </c>
      <c r="C452">
        <v>99019875</v>
      </c>
      <c r="D452" s="7" t="s">
        <v>77</v>
      </c>
      <c r="E452" t="s">
        <v>78</v>
      </c>
      <c r="F452" t="s">
        <v>170</v>
      </c>
      <c r="G452" t="s">
        <v>177</v>
      </c>
      <c r="H452" s="133">
        <v>1000</v>
      </c>
      <c r="I452">
        <v>0</v>
      </c>
      <c r="J452" s="133">
        <v>1000</v>
      </c>
      <c r="K452" s="133">
        <v>7420</v>
      </c>
      <c r="L452" s="133">
        <v>7420</v>
      </c>
      <c r="M452" s="150">
        <v>0.45086805555555554</v>
      </c>
      <c r="N452" s="150">
        <v>0.45087962962962963</v>
      </c>
      <c r="O452" t="s">
        <v>172</v>
      </c>
      <c r="Q452">
        <v>940656</v>
      </c>
      <c r="R452">
        <v>940656</v>
      </c>
      <c r="S452">
        <v>940567</v>
      </c>
      <c r="T452">
        <v>0</v>
      </c>
      <c r="U452" t="s">
        <v>173</v>
      </c>
      <c r="V452">
        <v>0</v>
      </c>
      <c r="W452" t="s">
        <v>174</v>
      </c>
      <c r="X452">
        <v>940567</v>
      </c>
      <c r="Z452" t="s">
        <v>175</v>
      </c>
      <c r="AA452" t="s">
        <v>173</v>
      </c>
    </row>
    <row r="453" spans="1:27" x14ac:dyDescent="0.3">
      <c r="A453">
        <v>452</v>
      </c>
      <c r="B453" t="s">
        <v>169</v>
      </c>
      <c r="C453">
        <v>99019875</v>
      </c>
      <c r="D453" s="7" t="s">
        <v>96</v>
      </c>
      <c r="E453" t="s">
        <v>97</v>
      </c>
      <c r="F453" t="s">
        <v>176</v>
      </c>
      <c r="G453" t="s">
        <v>177</v>
      </c>
      <c r="H453" s="133">
        <v>1000</v>
      </c>
      <c r="I453">
        <v>0</v>
      </c>
      <c r="J453">
        <v>3</v>
      </c>
      <c r="K453" s="133">
        <v>8330</v>
      </c>
      <c r="L453" s="133">
        <v>8330</v>
      </c>
      <c r="M453" s="150">
        <v>0.45089120370370367</v>
      </c>
      <c r="N453" s="150">
        <v>0.45090277777777782</v>
      </c>
      <c r="O453" t="s">
        <v>172</v>
      </c>
      <c r="Q453">
        <v>940976</v>
      </c>
      <c r="R453">
        <v>940976</v>
      </c>
      <c r="S453">
        <v>940625</v>
      </c>
      <c r="T453">
        <v>997</v>
      </c>
      <c r="U453" t="s">
        <v>173</v>
      </c>
      <c r="V453">
        <v>0</v>
      </c>
      <c r="W453" t="s">
        <v>174</v>
      </c>
      <c r="X453">
        <v>940625</v>
      </c>
      <c r="Z453" t="s">
        <v>175</v>
      </c>
      <c r="AA453" t="s">
        <v>173</v>
      </c>
    </row>
    <row r="454" spans="1:27" x14ac:dyDescent="0.3">
      <c r="A454">
        <v>453</v>
      </c>
      <c r="B454" t="s">
        <v>169</v>
      </c>
      <c r="C454">
        <v>99019875</v>
      </c>
      <c r="D454" s="7" t="s">
        <v>62</v>
      </c>
      <c r="E454" t="s">
        <v>63</v>
      </c>
      <c r="F454" t="s">
        <v>170</v>
      </c>
      <c r="G454" t="s">
        <v>177</v>
      </c>
      <c r="H454" s="133">
        <v>1000</v>
      </c>
      <c r="I454">
        <v>0</v>
      </c>
      <c r="J454" s="133">
        <v>1000</v>
      </c>
      <c r="K454" s="133">
        <v>34160</v>
      </c>
      <c r="L454" s="133">
        <v>34160</v>
      </c>
      <c r="M454" s="150">
        <v>0.45149305555555558</v>
      </c>
      <c r="N454" s="150">
        <v>0.45150462962962962</v>
      </c>
      <c r="O454" t="s">
        <v>172</v>
      </c>
      <c r="Q454">
        <v>946848</v>
      </c>
      <c r="R454">
        <v>946848</v>
      </c>
      <c r="S454">
        <v>946790</v>
      </c>
      <c r="T454">
        <v>0</v>
      </c>
      <c r="U454" t="s">
        <v>173</v>
      </c>
      <c r="V454">
        <v>0</v>
      </c>
      <c r="W454" t="s">
        <v>174</v>
      </c>
      <c r="X454">
        <v>946790</v>
      </c>
      <c r="Z454" t="s">
        <v>175</v>
      </c>
      <c r="AA454" t="s">
        <v>173</v>
      </c>
    </row>
    <row r="455" spans="1:27" x14ac:dyDescent="0.3">
      <c r="A455">
        <v>454</v>
      </c>
      <c r="B455" t="s">
        <v>169</v>
      </c>
      <c r="C455">
        <v>99019875</v>
      </c>
      <c r="D455" s="7" t="s">
        <v>62</v>
      </c>
      <c r="E455" t="s">
        <v>63</v>
      </c>
      <c r="F455" t="s">
        <v>170</v>
      </c>
      <c r="G455" t="s">
        <v>177</v>
      </c>
      <c r="H455" s="133">
        <v>1000</v>
      </c>
      <c r="I455">
        <v>0</v>
      </c>
      <c r="J455" s="133">
        <v>1000</v>
      </c>
      <c r="K455" s="133">
        <v>34150</v>
      </c>
      <c r="L455" s="133">
        <v>34150</v>
      </c>
      <c r="M455" s="150">
        <v>0.45210648148148147</v>
      </c>
      <c r="N455" s="150">
        <v>0.45211805555555556</v>
      </c>
      <c r="O455" t="s">
        <v>172</v>
      </c>
      <c r="Q455">
        <v>954249</v>
      </c>
      <c r="R455">
        <v>954249</v>
      </c>
      <c r="S455">
        <v>954226</v>
      </c>
      <c r="T455">
        <v>0</v>
      </c>
      <c r="U455" t="s">
        <v>173</v>
      </c>
      <c r="V455">
        <v>0</v>
      </c>
      <c r="W455" t="s">
        <v>174</v>
      </c>
      <c r="X455">
        <v>954226</v>
      </c>
      <c r="Z455" t="s">
        <v>175</v>
      </c>
      <c r="AA455" t="s">
        <v>173</v>
      </c>
    </row>
    <row r="456" spans="1:27" x14ac:dyDescent="0.3">
      <c r="A456">
        <v>455</v>
      </c>
      <c r="B456" t="s">
        <v>169</v>
      </c>
      <c r="C456">
        <v>99019875</v>
      </c>
      <c r="D456" s="7" t="s">
        <v>62</v>
      </c>
      <c r="E456" t="s">
        <v>63</v>
      </c>
      <c r="F456" t="s">
        <v>170</v>
      </c>
      <c r="G456" t="s">
        <v>177</v>
      </c>
      <c r="H456" s="133">
        <v>1000</v>
      </c>
      <c r="I456">
        <v>0</v>
      </c>
      <c r="J456">
        <v>135</v>
      </c>
      <c r="K456" s="133">
        <v>34140</v>
      </c>
      <c r="L456" s="133">
        <v>34140</v>
      </c>
      <c r="M456" s="150">
        <v>0.4525925925925926</v>
      </c>
      <c r="N456" s="150">
        <v>0.4525925925925926</v>
      </c>
      <c r="O456" t="s">
        <v>172</v>
      </c>
      <c r="Q456">
        <v>959046</v>
      </c>
      <c r="R456">
        <v>959046</v>
      </c>
      <c r="S456">
        <v>959008</v>
      </c>
      <c r="T456">
        <v>865</v>
      </c>
      <c r="U456" t="s">
        <v>173</v>
      </c>
      <c r="V456">
        <v>0</v>
      </c>
      <c r="W456" t="s">
        <v>174</v>
      </c>
      <c r="X456">
        <v>959008</v>
      </c>
      <c r="Z456" t="s">
        <v>175</v>
      </c>
      <c r="AA456" t="s">
        <v>173</v>
      </c>
    </row>
    <row r="457" spans="1:27" x14ac:dyDescent="0.3">
      <c r="A457">
        <v>456</v>
      </c>
      <c r="B457" t="s">
        <v>169</v>
      </c>
      <c r="C457">
        <v>99019875</v>
      </c>
      <c r="D457" s="7" t="s">
        <v>81</v>
      </c>
      <c r="E457" t="s">
        <v>82</v>
      </c>
      <c r="F457" t="s">
        <v>170</v>
      </c>
      <c r="G457" t="s">
        <v>177</v>
      </c>
      <c r="H457" s="133">
        <v>1000</v>
      </c>
      <c r="I457">
        <v>0</v>
      </c>
      <c r="J457">
        <v>214</v>
      </c>
      <c r="K457" s="133">
        <v>36570</v>
      </c>
      <c r="L457" s="133">
        <v>36570</v>
      </c>
      <c r="M457" s="150">
        <v>0.45291666666666663</v>
      </c>
      <c r="N457" s="150">
        <v>0.45292824074074073</v>
      </c>
      <c r="O457" t="s">
        <v>172</v>
      </c>
      <c r="Q457">
        <v>962366</v>
      </c>
      <c r="R457">
        <v>962366</v>
      </c>
      <c r="S457">
        <v>962355</v>
      </c>
      <c r="T457">
        <v>786</v>
      </c>
      <c r="U457" t="s">
        <v>173</v>
      </c>
      <c r="V457">
        <v>0</v>
      </c>
      <c r="W457" t="s">
        <v>174</v>
      </c>
      <c r="X457">
        <v>962355</v>
      </c>
      <c r="Z457" t="s">
        <v>175</v>
      </c>
      <c r="AA457" t="s">
        <v>173</v>
      </c>
    </row>
    <row r="458" spans="1:27" x14ac:dyDescent="0.3">
      <c r="A458">
        <v>457</v>
      </c>
      <c r="B458" t="s">
        <v>169</v>
      </c>
      <c r="C458">
        <v>99019875</v>
      </c>
      <c r="D458" s="7" t="s">
        <v>69</v>
      </c>
      <c r="E458" t="s">
        <v>70</v>
      </c>
      <c r="F458" t="s">
        <v>176</v>
      </c>
      <c r="G458" t="s">
        <v>177</v>
      </c>
      <c r="H458" s="133">
        <v>1000</v>
      </c>
      <c r="I458">
        <v>0</v>
      </c>
      <c r="J458" s="133">
        <v>1000</v>
      </c>
      <c r="K458" s="133">
        <v>10375</v>
      </c>
      <c r="L458" s="133">
        <v>10375</v>
      </c>
      <c r="M458" s="150">
        <v>0.45363425925925926</v>
      </c>
      <c r="N458" s="150">
        <v>0.4536574074074074</v>
      </c>
      <c r="O458" t="s">
        <v>172</v>
      </c>
      <c r="Q458">
        <v>969982</v>
      </c>
      <c r="R458">
        <v>969982</v>
      </c>
      <c r="S458">
        <v>969939</v>
      </c>
      <c r="T458">
        <v>0</v>
      </c>
      <c r="U458" t="s">
        <v>173</v>
      </c>
      <c r="V458">
        <v>0</v>
      </c>
      <c r="W458" t="s">
        <v>174</v>
      </c>
      <c r="X458">
        <v>969939</v>
      </c>
      <c r="Z458" t="s">
        <v>175</v>
      </c>
      <c r="AA458" t="s">
        <v>173</v>
      </c>
    </row>
    <row r="459" spans="1:27" x14ac:dyDescent="0.3">
      <c r="A459">
        <v>458</v>
      </c>
      <c r="B459" t="s">
        <v>169</v>
      </c>
      <c r="C459">
        <v>99019875</v>
      </c>
      <c r="D459" s="7" t="s">
        <v>62</v>
      </c>
      <c r="E459" t="s">
        <v>63</v>
      </c>
      <c r="F459" t="s">
        <v>170</v>
      </c>
      <c r="G459" t="s">
        <v>177</v>
      </c>
      <c r="H459" s="133">
        <v>1000</v>
      </c>
      <c r="I459">
        <v>0</v>
      </c>
      <c r="J459" s="133">
        <v>1000</v>
      </c>
      <c r="K459" s="133">
        <v>34195</v>
      </c>
      <c r="L459" s="133">
        <v>34195</v>
      </c>
      <c r="M459" s="150">
        <v>0.4538773148148148</v>
      </c>
      <c r="N459" s="150">
        <v>0.45388888888888884</v>
      </c>
      <c r="O459" t="s">
        <v>172</v>
      </c>
      <c r="Q459">
        <v>972428</v>
      </c>
      <c r="R459">
        <v>972428</v>
      </c>
      <c r="S459">
        <v>972386</v>
      </c>
      <c r="T459">
        <v>0</v>
      </c>
      <c r="U459" t="s">
        <v>173</v>
      </c>
      <c r="V459">
        <v>0</v>
      </c>
      <c r="W459" t="s">
        <v>174</v>
      </c>
      <c r="X459">
        <v>972386</v>
      </c>
      <c r="Z459" t="s">
        <v>175</v>
      </c>
      <c r="AA459" t="s">
        <v>173</v>
      </c>
    </row>
    <row r="460" spans="1:27" x14ac:dyDescent="0.3">
      <c r="A460">
        <v>459</v>
      </c>
      <c r="B460" t="s">
        <v>169</v>
      </c>
      <c r="C460">
        <v>99019875</v>
      </c>
      <c r="D460" s="7" t="s">
        <v>96</v>
      </c>
      <c r="E460" t="s">
        <v>97</v>
      </c>
      <c r="F460" t="s">
        <v>176</v>
      </c>
      <c r="G460" t="s">
        <v>177</v>
      </c>
      <c r="H460" s="133">
        <v>1000</v>
      </c>
      <c r="I460">
        <v>0</v>
      </c>
      <c r="J460">
        <v>26</v>
      </c>
      <c r="K460" s="133">
        <v>8320</v>
      </c>
      <c r="L460" s="133">
        <v>8320</v>
      </c>
      <c r="M460" s="150">
        <v>0.45394675925925926</v>
      </c>
      <c r="N460" s="150">
        <v>0.4539583333333333</v>
      </c>
      <c r="O460" t="s">
        <v>172</v>
      </c>
      <c r="Q460">
        <v>973510</v>
      </c>
      <c r="R460">
        <v>973510</v>
      </c>
      <c r="S460">
        <v>973279</v>
      </c>
      <c r="T460">
        <v>974</v>
      </c>
      <c r="U460" t="s">
        <v>173</v>
      </c>
      <c r="V460">
        <v>0</v>
      </c>
      <c r="W460" t="s">
        <v>174</v>
      </c>
      <c r="X460">
        <v>973279</v>
      </c>
      <c r="Z460" t="s">
        <v>175</v>
      </c>
      <c r="AA460" t="s">
        <v>173</v>
      </c>
    </row>
    <row r="461" spans="1:27" x14ac:dyDescent="0.3">
      <c r="A461">
        <v>460</v>
      </c>
      <c r="B461" t="s">
        <v>180</v>
      </c>
      <c r="C461">
        <v>99019421</v>
      </c>
      <c r="D461" s="7" t="s">
        <v>185</v>
      </c>
      <c r="E461" t="s">
        <v>181</v>
      </c>
      <c r="F461" t="s">
        <v>176</v>
      </c>
      <c r="G461" t="s">
        <v>177</v>
      </c>
      <c r="H461" s="133">
        <v>10000</v>
      </c>
      <c r="I461">
        <v>0</v>
      </c>
      <c r="J461" s="133">
        <v>10000</v>
      </c>
      <c r="K461" s="133">
        <v>13840</v>
      </c>
      <c r="L461" s="133">
        <v>13840</v>
      </c>
      <c r="M461" s="150">
        <v>0.4544212962962963</v>
      </c>
      <c r="N461" s="150">
        <v>0.45443287037037039</v>
      </c>
      <c r="O461" t="s">
        <v>172</v>
      </c>
      <c r="Q461">
        <v>978876</v>
      </c>
      <c r="R461">
        <v>978876</v>
      </c>
      <c r="S461">
        <v>978872</v>
      </c>
      <c r="T461">
        <v>0</v>
      </c>
      <c r="U461" t="s">
        <v>173</v>
      </c>
      <c r="V461">
        <v>0</v>
      </c>
      <c r="W461" t="s">
        <v>174</v>
      </c>
      <c r="X461">
        <v>978872</v>
      </c>
      <c r="Y461" t="s">
        <v>182</v>
      </c>
      <c r="Z461" t="s">
        <v>183</v>
      </c>
      <c r="AA461" t="s">
        <v>173</v>
      </c>
    </row>
    <row r="462" spans="1:27" x14ac:dyDescent="0.3">
      <c r="A462">
        <v>461</v>
      </c>
      <c r="B462" t="s">
        <v>169</v>
      </c>
      <c r="C462">
        <v>99019875</v>
      </c>
      <c r="D462" s="7" t="s">
        <v>96</v>
      </c>
      <c r="E462" t="s">
        <v>97</v>
      </c>
      <c r="F462" t="s">
        <v>176</v>
      </c>
      <c r="G462" t="s">
        <v>177</v>
      </c>
      <c r="H462" s="133">
        <v>1000</v>
      </c>
      <c r="I462">
        <v>0</v>
      </c>
      <c r="J462">
        <v>980</v>
      </c>
      <c r="K462" s="133">
        <v>8315</v>
      </c>
      <c r="L462" s="133">
        <v>8315</v>
      </c>
      <c r="M462" s="150">
        <v>0.45443287037037039</v>
      </c>
      <c r="N462" s="150">
        <v>0.45444444444444443</v>
      </c>
      <c r="O462" t="s">
        <v>172</v>
      </c>
      <c r="Q462">
        <v>979061</v>
      </c>
      <c r="R462">
        <v>979061</v>
      </c>
      <c r="S462">
        <v>978952</v>
      </c>
      <c r="T462">
        <v>20</v>
      </c>
      <c r="U462" t="s">
        <v>173</v>
      </c>
      <c r="V462">
        <v>0</v>
      </c>
      <c r="W462" t="s">
        <v>174</v>
      </c>
      <c r="X462">
        <v>978952</v>
      </c>
      <c r="Z462" t="s">
        <v>175</v>
      </c>
      <c r="AA462" t="s">
        <v>173</v>
      </c>
    </row>
    <row r="463" spans="1:27" x14ac:dyDescent="0.3">
      <c r="A463">
        <v>462</v>
      </c>
      <c r="B463" t="s">
        <v>169</v>
      </c>
      <c r="C463">
        <v>99019875</v>
      </c>
      <c r="D463" s="7" t="s">
        <v>75</v>
      </c>
      <c r="E463" t="s">
        <v>76</v>
      </c>
      <c r="F463" t="s">
        <v>176</v>
      </c>
      <c r="G463" t="s">
        <v>177</v>
      </c>
      <c r="H463" s="133">
        <v>1000</v>
      </c>
      <c r="I463">
        <v>0</v>
      </c>
      <c r="J463">
        <v>2</v>
      </c>
      <c r="K463" s="133">
        <v>21025</v>
      </c>
      <c r="L463" s="133">
        <v>21025</v>
      </c>
      <c r="M463" s="150">
        <v>0.45445601851851852</v>
      </c>
      <c r="N463" s="150">
        <v>0.45449074074074075</v>
      </c>
      <c r="O463" t="s">
        <v>172</v>
      </c>
      <c r="Q463">
        <v>979313</v>
      </c>
      <c r="R463">
        <v>979313</v>
      </c>
      <c r="S463">
        <v>979287</v>
      </c>
      <c r="T463">
        <v>998</v>
      </c>
      <c r="U463" t="s">
        <v>173</v>
      </c>
      <c r="V463">
        <v>0</v>
      </c>
      <c r="W463" t="s">
        <v>174</v>
      </c>
      <c r="X463">
        <v>979287</v>
      </c>
      <c r="Z463" t="s">
        <v>175</v>
      </c>
      <c r="AA463" t="s">
        <v>173</v>
      </c>
    </row>
    <row r="464" spans="1:27" x14ac:dyDescent="0.3">
      <c r="A464">
        <v>463</v>
      </c>
      <c r="B464" t="s">
        <v>169</v>
      </c>
      <c r="C464">
        <v>99019875</v>
      </c>
      <c r="D464" s="7" t="s">
        <v>75</v>
      </c>
      <c r="E464" t="s">
        <v>76</v>
      </c>
      <c r="F464" t="s">
        <v>176</v>
      </c>
      <c r="G464" t="s">
        <v>177</v>
      </c>
      <c r="H464" s="133">
        <v>1000</v>
      </c>
      <c r="I464">
        <v>0</v>
      </c>
      <c r="J464" s="133">
        <v>1000</v>
      </c>
      <c r="K464" s="133">
        <v>21030</v>
      </c>
      <c r="L464" s="133">
        <v>21030</v>
      </c>
      <c r="M464" s="150">
        <v>0.45533564814814814</v>
      </c>
      <c r="N464" s="150">
        <v>0.45535879629629633</v>
      </c>
      <c r="O464" t="s">
        <v>172</v>
      </c>
      <c r="Q464">
        <v>988936</v>
      </c>
      <c r="R464">
        <v>988936</v>
      </c>
      <c r="S464">
        <v>988889</v>
      </c>
      <c r="T464">
        <v>0</v>
      </c>
      <c r="U464" t="s">
        <v>173</v>
      </c>
      <c r="V464">
        <v>0</v>
      </c>
      <c r="W464" t="s">
        <v>174</v>
      </c>
      <c r="X464">
        <v>988889</v>
      </c>
      <c r="Z464" t="s">
        <v>175</v>
      </c>
      <c r="AA464" t="s">
        <v>173</v>
      </c>
    </row>
    <row r="465" spans="1:27" x14ac:dyDescent="0.3">
      <c r="A465">
        <v>464</v>
      </c>
      <c r="B465" t="s">
        <v>169</v>
      </c>
      <c r="C465">
        <v>99019875</v>
      </c>
      <c r="D465" s="7" t="s">
        <v>140</v>
      </c>
      <c r="E465" t="s">
        <v>178</v>
      </c>
      <c r="F465" t="s">
        <v>176</v>
      </c>
      <c r="G465" t="s">
        <v>177</v>
      </c>
      <c r="H465" s="133">
        <v>1000</v>
      </c>
      <c r="I465">
        <v>0</v>
      </c>
      <c r="J465">
        <v>81</v>
      </c>
      <c r="K465" s="133">
        <v>8650</v>
      </c>
      <c r="L465" s="133">
        <v>8650</v>
      </c>
      <c r="M465" s="150">
        <v>0.45535879629629633</v>
      </c>
      <c r="N465" s="150">
        <v>0.45537037037037037</v>
      </c>
      <c r="O465" t="s">
        <v>172</v>
      </c>
      <c r="Q465">
        <v>989176</v>
      </c>
      <c r="R465">
        <v>989176</v>
      </c>
      <c r="S465">
        <v>988689</v>
      </c>
      <c r="T465">
        <v>919</v>
      </c>
      <c r="U465" t="s">
        <v>173</v>
      </c>
      <c r="V465">
        <v>0</v>
      </c>
      <c r="W465" t="s">
        <v>174</v>
      </c>
      <c r="X465">
        <v>988689</v>
      </c>
      <c r="Z465" t="s">
        <v>175</v>
      </c>
      <c r="AA465" t="s">
        <v>173</v>
      </c>
    </row>
    <row r="466" spans="1:27" x14ac:dyDescent="0.3">
      <c r="A466">
        <v>465</v>
      </c>
      <c r="B466" t="s">
        <v>169</v>
      </c>
      <c r="C466">
        <v>99019875</v>
      </c>
      <c r="D466" s="7" t="s">
        <v>62</v>
      </c>
      <c r="E466" t="s">
        <v>63</v>
      </c>
      <c r="F466" t="s">
        <v>170</v>
      </c>
      <c r="G466" t="s">
        <v>177</v>
      </c>
      <c r="H466" s="133">
        <v>1000</v>
      </c>
      <c r="I466">
        <v>0</v>
      </c>
      <c r="J466" s="133">
        <v>1000</v>
      </c>
      <c r="K466" s="133">
        <v>34225</v>
      </c>
      <c r="L466" s="133">
        <v>34225</v>
      </c>
      <c r="M466" s="150">
        <v>0.45578703703703699</v>
      </c>
      <c r="N466" s="150">
        <v>0.45579861111111114</v>
      </c>
      <c r="O466" t="s">
        <v>172</v>
      </c>
      <c r="Q466">
        <v>993553</v>
      </c>
      <c r="R466">
        <v>993553</v>
      </c>
      <c r="S466">
        <v>993465</v>
      </c>
      <c r="T466">
        <v>0</v>
      </c>
      <c r="U466" t="s">
        <v>173</v>
      </c>
      <c r="V466">
        <v>0</v>
      </c>
      <c r="W466" t="s">
        <v>174</v>
      </c>
      <c r="X466">
        <v>993465</v>
      </c>
      <c r="Z466" t="s">
        <v>175</v>
      </c>
      <c r="AA466" t="s">
        <v>173</v>
      </c>
    </row>
    <row r="467" spans="1:27" x14ac:dyDescent="0.3">
      <c r="A467">
        <v>466</v>
      </c>
      <c r="B467" t="s">
        <v>169</v>
      </c>
      <c r="C467">
        <v>99019875</v>
      </c>
      <c r="D467" s="7" t="s">
        <v>62</v>
      </c>
      <c r="E467" t="s">
        <v>63</v>
      </c>
      <c r="F467" t="s">
        <v>170</v>
      </c>
      <c r="G467" t="s">
        <v>171</v>
      </c>
      <c r="H467" s="133">
        <v>5000</v>
      </c>
      <c r="I467">
        <v>0</v>
      </c>
      <c r="J467" s="133">
        <v>4668</v>
      </c>
      <c r="K467" s="133">
        <v>34180</v>
      </c>
      <c r="L467" s="133">
        <v>34180</v>
      </c>
      <c r="M467" s="150">
        <v>0.45688657407407413</v>
      </c>
      <c r="N467" s="150">
        <v>0.45688657407407413</v>
      </c>
      <c r="O467" t="s">
        <v>172</v>
      </c>
      <c r="Q467">
        <v>1005321</v>
      </c>
      <c r="R467">
        <v>1005321</v>
      </c>
      <c r="S467">
        <v>0</v>
      </c>
      <c r="T467">
        <v>332</v>
      </c>
      <c r="U467" t="s">
        <v>173</v>
      </c>
      <c r="V467">
        <v>0</v>
      </c>
      <c r="W467" t="s">
        <v>174</v>
      </c>
      <c r="X467">
        <v>0</v>
      </c>
      <c r="Z467" t="s">
        <v>173</v>
      </c>
      <c r="AA467" t="s">
        <v>173</v>
      </c>
    </row>
    <row r="468" spans="1:27" x14ac:dyDescent="0.3">
      <c r="A468">
        <v>467</v>
      </c>
      <c r="B468" t="s">
        <v>169</v>
      </c>
      <c r="C468">
        <v>99019875</v>
      </c>
      <c r="D468" s="7" t="s">
        <v>62</v>
      </c>
      <c r="E468" t="s">
        <v>63</v>
      </c>
      <c r="F468" t="s">
        <v>176</v>
      </c>
      <c r="G468" t="s">
        <v>171</v>
      </c>
      <c r="H468" s="133">
        <v>5000</v>
      </c>
      <c r="I468">
        <v>0</v>
      </c>
      <c r="J468" s="133">
        <v>5000</v>
      </c>
      <c r="K468" s="133">
        <v>34170</v>
      </c>
      <c r="L468" s="133">
        <v>34170</v>
      </c>
      <c r="M468" s="150">
        <v>0.45690972222222226</v>
      </c>
      <c r="N468" s="150">
        <v>0.45690972222222226</v>
      </c>
      <c r="O468" t="s">
        <v>172</v>
      </c>
      <c r="Q468">
        <v>1005555</v>
      </c>
      <c r="R468">
        <v>1005555</v>
      </c>
      <c r="S468">
        <v>0</v>
      </c>
      <c r="T468">
        <v>0</v>
      </c>
      <c r="U468" t="s">
        <v>173</v>
      </c>
      <c r="V468">
        <v>0</v>
      </c>
      <c r="W468" t="s">
        <v>174</v>
      </c>
      <c r="X468">
        <v>0</v>
      </c>
      <c r="Z468" t="s">
        <v>173</v>
      </c>
      <c r="AA468" t="s">
        <v>173</v>
      </c>
    </row>
    <row r="469" spans="1:27" x14ac:dyDescent="0.3">
      <c r="A469">
        <v>468</v>
      </c>
      <c r="B469" t="s">
        <v>169</v>
      </c>
      <c r="C469">
        <v>99019875</v>
      </c>
      <c r="D469" s="7" t="s">
        <v>62</v>
      </c>
      <c r="E469" t="s">
        <v>63</v>
      </c>
      <c r="F469" t="s">
        <v>176</v>
      </c>
      <c r="G469" t="s">
        <v>171</v>
      </c>
      <c r="H469" s="133">
        <v>5000</v>
      </c>
      <c r="I469">
        <v>0</v>
      </c>
      <c r="J469" s="133">
        <v>5000</v>
      </c>
      <c r="K469" s="133">
        <v>34170</v>
      </c>
      <c r="L469" s="133">
        <v>34170</v>
      </c>
      <c r="M469" s="150">
        <v>0.4569212962962963</v>
      </c>
      <c r="N469" s="150">
        <v>0.45697916666666666</v>
      </c>
      <c r="O469" t="s">
        <v>172</v>
      </c>
      <c r="Q469">
        <v>1005649</v>
      </c>
      <c r="R469">
        <v>1005649</v>
      </c>
      <c r="S469">
        <v>0</v>
      </c>
      <c r="T469">
        <v>0</v>
      </c>
      <c r="U469" t="s">
        <v>173</v>
      </c>
      <c r="V469">
        <v>0</v>
      </c>
      <c r="W469" t="s">
        <v>174</v>
      </c>
      <c r="X469">
        <v>0</v>
      </c>
      <c r="Z469" t="s">
        <v>173</v>
      </c>
      <c r="AA469" t="s">
        <v>173</v>
      </c>
    </row>
    <row r="470" spans="1:27" x14ac:dyDescent="0.3">
      <c r="A470">
        <v>469</v>
      </c>
      <c r="B470" t="s">
        <v>169</v>
      </c>
      <c r="C470">
        <v>99019875</v>
      </c>
      <c r="D470" s="7" t="s">
        <v>62</v>
      </c>
      <c r="E470" t="s">
        <v>63</v>
      </c>
      <c r="F470" t="s">
        <v>176</v>
      </c>
      <c r="G470" t="s">
        <v>171</v>
      </c>
      <c r="H470" s="133">
        <v>5000</v>
      </c>
      <c r="I470">
        <v>0</v>
      </c>
      <c r="J470" s="133">
        <v>5000</v>
      </c>
      <c r="K470" s="133">
        <v>34160</v>
      </c>
      <c r="L470" s="133">
        <v>34160</v>
      </c>
      <c r="M470" s="150">
        <v>0.45696759259259262</v>
      </c>
      <c r="N470" s="150">
        <v>0.45697916666666666</v>
      </c>
      <c r="O470" t="s">
        <v>172</v>
      </c>
      <c r="Q470">
        <v>1006243</v>
      </c>
      <c r="R470">
        <v>1006243</v>
      </c>
      <c r="S470">
        <v>0</v>
      </c>
      <c r="T470">
        <v>0</v>
      </c>
      <c r="U470" t="s">
        <v>173</v>
      </c>
      <c r="V470">
        <v>0</v>
      </c>
      <c r="W470" t="s">
        <v>174</v>
      </c>
      <c r="X470">
        <v>0</v>
      </c>
      <c r="Z470" t="s">
        <v>173</v>
      </c>
      <c r="AA470" t="s">
        <v>173</v>
      </c>
    </row>
    <row r="471" spans="1:27" x14ac:dyDescent="0.3">
      <c r="A471">
        <v>470</v>
      </c>
      <c r="B471" t="s">
        <v>169</v>
      </c>
      <c r="C471">
        <v>99019875</v>
      </c>
      <c r="D471" s="7" t="s">
        <v>69</v>
      </c>
      <c r="E471" t="s">
        <v>70</v>
      </c>
      <c r="F471" t="s">
        <v>176</v>
      </c>
      <c r="G471" t="s">
        <v>177</v>
      </c>
      <c r="H471" s="133">
        <v>1000</v>
      </c>
      <c r="I471">
        <v>0</v>
      </c>
      <c r="J471" s="133">
        <v>1000</v>
      </c>
      <c r="K471" s="133">
        <v>10370</v>
      </c>
      <c r="L471" s="133">
        <v>10370</v>
      </c>
      <c r="M471" s="150">
        <v>0.45787037037037037</v>
      </c>
      <c r="N471" s="150">
        <v>0.45789351851851851</v>
      </c>
      <c r="O471" t="s">
        <v>172</v>
      </c>
      <c r="Q471">
        <v>1013768</v>
      </c>
      <c r="R471">
        <v>1013768</v>
      </c>
      <c r="S471">
        <v>1013652</v>
      </c>
      <c r="T471">
        <v>0</v>
      </c>
      <c r="U471" t="s">
        <v>173</v>
      </c>
      <c r="V471">
        <v>0</v>
      </c>
      <c r="W471" t="s">
        <v>174</v>
      </c>
      <c r="X471">
        <v>1013652</v>
      </c>
      <c r="Z471" t="s">
        <v>175</v>
      </c>
      <c r="AA471" t="s">
        <v>173</v>
      </c>
    </row>
    <row r="472" spans="1:27" x14ac:dyDescent="0.3">
      <c r="A472">
        <v>471</v>
      </c>
      <c r="B472" t="s">
        <v>169</v>
      </c>
      <c r="C472">
        <v>99019875</v>
      </c>
      <c r="D472" s="7" t="s">
        <v>75</v>
      </c>
      <c r="E472" t="s">
        <v>76</v>
      </c>
      <c r="F472" t="s">
        <v>176</v>
      </c>
      <c r="G472" t="s">
        <v>177</v>
      </c>
      <c r="H472" s="133">
        <v>1000</v>
      </c>
      <c r="I472">
        <v>0</v>
      </c>
      <c r="J472" s="133">
        <v>1000</v>
      </c>
      <c r="K472" s="133">
        <v>21020</v>
      </c>
      <c r="L472" s="133">
        <v>21020</v>
      </c>
      <c r="M472" s="150">
        <v>0.45795138888888887</v>
      </c>
      <c r="N472" s="150">
        <v>0.45795138888888887</v>
      </c>
      <c r="O472" t="s">
        <v>172</v>
      </c>
      <c r="Q472">
        <v>1014430</v>
      </c>
      <c r="R472">
        <v>1014430</v>
      </c>
      <c r="S472">
        <v>1014395</v>
      </c>
      <c r="T472">
        <v>0</v>
      </c>
      <c r="U472" t="s">
        <v>173</v>
      </c>
      <c r="V472">
        <v>0</v>
      </c>
      <c r="W472" t="s">
        <v>174</v>
      </c>
      <c r="X472">
        <v>1014395</v>
      </c>
      <c r="Z472" t="s">
        <v>175</v>
      </c>
      <c r="AA472" t="s">
        <v>173</v>
      </c>
    </row>
    <row r="473" spans="1:27" x14ac:dyDescent="0.3">
      <c r="A473">
        <v>472</v>
      </c>
      <c r="B473" t="s">
        <v>169</v>
      </c>
      <c r="C473">
        <v>99019875</v>
      </c>
      <c r="D473" s="7" t="s">
        <v>71</v>
      </c>
      <c r="E473" t="s">
        <v>72</v>
      </c>
      <c r="F473" t="s">
        <v>176</v>
      </c>
      <c r="G473" t="s">
        <v>177</v>
      </c>
      <c r="H473" s="133">
        <v>1000</v>
      </c>
      <c r="I473">
        <v>0</v>
      </c>
      <c r="J473">
        <v>1</v>
      </c>
      <c r="K473" s="133">
        <v>18250</v>
      </c>
      <c r="L473" s="133">
        <v>18250</v>
      </c>
      <c r="M473" s="150">
        <v>0.45837962962962964</v>
      </c>
      <c r="N473" s="150">
        <v>0.45837962962962964</v>
      </c>
      <c r="O473" t="s">
        <v>172</v>
      </c>
      <c r="Q473">
        <v>1018638</v>
      </c>
      <c r="R473">
        <v>1018638</v>
      </c>
      <c r="S473">
        <v>1018584</v>
      </c>
      <c r="T473">
        <v>999</v>
      </c>
      <c r="U473" t="s">
        <v>173</v>
      </c>
      <c r="V473">
        <v>0</v>
      </c>
      <c r="W473" t="s">
        <v>174</v>
      </c>
      <c r="X473">
        <v>1018584</v>
      </c>
      <c r="Z473" t="s">
        <v>175</v>
      </c>
      <c r="AA473" t="s">
        <v>173</v>
      </c>
    </row>
    <row r="474" spans="1:27" x14ac:dyDescent="0.3">
      <c r="A474">
        <v>473</v>
      </c>
      <c r="B474" t="s">
        <v>169</v>
      </c>
      <c r="C474">
        <v>99019875</v>
      </c>
      <c r="D474" s="7" t="s">
        <v>62</v>
      </c>
      <c r="E474" t="s">
        <v>63</v>
      </c>
      <c r="F474" t="s">
        <v>170</v>
      </c>
      <c r="G474" t="s">
        <v>177</v>
      </c>
      <c r="H474" s="133">
        <v>1000</v>
      </c>
      <c r="I474">
        <v>0</v>
      </c>
      <c r="J474">
        <v>785</v>
      </c>
      <c r="K474" s="133">
        <v>34225</v>
      </c>
      <c r="L474" s="133">
        <v>34225</v>
      </c>
      <c r="M474" s="150">
        <v>0.45855324074074072</v>
      </c>
      <c r="N474" s="150">
        <v>0.45856481481481487</v>
      </c>
      <c r="O474" t="s">
        <v>172</v>
      </c>
      <c r="Q474">
        <v>1020397</v>
      </c>
      <c r="R474">
        <v>1020397</v>
      </c>
      <c r="S474">
        <v>1020315</v>
      </c>
      <c r="T474">
        <v>215</v>
      </c>
      <c r="U474" t="s">
        <v>173</v>
      </c>
      <c r="V474">
        <v>0</v>
      </c>
      <c r="W474" t="s">
        <v>174</v>
      </c>
      <c r="X474">
        <v>1020315</v>
      </c>
      <c r="Z474" t="s">
        <v>175</v>
      </c>
      <c r="AA474" t="s">
        <v>173</v>
      </c>
    </row>
    <row r="475" spans="1:27" x14ac:dyDescent="0.3">
      <c r="A475">
        <v>474</v>
      </c>
      <c r="B475" t="s">
        <v>169</v>
      </c>
      <c r="C475">
        <v>99019875</v>
      </c>
      <c r="D475" s="7" t="s">
        <v>75</v>
      </c>
      <c r="E475" t="s">
        <v>76</v>
      </c>
      <c r="F475" t="s">
        <v>176</v>
      </c>
      <c r="G475" t="s">
        <v>177</v>
      </c>
      <c r="H475" s="133">
        <v>1000</v>
      </c>
      <c r="I475">
        <v>0</v>
      </c>
      <c r="J475">
        <v>3</v>
      </c>
      <c r="K475" s="133">
        <v>21060</v>
      </c>
      <c r="L475" s="133">
        <v>21060</v>
      </c>
      <c r="M475" s="150">
        <v>0.45895833333333336</v>
      </c>
      <c r="N475" s="150">
        <v>0.45895833333333336</v>
      </c>
      <c r="O475" t="s">
        <v>172</v>
      </c>
      <c r="Q475">
        <v>1023619</v>
      </c>
      <c r="R475">
        <v>1023619</v>
      </c>
      <c r="S475">
        <v>1023497</v>
      </c>
      <c r="T475">
        <v>997</v>
      </c>
      <c r="U475" t="s">
        <v>173</v>
      </c>
      <c r="V475">
        <v>0</v>
      </c>
      <c r="W475" t="s">
        <v>174</v>
      </c>
      <c r="X475">
        <v>1023497</v>
      </c>
      <c r="Z475" t="s">
        <v>175</v>
      </c>
      <c r="AA475" t="s">
        <v>173</v>
      </c>
    </row>
    <row r="476" spans="1:27" x14ac:dyDescent="0.3">
      <c r="A476">
        <v>475</v>
      </c>
      <c r="B476" t="s">
        <v>169</v>
      </c>
      <c r="C476">
        <v>99019875</v>
      </c>
      <c r="D476" s="7" t="s">
        <v>62</v>
      </c>
      <c r="E476" t="s">
        <v>63</v>
      </c>
      <c r="F476" t="s">
        <v>170</v>
      </c>
      <c r="G476" t="s">
        <v>177</v>
      </c>
      <c r="H476" s="133">
        <v>1000</v>
      </c>
      <c r="I476">
        <v>0</v>
      </c>
      <c r="J476" s="133">
        <v>1000</v>
      </c>
      <c r="K476" s="133">
        <v>34230</v>
      </c>
      <c r="L476" s="133">
        <v>34230</v>
      </c>
      <c r="M476" s="150">
        <v>0.45907407407407402</v>
      </c>
      <c r="N476" s="150">
        <v>0.45907407407407402</v>
      </c>
      <c r="O476" t="s">
        <v>172</v>
      </c>
      <c r="Q476">
        <v>1024864</v>
      </c>
      <c r="R476">
        <v>1024864</v>
      </c>
      <c r="S476">
        <v>1024840</v>
      </c>
      <c r="T476">
        <v>0</v>
      </c>
      <c r="U476" t="s">
        <v>173</v>
      </c>
      <c r="V476">
        <v>0</v>
      </c>
      <c r="W476" t="s">
        <v>174</v>
      </c>
      <c r="X476">
        <v>1024840</v>
      </c>
      <c r="Z476" t="s">
        <v>175</v>
      </c>
      <c r="AA476" t="s">
        <v>173</v>
      </c>
    </row>
    <row r="477" spans="1:27" x14ac:dyDescent="0.3">
      <c r="A477">
        <v>476</v>
      </c>
      <c r="B477" t="s">
        <v>169</v>
      </c>
      <c r="C477">
        <v>99019875</v>
      </c>
      <c r="D477" s="7" t="s">
        <v>62</v>
      </c>
      <c r="E477" t="s">
        <v>63</v>
      </c>
      <c r="F477" t="s">
        <v>170</v>
      </c>
      <c r="G477" t="s">
        <v>177</v>
      </c>
      <c r="H477" s="133">
        <v>1000</v>
      </c>
      <c r="I477">
        <v>0</v>
      </c>
      <c r="J477" s="133">
        <v>1000</v>
      </c>
      <c r="K477" s="133">
        <v>34195</v>
      </c>
      <c r="L477" s="133">
        <v>34195</v>
      </c>
      <c r="M477" s="150">
        <v>0.45974537037037039</v>
      </c>
      <c r="N477" s="150">
        <v>0.45974537037037039</v>
      </c>
      <c r="O477" t="s">
        <v>172</v>
      </c>
      <c r="Q477">
        <v>1031850</v>
      </c>
      <c r="R477">
        <v>1031850</v>
      </c>
      <c r="S477">
        <v>1031831</v>
      </c>
      <c r="T477">
        <v>0</v>
      </c>
      <c r="U477" t="s">
        <v>173</v>
      </c>
      <c r="V477">
        <v>0</v>
      </c>
      <c r="W477" t="s">
        <v>174</v>
      </c>
      <c r="X477">
        <v>1031831</v>
      </c>
      <c r="Z477" t="s">
        <v>175</v>
      </c>
      <c r="AA477" t="s">
        <v>173</v>
      </c>
    </row>
    <row r="478" spans="1:27" x14ac:dyDescent="0.3">
      <c r="A478">
        <v>477</v>
      </c>
      <c r="B478" t="s">
        <v>169</v>
      </c>
      <c r="C478">
        <v>99019875</v>
      </c>
      <c r="D478" s="7" t="s">
        <v>62</v>
      </c>
      <c r="E478" t="s">
        <v>63</v>
      </c>
      <c r="F478" t="s">
        <v>170</v>
      </c>
      <c r="G478" t="s">
        <v>177</v>
      </c>
      <c r="H478" s="133">
        <v>1000</v>
      </c>
      <c r="I478">
        <v>0</v>
      </c>
      <c r="J478" s="133">
        <v>1000</v>
      </c>
      <c r="K478" s="133">
        <v>34185</v>
      </c>
      <c r="L478" s="133">
        <v>34185</v>
      </c>
      <c r="M478" s="150">
        <v>0.46012731481481484</v>
      </c>
      <c r="N478" s="150">
        <v>0.46013888888888888</v>
      </c>
      <c r="O478" t="s">
        <v>172</v>
      </c>
      <c r="Q478">
        <v>1035248</v>
      </c>
      <c r="R478">
        <v>1035248</v>
      </c>
      <c r="S478">
        <v>1035225</v>
      </c>
      <c r="T478">
        <v>0</v>
      </c>
      <c r="U478" t="s">
        <v>173</v>
      </c>
      <c r="V478">
        <v>0</v>
      </c>
      <c r="W478" t="s">
        <v>174</v>
      </c>
      <c r="X478">
        <v>1035225</v>
      </c>
      <c r="Z478" t="s">
        <v>175</v>
      </c>
      <c r="AA478" t="s">
        <v>173</v>
      </c>
    </row>
    <row r="479" spans="1:27" x14ac:dyDescent="0.3">
      <c r="A479">
        <v>478</v>
      </c>
      <c r="B479" t="s">
        <v>169</v>
      </c>
      <c r="C479">
        <v>99019875</v>
      </c>
      <c r="D479" s="7" t="s">
        <v>62</v>
      </c>
      <c r="E479" t="s">
        <v>63</v>
      </c>
      <c r="F479" t="s">
        <v>170</v>
      </c>
      <c r="G479" t="s">
        <v>177</v>
      </c>
      <c r="H479" s="133">
        <v>1000</v>
      </c>
      <c r="I479">
        <v>0</v>
      </c>
      <c r="J479">
        <v>67</v>
      </c>
      <c r="K479" s="133">
        <v>34185</v>
      </c>
      <c r="L479" s="133">
        <v>34185</v>
      </c>
      <c r="M479" s="150">
        <v>0.46055555555555555</v>
      </c>
      <c r="N479" s="150">
        <v>0.46056712962962965</v>
      </c>
      <c r="O479" t="s">
        <v>172</v>
      </c>
      <c r="Q479">
        <v>1038842</v>
      </c>
      <c r="R479">
        <v>1038842</v>
      </c>
      <c r="S479">
        <v>1038825</v>
      </c>
      <c r="T479">
        <v>933</v>
      </c>
      <c r="U479" t="s">
        <v>173</v>
      </c>
      <c r="V479">
        <v>0</v>
      </c>
      <c r="W479" t="s">
        <v>174</v>
      </c>
      <c r="X479">
        <v>1038825</v>
      </c>
      <c r="Z479" t="s">
        <v>175</v>
      </c>
      <c r="AA479" t="s">
        <v>173</v>
      </c>
    </row>
    <row r="480" spans="1:27" x14ac:dyDescent="0.3">
      <c r="A480">
        <v>479</v>
      </c>
      <c r="B480" t="s">
        <v>169</v>
      </c>
      <c r="C480">
        <v>99019875</v>
      </c>
      <c r="D480" s="7" t="s">
        <v>62</v>
      </c>
      <c r="E480" t="s">
        <v>63</v>
      </c>
      <c r="F480" t="s">
        <v>170</v>
      </c>
      <c r="G480" t="s">
        <v>177</v>
      </c>
      <c r="H480" s="133">
        <v>1000</v>
      </c>
      <c r="I480">
        <v>0</v>
      </c>
      <c r="J480" s="133">
        <v>1000</v>
      </c>
      <c r="K480" s="133">
        <v>34170</v>
      </c>
      <c r="L480" s="133">
        <v>34170</v>
      </c>
      <c r="M480" s="150">
        <v>0.46100694444444446</v>
      </c>
      <c r="N480" s="150">
        <v>0.46100694444444446</v>
      </c>
      <c r="O480" t="s">
        <v>172</v>
      </c>
      <c r="Q480">
        <v>1042733</v>
      </c>
      <c r="R480">
        <v>1042733</v>
      </c>
      <c r="S480">
        <v>1042718</v>
      </c>
      <c r="T480">
        <v>0</v>
      </c>
      <c r="U480" t="s">
        <v>173</v>
      </c>
      <c r="V480">
        <v>0</v>
      </c>
      <c r="W480" t="s">
        <v>174</v>
      </c>
      <c r="X480">
        <v>1042718</v>
      </c>
      <c r="Z480" t="s">
        <v>175</v>
      </c>
      <c r="AA480" t="s">
        <v>173</v>
      </c>
    </row>
    <row r="481" spans="1:27" x14ac:dyDescent="0.3">
      <c r="A481">
        <v>480</v>
      </c>
      <c r="B481" t="s">
        <v>180</v>
      </c>
      <c r="C481">
        <v>99019421</v>
      </c>
      <c r="D481" s="7" t="s">
        <v>185</v>
      </c>
      <c r="E481" t="s">
        <v>181</v>
      </c>
      <c r="F481" t="s">
        <v>176</v>
      </c>
      <c r="G481" t="s">
        <v>177</v>
      </c>
      <c r="H481" s="133">
        <v>10000</v>
      </c>
      <c r="I481">
        <v>0</v>
      </c>
      <c r="J481">
        <v>9</v>
      </c>
      <c r="K481" s="133">
        <v>13870</v>
      </c>
      <c r="L481" s="133">
        <v>13870</v>
      </c>
      <c r="M481" s="150">
        <v>0.46133101851851849</v>
      </c>
      <c r="N481" s="150">
        <v>0.46149305555555559</v>
      </c>
      <c r="O481" t="s">
        <v>172</v>
      </c>
      <c r="Q481">
        <v>1045695</v>
      </c>
      <c r="R481">
        <v>1045695</v>
      </c>
      <c r="S481">
        <v>1045269</v>
      </c>
      <c r="T481" s="133">
        <v>9991</v>
      </c>
      <c r="U481" t="s">
        <v>173</v>
      </c>
      <c r="V481">
        <v>0</v>
      </c>
      <c r="W481" t="s">
        <v>174</v>
      </c>
      <c r="X481">
        <v>1045269</v>
      </c>
      <c r="Y481" t="s">
        <v>182</v>
      </c>
      <c r="Z481" t="s">
        <v>183</v>
      </c>
      <c r="AA481" t="s">
        <v>173</v>
      </c>
    </row>
    <row r="482" spans="1:27" x14ac:dyDescent="0.3">
      <c r="A482">
        <v>481</v>
      </c>
      <c r="B482" t="s">
        <v>169</v>
      </c>
      <c r="C482">
        <v>99019875</v>
      </c>
      <c r="D482" s="7" t="s">
        <v>75</v>
      </c>
      <c r="E482" t="s">
        <v>76</v>
      </c>
      <c r="F482" t="s">
        <v>176</v>
      </c>
      <c r="G482" t="s">
        <v>177</v>
      </c>
      <c r="H482" s="133">
        <v>1000</v>
      </c>
      <c r="I482">
        <v>0</v>
      </c>
      <c r="J482">
        <v>9</v>
      </c>
      <c r="K482" s="133">
        <v>21030</v>
      </c>
      <c r="L482" s="133">
        <v>21030</v>
      </c>
      <c r="M482" s="150">
        <v>0.46141203703703698</v>
      </c>
      <c r="N482" s="150">
        <v>0.46142361111111113</v>
      </c>
      <c r="O482" t="s">
        <v>172</v>
      </c>
      <c r="Q482">
        <v>1046541</v>
      </c>
      <c r="R482">
        <v>1046541</v>
      </c>
      <c r="S482">
        <v>1046401</v>
      </c>
      <c r="T482">
        <v>991</v>
      </c>
      <c r="U482" t="s">
        <v>173</v>
      </c>
      <c r="V482">
        <v>0</v>
      </c>
      <c r="W482" t="s">
        <v>174</v>
      </c>
      <c r="X482">
        <v>1046401</v>
      </c>
      <c r="Z482" t="s">
        <v>175</v>
      </c>
      <c r="AA482" t="s">
        <v>173</v>
      </c>
    </row>
    <row r="483" spans="1:27" x14ac:dyDescent="0.3">
      <c r="A483">
        <v>482</v>
      </c>
      <c r="B483" t="s">
        <v>169</v>
      </c>
      <c r="C483">
        <v>99019875</v>
      </c>
      <c r="D483" s="7" t="s">
        <v>62</v>
      </c>
      <c r="E483" t="s">
        <v>63</v>
      </c>
      <c r="F483" t="s">
        <v>170</v>
      </c>
      <c r="G483" t="s">
        <v>177</v>
      </c>
      <c r="H483" s="133">
        <v>1000</v>
      </c>
      <c r="I483">
        <v>0</v>
      </c>
      <c r="J483" s="133">
        <v>1000</v>
      </c>
      <c r="K483" s="133">
        <v>34200</v>
      </c>
      <c r="L483" s="133">
        <v>34200</v>
      </c>
      <c r="M483" s="150">
        <v>0.46197916666666666</v>
      </c>
      <c r="N483" s="150">
        <v>0.46197916666666666</v>
      </c>
      <c r="O483" t="s">
        <v>172</v>
      </c>
      <c r="Q483">
        <v>1051926</v>
      </c>
      <c r="R483">
        <v>1051926</v>
      </c>
      <c r="S483">
        <v>1051897</v>
      </c>
      <c r="T483">
        <v>0</v>
      </c>
      <c r="U483" t="s">
        <v>173</v>
      </c>
      <c r="V483">
        <v>0</v>
      </c>
      <c r="W483" t="s">
        <v>174</v>
      </c>
      <c r="X483">
        <v>1051897</v>
      </c>
      <c r="Z483" t="s">
        <v>175</v>
      </c>
      <c r="AA483" t="s">
        <v>173</v>
      </c>
    </row>
    <row r="484" spans="1:27" x14ac:dyDescent="0.3">
      <c r="A484">
        <v>483</v>
      </c>
      <c r="B484" t="s">
        <v>169</v>
      </c>
      <c r="C484">
        <v>99019875</v>
      </c>
      <c r="D484" s="7" t="s">
        <v>62</v>
      </c>
      <c r="E484" t="s">
        <v>63</v>
      </c>
      <c r="F484" t="s">
        <v>170</v>
      </c>
      <c r="G484" t="s">
        <v>177</v>
      </c>
      <c r="H484" s="133">
        <v>1000</v>
      </c>
      <c r="I484">
        <v>0</v>
      </c>
      <c r="J484" s="133">
        <v>1000</v>
      </c>
      <c r="K484" s="133">
        <v>34195</v>
      </c>
      <c r="L484" s="133">
        <v>34195</v>
      </c>
      <c r="M484" s="150">
        <v>0.46234953703703702</v>
      </c>
      <c r="N484" s="150">
        <v>0.46234953703703702</v>
      </c>
      <c r="O484" t="s">
        <v>172</v>
      </c>
      <c r="Q484">
        <v>1054715</v>
      </c>
      <c r="R484">
        <v>1054715</v>
      </c>
      <c r="S484">
        <v>1054679</v>
      </c>
      <c r="T484">
        <v>0</v>
      </c>
      <c r="U484" t="s">
        <v>173</v>
      </c>
      <c r="V484">
        <v>0</v>
      </c>
      <c r="W484" t="s">
        <v>174</v>
      </c>
      <c r="X484">
        <v>1054679</v>
      </c>
      <c r="Z484" t="s">
        <v>175</v>
      </c>
      <c r="AA484" t="s">
        <v>173</v>
      </c>
    </row>
    <row r="485" spans="1:27" x14ac:dyDescent="0.3">
      <c r="A485">
        <v>484</v>
      </c>
      <c r="B485" t="s">
        <v>169</v>
      </c>
      <c r="C485">
        <v>99019875</v>
      </c>
      <c r="D485" s="7" t="s">
        <v>62</v>
      </c>
      <c r="E485" t="s">
        <v>63</v>
      </c>
      <c r="F485" t="s">
        <v>170</v>
      </c>
      <c r="G485" t="s">
        <v>177</v>
      </c>
      <c r="H485" s="133">
        <v>1000</v>
      </c>
      <c r="I485">
        <v>0</v>
      </c>
      <c r="J485" s="133">
        <v>1000</v>
      </c>
      <c r="K485" s="133">
        <v>34190</v>
      </c>
      <c r="L485" s="133">
        <v>34190</v>
      </c>
      <c r="M485" s="150">
        <v>0.46274305555555556</v>
      </c>
      <c r="N485" s="150">
        <v>0.46275462962962965</v>
      </c>
      <c r="O485" t="s">
        <v>172</v>
      </c>
      <c r="Q485">
        <v>1058363</v>
      </c>
      <c r="R485">
        <v>1058363</v>
      </c>
      <c r="S485">
        <v>1058349</v>
      </c>
      <c r="T485">
        <v>0</v>
      </c>
      <c r="U485" t="s">
        <v>173</v>
      </c>
      <c r="V485">
        <v>0</v>
      </c>
      <c r="W485" t="s">
        <v>174</v>
      </c>
      <c r="X485">
        <v>1058349</v>
      </c>
      <c r="Z485" t="s">
        <v>175</v>
      </c>
      <c r="AA485" t="s">
        <v>173</v>
      </c>
    </row>
    <row r="486" spans="1:27" x14ac:dyDescent="0.3">
      <c r="A486">
        <v>485</v>
      </c>
      <c r="B486" t="s">
        <v>169</v>
      </c>
      <c r="C486">
        <v>99019875</v>
      </c>
      <c r="D486" s="7" t="s">
        <v>75</v>
      </c>
      <c r="E486" t="s">
        <v>76</v>
      </c>
      <c r="F486" t="s">
        <v>176</v>
      </c>
      <c r="G486" t="s">
        <v>177</v>
      </c>
      <c r="H486" s="133">
        <v>1000</v>
      </c>
      <c r="I486">
        <v>0</v>
      </c>
      <c r="J486">
        <v>7</v>
      </c>
      <c r="K486" s="133">
        <v>21035</v>
      </c>
      <c r="L486" s="133">
        <v>21035</v>
      </c>
      <c r="M486" s="150">
        <v>0.46305555555555555</v>
      </c>
      <c r="N486" s="150">
        <v>0.46307870370370369</v>
      </c>
      <c r="O486" t="s">
        <v>172</v>
      </c>
      <c r="Q486">
        <v>1060873</v>
      </c>
      <c r="R486">
        <v>1060873</v>
      </c>
      <c r="S486">
        <v>1060786</v>
      </c>
      <c r="T486">
        <v>993</v>
      </c>
      <c r="U486" t="s">
        <v>173</v>
      </c>
      <c r="V486">
        <v>0</v>
      </c>
      <c r="W486" t="s">
        <v>174</v>
      </c>
      <c r="X486">
        <v>1060786</v>
      </c>
      <c r="Z486" t="s">
        <v>175</v>
      </c>
      <c r="AA486" t="s">
        <v>173</v>
      </c>
    </row>
    <row r="487" spans="1:27" x14ac:dyDescent="0.3">
      <c r="A487">
        <v>486</v>
      </c>
      <c r="B487" t="s">
        <v>169</v>
      </c>
      <c r="C487">
        <v>99019875</v>
      </c>
      <c r="D487" s="7" t="s">
        <v>62</v>
      </c>
      <c r="E487" t="s">
        <v>63</v>
      </c>
      <c r="F487" t="s">
        <v>170</v>
      </c>
      <c r="G487" t="s">
        <v>177</v>
      </c>
      <c r="H487" s="133">
        <v>1000</v>
      </c>
      <c r="I487">
        <v>0</v>
      </c>
      <c r="J487" s="133">
        <v>1000</v>
      </c>
      <c r="K487" s="133">
        <v>34190</v>
      </c>
      <c r="L487" s="133">
        <v>34190</v>
      </c>
      <c r="M487" s="150">
        <v>0.46340277777777777</v>
      </c>
      <c r="N487" s="150">
        <v>0.46341435185185187</v>
      </c>
      <c r="O487" t="s">
        <v>172</v>
      </c>
      <c r="Q487">
        <v>1064056</v>
      </c>
      <c r="R487">
        <v>1064056</v>
      </c>
      <c r="S487">
        <v>1064037</v>
      </c>
      <c r="T487">
        <v>0</v>
      </c>
      <c r="U487" t="s">
        <v>173</v>
      </c>
      <c r="V487">
        <v>0</v>
      </c>
      <c r="W487" t="s">
        <v>174</v>
      </c>
      <c r="X487">
        <v>1064037</v>
      </c>
      <c r="Z487" t="s">
        <v>175</v>
      </c>
      <c r="AA487" t="s">
        <v>173</v>
      </c>
    </row>
    <row r="488" spans="1:27" x14ac:dyDescent="0.3">
      <c r="A488">
        <v>487</v>
      </c>
      <c r="B488" t="s">
        <v>169</v>
      </c>
      <c r="C488">
        <v>99019875</v>
      </c>
      <c r="D488" s="7" t="s">
        <v>62</v>
      </c>
      <c r="E488" t="s">
        <v>63</v>
      </c>
      <c r="F488" t="s">
        <v>170</v>
      </c>
      <c r="G488" t="s">
        <v>177</v>
      </c>
      <c r="H488" s="133">
        <v>1000</v>
      </c>
      <c r="I488">
        <v>0</v>
      </c>
      <c r="J488">
        <v>75</v>
      </c>
      <c r="K488" s="133">
        <v>34190</v>
      </c>
      <c r="L488" s="133">
        <v>34190</v>
      </c>
      <c r="M488" s="150">
        <v>0.46380787037037036</v>
      </c>
      <c r="N488" s="150">
        <v>0.4638194444444444</v>
      </c>
      <c r="O488" t="s">
        <v>172</v>
      </c>
      <c r="Q488">
        <v>1066837</v>
      </c>
      <c r="R488">
        <v>1066837</v>
      </c>
      <c r="S488">
        <v>1066814</v>
      </c>
      <c r="T488">
        <v>925</v>
      </c>
      <c r="U488" t="s">
        <v>173</v>
      </c>
      <c r="V488">
        <v>0</v>
      </c>
      <c r="W488" t="s">
        <v>174</v>
      </c>
      <c r="X488">
        <v>1066814</v>
      </c>
      <c r="Z488" t="s">
        <v>175</v>
      </c>
      <c r="AA488" t="s">
        <v>173</v>
      </c>
    </row>
    <row r="489" spans="1:27" x14ac:dyDescent="0.3">
      <c r="A489">
        <v>488</v>
      </c>
      <c r="B489" t="s">
        <v>169</v>
      </c>
      <c r="C489">
        <v>99019875</v>
      </c>
      <c r="D489" s="7" t="s">
        <v>62</v>
      </c>
      <c r="E489" t="s">
        <v>63</v>
      </c>
      <c r="F489" t="s">
        <v>170</v>
      </c>
      <c r="G489" t="s">
        <v>177</v>
      </c>
      <c r="H489" s="133">
        <v>1000</v>
      </c>
      <c r="I489">
        <v>0</v>
      </c>
      <c r="J489" s="133">
        <v>1000</v>
      </c>
      <c r="K489" s="133">
        <v>34190</v>
      </c>
      <c r="L489" s="133">
        <v>34190</v>
      </c>
      <c r="M489" s="150">
        <v>0.46418981481481486</v>
      </c>
      <c r="N489" s="150">
        <v>0.4642013888888889</v>
      </c>
      <c r="O489" t="s">
        <v>172</v>
      </c>
      <c r="Q489">
        <v>1069912</v>
      </c>
      <c r="R489">
        <v>1069912</v>
      </c>
      <c r="S489">
        <v>1069893</v>
      </c>
      <c r="T489">
        <v>0</v>
      </c>
      <c r="U489" t="s">
        <v>173</v>
      </c>
      <c r="V489">
        <v>0</v>
      </c>
      <c r="W489" t="s">
        <v>174</v>
      </c>
      <c r="X489">
        <v>1069893</v>
      </c>
      <c r="Z489" t="s">
        <v>175</v>
      </c>
      <c r="AA489" t="s">
        <v>173</v>
      </c>
    </row>
    <row r="490" spans="1:27" x14ac:dyDescent="0.3">
      <c r="A490">
        <v>489</v>
      </c>
      <c r="B490" t="s">
        <v>169</v>
      </c>
      <c r="C490">
        <v>99019875</v>
      </c>
      <c r="D490" s="7" t="s">
        <v>62</v>
      </c>
      <c r="E490" t="s">
        <v>63</v>
      </c>
      <c r="F490" t="s">
        <v>176</v>
      </c>
      <c r="G490" t="s">
        <v>171</v>
      </c>
      <c r="H490" s="133">
        <v>5000</v>
      </c>
      <c r="I490">
        <v>0</v>
      </c>
      <c r="J490" s="133">
        <v>5000</v>
      </c>
      <c r="K490" s="133">
        <v>34205</v>
      </c>
      <c r="L490" s="133">
        <v>34205</v>
      </c>
      <c r="M490" s="150">
        <v>0.4646527777777778</v>
      </c>
      <c r="N490" s="150">
        <v>0.46567129629629633</v>
      </c>
      <c r="O490" t="s">
        <v>172</v>
      </c>
      <c r="Q490">
        <v>1073915</v>
      </c>
      <c r="R490">
        <v>1073915</v>
      </c>
      <c r="S490">
        <v>0</v>
      </c>
      <c r="T490">
        <v>0</v>
      </c>
      <c r="U490" t="s">
        <v>173</v>
      </c>
      <c r="V490">
        <v>0</v>
      </c>
      <c r="W490" t="s">
        <v>174</v>
      </c>
      <c r="X490">
        <v>0</v>
      </c>
      <c r="Z490" t="s">
        <v>173</v>
      </c>
      <c r="AA490" t="s">
        <v>173</v>
      </c>
    </row>
    <row r="491" spans="1:27" x14ac:dyDescent="0.3">
      <c r="A491">
        <v>490</v>
      </c>
      <c r="B491" t="s">
        <v>169</v>
      </c>
      <c r="C491">
        <v>99019875</v>
      </c>
      <c r="D491" s="7" t="s">
        <v>75</v>
      </c>
      <c r="E491" t="s">
        <v>76</v>
      </c>
      <c r="F491" t="s">
        <v>176</v>
      </c>
      <c r="G491" t="s">
        <v>177</v>
      </c>
      <c r="H491" s="133">
        <v>1000</v>
      </c>
      <c r="I491">
        <v>0</v>
      </c>
      <c r="J491">
        <v>1</v>
      </c>
      <c r="K491" s="133">
        <v>21015</v>
      </c>
      <c r="L491" s="133">
        <v>21015</v>
      </c>
      <c r="M491" s="150">
        <v>0.46539351851851851</v>
      </c>
      <c r="N491" s="150">
        <v>0.46539351851851851</v>
      </c>
      <c r="O491" t="s">
        <v>172</v>
      </c>
      <c r="Q491">
        <v>1080001</v>
      </c>
      <c r="R491">
        <v>1080001</v>
      </c>
      <c r="S491">
        <v>1079996</v>
      </c>
      <c r="T491">
        <v>999</v>
      </c>
      <c r="U491" t="s">
        <v>173</v>
      </c>
      <c r="V491">
        <v>0</v>
      </c>
      <c r="W491" t="s">
        <v>174</v>
      </c>
      <c r="X491">
        <v>1079996</v>
      </c>
      <c r="Z491" t="s">
        <v>175</v>
      </c>
      <c r="AA491" t="s">
        <v>173</v>
      </c>
    </row>
    <row r="492" spans="1:27" x14ac:dyDescent="0.3">
      <c r="A492">
        <v>491</v>
      </c>
      <c r="B492" t="s">
        <v>169</v>
      </c>
      <c r="C492">
        <v>99019875</v>
      </c>
      <c r="D492" s="7" t="s">
        <v>62</v>
      </c>
      <c r="E492" t="s">
        <v>63</v>
      </c>
      <c r="F492" t="s">
        <v>176</v>
      </c>
      <c r="G492" t="s">
        <v>171</v>
      </c>
      <c r="H492" s="133">
        <v>5000</v>
      </c>
      <c r="I492">
        <v>0</v>
      </c>
      <c r="J492" s="133">
        <v>5000</v>
      </c>
      <c r="K492" s="133">
        <v>34220</v>
      </c>
      <c r="L492" s="133">
        <v>34220</v>
      </c>
      <c r="M492" s="150">
        <v>0.465787037037037</v>
      </c>
      <c r="N492" s="150">
        <v>0.46628472222222223</v>
      </c>
      <c r="O492" t="s">
        <v>172</v>
      </c>
      <c r="Q492">
        <v>1083540</v>
      </c>
      <c r="R492">
        <v>1083540</v>
      </c>
      <c r="S492">
        <v>0</v>
      </c>
      <c r="T492">
        <v>0</v>
      </c>
      <c r="U492" t="s">
        <v>173</v>
      </c>
      <c r="V492">
        <v>0</v>
      </c>
      <c r="W492" t="s">
        <v>174</v>
      </c>
      <c r="X492">
        <v>0</v>
      </c>
      <c r="Z492" t="s">
        <v>173</v>
      </c>
      <c r="AA492" t="s">
        <v>173</v>
      </c>
    </row>
    <row r="493" spans="1:27" x14ac:dyDescent="0.3">
      <c r="A493">
        <v>492</v>
      </c>
      <c r="B493" t="s">
        <v>169</v>
      </c>
      <c r="C493">
        <v>99019875</v>
      </c>
      <c r="D493" s="7" t="s">
        <v>75</v>
      </c>
      <c r="E493" t="s">
        <v>76</v>
      </c>
      <c r="F493" t="s">
        <v>176</v>
      </c>
      <c r="G493" t="s">
        <v>177</v>
      </c>
      <c r="H493" s="133">
        <v>1000</v>
      </c>
      <c r="I493">
        <v>0</v>
      </c>
      <c r="J493">
        <v>5</v>
      </c>
      <c r="K493" s="133">
        <v>21040</v>
      </c>
      <c r="L493" s="133">
        <v>21040</v>
      </c>
      <c r="M493" s="150">
        <v>0.46651620370370367</v>
      </c>
      <c r="N493" s="150">
        <v>0.46653935185185186</v>
      </c>
      <c r="O493" t="s">
        <v>172</v>
      </c>
      <c r="Q493">
        <v>1089761</v>
      </c>
      <c r="R493">
        <v>1089761</v>
      </c>
      <c r="S493">
        <v>1089753</v>
      </c>
      <c r="T493">
        <v>995</v>
      </c>
      <c r="U493" t="s">
        <v>173</v>
      </c>
      <c r="V493">
        <v>0</v>
      </c>
      <c r="W493" t="s">
        <v>174</v>
      </c>
      <c r="X493">
        <v>1089753</v>
      </c>
      <c r="Z493" t="s">
        <v>175</v>
      </c>
      <c r="AA493" t="s">
        <v>173</v>
      </c>
    </row>
    <row r="494" spans="1:27" x14ac:dyDescent="0.3">
      <c r="A494">
        <v>493</v>
      </c>
      <c r="B494" t="s">
        <v>169</v>
      </c>
      <c r="C494">
        <v>99019875</v>
      </c>
      <c r="D494" s="7" t="s">
        <v>62</v>
      </c>
      <c r="E494" t="s">
        <v>63</v>
      </c>
      <c r="F494" t="s">
        <v>170</v>
      </c>
      <c r="G494" t="s">
        <v>177</v>
      </c>
      <c r="H494" s="133">
        <v>1000</v>
      </c>
      <c r="I494">
        <v>0</v>
      </c>
      <c r="J494" s="133">
        <v>1000</v>
      </c>
      <c r="K494" s="133">
        <v>34230</v>
      </c>
      <c r="L494" s="133">
        <v>34230</v>
      </c>
      <c r="M494" s="150">
        <v>0.46704861111111112</v>
      </c>
      <c r="N494" s="150">
        <v>0.46706018518518522</v>
      </c>
      <c r="O494" t="s">
        <v>172</v>
      </c>
      <c r="Q494">
        <v>1093627</v>
      </c>
      <c r="R494">
        <v>1093627</v>
      </c>
      <c r="S494">
        <v>1093616</v>
      </c>
      <c r="T494">
        <v>0</v>
      </c>
      <c r="U494" t="s">
        <v>173</v>
      </c>
      <c r="V494">
        <v>0</v>
      </c>
      <c r="W494" t="s">
        <v>174</v>
      </c>
      <c r="X494">
        <v>1093616</v>
      </c>
      <c r="Z494" t="s">
        <v>175</v>
      </c>
      <c r="AA494" t="s">
        <v>173</v>
      </c>
    </row>
    <row r="495" spans="1:27" x14ac:dyDescent="0.3">
      <c r="A495">
        <v>494</v>
      </c>
      <c r="B495" t="s">
        <v>169</v>
      </c>
      <c r="C495">
        <v>99019875</v>
      </c>
      <c r="D495" s="7" t="s">
        <v>75</v>
      </c>
      <c r="E495" t="s">
        <v>76</v>
      </c>
      <c r="F495" t="s">
        <v>176</v>
      </c>
      <c r="G495" t="s">
        <v>177</v>
      </c>
      <c r="H495" s="133">
        <v>1000</v>
      </c>
      <c r="I495">
        <v>0</v>
      </c>
      <c r="J495">
        <v>12</v>
      </c>
      <c r="K495" s="133">
        <v>21035</v>
      </c>
      <c r="L495" s="133">
        <v>21035</v>
      </c>
      <c r="M495" s="150">
        <v>0.46731481481481479</v>
      </c>
      <c r="N495" s="150">
        <v>0.46732638888888883</v>
      </c>
      <c r="O495" t="s">
        <v>172</v>
      </c>
      <c r="Q495">
        <v>1095873</v>
      </c>
      <c r="R495">
        <v>1095873</v>
      </c>
      <c r="S495">
        <v>1095710</v>
      </c>
      <c r="T495">
        <v>988</v>
      </c>
      <c r="U495" t="s">
        <v>173</v>
      </c>
      <c r="V495">
        <v>0</v>
      </c>
      <c r="W495" t="s">
        <v>174</v>
      </c>
      <c r="X495">
        <v>1095710</v>
      </c>
      <c r="Z495" t="s">
        <v>175</v>
      </c>
      <c r="AA495" t="s">
        <v>173</v>
      </c>
    </row>
    <row r="496" spans="1:27" x14ac:dyDescent="0.3">
      <c r="A496">
        <v>495</v>
      </c>
      <c r="B496" t="s">
        <v>169</v>
      </c>
      <c r="C496">
        <v>99019875</v>
      </c>
      <c r="D496" s="7" t="s">
        <v>62</v>
      </c>
      <c r="E496" t="s">
        <v>63</v>
      </c>
      <c r="F496" t="s">
        <v>170</v>
      </c>
      <c r="G496" t="s">
        <v>177</v>
      </c>
      <c r="H496" s="133">
        <v>1000</v>
      </c>
      <c r="I496">
        <v>0</v>
      </c>
      <c r="J496" s="133">
        <v>1000</v>
      </c>
      <c r="K496" s="133">
        <v>34240</v>
      </c>
      <c r="L496" s="133">
        <v>34240</v>
      </c>
      <c r="M496" s="150">
        <v>0.46754629629629635</v>
      </c>
      <c r="N496" s="150">
        <v>0.46754629629629635</v>
      </c>
      <c r="O496" t="s">
        <v>172</v>
      </c>
      <c r="Q496">
        <v>1098098</v>
      </c>
      <c r="R496">
        <v>1098098</v>
      </c>
      <c r="S496">
        <v>1098092</v>
      </c>
      <c r="T496">
        <v>0</v>
      </c>
      <c r="U496" t="s">
        <v>173</v>
      </c>
      <c r="V496">
        <v>0</v>
      </c>
      <c r="W496" t="s">
        <v>174</v>
      </c>
      <c r="X496">
        <v>1098092</v>
      </c>
      <c r="Z496" t="s">
        <v>175</v>
      </c>
      <c r="AA496" t="s">
        <v>173</v>
      </c>
    </row>
    <row r="497" spans="1:27" x14ac:dyDescent="0.3">
      <c r="A497">
        <v>496</v>
      </c>
      <c r="B497" t="s">
        <v>169</v>
      </c>
      <c r="C497">
        <v>99019875</v>
      </c>
      <c r="D497" s="7" t="s">
        <v>96</v>
      </c>
      <c r="E497" t="s">
        <v>97</v>
      </c>
      <c r="F497" t="s">
        <v>176</v>
      </c>
      <c r="G497" t="s">
        <v>177</v>
      </c>
      <c r="H497" s="133">
        <v>1000</v>
      </c>
      <c r="I497">
        <v>0</v>
      </c>
      <c r="J497">
        <v>1</v>
      </c>
      <c r="K497" s="133">
        <v>8320</v>
      </c>
      <c r="L497" s="133">
        <v>8320</v>
      </c>
      <c r="M497" s="150">
        <v>0.46765046296296298</v>
      </c>
      <c r="N497" s="150">
        <v>0.46766203703703701</v>
      </c>
      <c r="O497" t="s">
        <v>172</v>
      </c>
      <c r="Q497">
        <v>1099354</v>
      </c>
      <c r="R497">
        <v>1099354</v>
      </c>
      <c r="S497">
        <v>1099041</v>
      </c>
      <c r="T497">
        <v>999</v>
      </c>
      <c r="U497" t="s">
        <v>173</v>
      </c>
      <c r="V497">
        <v>0</v>
      </c>
      <c r="W497" t="s">
        <v>174</v>
      </c>
      <c r="X497">
        <v>1099041</v>
      </c>
      <c r="Z497" t="s">
        <v>175</v>
      </c>
      <c r="AA497" t="s">
        <v>173</v>
      </c>
    </row>
    <row r="498" spans="1:27" x14ac:dyDescent="0.3">
      <c r="A498">
        <v>497</v>
      </c>
      <c r="B498" t="s">
        <v>169</v>
      </c>
      <c r="C498">
        <v>99019875</v>
      </c>
      <c r="D498" s="7" t="s">
        <v>62</v>
      </c>
      <c r="E498" t="s">
        <v>63</v>
      </c>
      <c r="F498" t="s">
        <v>170</v>
      </c>
      <c r="G498" t="s">
        <v>177</v>
      </c>
      <c r="H498" s="133">
        <v>1000</v>
      </c>
      <c r="I498">
        <v>0</v>
      </c>
      <c r="J498" s="133">
        <v>1000</v>
      </c>
      <c r="K498" s="133">
        <v>34250</v>
      </c>
      <c r="L498" s="133">
        <v>34250</v>
      </c>
      <c r="M498" s="150">
        <v>0.46862268518518518</v>
      </c>
      <c r="N498" s="150">
        <v>0.46863425925925922</v>
      </c>
      <c r="O498" t="s">
        <v>172</v>
      </c>
      <c r="Q498">
        <v>1107759</v>
      </c>
      <c r="R498">
        <v>1107759</v>
      </c>
      <c r="S498">
        <v>1107754</v>
      </c>
      <c r="T498">
        <v>0</v>
      </c>
      <c r="U498" t="s">
        <v>173</v>
      </c>
      <c r="V498">
        <v>0</v>
      </c>
      <c r="W498" t="s">
        <v>174</v>
      </c>
      <c r="X498">
        <v>1107754</v>
      </c>
      <c r="Z498" t="s">
        <v>175</v>
      </c>
      <c r="AA498" t="s">
        <v>173</v>
      </c>
    </row>
    <row r="499" spans="1:27" x14ac:dyDescent="0.3">
      <c r="A499">
        <v>498</v>
      </c>
      <c r="B499" t="s">
        <v>169</v>
      </c>
      <c r="C499">
        <v>99019875</v>
      </c>
      <c r="D499" s="7" t="s">
        <v>96</v>
      </c>
      <c r="E499" t="s">
        <v>97</v>
      </c>
      <c r="F499" t="s">
        <v>176</v>
      </c>
      <c r="G499" t="s">
        <v>177</v>
      </c>
      <c r="H499" s="133">
        <v>1000</v>
      </c>
      <c r="I499">
        <v>0</v>
      </c>
      <c r="J499">
        <v>2</v>
      </c>
      <c r="K499" s="133">
        <v>8325</v>
      </c>
      <c r="L499" s="133">
        <v>8325</v>
      </c>
      <c r="M499" s="150">
        <v>0.46865740740740741</v>
      </c>
      <c r="N499" s="150">
        <v>0.46866898148148151</v>
      </c>
      <c r="O499" t="s">
        <v>172</v>
      </c>
      <c r="Q499">
        <v>1108319</v>
      </c>
      <c r="R499">
        <v>1108319</v>
      </c>
      <c r="S499">
        <v>1108148</v>
      </c>
      <c r="T499">
        <v>998</v>
      </c>
      <c r="U499" t="s">
        <v>173</v>
      </c>
      <c r="V499">
        <v>0</v>
      </c>
      <c r="W499" t="s">
        <v>174</v>
      </c>
      <c r="X499">
        <v>1108148</v>
      </c>
      <c r="Z499" t="s">
        <v>175</v>
      </c>
      <c r="AA499" t="s">
        <v>173</v>
      </c>
    </row>
    <row r="500" spans="1:27" x14ac:dyDescent="0.3">
      <c r="A500">
        <v>499</v>
      </c>
      <c r="B500" t="s">
        <v>169</v>
      </c>
      <c r="C500">
        <v>99019875</v>
      </c>
      <c r="D500" s="7" t="s">
        <v>75</v>
      </c>
      <c r="E500" t="s">
        <v>76</v>
      </c>
      <c r="F500" t="s">
        <v>176</v>
      </c>
      <c r="G500" t="s">
        <v>177</v>
      </c>
      <c r="H500" s="133">
        <v>1000</v>
      </c>
      <c r="I500">
        <v>0</v>
      </c>
      <c r="J500">
        <v>5</v>
      </c>
      <c r="K500" s="133">
        <v>21035</v>
      </c>
      <c r="L500" s="133">
        <v>21035</v>
      </c>
      <c r="M500" s="150">
        <v>0.4689699074074074</v>
      </c>
      <c r="N500" s="150">
        <v>0.4689814814814815</v>
      </c>
      <c r="O500" t="s">
        <v>172</v>
      </c>
      <c r="Q500">
        <v>1110694</v>
      </c>
      <c r="R500">
        <v>1110694</v>
      </c>
      <c r="S500">
        <v>1110598</v>
      </c>
      <c r="T500">
        <v>995</v>
      </c>
      <c r="U500" t="s">
        <v>173</v>
      </c>
      <c r="V500">
        <v>0</v>
      </c>
      <c r="W500" t="s">
        <v>174</v>
      </c>
      <c r="X500">
        <v>1110598</v>
      </c>
      <c r="Z500" t="s">
        <v>175</v>
      </c>
      <c r="AA500" t="s">
        <v>173</v>
      </c>
    </row>
    <row r="501" spans="1:27" x14ac:dyDescent="0.3">
      <c r="A501">
        <v>500</v>
      </c>
      <c r="B501" t="s">
        <v>169</v>
      </c>
      <c r="C501">
        <v>99019875</v>
      </c>
      <c r="D501" s="7" t="s">
        <v>62</v>
      </c>
      <c r="E501" t="s">
        <v>63</v>
      </c>
      <c r="F501" t="s">
        <v>170</v>
      </c>
      <c r="G501" t="s">
        <v>177</v>
      </c>
      <c r="H501" s="133">
        <v>1000</v>
      </c>
      <c r="I501">
        <v>0</v>
      </c>
      <c r="J501" s="133">
        <v>1000</v>
      </c>
      <c r="K501" s="133">
        <v>34265</v>
      </c>
      <c r="L501" s="133">
        <v>34265</v>
      </c>
      <c r="M501" s="150">
        <v>0.46916666666666668</v>
      </c>
      <c r="N501" s="150">
        <v>0.46916666666666668</v>
      </c>
      <c r="O501" t="s">
        <v>172</v>
      </c>
      <c r="Q501">
        <v>1112460</v>
      </c>
      <c r="R501">
        <v>1112460</v>
      </c>
      <c r="S501">
        <v>1112384</v>
      </c>
      <c r="T501">
        <v>0</v>
      </c>
      <c r="U501" t="s">
        <v>173</v>
      </c>
      <c r="V501">
        <v>0</v>
      </c>
      <c r="W501" t="s">
        <v>174</v>
      </c>
      <c r="X501">
        <v>1112384</v>
      </c>
      <c r="Z501" t="s">
        <v>175</v>
      </c>
      <c r="AA501" t="s">
        <v>173</v>
      </c>
    </row>
    <row r="502" spans="1:27" x14ac:dyDescent="0.3">
      <c r="A502">
        <v>501</v>
      </c>
      <c r="B502" t="s">
        <v>169</v>
      </c>
      <c r="C502">
        <v>99019875</v>
      </c>
      <c r="D502" s="7" t="s">
        <v>75</v>
      </c>
      <c r="E502" t="s">
        <v>76</v>
      </c>
      <c r="F502" t="s">
        <v>176</v>
      </c>
      <c r="G502" t="s">
        <v>177</v>
      </c>
      <c r="H502" s="133">
        <v>1000</v>
      </c>
      <c r="I502">
        <v>0</v>
      </c>
      <c r="J502">
        <v>2</v>
      </c>
      <c r="K502" s="133">
        <v>21035</v>
      </c>
      <c r="L502" s="133">
        <v>21035</v>
      </c>
      <c r="M502" s="150">
        <v>0.46935185185185185</v>
      </c>
      <c r="N502" s="150">
        <v>0.46936342592592589</v>
      </c>
      <c r="O502" t="s">
        <v>172</v>
      </c>
      <c r="Q502">
        <v>1114151</v>
      </c>
      <c r="R502">
        <v>1114151</v>
      </c>
      <c r="S502">
        <v>1114101</v>
      </c>
      <c r="T502">
        <v>998</v>
      </c>
      <c r="U502" t="s">
        <v>173</v>
      </c>
      <c r="V502">
        <v>0</v>
      </c>
      <c r="W502" t="s">
        <v>174</v>
      </c>
      <c r="X502">
        <v>1114101</v>
      </c>
      <c r="Z502" t="s">
        <v>175</v>
      </c>
      <c r="AA502" t="s">
        <v>173</v>
      </c>
    </row>
    <row r="503" spans="1:27" x14ac:dyDescent="0.3">
      <c r="A503">
        <v>502</v>
      </c>
      <c r="B503" t="s">
        <v>169</v>
      </c>
      <c r="C503">
        <v>99019875</v>
      </c>
      <c r="D503" s="7" t="s">
        <v>62</v>
      </c>
      <c r="E503" t="s">
        <v>63</v>
      </c>
      <c r="F503" t="s">
        <v>170</v>
      </c>
      <c r="G503" t="s">
        <v>177</v>
      </c>
      <c r="H503" s="133">
        <v>1000</v>
      </c>
      <c r="I503">
        <v>0</v>
      </c>
      <c r="J503" s="133">
        <v>1000</v>
      </c>
      <c r="K503" s="133">
        <v>34270</v>
      </c>
      <c r="L503" s="133">
        <v>34268</v>
      </c>
      <c r="M503" s="150">
        <v>0.46952546296296299</v>
      </c>
      <c r="N503" s="150">
        <v>0.46952546296296299</v>
      </c>
      <c r="O503" t="s">
        <v>172</v>
      </c>
      <c r="Q503">
        <v>1115585</v>
      </c>
      <c r="R503">
        <v>1115585</v>
      </c>
      <c r="S503">
        <v>1115560</v>
      </c>
      <c r="T503">
        <v>0</v>
      </c>
      <c r="U503" t="s">
        <v>173</v>
      </c>
      <c r="V503">
        <v>0</v>
      </c>
      <c r="W503" t="s">
        <v>174</v>
      </c>
      <c r="X503">
        <v>1115560</v>
      </c>
      <c r="Z503" t="s">
        <v>175</v>
      </c>
      <c r="AA503" t="s">
        <v>173</v>
      </c>
    </row>
    <row r="504" spans="1:27" x14ac:dyDescent="0.3">
      <c r="A504">
        <v>503</v>
      </c>
      <c r="B504" t="s">
        <v>169</v>
      </c>
      <c r="C504">
        <v>99019875</v>
      </c>
      <c r="D504" s="7" t="s">
        <v>75</v>
      </c>
      <c r="E504" t="s">
        <v>76</v>
      </c>
      <c r="F504" t="s">
        <v>176</v>
      </c>
      <c r="G504" t="s">
        <v>177</v>
      </c>
      <c r="H504" s="133">
        <v>1000</v>
      </c>
      <c r="I504">
        <v>0</v>
      </c>
      <c r="J504">
        <v>1</v>
      </c>
      <c r="K504" s="133">
        <v>21040</v>
      </c>
      <c r="L504" s="133">
        <v>21040</v>
      </c>
      <c r="M504" s="150">
        <v>0.46971064814814811</v>
      </c>
      <c r="N504" s="150">
        <v>0.46972222222222221</v>
      </c>
      <c r="O504" t="s">
        <v>172</v>
      </c>
      <c r="Q504">
        <v>1116923</v>
      </c>
      <c r="R504">
        <v>1116923</v>
      </c>
      <c r="S504">
        <v>1116788</v>
      </c>
      <c r="T504">
        <v>999</v>
      </c>
      <c r="U504" t="s">
        <v>173</v>
      </c>
      <c r="V504">
        <v>0</v>
      </c>
      <c r="W504" t="s">
        <v>174</v>
      </c>
      <c r="X504">
        <v>1116788</v>
      </c>
      <c r="Z504" t="s">
        <v>175</v>
      </c>
      <c r="AA504" t="s">
        <v>173</v>
      </c>
    </row>
    <row r="505" spans="1:27" x14ac:dyDescent="0.3">
      <c r="A505">
        <v>504</v>
      </c>
      <c r="B505" t="s">
        <v>169</v>
      </c>
      <c r="C505">
        <v>99019875</v>
      </c>
      <c r="D505" s="7" t="s">
        <v>110</v>
      </c>
      <c r="E505" t="s">
        <v>179</v>
      </c>
      <c r="F505" t="s">
        <v>176</v>
      </c>
      <c r="G505" t="s">
        <v>177</v>
      </c>
      <c r="H505">
        <v>500</v>
      </c>
      <c r="I505">
        <v>0</v>
      </c>
      <c r="J505">
        <v>8</v>
      </c>
      <c r="K505" s="133">
        <v>48655</v>
      </c>
      <c r="L505" s="133">
        <v>48655</v>
      </c>
      <c r="M505" s="150">
        <v>0.46986111111111112</v>
      </c>
      <c r="N505" s="150">
        <v>0.46986111111111112</v>
      </c>
      <c r="O505" t="s">
        <v>172</v>
      </c>
      <c r="Q505">
        <v>1118263</v>
      </c>
      <c r="R505">
        <v>1118263</v>
      </c>
      <c r="S505">
        <v>1118186</v>
      </c>
      <c r="T505">
        <v>492</v>
      </c>
      <c r="U505" t="s">
        <v>173</v>
      </c>
      <c r="V505">
        <v>0</v>
      </c>
      <c r="W505" t="s">
        <v>174</v>
      </c>
      <c r="X505">
        <v>1118186</v>
      </c>
      <c r="Z505" t="s">
        <v>175</v>
      </c>
      <c r="AA505" t="s">
        <v>173</v>
      </c>
    </row>
    <row r="506" spans="1:27" x14ac:dyDescent="0.3">
      <c r="A506">
        <v>505</v>
      </c>
      <c r="B506" t="s">
        <v>169</v>
      </c>
      <c r="C506">
        <v>99019875</v>
      </c>
      <c r="D506" s="7" t="s">
        <v>69</v>
      </c>
      <c r="E506" t="s">
        <v>70</v>
      </c>
      <c r="F506" t="s">
        <v>176</v>
      </c>
      <c r="G506" t="s">
        <v>177</v>
      </c>
      <c r="H506" s="133">
        <v>1000</v>
      </c>
      <c r="I506">
        <v>0</v>
      </c>
      <c r="J506">
        <v>248</v>
      </c>
      <c r="K506" s="133">
        <v>10355</v>
      </c>
      <c r="L506" s="133">
        <v>10355</v>
      </c>
      <c r="M506" s="150">
        <v>0.47041666666666665</v>
      </c>
      <c r="N506" s="150">
        <v>0.47047453703703707</v>
      </c>
      <c r="O506" t="s">
        <v>172</v>
      </c>
      <c r="Q506">
        <v>1122621</v>
      </c>
      <c r="R506">
        <v>1122621</v>
      </c>
      <c r="S506">
        <v>1122611</v>
      </c>
      <c r="T506">
        <v>752</v>
      </c>
      <c r="U506" t="s">
        <v>173</v>
      </c>
      <c r="V506">
        <v>0</v>
      </c>
      <c r="W506" t="s">
        <v>174</v>
      </c>
      <c r="X506">
        <v>1122611</v>
      </c>
      <c r="Z506" t="s">
        <v>175</v>
      </c>
      <c r="AA506" t="s">
        <v>173</v>
      </c>
    </row>
    <row r="507" spans="1:27" x14ac:dyDescent="0.3">
      <c r="A507">
        <v>506</v>
      </c>
      <c r="B507" t="s">
        <v>169</v>
      </c>
      <c r="C507">
        <v>99019875</v>
      </c>
      <c r="D507" s="7" t="s">
        <v>75</v>
      </c>
      <c r="E507" t="s">
        <v>76</v>
      </c>
      <c r="F507" t="s">
        <v>176</v>
      </c>
      <c r="G507" t="s">
        <v>177</v>
      </c>
      <c r="H507" s="133">
        <v>1000</v>
      </c>
      <c r="I507">
        <v>0</v>
      </c>
      <c r="J507">
        <v>1</v>
      </c>
      <c r="K507" s="133">
        <v>21040</v>
      </c>
      <c r="L507" s="133">
        <v>21040</v>
      </c>
      <c r="M507" s="150">
        <v>0.47043981481481478</v>
      </c>
      <c r="N507" s="150">
        <v>0.47043981481481478</v>
      </c>
      <c r="O507" t="s">
        <v>172</v>
      </c>
      <c r="Q507">
        <v>1122723</v>
      </c>
      <c r="R507">
        <v>1122723</v>
      </c>
      <c r="S507">
        <v>1122718</v>
      </c>
      <c r="T507">
        <v>999</v>
      </c>
      <c r="U507" t="s">
        <v>173</v>
      </c>
      <c r="V507">
        <v>0</v>
      </c>
      <c r="W507" t="s">
        <v>174</v>
      </c>
      <c r="X507">
        <v>1122718</v>
      </c>
      <c r="Z507" t="s">
        <v>175</v>
      </c>
      <c r="AA507" t="s">
        <v>173</v>
      </c>
    </row>
    <row r="508" spans="1:27" x14ac:dyDescent="0.3">
      <c r="A508">
        <v>507</v>
      </c>
      <c r="B508" t="s">
        <v>169</v>
      </c>
      <c r="C508">
        <v>99019875</v>
      </c>
      <c r="D508" s="7" t="s">
        <v>62</v>
      </c>
      <c r="E508" t="s">
        <v>63</v>
      </c>
      <c r="F508" t="s">
        <v>170</v>
      </c>
      <c r="G508" t="s">
        <v>177</v>
      </c>
      <c r="H508" s="133">
        <v>1000</v>
      </c>
      <c r="I508">
        <v>0</v>
      </c>
      <c r="J508" s="133">
        <v>1000</v>
      </c>
      <c r="K508" s="133">
        <v>34280</v>
      </c>
      <c r="L508" s="133">
        <v>34280</v>
      </c>
      <c r="M508" s="150">
        <v>0.47050925925925924</v>
      </c>
      <c r="N508" s="150">
        <v>0.47050925925925924</v>
      </c>
      <c r="O508" t="s">
        <v>172</v>
      </c>
      <c r="Q508">
        <v>1123342</v>
      </c>
      <c r="R508">
        <v>1123342</v>
      </c>
      <c r="S508">
        <v>1123269</v>
      </c>
      <c r="T508">
        <v>0</v>
      </c>
      <c r="U508" t="s">
        <v>173</v>
      </c>
      <c r="V508">
        <v>0</v>
      </c>
      <c r="W508" t="s">
        <v>174</v>
      </c>
      <c r="X508">
        <v>1123269</v>
      </c>
      <c r="Z508" t="s">
        <v>175</v>
      </c>
      <c r="AA508" t="s">
        <v>173</v>
      </c>
    </row>
    <row r="509" spans="1:27" x14ac:dyDescent="0.3">
      <c r="A509">
        <v>508</v>
      </c>
      <c r="B509" t="s">
        <v>169</v>
      </c>
      <c r="C509">
        <v>99019875</v>
      </c>
      <c r="D509" s="7" t="s">
        <v>62</v>
      </c>
      <c r="E509" t="s">
        <v>63</v>
      </c>
      <c r="F509" t="s">
        <v>170</v>
      </c>
      <c r="G509" t="s">
        <v>177</v>
      </c>
      <c r="H509" s="133">
        <v>1000</v>
      </c>
      <c r="I509">
        <v>0</v>
      </c>
      <c r="J509" s="133">
        <v>1000</v>
      </c>
      <c r="K509" s="133">
        <v>34290</v>
      </c>
      <c r="L509" s="133">
        <v>34290</v>
      </c>
      <c r="M509" s="150">
        <v>0.47085648148148151</v>
      </c>
      <c r="N509" s="150">
        <v>0.47085648148148151</v>
      </c>
      <c r="O509" t="s">
        <v>172</v>
      </c>
      <c r="Q509">
        <v>1125650</v>
      </c>
      <c r="R509">
        <v>1125650</v>
      </c>
      <c r="S509">
        <v>1125633</v>
      </c>
      <c r="T509">
        <v>0</v>
      </c>
      <c r="U509" t="s">
        <v>173</v>
      </c>
      <c r="V509">
        <v>0</v>
      </c>
      <c r="W509" t="s">
        <v>174</v>
      </c>
      <c r="X509">
        <v>1125633</v>
      </c>
      <c r="Z509" t="s">
        <v>175</v>
      </c>
      <c r="AA509" t="s">
        <v>173</v>
      </c>
    </row>
    <row r="510" spans="1:27" x14ac:dyDescent="0.3">
      <c r="A510">
        <v>509</v>
      </c>
      <c r="B510" t="s">
        <v>169</v>
      </c>
      <c r="C510">
        <v>99019875</v>
      </c>
      <c r="D510" s="7" t="s">
        <v>75</v>
      </c>
      <c r="E510" t="s">
        <v>76</v>
      </c>
      <c r="F510" t="s">
        <v>176</v>
      </c>
      <c r="G510" t="s">
        <v>177</v>
      </c>
      <c r="H510" s="133">
        <v>1000</v>
      </c>
      <c r="I510">
        <v>0</v>
      </c>
      <c r="J510" s="133">
        <v>1000</v>
      </c>
      <c r="K510" s="133">
        <v>21035</v>
      </c>
      <c r="L510" s="133">
        <v>21035</v>
      </c>
      <c r="M510" s="150">
        <v>0.47123842592592591</v>
      </c>
      <c r="N510" s="150">
        <v>0.47125</v>
      </c>
      <c r="O510" t="s">
        <v>172</v>
      </c>
      <c r="Q510">
        <v>1128799</v>
      </c>
      <c r="R510">
        <v>1128799</v>
      </c>
      <c r="S510">
        <v>1128780</v>
      </c>
      <c r="T510">
        <v>0</v>
      </c>
      <c r="U510" t="s">
        <v>173</v>
      </c>
      <c r="V510">
        <v>0</v>
      </c>
      <c r="W510" t="s">
        <v>174</v>
      </c>
      <c r="X510">
        <v>1128780</v>
      </c>
      <c r="Z510" t="s">
        <v>175</v>
      </c>
      <c r="AA510" t="s">
        <v>173</v>
      </c>
    </row>
    <row r="511" spans="1:27" x14ac:dyDescent="0.3">
      <c r="A511">
        <v>510</v>
      </c>
      <c r="B511" t="s">
        <v>169</v>
      </c>
      <c r="C511">
        <v>99019875</v>
      </c>
      <c r="D511" s="7" t="s">
        <v>69</v>
      </c>
      <c r="E511" t="s">
        <v>70</v>
      </c>
      <c r="F511" t="s">
        <v>176</v>
      </c>
      <c r="G511" t="s">
        <v>177</v>
      </c>
      <c r="H511" s="133">
        <v>1000</v>
      </c>
      <c r="I511">
        <v>0</v>
      </c>
      <c r="J511">
        <v>637</v>
      </c>
      <c r="K511" s="133">
        <v>10355</v>
      </c>
      <c r="L511" s="133">
        <v>10355</v>
      </c>
      <c r="M511" s="150">
        <v>0.47129629629629632</v>
      </c>
      <c r="N511" s="150">
        <v>0.4713310185185185</v>
      </c>
      <c r="O511" t="s">
        <v>172</v>
      </c>
      <c r="Q511">
        <v>1129341</v>
      </c>
      <c r="R511">
        <v>1129341</v>
      </c>
      <c r="S511">
        <v>1129336</v>
      </c>
      <c r="T511">
        <v>363</v>
      </c>
      <c r="U511" t="s">
        <v>173</v>
      </c>
      <c r="V511">
        <v>0</v>
      </c>
      <c r="W511" t="s">
        <v>174</v>
      </c>
      <c r="X511">
        <v>1129336</v>
      </c>
      <c r="Z511" t="s">
        <v>175</v>
      </c>
      <c r="AA511" t="s">
        <v>173</v>
      </c>
    </row>
    <row r="512" spans="1:27" x14ac:dyDescent="0.3">
      <c r="A512">
        <v>511</v>
      </c>
      <c r="B512" t="s">
        <v>169</v>
      </c>
      <c r="C512">
        <v>99019875</v>
      </c>
      <c r="D512" s="7" t="s">
        <v>69</v>
      </c>
      <c r="E512" t="s">
        <v>70</v>
      </c>
      <c r="F512" t="s">
        <v>176</v>
      </c>
      <c r="G512" t="s">
        <v>177</v>
      </c>
      <c r="H512" s="133">
        <v>1000</v>
      </c>
      <c r="I512">
        <v>0</v>
      </c>
      <c r="J512" s="133">
        <v>1000</v>
      </c>
      <c r="K512" s="133">
        <v>10355</v>
      </c>
      <c r="L512" s="133">
        <v>10355</v>
      </c>
      <c r="M512" s="150">
        <v>0.47181712962962963</v>
      </c>
      <c r="N512" s="150">
        <v>0.47182870370370367</v>
      </c>
      <c r="O512" t="s">
        <v>172</v>
      </c>
      <c r="Q512">
        <v>1133969</v>
      </c>
      <c r="R512">
        <v>1133969</v>
      </c>
      <c r="S512">
        <v>1133536</v>
      </c>
      <c r="T512">
        <v>0</v>
      </c>
      <c r="U512" t="s">
        <v>173</v>
      </c>
      <c r="V512">
        <v>0</v>
      </c>
      <c r="W512" t="s">
        <v>174</v>
      </c>
      <c r="X512">
        <v>1133536</v>
      </c>
      <c r="Z512" t="s">
        <v>175</v>
      </c>
      <c r="AA512" t="s">
        <v>173</v>
      </c>
    </row>
    <row r="513" spans="1:27" x14ac:dyDescent="0.3">
      <c r="A513">
        <v>512</v>
      </c>
      <c r="B513" t="s">
        <v>169</v>
      </c>
      <c r="C513">
        <v>99019875</v>
      </c>
      <c r="D513" s="7" t="s">
        <v>75</v>
      </c>
      <c r="E513" t="s">
        <v>76</v>
      </c>
      <c r="F513" t="s">
        <v>176</v>
      </c>
      <c r="G513" t="s">
        <v>177</v>
      </c>
      <c r="H513" s="133">
        <v>1000</v>
      </c>
      <c r="I513">
        <v>0</v>
      </c>
      <c r="J513">
        <v>18</v>
      </c>
      <c r="K513" s="133">
        <v>21055</v>
      </c>
      <c r="L513" s="133">
        <v>21055</v>
      </c>
      <c r="M513" s="150">
        <v>0.47260416666666666</v>
      </c>
      <c r="N513" s="150">
        <v>0.47260416666666666</v>
      </c>
      <c r="O513" t="s">
        <v>172</v>
      </c>
      <c r="Q513">
        <v>1140933</v>
      </c>
      <c r="R513">
        <v>1140933</v>
      </c>
      <c r="S513">
        <v>1140843</v>
      </c>
      <c r="T513">
        <v>982</v>
      </c>
      <c r="U513" t="s">
        <v>173</v>
      </c>
      <c r="V513">
        <v>0</v>
      </c>
      <c r="W513" t="s">
        <v>174</v>
      </c>
      <c r="X513">
        <v>1140843</v>
      </c>
      <c r="Z513" t="s">
        <v>175</v>
      </c>
      <c r="AA513" t="s">
        <v>173</v>
      </c>
    </row>
    <row r="514" spans="1:27" x14ac:dyDescent="0.3">
      <c r="A514">
        <v>513</v>
      </c>
      <c r="B514" t="s">
        <v>169</v>
      </c>
      <c r="C514">
        <v>99019875</v>
      </c>
      <c r="D514" s="7" t="s">
        <v>62</v>
      </c>
      <c r="E514" t="s">
        <v>63</v>
      </c>
      <c r="F514" t="s">
        <v>170</v>
      </c>
      <c r="G514" t="s">
        <v>177</v>
      </c>
      <c r="H514" s="133">
        <v>1000</v>
      </c>
      <c r="I514">
        <v>0</v>
      </c>
      <c r="J514">
        <v>25</v>
      </c>
      <c r="K514" s="133">
        <v>34350</v>
      </c>
      <c r="L514" s="133">
        <v>34350</v>
      </c>
      <c r="M514" s="150">
        <v>0.47269675925925925</v>
      </c>
      <c r="N514" s="150">
        <v>0.47269675925925925</v>
      </c>
      <c r="O514" t="s">
        <v>172</v>
      </c>
      <c r="Q514">
        <v>1141676</v>
      </c>
      <c r="R514">
        <v>1141676</v>
      </c>
      <c r="S514">
        <v>1141663</v>
      </c>
      <c r="T514">
        <v>975</v>
      </c>
      <c r="U514" t="s">
        <v>173</v>
      </c>
      <c r="V514">
        <v>0</v>
      </c>
      <c r="W514" t="s">
        <v>174</v>
      </c>
      <c r="X514">
        <v>1141663</v>
      </c>
      <c r="Z514" t="s">
        <v>175</v>
      </c>
      <c r="AA514" t="s">
        <v>173</v>
      </c>
    </row>
    <row r="515" spans="1:27" x14ac:dyDescent="0.3">
      <c r="A515">
        <v>514</v>
      </c>
      <c r="B515" t="s">
        <v>169</v>
      </c>
      <c r="C515">
        <v>99019875</v>
      </c>
      <c r="D515" s="7" t="s">
        <v>75</v>
      </c>
      <c r="E515" t="s">
        <v>76</v>
      </c>
      <c r="F515" t="s">
        <v>176</v>
      </c>
      <c r="G515" t="s">
        <v>177</v>
      </c>
      <c r="H515" s="133">
        <v>1000</v>
      </c>
      <c r="I515">
        <v>0</v>
      </c>
      <c r="J515">
        <v>1</v>
      </c>
      <c r="K515" s="133">
        <v>21055</v>
      </c>
      <c r="L515" s="133">
        <v>21055</v>
      </c>
      <c r="M515" s="150">
        <v>0.4730787037037037</v>
      </c>
      <c r="N515" s="150">
        <v>0.47309027777777773</v>
      </c>
      <c r="O515" t="s">
        <v>172</v>
      </c>
      <c r="Q515">
        <v>1145010</v>
      </c>
      <c r="R515">
        <v>1145010</v>
      </c>
      <c r="S515">
        <v>1144932</v>
      </c>
      <c r="T515">
        <v>999</v>
      </c>
      <c r="U515" t="s">
        <v>173</v>
      </c>
      <c r="V515">
        <v>0</v>
      </c>
      <c r="W515" t="s">
        <v>174</v>
      </c>
      <c r="X515">
        <v>1144932</v>
      </c>
      <c r="Z515" t="s">
        <v>175</v>
      </c>
      <c r="AA515" t="s">
        <v>173</v>
      </c>
    </row>
    <row r="516" spans="1:27" x14ac:dyDescent="0.3">
      <c r="A516">
        <v>515</v>
      </c>
      <c r="B516" t="s">
        <v>169</v>
      </c>
      <c r="C516">
        <v>99019875</v>
      </c>
      <c r="D516" s="7" t="s">
        <v>62</v>
      </c>
      <c r="E516" t="s">
        <v>63</v>
      </c>
      <c r="F516" t="s">
        <v>170</v>
      </c>
      <c r="G516" t="s">
        <v>177</v>
      </c>
      <c r="H516" s="133">
        <v>1000</v>
      </c>
      <c r="I516">
        <v>0</v>
      </c>
      <c r="J516" s="133">
        <v>1000</v>
      </c>
      <c r="K516" s="133">
        <v>34370</v>
      </c>
      <c r="L516" s="133">
        <v>34370</v>
      </c>
      <c r="M516" s="150">
        <v>0.47317129629629634</v>
      </c>
      <c r="N516" s="150">
        <v>0.47317129629629634</v>
      </c>
      <c r="O516" t="s">
        <v>172</v>
      </c>
      <c r="Q516">
        <v>1145833</v>
      </c>
      <c r="R516">
        <v>1145833</v>
      </c>
      <c r="S516">
        <v>1145812</v>
      </c>
      <c r="T516">
        <v>0</v>
      </c>
      <c r="U516" t="s">
        <v>173</v>
      </c>
      <c r="V516">
        <v>0</v>
      </c>
      <c r="W516" t="s">
        <v>174</v>
      </c>
      <c r="X516">
        <v>1145812</v>
      </c>
      <c r="Z516" t="s">
        <v>175</v>
      </c>
      <c r="AA516" t="s">
        <v>173</v>
      </c>
    </row>
    <row r="517" spans="1:27" x14ac:dyDescent="0.3">
      <c r="A517">
        <v>516</v>
      </c>
      <c r="B517" t="s">
        <v>169</v>
      </c>
      <c r="C517">
        <v>99019875</v>
      </c>
      <c r="D517" s="7" t="s">
        <v>62</v>
      </c>
      <c r="E517" t="s">
        <v>63</v>
      </c>
      <c r="F517" t="s">
        <v>170</v>
      </c>
      <c r="G517" t="s">
        <v>177</v>
      </c>
      <c r="H517" s="133">
        <v>1000</v>
      </c>
      <c r="I517">
        <v>0</v>
      </c>
      <c r="J517" s="133">
        <v>1000</v>
      </c>
      <c r="K517" s="133">
        <v>34370</v>
      </c>
      <c r="L517" s="133">
        <v>34370</v>
      </c>
      <c r="M517" s="150">
        <v>0.47353009259259254</v>
      </c>
      <c r="N517" s="150">
        <v>0.47353009259259254</v>
      </c>
      <c r="O517" t="s">
        <v>172</v>
      </c>
      <c r="Q517">
        <v>1148763</v>
      </c>
      <c r="R517">
        <v>1148763</v>
      </c>
      <c r="S517">
        <v>1148752</v>
      </c>
      <c r="T517">
        <v>0</v>
      </c>
      <c r="U517" t="s">
        <v>173</v>
      </c>
      <c r="V517">
        <v>0</v>
      </c>
      <c r="W517" t="s">
        <v>174</v>
      </c>
      <c r="X517">
        <v>1148752</v>
      </c>
      <c r="Z517" t="s">
        <v>175</v>
      </c>
      <c r="AA517" t="s">
        <v>173</v>
      </c>
    </row>
    <row r="518" spans="1:27" x14ac:dyDescent="0.3">
      <c r="A518">
        <v>517</v>
      </c>
      <c r="B518" t="s">
        <v>169</v>
      </c>
      <c r="C518">
        <v>99019875</v>
      </c>
      <c r="D518" s="7" t="s">
        <v>75</v>
      </c>
      <c r="E518" t="s">
        <v>76</v>
      </c>
      <c r="F518" t="s">
        <v>176</v>
      </c>
      <c r="G518" t="s">
        <v>177</v>
      </c>
      <c r="H518" s="133">
        <v>1000</v>
      </c>
      <c r="I518">
        <v>0</v>
      </c>
      <c r="J518">
        <v>223</v>
      </c>
      <c r="K518" s="133">
        <v>21050</v>
      </c>
      <c r="L518" s="133">
        <v>21050</v>
      </c>
      <c r="M518" s="150">
        <v>0.47358796296296296</v>
      </c>
      <c r="N518" s="150">
        <v>0.47358796296296296</v>
      </c>
      <c r="O518" t="s">
        <v>172</v>
      </c>
      <c r="Q518">
        <v>1149181</v>
      </c>
      <c r="R518">
        <v>1149181</v>
      </c>
      <c r="S518">
        <v>1149176</v>
      </c>
      <c r="T518">
        <v>777</v>
      </c>
      <c r="U518" t="s">
        <v>173</v>
      </c>
      <c r="V518">
        <v>0</v>
      </c>
      <c r="W518" t="s">
        <v>174</v>
      </c>
      <c r="X518">
        <v>1149176</v>
      </c>
      <c r="Z518" t="s">
        <v>175</v>
      </c>
      <c r="AA518" t="s">
        <v>173</v>
      </c>
    </row>
    <row r="519" spans="1:27" x14ac:dyDescent="0.3">
      <c r="A519">
        <v>518</v>
      </c>
      <c r="B519" t="s">
        <v>169</v>
      </c>
      <c r="C519">
        <v>99019875</v>
      </c>
      <c r="D519" s="7" t="s">
        <v>67</v>
      </c>
      <c r="E519" t="s">
        <v>68</v>
      </c>
      <c r="F519" t="s">
        <v>176</v>
      </c>
      <c r="G519" t="s">
        <v>177</v>
      </c>
      <c r="H519" s="133">
        <v>1000</v>
      </c>
      <c r="I519">
        <v>0</v>
      </c>
      <c r="J519">
        <v>36</v>
      </c>
      <c r="K519" s="133">
        <v>4865</v>
      </c>
      <c r="L519" s="133">
        <v>4865</v>
      </c>
      <c r="M519" s="150">
        <v>0.47369212962962964</v>
      </c>
      <c r="N519" s="150">
        <v>0.47371527777777778</v>
      </c>
      <c r="O519" t="s">
        <v>172</v>
      </c>
      <c r="Q519">
        <v>1150046</v>
      </c>
      <c r="R519">
        <v>1150046</v>
      </c>
      <c r="S519">
        <v>1149013</v>
      </c>
      <c r="T519">
        <v>964</v>
      </c>
      <c r="U519" t="s">
        <v>173</v>
      </c>
      <c r="V519">
        <v>0</v>
      </c>
      <c r="W519" t="s">
        <v>174</v>
      </c>
      <c r="X519">
        <v>1149013</v>
      </c>
      <c r="Z519" t="s">
        <v>175</v>
      </c>
      <c r="AA519" t="s">
        <v>173</v>
      </c>
    </row>
    <row r="520" spans="1:27" x14ac:dyDescent="0.3">
      <c r="A520">
        <v>519</v>
      </c>
      <c r="B520" t="s">
        <v>169</v>
      </c>
      <c r="C520">
        <v>99019875</v>
      </c>
      <c r="D520" s="7" t="s">
        <v>62</v>
      </c>
      <c r="E520" t="s">
        <v>63</v>
      </c>
      <c r="F520" t="s">
        <v>170</v>
      </c>
      <c r="G520" t="s">
        <v>177</v>
      </c>
      <c r="H520" s="133">
        <v>1000</v>
      </c>
      <c r="I520">
        <v>0</v>
      </c>
      <c r="J520" s="133">
        <v>1000</v>
      </c>
      <c r="K520" s="133">
        <v>34360</v>
      </c>
      <c r="L520" s="133">
        <v>34360</v>
      </c>
      <c r="M520" s="150">
        <v>0.47388888888888886</v>
      </c>
      <c r="N520" s="150">
        <v>0.47390046296296301</v>
      </c>
      <c r="O520" t="s">
        <v>172</v>
      </c>
      <c r="Q520">
        <v>1151381</v>
      </c>
      <c r="R520">
        <v>1151381</v>
      </c>
      <c r="S520">
        <v>1151374</v>
      </c>
      <c r="T520">
        <v>0</v>
      </c>
      <c r="U520" t="s">
        <v>173</v>
      </c>
      <c r="V520">
        <v>0</v>
      </c>
      <c r="W520" t="s">
        <v>174</v>
      </c>
      <c r="X520">
        <v>1151374</v>
      </c>
      <c r="Z520" t="s">
        <v>175</v>
      </c>
      <c r="AA520" t="s">
        <v>173</v>
      </c>
    </row>
    <row r="521" spans="1:27" x14ac:dyDescent="0.3">
      <c r="A521">
        <v>520</v>
      </c>
      <c r="B521" t="s">
        <v>169</v>
      </c>
      <c r="C521">
        <v>99019875</v>
      </c>
      <c r="D521" s="7" t="s">
        <v>62</v>
      </c>
      <c r="E521" t="s">
        <v>63</v>
      </c>
      <c r="F521" t="s">
        <v>170</v>
      </c>
      <c r="G521" t="s">
        <v>171</v>
      </c>
      <c r="H521" s="133">
        <v>1000</v>
      </c>
      <c r="I521">
        <v>0</v>
      </c>
      <c r="J521" s="133">
        <v>1000</v>
      </c>
      <c r="K521" s="133">
        <v>34300</v>
      </c>
      <c r="L521" s="133">
        <v>34300</v>
      </c>
      <c r="M521" s="150">
        <v>0.47423611111111108</v>
      </c>
      <c r="N521" s="150">
        <v>0.47423611111111108</v>
      </c>
      <c r="O521" t="s">
        <v>172</v>
      </c>
      <c r="Q521">
        <v>1154696</v>
      </c>
      <c r="R521">
        <v>1154696</v>
      </c>
      <c r="S521">
        <v>0</v>
      </c>
      <c r="T521">
        <v>0</v>
      </c>
      <c r="U521" t="s">
        <v>173</v>
      </c>
      <c r="V521">
        <v>0</v>
      </c>
      <c r="W521" t="s">
        <v>174</v>
      </c>
      <c r="X521">
        <v>0</v>
      </c>
      <c r="Z521" t="s">
        <v>175</v>
      </c>
      <c r="AA521" t="s">
        <v>173</v>
      </c>
    </row>
    <row r="522" spans="1:27" x14ac:dyDescent="0.3">
      <c r="A522">
        <v>521</v>
      </c>
      <c r="B522" t="s">
        <v>169</v>
      </c>
      <c r="C522">
        <v>99019875</v>
      </c>
      <c r="D522" s="7" t="s">
        <v>69</v>
      </c>
      <c r="E522" t="s">
        <v>70</v>
      </c>
      <c r="F522" t="s">
        <v>176</v>
      </c>
      <c r="G522" t="s">
        <v>177</v>
      </c>
      <c r="H522" s="133">
        <v>1000</v>
      </c>
      <c r="I522">
        <v>0</v>
      </c>
      <c r="J522">
        <v>250</v>
      </c>
      <c r="K522" s="133">
        <v>10355</v>
      </c>
      <c r="L522" s="133">
        <v>10355</v>
      </c>
      <c r="M522" s="150">
        <v>0.47447916666666662</v>
      </c>
      <c r="N522" s="150">
        <v>0.47460648148148149</v>
      </c>
      <c r="O522" t="s">
        <v>172</v>
      </c>
      <c r="Q522">
        <v>1156552</v>
      </c>
      <c r="R522">
        <v>1156552</v>
      </c>
      <c r="S522">
        <v>1156543</v>
      </c>
      <c r="T522">
        <v>750</v>
      </c>
      <c r="U522" t="s">
        <v>173</v>
      </c>
      <c r="V522">
        <v>0</v>
      </c>
      <c r="W522" t="s">
        <v>174</v>
      </c>
      <c r="X522">
        <v>1156543</v>
      </c>
      <c r="Z522" t="s">
        <v>175</v>
      </c>
      <c r="AA522" t="s">
        <v>173</v>
      </c>
    </row>
    <row r="523" spans="1:27" x14ac:dyDescent="0.3">
      <c r="A523">
        <v>522</v>
      </c>
      <c r="B523" t="s">
        <v>169</v>
      </c>
      <c r="C523">
        <v>99019875</v>
      </c>
      <c r="D523" s="7" t="s">
        <v>69</v>
      </c>
      <c r="E523" t="s">
        <v>70</v>
      </c>
      <c r="F523" t="s">
        <v>176</v>
      </c>
      <c r="G523" t="s">
        <v>177</v>
      </c>
      <c r="H523" s="133">
        <v>1000</v>
      </c>
      <c r="I523">
        <v>0</v>
      </c>
      <c r="J523">
        <v>777</v>
      </c>
      <c r="K523" s="133">
        <v>10355</v>
      </c>
      <c r="L523" s="133">
        <v>10355</v>
      </c>
      <c r="M523" s="150">
        <v>0.47531250000000003</v>
      </c>
      <c r="N523" s="150">
        <v>0.47532407407407407</v>
      </c>
      <c r="O523" t="s">
        <v>172</v>
      </c>
      <c r="Q523">
        <v>1163061</v>
      </c>
      <c r="R523">
        <v>1163061</v>
      </c>
      <c r="S523">
        <v>1162665</v>
      </c>
      <c r="T523">
        <v>223</v>
      </c>
      <c r="U523" t="s">
        <v>173</v>
      </c>
      <c r="V523">
        <v>0</v>
      </c>
      <c r="W523" t="s">
        <v>174</v>
      </c>
      <c r="X523">
        <v>1162665</v>
      </c>
      <c r="Z523" t="s">
        <v>175</v>
      </c>
      <c r="AA523" t="s">
        <v>173</v>
      </c>
    </row>
    <row r="524" spans="1:27" x14ac:dyDescent="0.3">
      <c r="A524">
        <v>523</v>
      </c>
      <c r="B524" t="s">
        <v>169</v>
      </c>
      <c r="C524">
        <v>99019875</v>
      </c>
      <c r="D524" s="7" t="s">
        <v>75</v>
      </c>
      <c r="E524" t="s">
        <v>76</v>
      </c>
      <c r="F524" t="s">
        <v>176</v>
      </c>
      <c r="G524" t="s">
        <v>177</v>
      </c>
      <c r="H524" s="133">
        <v>1000</v>
      </c>
      <c r="I524">
        <v>0</v>
      </c>
      <c r="J524">
        <v>20</v>
      </c>
      <c r="K524" s="133">
        <v>21040</v>
      </c>
      <c r="L524" s="133">
        <v>21045</v>
      </c>
      <c r="M524" s="150">
        <v>0.47533564814814816</v>
      </c>
      <c r="N524" s="150">
        <v>0.47533564814814816</v>
      </c>
      <c r="O524" t="s">
        <v>172</v>
      </c>
      <c r="Q524">
        <v>1163240</v>
      </c>
      <c r="R524">
        <v>1163240</v>
      </c>
      <c r="S524">
        <v>1163220</v>
      </c>
      <c r="T524">
        <v>980</v>
      </c>
      <c r="U524" t="s">
        <v>173</v>
      </c>
      <c r="V524">
        <v>0</v>
      </c>
      <c r="W524" t="s">
        <v>174</v>
      </c>
      <c r="X524">
        <v>1163220</v>
      </c>
      <c r="Z524" t="s">
        <v>175</v>
      </c>
      <c r="AA524" t="s">
        <v>173</v>
      </c>
    </row>
    <row r="525" spans="1:27" x14ac:dyDescent="0.3">
      <c r="A525">
        <v>524</v>
      </c>
      <c r="B525" t="s">
        <v>169</v>
      </c>
      <c r="C525">
        <v>99019875</v>
      </c>
      <c r="D525" s="7" t="s">
        <v>102</v>
      </c>
      <c r="E525" t="s">
        <v>103</v>
      </c>
      <c r="F525" t="s">
        <v>176</v>
      </c>
      <c r="G525" t="s">
        <v>177</v>
      </c>
      <c r="H525" s="133">
        <v>1000</v>
      </c>
      <c r="I525">
        <v>0</v>
      </c>
      <c r="J525">
        <v>515</v>
      </c>
      <c r="K525" s="133">
        <v>27300</v>
      </c>
      <c r="L525" s="133">
        <v>27300</v>
      </c>
      <c r="M525" s="150">
        <v>0.47535879629629635</v>
      </c>
      <c r="N525" s="150">
        <v>0.47535879629629635</v>
      </c>
      <c r="O525" t="s">
        <v>172</v>
      </c>
      <c r="Q525">
        <v>1163463</v>
      </c>
      <c r="R525">
        <v>1163463</v>
      </c>
      <c r="S525">
        <v>1163445</v>
      </c>
      <c r="T525">
        <v>485</v>
      </c>
      <c r="U525" t="s">
        <v>173</v>
      </c>
      <c r="V525">
        <v>0</v>
      </c>
      <c r="W525" t="s">
        <v>174</v>
      </c>
      <c r="X525">
        <v>1163445</v>
      </c>
      <c r="Z525" t="s">
        <v>175</v>
      </c>
      <c r="AA525" t="s">
        <v>173</v>
      </c>
    </row>
    <row r="526" spans="1:27" x14ac:dyDescent="0.3">
      <c r="A526">
        <v>525</v>
      </c>
      <c r="B526" t="s">
        <v>169</v>
      </c>
      <c r="C526">
        <v>99019875</v>
      </c>
      <c r="D526" s="7" t="s">
        <v>69</v>
      </c>
      <c r="E526" t="s">
        <v>70</v>
      </c>
      <c r="F526" t="s">
        <v>176</v>
      </c>
      <c r="G526" t="s">
        <v>177</v>
      </c>
      <c r="H526" s="133">
        <v>1000</v>
      </c>
      <c r="I526">
        <v>0</v>
      </c>
      <c r="J526">
        <v>518</v>
      </c>
      <c r="K526" s="133">
        <v>10355</v>
      </c>
      <c r="L526" s="133">
        <v>10355</v>
      </c>
      <c r="M526" s="150">
        <v>0.47574074074074074</v>
      </c>
      <c r="N526" s="150">
        <v>0.47576388888888888</v>
      </c>
      <c r="O526" t="s">
        <v>172</v>
      </c>
      <c r="Q526">
        <v>1166513</v>
      </c>
      <c r="R526">
        <v>1166513</v>
      </c>
      <c r="S526">
        <v>1165964</v>
      </c>
      <c r="T526">
        <v>482</v>
      </c>
      <c r="U526" t="s">
        <v>173</v>
      </c>
      <c r="V526">
        <v>0</v>
      </c>
      <c r="W526" t="s">
        <v>174</v>
      </c>
      <c r="X526">
        <v>1165964</v>
      </c>
      <c r="Z526" t="s">
        <v>175</v>
      </c>
      <c r="AA526" t="s">
        <v>173</v>
      </c>
    </row>
    <row r="527" spans="1:27" x14ac:dyDescent="0.3">
      <c r="A527">
        <v>526</v>
      </c>
      <c r="B527" t="s">
        <v>169</v>
      </c>
      <c r="C527">
        <v>99019875</v>
      </c>
      <c r="D527" s="7" t="s">
        <v>75</v>
      </c>
      <c r="E527" t="s">
        <v>76</v>
      </c>
      <c r="F527" t="s">
        <v>176</v>
      </c>
      <c r="G527" t="s">
        <v>177</v>
      </c>
      <c r="H527" s="133">
        <v>1000</v>
      </c>
      <c r="I527">
        <v>0</v>
      </c>
      <c r="J527">
        <v>1</v>
      </c>
      <c r="K527" s="133">
        <v>21050</v>
      </c>
      <c r="L527" s="133">
        <v>21050</v>
      </c>
      <c r="M527" s="150">
        <v>0.47593749999999996</v>
      </c>
      <c r="N527" s="150">
        <v>0.47594907407407411</v>
      </c>
      <c r="O527" t="s">
        <v>172</v>
      </c>
      <c r="Q527">
        <v>1167966</v>
      </c>
      <c r="R527">
        <v>1167966</v>
      </c>
      <c r="S527">
        <v>1167474</v>
      </c>
      <c r="T527">
        <v>999</v>
      </c>
      <c r="U527" t="s">
        <v>173</v>
      </c>
      <c r="V527">
        <v>0</v>
      </c>
      <c r="W527" t="s">
        <v>174</v>
      </c>
      <c r="X527">
        <v>1167474</v>
      </c>
      <c r="Z527" t="s">
        <v>175</v>
      </c>
      <c r="AA527" t="s">
        <v>173</v>
      </c>
    </row>
    <row r="528" spans="1:27" x14ac:dyDescent="0.3">
      <c r="A528">
        <v>527</v>
      </c>
      <c r="B528" t="s">
        <v>169</v>
      </c>
      <c r="C528">
        <v>99019875</v>
      </c>
      <c r="D528" s="7" t="s">
        <v>62</v>
      </c>
      <c r="E528" t="s">
        <v>63</v>
      </c>
      <c r="F528" t="s">
        <v>176</v>
      </c>
      <c r="G528" t="s">
        <v>171</v>
      </c>
      <c r="H528" s="133">
        <v>5000</v>
      </c>
      <c r="I528">
        <v>0</v>
      </c>
      <c r="J528" s="133">
        <v>5000</v>
      </c>
      <c r="K528" s="133">
        <v>34345</v>
      </c>
      <c r="L528" s="133">
        <v>34345</v>
      </c>
      <c r="M528" s="150">
        <v>0.47599537037037037</v>
      </c>
      <c r="N528" s="150">
        <v>0.47599537037037037</v>
      </c>
      <c r="O528" t="s">
        <v>172</v>
      </c>
      <c r="Q528">
        <v>1168546</v>
      </c>
      <c r="R528">
        <v>1168546</v>
      </c>
      <c r="S528">
        <v>0</v>
      </c>
      <c r="T528">
        <v>0</v>
      </c>
      <c r="U528" t="s">
        <v>173</v>
      </c>
      <c r="V528">
        <v>0</v>
      </c>
      <c r="W528" t="s">
        <v>174</v>
      </c>
      <c r="X528">
        <v>0</v>
      </c>
      <c r="Z528" t="s">
        <v>173</v>
      </c>
      <c r="AA528" t="s">
        <v>173</v>
      </c>
    </row>
    <row r="529" spans="1:27" x14ac:dyDescent="0.3">
      <c r="A529">
        <v>528</v>
      </c>
      <c r="B529" t="s">
        <v>169</v>
      </c>
      <c r="C529">
        <v>99019875</v>
      </c>
      <c r="D529" s="7" t="s">
        <v>62</v>
      </c>
      <c r="E529" t="s">
        <v>63</v>
      </c>
      <c r="F529" t="s">
        <v>176</v>
      </c>
      <c r="G529" t="s">
        <v>171</v>
      </c>
      <c r="H529" s="133">
        <v>5000</v>
      </c>
      <c r="I529">
        <v>0</v>
      </c>
      <c r="J529" s="133">
        <v>5000</v>
      </c>
      <c r="K529" s="133">
        <v>34355</v>
      </c>
      <c r="L529" s="133">
        <v>34355</v>
      </c>
      <c r="M529" s="150">
        <v>0.47600694444444441</v>
      </c>
      <c r="N529" s="150">
        <v>0.47601851851851856</v>
      </c>
      <c r="O529" t="s">
        <v>172</v>
      </c>
      <c r="Q529">
        <v>1168633</v>
      </c>
      <c r="R529">
        <v>1168633</v>
      </c>
      <c r="S529">
        <v>0</v>
      </c>
      <c r="T529">
        <v>0</v>
      </c>
      <c r="U529" t="s">
        <v>173</v>
      </c>
      <c r="V529">
        <v>0</v>
      </c>
      <c r="W529" t="s">
        <v>174</v>
      </c>
      <c r="X529">
        <v>0</v>
      </c>
      <c r="Z529" t="s">
        <v>173</v>
      </c>
      <c r="AA529" t="s">
        <v>173</v>
      </c>
    </row>
    <row r="530" spans="1:27" x14ac:dyDescent="0.3">
      <c r="A530">
        <v>529</v>
      </c>
      <c r="B530" t="s">
        <v>169</v>
      </c>
      <c r="C530">
        <v>99019875</v>
      </c>
      <c r="D530" s="7" t="s">
        <v>62</v>
      </c>
      <c r="E530" t="s">
        <v>63</v>
      </c>
      <c r="F530" t="s">
        <v>170</v>
      </c>
      <c r="G530" t="s">
        <v>177</v>
      </c>
      <c r="H530" s="133">
        <v>1000</v>
      </c>
      <c r="I530">
        <v>0</v>
      </c>
      <c r="J530" s="133">
        <v>1000</v>
      </c>
      <c r="K530" s="133">
        <v>34350</v>
      </c>
      <c r="L530" s="133">
        <v>34350</v>
      </c>
      <c r="M530" s="150">
        <v>0.47621527777777778</v>
      </c>
      <c r="N530" s="150">
        <v>0.47621527777777778</v>
      </c>
      <c r="O530" t="s">
        <v>172</v>
      </c>
      <c r="Q530">
        <v>1170136</v>
      </c>
      <c r="R530">
        <v>1170136</v>
      </c>
      <c r="S530">
        <v>1170027</v>
      </c>
      <c r="T530">
        <v>0</v>
      </c>
      <c r="U530" t="s">
        <v>173</v>
      </c>
      <c r="V530">
        <v>0</v>
      </c>
      <c r="W530" t="s">
        <v>174</v>
      </c>
      <c r="X530">
        <v>1170027</v>
      </c>
      <c r="Z530" t="s">
        <v>175</v>
      </c>
      <c r="AA530" t="s">
        <v>173</v>
      </c>
    </row>
    <row r="531" spans="1:27" x14ac:dyDescent="0.3">
      <c r="A531">
        <v>530</v>
      </c>
      <c r="B531" t="s">
        <v>169</v>
      </c>
      <c r="C531">
        <v>99019875</v>
      </c>
      <c r="D531" s="7" t="s">
        <v>102</v>
      </c>
      <c r="E531" t="s">
        <v>103</v>
      </c>
      <c r="F531" t="s">
        <v>176</v>
      </c>
      <c r="G531" t="s">
        <v>177</v>
      </c>
      <c r="H531" s="133">
        <v>1000</v>
      </c>
      <c r="I531">
        <v>0</v>
      </c>
      <c r="J531">
        <v>1</v>
      </c>
      <c r="K531" s="133">
        <v>27280</v>
      </c>
      <c r="L531" s="133">
        <v>27280</v>
      </c>
      <c r="M531" s="150">
        <v>0.47638888888888892</v>
      </c>
      <c r="N531" s="150">
        <v>0.47638888888888892</v>
      </c>
      <c r="O531" t="s">
        <v>172</v>
      </c>
      <c r="Q531">
        <v>1171801</v>
      </c>
      <c r="R531">
        <v>1171801</v>
      </c>
      <c r="S531">
        <v>1171657</v>
      </c>
      <c r="T531">
        <v>999</v>
      </c>
      <c r="U531" t="s">
        <v>173</v>
      </c>
      <c r="V531">
        <v>0</v>
      </c>
      <c r="W531" t="s">
        <v>174</v>
      </c>
      <c r="X531">
        <v>1171657</v>
      </c>
      <c r="Z531" t="s">
        <v>175</v>
      </c>
      <c r="AA531" t="s">
        <v>173</v>
      </c>
    </row>
    <row r="532" spans="1:27" x14ac:dyDescent="0.3">
      <c r="A532">
        <v>531</v>
      </c>
      <c r="B532" t="s">
        <v>169</v>
      </c>
      <c r="C532">
        <v>99019875</v>
      </c>
      <c r="D532" s="7" t="s">
        <v>62</v>
      </c>
      <c r="E532" t="s">
        <v>63</v>
      </c>
      <c r="F532" t="s">
        <v>170</v>
      </c>
      <c r="G532" t="s">
        <v>177</v>
      </c>
      <c r="H532" s="133">
        <v>1000</v>
      </c>
      <c r="I532">
        <v>0</v>
      </c>
      <c r="J532" s="133">
        <v>1000</v>
      </c>
      <c r="K532" s="133">
        <v>34310</v>
      </c>
      <c r="L532" s="133">
        <v>34310</v>
      </c>
      <c r="M532" s="150">
        <v>0.47657407407407404</v>
      </c>
      <c r="N532" s="150">
        <v>0.47657407407407404</v>
      </c>
      <c r="O532" t="s">
        <v>172</v>
      </c>
      <c r="Q532">
        <v>1173290</v>
      </c>
      <c r="R532">
        <v>1173290</v>
      </c>
      <c r="S532">
        <v>1173272</v>
      </c>
      <c r="T532">
        <v>0</v>
      </c>
      <c r="U532" t="s">
        <v>173</v>
      </c>
      <c r="V532">
        <v>0</v>
      </c>
      <c r="W532" t="s">
        <v>174</v>
      </c>
      <c r="X532">
        <v>1173272</v>
      </c>
      <c r="Z532" t="s">
        <v>175</v>
      </c>
      <c r="AA532" t="s">
        <v>173</v>
      </c>
    </row>
    <row r="533" spans="1:27" x14ac:dyDescent="0.3">
      <c r="A533">
        <v>532</v>
      </c>
      <c r="B533" t="s">
        <v>169</v>
      </c>
      <c r="C533">
        <v>99019875</v>
      </c>
      <c r="D533" s="7" t="s">
        <v>69</v>
      </c>
      <c r="E533" t="s">
        <v>70</v>
      </c>
      <c r="F533" t="s">
        <v>176</v>
      </c>
      <c r="G533" t="s">
        <v>177</v>
      </c>
      <c r="H533" s="133">
        <v>1000</v>
      </c>
      <c r="I533">
        <v>0</v>
      </c>
      <c r="J533">
        <v>518</v>
      </c>
      <c r="K533" s="133">
        <v>10345</v>
      </c>
      <c r="L533" s="133">
        <v>10345</v>
      </c>
      <c r="M533" s="150">
        <v>0.47687499999999999</v>
      </c>
      <c r="N533" s="150">
        <v>0.47688657407407403</v>
      </c>
      <c r="O533" t="s">
        <v>172</v>
      </c>
      <c r="Q533">
        <v>1175565</v>
      </c>
      <c r="R533">
        <v>1175565</v>
      </c>
      <c r="S533">
        <v>1174852</v>
      </c>
      <c r="T533">
        <v>482</v>
      </c>
      <c r="U533" t="s">
        <v>173</v>
      </c>
      <c r="V533">
        <v>0</v>
      </c>
      <c r="W533" t="s">
        <v>174</v>
      </c>
      <c r="X533">
        <v>1174852</v>
      </c>
      <c r="Z533" t="s">
        <v>175</v>
      </c>
      <c r="AA533" t="s">
        <v>173</v>
      </c>
    </row>
    <row r="534" spans="1:27" x14ac:dyDescent="0.3">
      <c r="A534">
        <v>533</v>
      </c>
      <c r="B534" t="s">
        <v>169</v>
      </c>
      <c r="C534">
        <v>99019875</v>
      </c>
      <c r="D534" s="7" t="s">
        <v>62</v>
      </c>
      <c r="E534" t="s">
        <v>63</v>
      </c>
      <c r="F534" t="s">
        <v>170</v>
      </c>
      <c r="G534" t="s">
        <v>171</v>
      </c>
      <c r="H534" s="133">
        <v>1000</v>
      </c>
      <c r="I534">
        <v>0</v>
      </c>
      <c r="J534" s="133">
        <v>1000</v>
      </c>
      <c r="K534" s="133">
        <v>34310</v>
      </c>
      <c r="L534" s="133">
        <v>34309</v>
      </c>
      <c r="M534" s="150">
        <v>0.47692129629629632</v>
      </c>
      <c r="N534" s="150">
        <v>0.47692129629629632</v>
      </c>
      <c r="O534" t="s">
        <v>172</v>
      </c>
      <c r="Q534">
        <v>1175895</v>
      </c>
      <c r="R534">
        <v>1175895</v>
      </c>
      <c r="S534">
        <v>0</v>
      </c>
      <c r="T534">
        <v>0</v>
      </c>
      <c r="U534" t="s">
        <v>173</v>
      </c>
      <c r="V534">
        <v>0</v>
      </c>
      <c r="W534" t="s">
        <v>174</v>
      </c>
      <c r="X534">
        <v>0</v>
      </c>
      <c r="Z534" t="s">
        <v>175</v>
      </c>
      <c r="AA534" t="s">
        <v>173</v>
      </c>
    </row>
    <row r="535" spans="1:27" x14ac:dyDescent="0.3">
      <c r="A535">
        <v>534</v>
      </c>
      <c r="B535" t="s">
        <v>169</v>
      </c>
      <c r="C535">
        <v>99019875</v>
      </c>
      <c r="D535" s="7" t="s">
        <v>62</v>
      </c>
      <c r="E535" t="s">
        <v>63</v>
      </c>
      <c r="F535" t="s">
        <v>170</v>
      </c>
      <c r="G535" t="s">
        <v>177</v>
      </c>
      <c r="H535" s="133">
        <v>1000</v>
      </c>
      <c r="I535">
        <v>0</v>
      </c>
      <c r="J535" s="133">
        <v>1000</v>
      </c>
      <c r="K535" s="133">
        <v>34285</v>
      </c>
      <c r="L535" s="133">
        <v>34285</v>
      </c>
      <c r="M535" s="150">
        <v>0.47746527777777775</v>
      </c>
      <c r="N535" s="150">
        <v>0.4774768518518519</v>
      </c>
      <c r="O535" t="s">
        <v>172</v>
      </c>
      <c r="Q535">
        <v>1180610</v>
      </c>
      <c r="R535">
        <v>1180610</v>
      </c>
      <c r="S535">
        <v>1180588</v>
      </c>
      <c r="T535">
        <v>0</v>
      </c>
      <c r="U535" t="s">
        <v>173</v>
      </c>
      <c r="V535">
        <v>0</v>
      </c>
      <c r="W535" t="s">
        <v>174</v>
      </c>
      <c r="X535">
        <v>1180588</v>
      </c>
      <c r="Z535" t="s">
        <v>175</v>
      </c>
      <c r="AA535" t="s">
        <v>173</v>
      </c>
    </row>
    <row r="536" spans="1:27" x14ac:dyDescent="0.3">
      <c r="A536">
        <v>535</v>
      </c>
      <c r="B536" t="s">
        <v>169</v>
      </c>
      <c r="C536">
        <v>99019875</v>
      </c>
      <c r="D536" s="7" t="s">
        <v>62</v>
      </c>
      <c r="E536" t="s">
        <v>63</v>
      </c>
      <c r="F536" t="s">
        <v>170</v>
      </c>
      <c r="G536" t="s">
        <v>177</v>
      </c>
      <c r="H536" s="133">
        <v>1000</v>
      </c>
      <c r="I536">
        <v>0</v>
      </c>
      <c r="J536" s="133">
        <v>1000</v>
      </c>
      <c r="K536" s="133">
        <v>34285</v>
      </c>
      <c r="L536" s="133">
        <v>34285</v>
      </c>
      <c r="M536" s="150">
        <v>0.47782407407407407</v>
      </c>
      <c r="N536" s="150">
        <v>0.47783564814814811</v>
      </c>
      <c r="O536" t="s">
        <v>172</v>
      </c>
      <c r="Q536">
        <v>1183557</v>
      </c>
      <c r="R536">
        <v>1183557</v>
      </c>
      <c r="S536">
        <v>1183540</v>
      </c>
      <c r="T536">
        <v>0</v>
      </c>
      <c r="U536" t="s">
        <v>173</v>
      </c>
      <c r="V536">
        <v>0</v>
      </c>
      <c r="W536" t="s">
        <v>174</v>
      </c>
      <c r="X536">
        <v>1183540</v>
      </c>
      <c r="Z536" t="s">
        <v>175</v>
      </c>
      <c r="AA536" t="s">
        <v>173</v>
      </c>
    </row>
    <row r="537" spans="1:27" x14ac:dyDescent="0.3">
      <c r="A537">
        <v>536</v>
      </c>
      <c r="B537" t="s">
        <v>169</v>
      </c>
      <c r="C537">
        <v>99019875</v>
      </c>
      <c r="D537" s="7" t="s">
        <v>62</v>
      </c>
      <c r="E537" t="s">
        <v>63</v>
      </c>
      <c r="F537" t="s">
        <v>170</v>
      </c>
      <c r="G537" t="s">
        <v>177</v>
      </c>
      <c r="H537" s="133">
        <v>1000</v>
      </c>
      <c r="I537">
        <v>0</v>
      </c>
      <c r="J537">
        <v>655</v>
      </c>
      <c r="K537" s="133">
        <v>34280</v>
      </c>
      <c r="L537" s="133">
        <v>34280</v>
      </c>
      <c r="M537" s="150">
        <v>0.47819444444444442</v>
      </c>
      <c r="N537" s="150">
        <v>0.47820601851851857</v>
      </c>
      <c r="O537" t="s">
        <v>172</v>
      </c>
      <c r="Q537">
        <v>1186168</v>
      </c>
      <c r="R537">
        <v>1186168</v>
      </c>
      <c r="S537">
        <v>1186101</v>
      </c>
      <c r="T537">
        <v>345</v>
      </c>
      <c r="U537" t="s">
        <v>173</v>
      </c>
      <c r="V537">
        <v>0</v>
      </c>
      <c r="W537" t="s">
        <v>174</v>
      </c>
      <c r="X537">
        <v>1186101</v>
      </c>
      <c r="Z537" t="s">
        <v>175</v>
      </c>
      <c r="AA537" t="s">
        <v>173</v>
      </c>
    </row>
    <row r="538" spans="1:27" x14ac:dyDescent="0.3">
      <c r="A538">
        <v>537</v>
      </c>
      <c r="B538" t="s">
        <v>169</v>
      </c>
      <c r="C538">
        <v>99019875</v>
      </c>
      <c r="D538" s="7" t="s">
        <v>62</v>
      </c>
      <c r="E538" t="s">
        <v>63</v>
      </c>
      <c r="F538" t="s">
        <v>170</v>
      </c>
      <c r="G538" t="s">
        <v>177</v>
      </c>
      <c r="H538" s="133">
        <v>1000</v>
      </c>
      <c r="I538">
        <v>0</v>
      </c>
      <c r="J538" s="133">
        <v>1000</v>
      </c>
      <c r="K538" s="133">
        <v>34285</v>
      </c>
      <c r="L538" s="133">
        <v>34285</v>
      </c>
      <c r="M538" s="150">
        <v>0.4788310185185185</v>
      </c>
      <c r="N538" s="150">
        <v>0.4788310185185185</v>
      </c>
      <c r="O538" t="s">
        <v>172</v>
      </c>
      <c r="Q538">
        <v>1190932</v>
      </c>
      <c r="R538">
        <v>1190932</v>
      </c>
      <c r="S538">
        <v>1190923</v>
      </c>
      <c r="T538">
        <v>0</v>
      </c>
      <c r="U538" t="s">
        <v>173</v>
      </c>
      <c r="V538">
        <v>0</v>
      </c>
      <c r="W538" t="s">
        <v>174</v>
      </c>
      <c r="X538">
        <v>1190923</v>
      </c>
      <c r="Z538" t="s">
        <v>175</v>
      </c>
      <c r="AA538" t="s">
        <v>173</v>
      </c>
    </row>
    <row r="539" spans="1:27" x14ac:dyDescent="0.3">
      <c r="A539">
        <v>538</v>
      </c>
      <c r="B539" t="s">
        <v>169</v>
      </c>
      <c r="C539">
        <v>99019875</v>
      </c>
      <c r="D539" s="7" t="s">
        <v>102</v>
      </c>
      <c r="E539" t="s">
        <v>103</v>
      </c>
      <c r="F539" t="s">
        <v>176</v>
      </c>
      <c r="G539" t="s">
        <v>177</v>
      </c>
      <c r="H539" s="133">
        <v>1000</v>
      </c>
      <c r="I539">
        <v>0</v>
      </c>
      <c r="J539">
        <v>1</v>
      </c>
      <c r="K539" s="133">
        <v>27290</v>
      </c>
      <c r="L539" s="133">
        <v>27290</v>
      </c>
      <c r="M539" s="150">
        <v>0.47903935185185187</v>
      </c>
      <c r="N539" s="150">
        <v>0.47905092592592591</v>
      </c>
      <c r="O539" t="s">
        <v>172</v>
      </c>
      <c r="Q539">
        <v>1192676</v>
      </c>
      <c r="R539">
        <v>1192676</v>
      </c>
      <c r="S539">
        <v>1192629</v>
      </c>
      <c r="T539">
        <v>999</v>
      </c>
      <c r="U539" t="s">
        <v>173</v>
      </c>
      <c r="V539">
        <v>0</v>
      </c>
      <c r="W539" t="s">
        <v>174</v>
      </c>
      <c r="X539">
        <v>1192629</v>
      </c>
      <c r="Z539" t="s">
        <v>175</v>
      </c>
      <c r="AA539" t="s">
        <v>173</v>
      </c>
    </row>
    <row r="540" spans="1:27" x14ac:dyDescent="0.3">
      <c r="A540">
        <v>539</v>
      </c>
      <c r="B540" t="s">
        <v>169</v>
      </c>
      <c r="C540">
        <v>99019875</v>
      </c>
      <c r="D540" s="7" t="s">
        <v>75</v>
      </c>
      <c r="E540" t="s">
        <v>76</v>
      </c>
      <c r="F540" t="s">
        <v>176</v>
      </c>
      <c r="G540" t="s">
        <v>177</v>
      </c>
      <c r="H540" s="133">
        <v>1000</v>
      </c>
      <c r="I540">
        <v>0</v>
      </c>
      <c r="J540">
        <v>115</v>
      </c>
      <c r="K540" s="133">
        <v>21010</v>
      </c>
      <c r="L540" s="133">
        <v>21010</v>
      </c>
      <c r="M540" s="150">
        <v>0.47947916666666668</v>
      </c>
      <c r="N540" s="150">
        <v>0.47949074074074072</v>
      </c>
      <c r="O540" t="s">
        <v>172</v>
      </c>
      <c r="Q540">
        <v>1197166</v>
      </c>
      <c r="R540">
        <v>1197166</v>
      </c>
      <c r="S540">
        <v>1197158</v>
      </c>
      <c r="T540">
        <v>885</v>
      </c>
      <c r="U540" t="s">
        <v>173</v>
      </c>
      <c r="V540">
        <v>0</v>
      </c>
      <c r="W540" t="s">
        <v>174</v>
      </c>
      <c r="X540">
        <v>1197158</v>
      </c>
      <c r="Z540" t="s">
        <v>175</v>
      </c>
      <c r="AA540" t="s">
        <v>173</v>
      </c>
    </row>
    <row r="541" spans="1:27" x14ac:dyDescent="0.3">
      <c r="A541">
        <v>540</v>
      </c>
      <c r="B541" t="s">
        <v>169</v>
      </c>
      <c r="C541">
        <v>99019875</v>
      </c>
      <c r="D541" s="7" t="s">
        <v>96</v>
      </c>
      <c r="E541" t="s">
        <v>97</v>
      </c>
      <c r="F541" t="s">
        <v>176</v>
      </c>
      <c r="G541" t="s">
        <v>177</v>
      </c>
      <c r="H541" s="133">
        <v>1000</v>
      </c>
      <c r="I541">
        <v>0</v>
      </c>
      <c r="J541">
        <v>9</v>
      </c>
      <c r="K541" s="133">
        <v>8315</v>
      </c>
      <c r="L541" s="133">
        <v>8315</v>
      </c>
      <c r="M541" s="150">
        <v>0.48015046296296293</v>
      </c>
      <c r="N541" s="150">
        <v>0.48015046296296293</v>
      </c>
      <c r="O541" t="s">
        <v>172</v>
      </c>
      <c r="Q541">
        <v>1203756</v>
      </c>
      <c r="R541">
        <v>1203756</v>
      </c>
      <c r="S541">
        <v>1203357</v>
      </c>
      <c r="T541">
        <v>991</v>
      </c>
      <c r="U541" t="s">
        <v>173</v>
      </c>
      <c r="V541">
        <v>0</v>
      </c>
      <c r="W541" t="s">
        <v>174</v>
      </c>
      <c r="X541">
        <v>1203357</v>
      </c>
      <c r="Z541" t="s">
        <v>175</v>
      </c>
      <c r="AA541" t="s">
        <v>173</v>
      </c>
    </row>
    <row r="542" spans="1:27" x14ac:dyDescent="0.3">
      <c r="A542">
        <v>541</v>
      </c>
      <c r="B542" t="s">
        <v>169</v>
      </c>
      <c r="C542">
        <v>99019875</v>
      </c>
      <c r="D542" s="7" t="s">
        <v>75</v>
      </c>
      <c r="E542" t="s">
        <v>76</v>
      </c>
      <c r="F542" t="s">
        <v>176</v>
      </c>
      <c r="G542" t="s">
        <v>177</v>
      </c>
      <c r="H542" s="133">
        <v>1000</v>
      </c>
      <c r="I542">
        <v>0</v>
      </c>
      <c r="J542">
        <v>1</v>
      </c>
      <c r="K542" s="133">
        <v>21010</v>
      </c>
      <c r="L542" s="133">
        <v>21010</v>
      </c>
      <c r="M542" s="150">
        <v>0.4810532407407408</v>
      </c>
      <c r="N542" s="150">
        <v>0.48106481481481483</v>
      </c>
      <c r="O542" t="s">
        <v>172</v>
      </c>
      <c r="Q542">
        <v>1212669</v>
      </c>
      <c r="R542">
        <v>1212669</v>
      </c>
      <c r="S542">
        <v>1212479</v>
      </c>
      <c r="T542">
        <v>999</v>
      </c>
      <c r="U542" t="s">
        <v>173</v>
      </c>
      <c r="V542">
        <v>0</v>
      </c>
      <c r="W542" t="s">
        <v>174</v>
      </c>
      <c r="X542">
        <v>1212479</v>
      </c>
      <c r="Z542" t="s">
        <v>175</v>
      </c>
      <c r="AA542" t="s">
        <v>173</v>
      </c>
    </row>
    <row r="543" spans="1:27" x14ac:dyDescent="0.3">
      <c r="A543">
        <v>542</v>
      </c>
      <c r="B543" t="s">
        <v>169</v>
      </c>
      <c r="C543">
        <v>99019875</v>
      </c>
      <c r="D543" s="7" t="s">
        <v>69</v>
      </c>
      <c r="E543" t="s">
        <v>70</v>
      </c>
      <c r="F543" t="s">
        <v>176</v>
      </c>
      <c r="G543" t="s">
        <v>177</v>
      </c>
      <c r="H543" s="133">
        <v>1000</v>
      </c>
      <c r="I543">
        <v>0</v>
      </c>
      <c r="J543">
        <v>777</v>
      </c>
      <c r="K543" s="133">
        <v>10305</v>
      </c>
      <c r="L543" s="133">
        <v>10305</v>
      </c>
      <c r="M543" s="150">
        <v>0.48138888888888887</v>
      </c>
      <c r="N543" s="150">
        <v>0.48140046296296296</v>
      </c>
      <c r="O543" t="s">
        <v>172</v>
      </c>
      <c r="Q543">
        <v>1215420</v>
      </c>
      <c r="R543">
        <v>1215420</v>
      </c>
      <c r="S543">
        <v>1214865</v>
      </c>
      <c r="T543">
        <v>223</v>
      </c>
      <c r="U543" t="s">
        <v>173</v>
      </c>
      <c r="V543">
        <v>0</v>
      </c>
      <c r="W543" t="s">
        <v>174</v>
      </c>
      <c r="X543">
        <v>1214865</v>
      </c>
      <c r="Z543" t="s">
        <v>175</v>
      </c>
      <c r="AA543" t="s">
        <v>173</v>
      </c>
    </row>
    <row r="544" spans="1:27" x14ac:dyDescent="0.3">
      <c r="A544">
        <v>543</v>
      </c>
      <c r="B544" t="s">
        <v>169</v>
      </c>
      <c r="C544">
        <v>99019875</v>
      </c>
      <c r="D544" s="7" t="s">
        <v>69</v>
      </c>
      <c r="E544" t="s">
        <v>70</v>
      </c>
      <c r="F544" t="s">
        <v>176</v>
      </c>
      <c r="G544" t="s">
        <v>177</v>
      </c>
      <c r="H544" s="133">
        <v>1000</v>
      </c>
      <c r="I544">
        <v>0</v>
      </c>
      <c r="J544">
        <v>777</v>
      </c>
      <c r="K544" s="133">
        <v>10305</v>
      </c>
      <c r="L544" s="133">
        <v>10305</v>
      </c>
      <c r="M544" s="150">
        <v>0.48181712962962964</v>
      </c>
      <c r="N544" s="150">
        <v>0.48182870370370368</v>
      </c>
      <c r="O544" t="s">
        <v>172</v>
      </c>
      <c r="Q544">
        <v>1218409</v>
      </c>
      <c r="R544">
        <v>1218409</v>
      </c>
      <c r="S544">
        <v>1218123</v>
      </c>
      <c r="T544">
        <v>223</v>
      </c>
      <c r="U544" t="s">
        <v>173</v>
      </c>
      <c r="V544">
        <v>0</v>
      </c>
      <c r="W544" t="s">
        <v>174</v>
      </c>
      <c r="X544">
        <v>1218123</v>
      </c>
      <c r="Z544" t="s">
        <v>175</v>
      </c>
      <c r="AA544" t="s">
        <v>173</v>
      </c>
    </row>
    <row r="545" spans="1:27" x14ac:dyDescent="0.3">
      <c r="A545">
        <v>544</v>
      </c>
      <c r="B545" t="s">
        <v>169</v>
      </c>
      <c r="C545">
        <v>99019875</v>
      </c>
      <c r="D545" s="7" t="s">
        <v>102</v>
      </c>
      <c r="E545" t="s">
        <v>103</v>
      </c>
      <c r="F545" t="s">
        <v>176</v>
      </c>
      <c r="G545" t="s">
        <v>177</v>
      </c>
      <c r="H545" s="133">
        <v>1000</v>
      </c>
      <c r="I545">
        <v>0</v>
      </c>
      <c r="J545">
        <v>12</v>
      </c>
      <c r="K545" s="133">
        <v>27275</v>
      </c>
      <c r="L545" s="133">
        <v>27275</v>
      </c>
      <c r="M545" s="150">
        <v>0.48237268518518522</v>
      </c>
      <c r="N545" s="150">
        <v>0.48238425925925926</v>
      </c>
      <c r="O545" t="s">
        <v>172</v>
      </c>
      <c r="Q545">
        <v>1222162</v>
      </c>
      <c r="R545">
        <v>1222162</v>
      </c>
      <c r="S545">
        <v>1221963</v>
      </c>
      <c r="T545">
        <v>988</v>
      </c>
      <c r="U545" t="s">
        <v>173</v>
      </c>
      <c r="V545">
        <v>0</v>
      </c>
      <c r="W545" t="s">
        <v>174</v>
      </c>
      <c r="X545">
        <v>1221963</v>
      </c>
      <c r="Z545" t="s">
        <v>175</v>
      </c>
      <c r="AA545" t="s">
        <v>173</v>
      </c>
    </row>
    <row r="546" spans="1:27" x14ac:dyDescent="0.3">
      <c r="A546">
        <v>545</v>
      </c>
      <c r="B546" t="s">
        <v>169</v>
      </c>
      <c r="C546">
        <v>99019875</v>
      </c>
      <c r="D546" s="7" t="s">
        <v>69</v>
      </c>
      <c r="E546" t="s">
        <v>70</v>
      </c>
      <c r="F546" t="s">
        <v>176</v>
      </c>
      <c r="G546" t="s">
        <v>177</v>
      </c>
      <c r="H546" s="133">
        <v>1000</v>
      </c>
      <c r="I546">
        <v>0</v>
      </c>
      <c r="J546">
        <v>32</v>
      </c>
      <c r="K546" s="133">
        <v>10300</v>
      </c>
      <c r="L546" s="133">
        <v>10300</v>
      </c>
      <c r="M546" s="150">
        <v>0.48269675925925926</v>
      </c>
      <c r="N546" s="150">
        <v>0.48270833333333335</v>
      </c>
      <c r="O546" t="s">
        <v>172</v>
      </c>
      <c r="Q546">
        <v>1225390</v>
      </c>
      <c r="R546">
        <v>1225390</v>
      </c>
      <c r="S546">
        <v>1225191</v>
      </c>
      <c r="T546">
        <v>968</v>
      </c>
      <c r="U546" t="s">
        <v>173</v>
      </c>
      <c r="V546">
        <v>0</v>
      </c>
      <c r="W546" t="s">
        <v>174</v>
      </c>
      <c r="X546">
        <v>1225191</v>
      </c>
      <c r="Z546" t="s">
        <v>175</v>
      </c>
      <c r="AA546" t="s">
        <v>173</v>
      </c>
    </row>
    <row r="547" spans="1:27" x14ac:dyDescent="0.3">
      <c r="A547">
        <v>546</v>
      </c>
      <c r="B547" t="s">
        <v>169</v>
      </c>
      <c r="C547">
        <v>99019875</v>
      </c>
      <c r="D547" s="7" t="s">
        <v>69</v>
      </c>
      <c r="E547" t="s">
        <v>70</v>
      </c>
      <c r="F547" t="s">
        <v>176</v>
      </c>
      <c r="G547" t="s">
        <v>171</v>
      </c>
      <c r="H547" s="133">
        <v>1000</v>
      </c>
      <c r="I547">
        <v>0</v>
      </c>
      <c r="J547">
        <v>550</v>
      </c>
      <c r="K547" s="133">
        <v>10300</v>
      </c>
      <c r="L547" s="133">
        <v>10300</v>
      </c>
      <c r="M547" s="150">
        <v>0.48304398148148148</v>
      </c>
      <c r="N547" s="150">
        <v>0.48306712962962961</v>
      </c>
      <c r="O547" t="s">
        <v>172</v>
      </c>
      <c r="Q547">
        <v>1230483</v>
      </c>
      <c r="R547">
        <v>1230483</v>
      </c>
      <c r="S547">
        <v>0</v>
      </c>
      <c r="T547">
        <v>450</v>
      </c>
      <c r="U547" t="s">
        <v>173</v>
      </c>
      <c r="V547">
        <v>0</v>
      </c>
      <c r="W547" t="s">
        <v>174</v>
      </c>
      <c r="X547">
        <v>0</v>
      </c>
      <c r="Z547" t="s">
        <v>175</v>
      </c>
      <c r="AA547" t="s">
        <v>173</v>
      </c>
    </row>
    <row r="548" spans="1:27" x14ac:dyDescent="0.3">
      <c r="A548">
        <v>547</v>
      </c>
      <c r="B548" t="s">
        <v>169</v>
      </c>
      <c r="C548">
        <v>99019875</v>
      </c>
      <c r="D548" s="7" t="s">
        <v>69</v>
      </c>
      <c r="E548" t="s">
        <v>70</v>
      </c>
      <c r="F548" t="s">
        <v>176</v>
      </c>
      <c r="G548" t="s">
        <v>171</v>
      </c>
      <c r="H548" s="133">
        <v>1000</v>
      </c>
      <c r="I548">
        <v>0</v>
      </c>
      <c r="J548">
        <v>32</v>
      </c>
      <c r="K548" s="133">
        <v>10300</v>
      </c>
      <c r="L548" s="133">
        <v>10300</v>
      </c>
      <c r="M548" s="150">
        <v>0.48340277777777779</v>
      </c>
      <c r="N548" s="150">
        <v>0.48342592592592593</v>
      </c>
      <c r="O548" t="s">
        <v>172</v>
      </c>
      <c r="Q548">
        <v>1233914</v>
      </c>
      <c r="R548">
        <v>1233914</v>
      </c>
      <c r="S548">
        <v>0</v>
      </c>
      <c r="T548">
        <v>968</v>
      </c>
      <c r="U548" t="s">
        <v>173</v>
      </c>
      <c r="V548">
        <v>0</v>
      </c>
      <c r="W548" t="s">
        <v>174</v>
      </c>
      <c r="X548">
        <v>0</v>
      </c>
      <c r="Z548" t="s">
        <v>175</v>
      </c>
      <c r="AA548" t="s">
        <v>173</v>
      </c>
    </row>
    <row r="549" spans="1:27" x14ac:dyDescent="0.3">
      <c r="A549">
        <v>548</v>
      </c>
      <c r="B549" t="s">
        <v>169</v>
      </c>
      <c r="C549">
        <v>99019875</v>
      </c>
      <c r="D549" s="7" t="s">
        <v>69</v>
      </c>
      <c r="E549" t="s">
        <v>70</v>
      </c>
      <c r="F549" t="s">
        <v>176</v>
      </c>
      <c r="G549" t="s">
        <v>171</v>
      </c>
      <c r="H549" s="133">
        <v>1000</v>
      </c>
      <c r="I549">
        <v>0</v>
      </c>
      <c r="J549">
        <v>35</v>
      </c>
      <c r="K549" s="133">
        <v>10300</v>
      </c>
      <c r="L549" s="133">
        <v>10300</v>
      </c>
      <c r="M549" s="150">
        <v>0.48376157407407411</v>
      </c>
      <c r="N549" s="150">
        <v>0.48378472222222224</v>
      </c>
      <c r="O549" t="s">
        <v>172</v>
      </c>
      <c r="Q549">
        <v>1236717</v>
      </c>
      <c r="R549">
        <v>1236717</v>
      </c>
      <c r="S549">
        <v>0</v>
      </c>
      <c r="T549">
        <v>965</v>
      </c>
      <c r="U549" t="s">
        <v>173</v>
      </c>
      <c r="V549">
        <v>0</v>
      </c>
      <c r="W549" t="s">
        <v>174</v>
      </c>
      <c r="X549">
        <v>0</v>
      </c>
      <c r="Z549" t="s">
        <v>175</v>
      </c>
      <c r="AA549" t="s">
        <v>173</v>
      </c>
    </row>
    <row r="550" spans="1:27" x14ac:dyDescent="0.3">
      <c r="A550">
        <v>549</v>
      </c>
      <c r="B550" t="s">
        <v>169</v>
      </c>
      <c r="C550">
        <v>99019875</v>
      </c>
      <c r="D550" s="7" t="s">
        <v>69</v>
      </c>
      <c r="E550" t="s">
        <v>70</v>
      </c>
      <c r="F550" t="s">
        <v>176</v>
      </c>
      <c r="G550" t="s">
        <v>177</v>
      </c>
      <c r="H550" s="133">
        <v>1000</v>
      </c>
      <c r="I550">
        <v>0</v>
      </c>
      <c r="J550">
        <v>239</v>
      </c>
      <c r="K550" s="133">
        <v>10290</v>
      </c>
      <c r="L550" s="133">
        <v>10290</v>
      </c>
      <c r="M550" s="150">
        <v>0.48593749999999997</v>
      </c>
      <c r="N550" s="150">
        <v>0.48597222222222225</v>
      </c>
      <c r="O550" t="s">
        <v>172</v>
      </c>
      <c r="Q550">
        <v>1255434</v>
      </c>
      <c r="R550">
        <v>1255434</v>
      </c>
      <c r="S550">
        <v>1255139</v>
      </c>
      <c r="T550">
        <v>761</v>
      </c>
      <c r="U550" t="s">
        <v>173</v>
      </c>
      <c r="V550">
        <v>0</v>
      </c>
      <c r="W550" t="s">
        <v>174</v>
      </c>
      <c r="X550">
        <v>1255139</v>
      </c>
      <c r="Z550" t="s">
        <v>175</v>
      </c>
      <c r="AA550" t="s">
        <v>173</v>
      </c>
    </row>
    <row r="551" spans="1:27" x14ac:dyDescent="0.3">
      <c r="A551">
        <v>550</v>
      </c>
      <c r="B551" t="s">
        <v>169</v>
      </c>
      <c r="C551">
        <v>99019875</v>
      </c>
      <c r="D551" s="7" t="s">
        <v>114</v>
      </c>
      <c r="E551" t="s">
        <v>115</v>
      </c>
      <c r="F551" t="s">
        <v>176</v>
      </c>
      <c r="G551" t="s">
        <v>177</v>
      </c>
      <c r="H551" s="133">
        <v>1000</v>
      </c>
      <c r="I551">
        <v>0</v>
      </c>
      <c r="J551">
        <v>2</v>
      </c>
      <c r="K551" s="133">
        <v>54170</v>
      </c>
      <c r="L551" s="133">
        <v>54170</v>
      </c>
      <c r="M551" s="150">
        <v>0.48659722222222218</v>
      </c>
      <c r="N551" s="150">
        <v>0.48660879629629633</v>
      </c>
      <c r="O551" t="s">
        <v>172</v>
      </c>
      <c r="Q551">
        <v>1261273</v>
      </c>
      <c r="R551">
        <v>1261273</v>
      </c>
      <c r="S551">
        <v>1261240</v>
      </c>
      <c r="T551">
        <v>998</v>
      </c>
      <c r="U551" t="s">
        <v>173</v>
      </c>
      <c r="V551">
        <v>0</v>
      </c>
      <c r="W551" t="s">
        <v>174</v>
      </c>
      <c r="X551">
        <v>1261240</v>
      </c>
      <c r="Z551" t="s">
        <v>175</v>
      </c>
      <c r="AA551" t="s">
        <v>173</v>
      </c>
    </row>
    <row r="552" spans="1:27" x14ac:dyDescent="0.3">
      <c r="A552">
        <v>551</v>
      </c>
      <c r="B552" t="s">
        <v>169</v>
      </c>
      <c r="C552">
        <v>99019875</v>
      </c>
      <c r="D552" s="7" t="s">
        <v>69</v>
      </c>
      <c r="E552" t="s">
        <v>70</v>
      </c>
      <c r="F552" t="s">
        <v>176</v>
      </c>
      <c r="G552" t="s">
        <v>177</v>
      </c>
      <c r="H552" s="133">
        <v>1000</v>
      </c>
      <c r="I552">
        <v>0</v>
      </c>
      <c r="J552">
        <v>1</v>
      </c>
      <c r="K552" s="133">
        <v>10300</v>
      </c>
      <c r="L552" s="133">
        <v>10300</v>
      </c>
      <c r="M552" s="150">
        <v>0.48729166666666668</v>
      </c>
      <c r="N552" s="150">
        <v>0.48729166666666668</v>
      </c>
      <c r="O552" t="s">
        <v>172</v>
      </c>
      <c r="Q552">
        <v>1266172</v>
      </c>
      <c r="R552">
        <v>1266172</v>
      </c>
      <c r="S552">
        <v>1265790</v>
      </c>
      <c r="T552">
        <v>999</v>
      </c>
      <c r="U552" t="s">
        <v>173</v>
      </c>
      <c r="V552">
        <v>0</v>
      </c>
      <c r="W552" t="s">
        <v>174</v>
      </c>
      <c r="X552">
        <v>1265790</v>
      </c>
      <c r="Z552" t="s">
        <v>175</v>
      </c>
      <c r="AA552" t="s">
        <v>173</v>
      </c>
    </row>
    <row r="553" spans="1:27" x14ac:dyDescent="0.3">
      <c r="A553">
        <v>552</v>
      </c>
      <c r="B553" t="s">
        <v>169</v>
      </c>
      <c r="C553">
        <v>99019875</v>
      </c>
      <c r="D553" s="7" t="s">
        <v>108</v>
      </c>
      <c r="E553" t="s">
        <v>109</v>
      </c>
      <c r="F553" t="s">
        <v>176</v>
      </c>
      <c r="G553" t="s">
        <v>177</v>
      </c>
      <c r="H553" s="133">
        <v>1000</v>
      </c>
      <c r="I553">
        <v>0</v>
      </c>
      <c r="J553">
        <v>13</v>
      </c>
      <c r="K553" s="133">
        <v>2730</v>
      </c>
      <c r="L553" s="133">
        <v>2730</v>
      </c>
      <c r="M553" s="150">
        <v>0.48762731481481486</v>
      </c>
      <c r="N553" s="150">
        <v>0.49869212962962961</v>
      </c>
      <c r="O553" t="s">
        <v>172</v>
      </c>
      <c r="Q553">
        <v>1268540</v>
      </c>
      <c r="R553">
        <v>1268540</v>
      </c>
      <c r="S553">
        <v>1268513</v>
      </c>
      <c r="T553">
        <v>987</v>
      </c>
      <c r="U553" t="s">
        <v>173</v>
      </c>
      <c r="V553">
        <v>0</v>
      </c>
      <c r="W553" t="s">
        <v>174</v>
      </c>
      <c r="X553">
        <v>1268513</v>
      </c>
      <c r="Z553" t="s">
        <v>175</v>
      </c>
      <c r="AA553" t="s">
        <v>173</v>
      </c>
    </row>
    <row r="554" spans="1:27" x14ac:dyDescent="0.3">
      <c r="A554">
        <v>553</v>
      </c>
      <c r="B554" t="s">
        <v>169</v>
      </c>
      <c r="C554">
        <v>99019875</v>
      </c>
      <c r="D554" s="7" t="s">
        <v>69</v>
      </c>
      <c r="E554" t="s">
        <v>70</v>
      </c>
      <c r="F554" t="s">
        <v>176</v>
      </c>
      <c r="G554" t="s">
        <v>177</v>
      </c>
      <c r="H554" s="133">
        <v>1000</v>
      </c>
      <c r="I554">
        <v>0</v>
      </c>
      <c r="J554" s="133">
        <v>1000</v>
      </c>
      <c r="K554" s="133">
        <v>10300</v>
      </c>
      <c r="L554" s="133">
        <v>10300</v>
      </c>
      <c r="M554" s="150">
        <v>0.48766203703703703</v>
      </c>
      <c r="N554" s="150">
        <v>0.48766203703703703</v>
      </c>
      <c r="O554" t="s">
        <v>172</v>
      </c>
      <c r="Q554">
        <v>1268749</v>
      </c>
      <c r="R554">
        <v>1268749</v>
      </c>
      <c r="S554">
        <v>1268717</v>
      </c>
      <c r="T554">
        <v>0</v>
      </c>
      <c r="U554" t="s">
        <v>173</v>
      </c>
      <c r="V554">
        <v>0</v>
      </c>
      <c r="W554" t="s">
        <v>174</v>
      </c>
      <c r="X554">
        <v>1268717</v>
      </c>
      <c r="Z554" t="s">
        <v>175</v>
      </c>
      <c r="AA554" t="s">
        <v>173</v>
      </c>
    </row>
    <row r="555" spans="1:27" x14ac:dyDescent="0.3">
      <c r="A555">
        <v>554</v>
      </c>
      <c r="B555" t="s">
        <v>169</v>
      </c>
      <c r="C555">
        <v>99019875</v>
      </c>
      <c r="D555" s="7" t="s">
        <v>114</v>
      </c>
      <c r="E555" t="s">
        <v>115</v>
      </c>
      <c r="F555" t="s">
        <v>176</v>
      </c>
      <c r="G555" t="s">
        <v>177</v>
      </c>
      <c r="H555" s="133">
        <v>1000</v>
      </c>
      <c r="I555">
        <v>0</v>
      </c>
      <c r="J555">
        <v>9</v>
      </c>
      <c r="K555" s="133">
        <v>54195</v>
      </c>
      <c r="L555" s="133">
        <v>54195</v>
      </c>
      <c r="M555" s="150">
        <v>0.48890046296296297</v>
      </c>
      <c r="N555" s="150">
        <v>0.48890046296296297</v>
      </c>
      <c r="O555" t="s">
        <v>172</v>
      </c>
      <c r="Q555">
        <v>1277195</v>
      </c>
      <c r="R555">
        <v>1277195</v>
      </c>
      <c r="S555">
        <v>1277185</v>
      </c>
      <c r="T555">
        <v>991</v>
      </c>
      <c r="U555" t="s">
        <v>173</v>
      </c>
      <c r="V555">
        <v>0</v>
      </c>
      <c r="W555" t="s">
        <v>174</v>
      </c>
      <c r="X555">
        <v>1277185</v>
      </c>
      <c r="Z555" t="s">
        <v>175</v>
      </c>
      <c r="AA555" t="s">
        <v>173</v>
      </c>
    </row>
    <row r="556" spans="1:27" x14ac:dyDescent="0.3">
      <c r="A556">
        <v>555</v>
      </c>
      <c r="B556" t="s">
        <v>169</v>
      </c>
      <c r="C556">
        <v>99019875</v>
      </c>
      <c r="D556" s="7" t="s">
        <v>69</v>
      </c>
      <c r="E556" t="s">
        <v>70</v>
      </c>
      <c r="F556" t="s">
        <v>176</v>
      </c>
      <c r="G556" t="s">
        <v>177</v>
      </c>
      <c r="H556" s="133">
        <v>1000</v>
      </c>
      <c r="I556">
        <v>0</v>
      </c>
      <c r="J556">
        <v>310</v>
      </c>
      <c r="K556" s="133">
        <v>10315</v>
      </c>
      <c r="L556" s="133">
        <v>10315</v>
      </c>
      <c r="M556" s="150">
        <v>0.48929398148148145</v>
      </c>
      <c r="N556" s="150">
        <v>0.48936342592592591</v>
      </c>
      <c r="O556" t="s">
        <v>172</v>
      </c>
      <c r="Q556">
        <v>1280099</v>
      </c>
      <c r="R556">
        <v>1280099</v>
      </c>
      <c r="S556">
        <v>1279989</v>
      </c>
      <c r="T556">
        <v>690</v>
      </c>
      <c r="U556" t="s">
        <v>173</v>
      </c>
      <c r="V556">
        <v>0</v>
      </c>
      <c r="W556" t="s">
        <v>174</v>
      </c>
      <c r="X556">
        <v>1279989</v>
      </c>
      <c r="Z556" t="s">
        <v>175</v>
      </c>
      <c r="AA556" t="s">
        <v>173</v>
      </c>
    </row>
    <row r="557" spans="1:27" x14ac:dyDescent="0.3">
      <c r="A557">
        <v>556</v>
      </c>
      <c r="B557" t="s">
        <v>169</v>
      </c>
      <c r="C557">
        <v>99019875</v>
      </c>
      <c r="D557" s="7" t="s">
        <v>75</v>
      </c>
      <c r="E557" t="s">
        <v>76</v>
      </c>
      <c r="F557" t="s">
        <v>176</v>
      </c>
      <c r="G557" t="s">
        <v>177</v>
      </c>
      <c r="H557" s="133">
        <v>1000</v>
      </c>
      <c r="I557">
        <v>0</v>
      </c>
      <c r="J557" s="133">
        <v>1000</v>
      </c>
      <c r="K557" s="133">
        <v>21015</v>
      </c>
      <c r="L557" s="133">
        <v>21015</v>
      </c>
      <c r="M557" s="150">
        <v>0.48961805555555554</v>
      </c>
      <c r="N557" s="150">
        <v>0.48962962962962964</v>
      </c>
      <c r="O557" t="s">
        <v>172</v>
      </c>
      <c r="Q557">
        <v>1282563</v>
      </c>
      <c r="R557">
        <v>1282563</v>
      </c>
      <c r="S557">
        <v>1282445</v>
      </c>
      <c r="T557">
        <v>0</v>
      </c>
      <c r="U557" t="s">
        <v>173</v>
      </c>
      <c r="V557">
        <v>0</v>
      </c>
      <c r="W557" t="s">
        <v>174</v>
      </c>
      <c r="X557">
        <v>1282445</v>
      </c>
      <c r="Z557" t="s">
        <v>175</v>
      </c>
      <c r="AA557" t="s">
        <v>173</v>
      </c>
    </row>
    <row r="558" spans="1:27" x14ac:dyDescent="0.3">
      <c r="A558">
        <v>557</v>
      </c>
      <c r="B558" t="s">
        <v>169</v>
      </c>
      <c r="C558">
        <v>99019875</v>
      </c>
      <c r="D558" s="7" t="s">
        <v>110</v>
      </c>
      <c r="E558" t="s">
        <v>179</v>
      </c>
      <c r="F558" t="s">
        <v>176</v>
      </c>
      <c r="G558" t="s">
        <v>177</v>
      </c>
      <c r="H558">
        <v>500</v>
      </c>
      <c r="I558">
        <v>0</v>
      </c>
      <c r="J558">
        <v>5</v>
      </c>
      <c r="K558" s="133">
        <v>48550</v>
      </c>
      <c r="L558" s="133">
        <v>48550</v>
      </c>
      <c r="M558" s="150">
        <v>0.48971064814814813</v>
      </c>
      <c r="N558" s="150">
        <v>0.48972222222222223</v>
      </c>
      <c r="O558" t="s">
        <v>172</v>
      </c>
      <c r="Q558">
        <v>1283318</v>
      </c>
      <c r="R558">
        <v>1283318</v>
      </c>
      <c r="S558">
        <v>1283115</v>
      </c>
      <c r="T558">
        <v>495</v>
      </c>
      <c r="U558" t="s">
        <v>173</v>
      </c>
      <c r="V558">
        <v>0</v>
      </c>
      <c r="W558" t="s">
        <v>174</v>
      </c>
      <c r="X558">
        <v>1283115</v>
      </c>
      <c r="Z558" t="s">
        <v>175</v>
      </c>
      <c r="AA558" t="s">
        <v>173</v>
      </c>
    </row>
    <row r="559" spans="1:27" x14ac:dyDescent="0.3">
      <c r="A559">
        <v>558</v>
      </c>
      <c r="B559" t="s">
        <v>169</v>
      </c>
      <c r="C559">
        <v>99019875</v>
      </c>
      <c r="D559" s="7" t="s">
        <v>69</v>
      </c>
      <c r="E559" t="s">
        <v>70</v>
      </c>
      <c r="F559" t="s">
        <v>176</v>
      </c>
      <c r="G559" t="s">
        <v>177</v>
      </c>
      <c r="H559" s="133">
        <v>1000</v>
      </c>
      <c r="I559">
        <v>0</v>
      </c>
      <c r="J559">
        <v>567</v>
      </c>
      <c r="K559" s="133">
        <v>10320</v>
      </c>
      <c r="L559" s="133">
        <v>10320</v>
      </c>
      <c r="M559" s="150">
        <v>0.48972222222222223</v>
      </c>
      <c r="N559" s="150">
        <v>0.48973379629629626</v>
      </c>
      <c r="O559" t="s">
        <v>172</v>
      </c>
      <c r="Q559">
        <v>1283440</v>
      </c>
      <c r="R559">
        <v>1283440</v>
      </c>
      <c r="S559">
        <v>1283323</v>
      </c>
      <c r="T559">
        <v>433</v>
      </c>
      <c r="U559" t="s">
        <v>173</v>
      </c>
      <c r="V559">
        <v>0</v>
      </c>
      <c r="W559" t="s">
        <v>174</v>
      </c>
      <c r="X559">
        <v>1283323</v>
      </c>
      <c r="Z559" t="s">
        <v>175</v>
      </c>
      <c r="AA559" t="s">
        <v>173</v>
      </c>
    </row>
    <row r="560" spans="1:27" x14ac:dyDescent="0.3">
      <c r="A560">
        <v>559</v>
      </c>
      <c r="B560" t="s">
        <v>169</v>
      </c>
      <c r="C560">
        <v>99019875</v>
      </c>
      <c r="D560" s="7" t="s">
        <v>67</v>
      </c>
      <c r="E560" t="s">
        <v>68</v>
      </c>
      <c r="F560" t="s">
        <v>176</v>
      </c>
      <c r="G560" t="s">
        <v>177</v>
      </c>
      <c r="H560" s="133">
        <v>1000</v>
      </c>
      <c r="I560">
        <v>0</v>
      </c>
      <c r="J560">
        <v>32</v>
      </c>
      <c r="K560" s="133">
        <v>4850</v>
      </c>
      <c r="L560" s="133">
        <v>4850</v>
      </c>
      <c r="M560" s="150">
        <v>0.48976851851851855</v>
      </c>
      <c r="N560" s="150">
        <v>0.49050925925925926</v>
      </c>
      <c r="O560" t="s">
        <v>172</v>
      </c>
      <c r="Q560">
        <v>1283985</v>
      </c>
      <c r="R560">
        <v>1283985</v>
      </c>
      <c r="S560">
        <v>1283005</v>
      </c>
      <c r="T560">
        <v>968</v>
      </c>
      <c r="U560" t="s">
        <v>173</v>
      </c>
      <c r="V560">
        <v>0</v>
      </c>
      <c r="W560" t="s">
        <v>174</v>
      </c>
      <c r="X560">
        <v>1283005</v>
      </c>
      <c r="Z560" t="s">
        <v>175</v>
      </c>
      <c r="AA560" t="s">
        <v>173</v>
      </c>
    </row>
    <row r="561" spans="1:27" x14ac:dyDescent="0.3">
      <c r="A561">
        <v>560</v>
      </c>
      <c r="B561" t="s">
        <v>169</v>
      </c>
      <c r="C561">
        <v>99019875</v>
      </c>
      <c r="D561" s="7" t="s">
        <v>69</v>
      </c>
      <c r="E561" t="s">
        <v>70</v>
      </c>
      <c r="F561" t="s">
        <v>176</v>
      </c>
      <c r="G561" t="s">
        <v>177</v>
      </c>
      <c r="H561" s="133">
        <v>1000</v>
      </c>
      <c r="I561">
        <v>0</v>
      </c>
      <c r="J561">
        <v>20</v>
      </c>
      <c r="K561" s="133">
        <v>10325</v>
      </c>
      <c r="L561" s="133">
        <v>10325</v>
      </c>
      <c r="M561" s="150">
        <v>0.49032407407407402</v>
      </c>
      <c r="N561" s="150">
        <v>0.49033564814814817</v>
      </c>
      <c r="O561" t="s">
        <v>172</v>
      </c>
      <c r="Q561">
        <v>1288104</v>
      </c>
      <c r="R561">
        <v>1288104</v>
      </c>
      <c r="S561">
        <v>1287447</v>
      </c>
      <c r="T561">
        <v>980</v>
      </c>
      <c r="U561" t="s">
        <v>173</v>
      </c>
      <c r="V561">
        <v>0</v>
      </c>
      <c r="W561" t="s">
        <v>174</v>
      </c>
      <c r="X561">
        <v>1287447</v>
      </c>
      <c r="Z561" t="s">
        <v>175</v>
      </c>
      <c r="AA561" t="s">
        <v>173</v>
      </c>
    </row>
    <row r="562" spans="1:27" x14ac:dyDescent="0.3">
      <c r="A562">
        <v>561</v>
      </c>
      <c r="B562" t="s">
        <v>169</v>
      </c>
      <c r="C562">
        <v>99019875</v>
      </c>
      <c r="D562" s="7" t="s">
        <v>110</v>
      </c>
      <c r="E562" t="s">
        <v>179</v>
      </c>
      <c r="F562" t="s">
        <v>176</v>
      </c>
      <c r="G562" t="s">
        <v>177</v>
      </c>
      <c r="H562">
        <v>500</v>
      </c>
      <c r="I562">
        <v>0</v>
      </c>
      <c r="J562">
        <v>1</v>
      </c>
      <c r="K562" s="133">
        <v>48580</v>
      </c>
      <c r="L562" s="133">
        <v>48580</v>
      </c>
      <c r="M562" s="150">
        <v>0.49064814814814817</v>
      </c>
      <c r="N562" s="150">
        <v>0.49065972222222221</v>
      </c>
      <c r="O562" t="s">
        <v>172</v>
      </c>
      <c r="Q562">
        <v>1290815</v>
      </c>
      <c r="R562">
        <v>1290815</v>
      </c>
      <c r="S562">
        <v>1290772</v>
      </c>
      <c r="T562">
        <v>499</v>
      </c>
      <c r="U562" t="s">
        <v>173</v>
      </c>
      <c r="V562">
        <v>0</v>
      </c>
      <c r="W562" t="s">
        <v>174</v>
      </c>
      <c r="X562">
        <v>1290772</v>
      </c>
      <c r="Z562" t="s">
        <v>175</v>
      </c>
      <c r="AA562" t="s">
        <v>173</v>
      </c>
    </row>
    <row r="563" spans="1:27" x14ac:dyDescent="0.3">
      <c r="A563">
        <v>562</v>
      </c>
      <c r="B563" t="s">
        <v>169</v>
      </c>
      <c r="C563">
        <v>99019875</v>
      </c>
      <c r="D563" s="7" t="s">
        <v>102</v>
      </c>
      <c r="E563" t="s">
        <v>103</v>
      </c>
      <c r="F563" t="s">
        <v>170</v>
      </c>
      <c r="G563" t="s">
        <v>177</v>
      </c>
      <c r="H563" s="133">
        <v>1000</v>
      </c>
      <c r="I563">
        <v>0</v>
      </c>
      <c r="J563">
        <v>3</v>
      </c>
      <c r="K563" s="133">
        <v>27275</v>
      </c>
      <c r="L563" s="133">
        <v>27275</v>
      </c>
      <c r="M563" s="150">
        <v>0.49122685185185189</v>
      </c>
      <c r="N563" s="150">
        <v>0.49123842592592593</v>
      </c>
      <c r="O563" t="s">
        <v>172</v>
      </c>
      <c r="Q563">
        <v>1295188</v>
      </c>
      <c r="R563">
        <v>1295188</v>
      </c>
      <c r="S563">
        <v>1295045</v>
      </c>
      <c r="T563">
        <v>997</v>
      </c>
      <c r="U563" t="s">
        <v>173</v>
      </c>
      <c r="V563">
        <v>0</v>
      </c>
      <c r="W563" t="s">
        <v>174</v>
      </c>
      <c r="X563">
        <v>1295045</v>
      </c>
      <c r="Z563" t="s">
        <v>175</v>
      </c>
      <c r="AA563" t="s">
        <v>173</v>
      </c>
    </row>
    <row r="564" spans="1:27" x14ac:dyDescent="0.3">
      <c r="A564">
        <v>563</v>
      </c>
      <c r="B564" t="s">
        <v>169</v>
      </c>
      <c r="C564">
        <v>99019875</v>
      </c>
      <c r="D564" s="7" t="s">
        <v>110</v>
      </c>
      <c r="E564" t="s">
        <v>179</v>
      </c>
      <c r="F564" t="s">
        <v>176</v>
      </c>
      <c r="G564" t="s">
        <v>177</v>
      </c>
      <c r="H564">
        <v>500</v>
      </c>
      <c r="I564">
        <v>0</v>
      </c>
      <c r="J564">
        <v>12</v>
      </c>
      <c r="K564" s="133">
        <v>48555</v>
      </c>
      <c r="L564" s="133">
        <v>48555</v>
      </c>
      <c r="M564" s="150">
        <v>0.4947685185185185</v>
      </c>
      <c r="N564" s="150">
        <v>0.4947685185185185</v>
      </c>
      <c r="O564" t="s">
        <v>172</v>
      </c>
      <c r="Q564">
        <v>1322621</v>
      </c>
      <c r="R564">
        <v>1322621</v>
      </c>
      <c r="S564">
        <v>1322549</v>
      </c>
      <c r="T564">
        <v>488</v>
      </c>
      <c r="U564" t="s">
        <v>173</v>
      </c>
      <c r="V564">
        <v>0</v>
      </c>
      <c r="W564" t="s">
        <v>174</v>
      </c>
      <c r="X564">
        <v>1322549</v>
      </c>
      <c r="Z564" t="s">
        <v>175</v>
      </c>
      <c r="AA564" t="s">
        <v>173</v>
      </c>
    </row>
    <row r="565" spans="1:27" x14ac:dyDescent="0.3">
      <c r="A565">
        <v>564</v>
      </c>
      <c r="B565" t="s">
        <v>169</v>
      </c>
      <c r="C565">
        <v>99019875</v>
      </c>
      <c r="D565" s="7" t="s">
        <v>96</v>
      </c>
      <c r="E565" t="s">
        <v>97</v>
      </c>
      <c r="F565" t="s">
        <v>176</v>
      </c>
      <c r="G565" t="s">
        <v>177</v>
      </c>
      <c r="H565" s="133">
        <v>1000</v>
      </c>
      <c r="I565">
        <v>0</v>
      </c>
      <c r="J565">
        <v>5</v>
      </c>
      <c r="K565" s="133">
        <v>8310</v>
      </c>
      <c r="L565" s="133">
        <v>8310</v>
      </c>
      <c r="M565" s="150">
        <v>0.4954513888888889</v>
      </c>
      <c r="N565" s="150">
        <v>0.49546296296296299</v>
      </c>
      <c r="O565" t="s">
        <v>172</v>
      </c>
      <c r="Q565">
        <v>1329326</v>
      </c>
      <c r="R565">
        <v>1329326</v>
      </c>
      <c r="S565">
        <v>1329308</v>
      </c>
      <c r="T565">
        <v>995</v>
      </c>
      <c r="U565" t="s">
        <v>173</v>
      </c>
      <c r="V565">
        <v>0</v>
      </c>
      <c r="W565" t="s">
        <v>174</v>
      </c>
      <c r="X565">
        <v>1329308</v>
      </c>
      <c r="Z565" t="s">
        <v>175</v>
      </c>
      <c r="AA565" t="s">
        <v>173</v>
      </c>
    </row>
    <row r="566" spans="1:27" x14ac:dyDescent="0.3">
      <c r="A566">
        <v>565</v>
      </c>
      <c r="B566" t="s">
        <v>169</v>
      </c>
      <c r="C566">
        <v>99019875</v>
      </c>
      <c r="D566" s="7" t="s">
        <v>110</v>
      </c>
      <c r="E566" t="s">
        <v>179</v>
      </c>
      <c r="F566" t="s">
        <v>176</v>
      </c>
      <c r="G566" t="s">
        <v>177</v>
      </c>
      <c r="H566">
        <v>500</v>
      </c>
      <c r="I566">
        <v>0</v>
      </c>
      <c r="J566">
        <v>6</v>
      </c>
      <c r="K566" s="133">
        <v>48525</v>
      </c>
      <c r="L566" s="133">
        <v>48525</v>
      </c>
      <c r="M566" s="150">
        <v>0.49670138888888887</v>
      </c>
      <c r="N566" s="150">
        <v>0.49670138888888887</v>
      </c>
      <c r="O566" t="s">
        <v>172</v>
      </c>
      <c r="Q566">
        <v>1339691</v>
      </c>
      <c r="R566">
        <v>1339691</v>
      </c>
      <c r="S566">
        <v>1339689</v>
      </c>
      <c r="T566">
        <v>494</v>
      </c>
      <c r="U566" t="s">
        <v>173</v>
      </c>
      <c r="V566">
        <v>0</v>
      </c>
      <c r="W566" t="s">
        <v>174</v>
      </c>
      <c r="X566">
        <v>1339689</v>
      </c>
      <c r="Z566" t="s">
        <v>175</v>
      </c>
      <c r="AA566" t="s">
        <v>173</v>
      </c>
    </row>
    <row r="567" spans="1:27" x14ac:dyDescent="0.3">
      <c r="A567">
        <v>566</v>
      </c>
      <c r="B567" t="s">
        <v>169</v>
      </c>
      <c r="C567">
        <v>99019875</v>
      </c>
      <c r="D567" s="7" t="s">
        <v>69</v>
      </c>
      <c r="E567" t="s">
        <v>70</v>
      </c>
      <c r="F567" t="s">
        <v>176</v>
      </c>
      <c r="G567" t="s">
        <v>177</v>
      </c>
      <c r="H567" s="133">
        <v>1000</v>
      </c>
      <c r="I567">
        <v>0</v>
      </c>
      <c r="J567">
        <v>59</v>
      </c>
      <c r="K567" s="133">
        <v>10280</v>
      </c>
      <c r="L567" s="133">
        <v>10280</v>
      </c>
      <c r="M567" s="150">
        <v>0.49775462962962963</v>
      </c>
      <c r="N567" s="150">
        <v>0.49776620370370367</v>
      </c>
      <c r="O567" t="s">
        <v>172</v>
      </c>
      <c r="Q567">
        <v>1350119</v>
      </c>
      <c r="R567">
        <v>1350119</v>
      </c>
      <c r="S567">
        <v>1349944</v>
      </c>
      <c r="T567">
        <v>941</v>
      </c>
      <c r="U567" t="s">
        <v>173</v>
      </c>
      <c r="V567">
        <v>0</v>
      </c>
      <c r="W567" t="s">
        <v>174</v>
      </c>
      <c r="X567">
        <v>1349944</v>
      </c>
      <c r="Z567" t="s">
        <v>175</v>
      </c>
      <c r="AA567" t="s">
        <v>173</v>
      </c>
    </row>
    <row r="568" spans="1:27" x14ac:dyDescent="0.3">
      <c r="A568">
        <v>567</v>
      </c>
      <c r="B568" t="s">
        <v>169</v>
      </c>
      <c r="C568">
        <v>99019875</v>
      </c>
      <c r="D568" s="7" t="s">
        <v>110</v>
      </c>
      <c r="E568" t="s">
        <v>179</v>
      </c>
      <c r="F568" t="s">
        <v>176</v>
      </c>
      <c r="G568" t="s">
        <v>177</v>
      </c>
      <c r="H568">
        <v>500</v>
      </c>
      <c r="I568">
        <v>0</v>
      </c>
      <c r="J568">
        <v>51</v>
      </c>
      <c r="K568" s="133">
        <v>48485</v>
      </c>
      <c r="L568" s="133">
        <v>48485</v>
      </c>
      <c r="M568" s="150">
        <v>0.49817129629629631</v>
      </c>
      <c r="N568" s="150">
        <v>0.49817129629629631</v>
      </c>
      <c r="O568" t="s">
        <v>172</v>
      </c>
      <c r="Q568">
        <v>1353167</v>
      </c>
      <c r="R568">
        <v>1353167</v>
      </c>
      <c r="S568">
        <v>1353125</v>
      </c>
      <c r="T568">
        <v>449</v>
      </c>
      <c r="U568" t="s">
        <v>173</v>
      </c>
      <c r="V568">
        <v>0</v>
      </c>
      <c r="W568" t="s">
        <v>174</v>
      </c>
      <c r="X568">
        <v>1353125</v>
      </c>
      <c r="Z568" t="s">
        <v>175</v>
      </c>
      <c r="AA568" t="s">
        <v>173</v>
      </c>
    </row>
    <row r="569" spans="1:27" x14ac:dyDescent="0.3">
      <c r="A569">
        <v>568</v>
      </c>
      <c r="B569" t="s">
        <v>169</v>
      </c>
      <c r="C569">
        <v>99019875</v>
      </c>
      <c r="D569" s="7" t="s">
        <v>69</v>
      </c>
      <c r="E569" t="s">
        <v>70</v>
      </c>
      <c r="F569" t="s">
        <v>176</v>
      </c>
      <c r="G569" t="s">
        <v>177</v>
      </c>
      <c r="H569" s="133">
        <v>1000</v>
      </c>
      <c r="I569">
        <v>0</v>
      </c>
      <c r="J569">
        <v>400</v>
      </c>
      <c r="K569" s="133">
        <v>10290</v>
      </c>
      <c r="L569" s="133">
        <v>10290</v>
      </c>
      <c r="M569" s="150">
        <v>0.49890046296296298</v>
      </c>
      <c r="N569" s="150">
        <v>0.49891203703703701</v>
      </c>
      <c r="O569" t="s">
        <v>172</v>
      </c>
      <c r="Q569">
        <v>1358147</v>
      </c>
      <c r="R569">
        <v>1358147</v>
      </c>
      <c r="S569">
        <v>1358048</v>
      </c>
      <c r="T569">
        <v>600</v>
      </c>
      <c r="U569" t="s">
        <v>173</v>
      </c>
      <c r="V569">
        <v>0</v>
      </c>
      <c r="W569" t="s">
        <v>174</v>
      </c>
      <c r="X569">
        <v>1358048</v>
      </c>
      <c r="Z569" t="s">
        <v>175</v>
      </c>
      <c r="AA569" t="s">
        <v>173</v>
      </c>
    </row>
    <row r="570" spans="1:27" x14ac:dyDescent="0.3">
      <c r="A570">
        <v>569</v>
      </c>
      <c r="B570" t="s">
        <v>169</v>
      </c>
      <c r="C570">
        <v>99019875</v>
      </c>
      <c r="D570" s="7" t="s">
        <v>75</v>
      </c>
      <c r="E570" t="s">
        <v>76</v>
      </c>
      <c r="F570" t="s">
        <v>176</v>
      </c>
      <c r="G570" t="s">
        <v>177</v>
      </c>
      <c r="H570" s="133">
        <v>1000</v>
      </c>
      <c r="I570">
        <v>0</v>
      </c>
      <c r="J570">
        <v>12</v>
      </c>
      <c r="K570" s="133">
        <v>20965</v>
      </c>
      <c r="L570" s="133">
        <v>20965</v>
      </c>
      <c r="M570" s="150">
        <v>0.4990046296296296</v>
      </c>
      <c r="N570" s="150">
        <v>0.4990046296296296</v>
      </c>
      <c r="O570" t="s">
        <v>172</v>
      </c>
      <c r="Q570">
        <v>1359114</v>
      </c>
      <c r="R570">
        <v>1359114</v>
      </c>
      <c r="S570">
        <v>1359068</v>
      </c>
      <c r="T570">
        <v>988</v>
      </c>
      <c r="U570" t="s">
        <v>173</v>
      </c>
      <c r="V570">
        <v>0</v>
      </c>
      <c r="W570" t="s">
        <v>174</v>
      </c>
      <c r="X570">
        <v>1359068</v>
      </c>
      <c r="Z570" t="s">
        <v>175</v>
      </c>
      <c r="AA570" t="s">
        <v>173</v>
      </c>
    </row>
    <row r="571" spans="1:27" x14ac:dyDescent="0.3">
      <c r="A571">
        <v>570</v>
      </c>
      <c r="B571" t="s">
        <v>169</v>
      </c>
      <c r="C571">
        <v>99019875</v>
      </c>
      <c r="D571" s="7" t="s">
        <v>75</v>
      </c>
      <c r="E571" t="s">
        <v>76</v>
      </c>
      <c r="F571" t="s">
        <v>176</v>
      </c>
      <c r="G571" t="s">
        <v>177</v>
      </c>
      <c r="H571" s="133">
        <v>1000</v>
      </c>
      <c r="I571">
        <v>0</v>
      </c>
      <c r="J571">
        <v>1</v>
      </c>
      <c r="K571" s="133">
        <v>20965</v>
      </c>
      <c r="L571" s="133">
        <v>20965</v>
      </c>
      <c r="M571" s="150">
        <v>0.49988425925925922</v>
      </c>
      <c r="N571" s="150">
        <v>0.49988425925925922</v>
      </c>
      <c r="O571" t="s">
        <v>172</v>
      </c>
      <c r="Q571">
        <v>1365308</v>
      </c>
      <c r="R571">
        <v>1365308</v>
      </c>
      <c r="S571">
        <v>1365193</v>
      </c>
      <c r="T571">
        <v>999</v>
      </c>
      <c r="U571" t="s">
        <v>173</v>
      </c>
      <c r="V571">
        <v>0</v>
      </c>
      <c r="W571" t="s">
        <v>174</v>
      </c>
      <c r="X571">
        <v>1365193</v>
      </c>
      <c r="Z571" t="s">
        <v>175</v>
      </c>
      <c r="AA571" t="s">
        <v>173</v>
      </c>
    </row>
    <row r="572" spans="1:27" x14ac:dyDescent="0.3">
      <c r="A572">
        <v>571</v>
      </c>
      <c r="B572" t="s">
        <v>169</v>
      </c>
      <c r="C572">
        <v>99019875</v>
      </c>
      <c r="D572" s="7" t="s">
        <v>75</v>
      </c>
      <c r="E572" t="s">
        <v>76</v>
      </c>
      <c r="F572" t="s">
        <v>176</v>
      </c>
      <c r="G572" t="s">
        <v>177</v>
      </c>
      <c r="H572" s="133">
        <v>1000</v>
      </c>
      <c r="I572">
        <v>0</v>
      </c>
      <c r="J572">
        <v>1</v>
      </c>
      <c r="K572" s="133">
        <v>20950</v>
      </c>
      <c r="L572" s="133">
        <v>20950</v>
      </c>
      <c r="M572" s="150">
        <v>0.50190972222222219</v>
      </c>
      <c r="N572" s="150">
        <v>0.50192129629629634</v>
      </c>
      <c r="O572" t="s">
        <v>172</v>
      </c>
      <c r="Q572">
        <v>1380833</v>
      </c>
      <c r="R572">
        <v>1380833</v>
      </c>
      <c r="S572">
        <v>1380634</v>
      </c>
      <c r="T572">
        <v>999</v>
      </c>
      <c r="U572" t="s">
        <v>173</v>
      </c>
      <c r="V572">
        <v>0</v>
      </c>
      <c r="W572" t="s">
        <v>174</v>
      </c>
      <c r="X572">
        <v>1380634</v>
      </c>
      <c r="Z572" t="s">
        <v>175</v>
      </c>
      <c r="AA572" t="s">
        <v>173</v>
      </c>
    </row>
    <row r="573" spans="1:27" x14ac:dyDescent="0.3">
      <c r="A573">
        <v>572</v>
      </c>
      <c r="B573" t="s">
        <v>169</v>
      </c>
      <c r="C573">
        <v>99019875</v>
      </c>
      <c r="D573" s="7" t="s">
        <v>75</v>
      </c>
      <c r="E573" t="s">
        <v>76</v>
      </c>
      <c r="F573" t="s">
        <v>176</v>
      </c>
      <c r="G573" t="s">
        <v>177</v>
      </c>
      <c r="H573" s="133">
        <v>1000</v>
      </c>
      <c r="I573">
        <v>0</v>
      </c>
      <c r="J573">
        <v>5</v>
      </c>
      <c r="K573" s="133">
        <v>20950</v>
      </c>
      <c r="L573" s="133">
        <v>20950</v>
      </c>
      <c r="M573" s="150">
        <v>0.50234953703703711</v>
      </c>
      <c r="N573" s="150">
        <v>0.50236111111111115</v>
      </c>
      <c r="O573" t="s">
        <v>172</v>
      </c>
      <c r="Q573">
        <v>1383778</v>
      </c>
      <c r="R573">
        <v>1383778</v>
      </c>
      <c r="S573">
        <v>1383738</v>
      </c>
      <c r="T573">
        <v>995</v>
      </c>
      <c r="U573" t="s">
        <v>173</v>
      </c>
      <c r="V573">
        <v>0</v>
      </c>
      <c r="W573" t="s">
        <v>174</v>
      </c>
      <c r="X573">
        <v>1383738</v>
      </c>
      <c r="Z573" t="s">
        <v>175</v>
      </c>
      <c r="AA573" t="s">
        <v>173</v>
      </c>
    </row>
    <row r="574" spans="1:27" x14ac:dyDescent="0.3">
      <c r="A574">
        <v>573</v>
      </c>
      <c r="B574" t="s">
        <v>169</v>
      </c>
      <c r="C574">
        <v>99019875</v>
      </c>
      <c r="D574" s="7" t="s">
        <v>75</v>
      </c>
      <c r="E574" t="s">
        <v>76</v>
      </c>
      <c r="F574" t="s">
        <v>176</v>
      </c>
      <c r="G574" t="s">
        <v>177</v>
      </c>
      <c r="H574" s="133">
        <v>1000</v>
      </c>
      <c r="I574">
        <v>0</v>
      </c>
      <c r="J574">
        <v>1</v>
      </c>
      <c r="K574" s="133">
        <v>20945</v>
      </c>
      <c r="L574" s="133">
        <v>20945</v>
      </c>
      <c r="M574" s="150">
        <v>0.50277777777777777</v>
      </c>
      <c r="N574" s="150">
        <v>0.50278935185185192</v>
      </c>
      <c r="O574" t="s">
        <v>172</v>
      </c>
      <c r="Q574">
        <v>1386523</v>
      </c>
      <c r="R574">
        <v>1386523</v>
      </c>
      <c r="S574">
        <v>1386066</v>
      </c>
      <c r="T574">
        <v>999</v>
      </c>
      <c r="U574" t="s">
        <v>173</v>
      </c>
      <c r="V574">
        <v>0</v>
      </c>
      <c r="W574" t="s">
        <v>174</v>
      </c>
      <c r="X574">
        <v>1386066</v>
      </c>
      <c r="Z574" t="s">
        <v>175</v>
      </c>
      <c r="AA574" t="s">
        <v>173</v>
      </c>
    </row>
    <row r="575" spans="1:27" x14ac:dyDescent="0.3">
      <c r="A575">
        <v>574</v>
      </c>
      <c r="B575" t="s">
        <v>169</v>
      </c>
      <c r="C575">
        <v>99019875</v>
      </c>
      <c r="D575" s="7" t="s">
        <v>75</v>
      </c>
      <c r="E575" t="s">
        <v>76</v>
      </c>
      <c r="F575" t="s">
        <v>176</v>
      </c>
      <c r="G575" t="s">
        <v>177</v>
      </c>
      <c r="H575" s="133">
        <v>1000</v>
      </c>
      <c r="I575">
        <v>0</v>
      </c>
      <c r="J575">
        <v>8</v>
      </c>
      <c r="K575" s="133">
        <v>20945</v>
      </c>
      <c r="L575" s="133">
        <v>20945</v>
      </c>
      <c r="M575" s="150">
        <v>0.50313657407407408</v>
      </c>
      <c r="N575" s="150">
        <v>0.50313657407407408</v>
      </c>
      <c r="O575" t="s">
        <v>172</v>
      </c>
      <c r="Q575">
        <v>1389037</v>
      </c>
      <c r="R575">
        <v>1389037</v>
      </c>
      <c r="S575">
        <v>1389007</v>
      </c>
      <c r="T575">
        <v>992</v>
      </c>
      <c r="U575" t="s">
        <v>173</v>
      </c>
      <c r="V575">
        <v>0</v>
      </c>
      <c r="W575" t="s">
        <v>174</v>
      </c>
      <c r="X575">
        <v>1389007</v>
      </c>
      <c r="Z575" t="s">
        <v>175</v>
      </c>
      <c r="AA575" t="s">
        <v>173</v>
      </c>
    </row>
    <row r="576" spans="1:27" x14ac:dyDescent="0.3">
      <c r="A576">
        <v>575</v>
      </c>
      <c r="B576" t="s">
        <v>169</v>
      </c>
      <c r="C576">
        <v>99019875</v>
      </c>
      <c r="D576" s="7" t="s">
        <v>75</v>
      </c>
      <c r="E576" t="s">
        <v>76</v>
      </c>
      <c r="F576" t="s">
        <v>176</v>
      </c>
      <c r="G576" t="s">
        <v>177</v>
      </c>
      <c r="H576" s="133">
        <v>1000</v>
      </c>
      <c r="I576">
        <v>0</v>
      </c>
      <c r="J576">
        <v>1</v>
      </c>
      <c r="K576" s="133">
        <v>20940</v>
      </c>
      <c r="L576" s="133">
        <v>20940</v>
      </c>
      <c r="M576" s="150">
        <v>0.5035532407407407</v>
      </c>
      <c r="N576" s="150">
        <v>0.50356481481481474</v>
      </c>
      <c r="O576" t="s">
        <v>172</v>
      </c>
      <c r="Q576">
        <v>1391960</v>
      </c>
      <c r="R576">
        <v>1391960</v>
      </c>
      <c r="S576">
        <v>1391957</v>
      </c>
      <c r="T576">
        <v>999</v>
      </c>
      <c r="U576" t="s">
        <v>173</v>
      </c>
      <c r="V576">
        <v>0</v>
      </c>
      <c r="W576" t="s">
        <v>174</v>
      </c>
      <c r="X576">
        <v>1391957</v>
      </c>
      <c r="Z576" t="s">
        <v>175</v>
      </c>
      <c r="AA576" t="s">
        <v>173</v>
      </c>
    </row>
    <row r="577" spans="1:27" x14ac:dyDescent="0.3">
      <c r="A577">
        <v>576</v>
      </c>
      <c r="B577" t="s">
        <v>169</v>
      </c>
      <c r="C577">
        <v>99019875</v>
      </c>
      <c r="D577" s="7" t="s">
        <v>69</v>
      </c>
      <c r="E577" t="s">
        <v>70</v>
      </c>
      <c r="F577" t="s">
        <v>176</v>
      </c>
      <c r="G577" t="s">
        <v>177</v>
      </c>
      <c r="H577" s="133">
        <v>1000</v>
      </c>
      <c r="I577">
        <v>0</v>
      </c>
      <c r="J577" s="133">
        <v>1000</v>
      </c>
      <c r="K577" s="133">
        <v>10295</v>
      </c>
      <c r="L577" s="133">
        <v>10295</v>
      </c>
      <c r="M577" s="150">
        <v>0.50581018518518517</v>
      </c>
      <c r="N577" s="150">
        <v>0.50581018518518517</v>
      </c>
      <c r="O577" t="s">
        <v>172</v>
      </c>
      <c r="Q577">
        <v>1410048</v>
      </c>
      <c r="R577">
        <v>1410048</v>
      </c>
      <c r="S577">
        <v>1409990</v>
      </c>
      <c r="T577">
        <v>0</v>
      </c>
      <c r="U577" t="s">
        <v>173</v>
      </c>
      <c r="V577">
        <v>0</v>
      </c>
      <c r="W577" t="s">
        <v>174</v>
      </c>
      <c r="X577">
        <v>1409990</v>
      </c>
      <c r="Z577" t="s">
        <v>175</v>
      </c>
      <c r="AA577" t="s">
        <v>173</v>
      </c>
    </row>
    <row r="578" spans="1:27" x14ac:dyDescent="0.3">
      <c r="A578">
        <v>577</v>
      </c>
      <c r="B578" t="s">
        <v>169</v>
      </c>
      <c r="C578">
        <v>99019875</v>
      </c>
      <c r="D578" s="7" t="s">
        <v>128</v>
      </c>
      <c r="E578" t="s">
        <v>129</v>
      </c>
      <c r="F578" t="s">
        <v>176</v>
      </c>
      <c r="G578" t="s">
        <v>177</v>
      </c>
      <c r="H578" s="133">
        <v>1000</v>
      </c>
      <c r="I578">
        <v>0</v>
      </c>
      <c r="J578">
        <v>1</v>
      </c>
      <c r="K578" s="133">
        <v>6535</v>
      </c>
      <c r="L578" s="133">
        <v>6535</v>
      </c>
      <c r="M578" s="150">
        <v>0.50616898148148148</v>
      </c>
      <c r="N578" s="150">
        <v>0.50626157407407402</v>
      </c>
      <c r="O578" t="s">
        <v>172</v>
      </c>
      <c r="Q578">
        <v>1412626</v>
      </c>
      <c r="R578">
        <v>1412626</v>
      </c>
      <c r="S578">
        <v>1412538</v>
      </c>
      <c r="T578">
        <v>999</v>
      </c>
      <c r="U578" t="s">
        <v>173</v>
      </c>
      <c r="V578">
        <v>0</v>
      </c>
      <c r="W578" t="s">
        <v>174</v>
      </c>
      <c r="X578">
        <v>1412538</v>
      </c>
      <c r="Z578" t="s">
        <v>175</v>
      </c>
      <c r="AA578" t="s">
        <v>173</v>
      </c>
    </row>
    <row r="579" spans="1:27" x14ac:dyDescent="0.3">
      <c r="A579">
        <v>578</v>
      </c>
      <c r="B579" t="s">
        <v>169</v>
      </c>
      <c r="C579">
        <v>99019875</v>
      </c>
      <c r="D579" s="7" t="s">
        <v>69</v>
      </c>
      <c r="E579" t="s">
        <v>70</v>
      </c>
      <c r="F579" t="s">
        <v>176</v>
      </c>
      <c r="G579" t="s">
        <v>177</v>
      </c>
      <c r="H579" s="133">
        <v>1000</v>
      </c>
      <c r="I579">
        <v>0</v>
      </c>
      <c r="J579">
        <v>100</v>
      </c>
      <c r="K579" s="133">
        <v>10305</v>
      </c>
      <c r="L579" s="133">
        <v>10305</v>
      </c>
      <c r="M579" s="150">
        <v>0.50616898148148148</v>
      </c>
      <c r="N579" s="150">
        <v>0.50618055555555552</v>
      </c>
      <c r="O579" t="s">
        <v>172</v>
      </c>
      <c r="Q579">
        <v>1412664</v>
      </c>
      <c r="R579">
        <v>1412664</v>
      </c>
      <c r="S579">
        <v>1412643</v>
      </c>
      <c r="T579">
        <v>900</v>
      </c>
      <c r="U579" t="s">
        <v>173</v>
      </c>
      <c r="V579">
        <v>0</v>
      </c>
      <c r="W579" t="s">
        <v>174</v>
      </c>
      <c r="X579">
        <v>1412643</v>
      </c>
      <c r="Z579" t="s">
        <v>175</v>
      </c>
      <c r="AA579" t="s">
        <v>173</v>
      </c>
    </row>
    <row r="580" spans="1:27" x14ac:dyDescent="0.3">
      <c r="A580">
        <v>579</v>
      </c>
      <c r="B580" t="s">
        <v>169</v>
      </c>
      <c r="C580">
        <v>99019875</v>
      </c>
      <c r="D580" s="7" t="s">
        <v>75</v>
      </c>
      <c r="E580" t="s">
        <v>76</v>
      </c>
      <c r="F580" t="s">
        <v>176</v>
      </c>
      <c r="G580" t="s">
        <v>177</v>
      </c>
      <c r="H580" s="133">
        <v>1000</v>
      </c>
      <c r="I580">
        <v>0</v>
      </c>
      <c r="J580">
        <v>28</v>
      </c>
      <c r="K580" s="133">
        <v>20960</v>
      </c>
      <c r="L580" s="133">
        <v>20960</v>
      </c>
      <c r="M580" s="150">
        <v>0.50658564814814822</v>
      </c>
      <c r="N580" s="150">
        <v>0.50659722222222225</v>
      </c>
      <c r="O580" t="s">
        <v>172</v>
      </c>
      <c r="Q580">
        <v>1415783</v>
      </c>
      <c r="R580">
        <v>1415783</v>
      </c>
      <c r="S580">
        <v>1415757</v>
      </c>
      <c r="T580">
        <v>972</v>
      </c>
      <c r="U580" t="s">
        <v>173</v>
      </c>
      <c r="V580">
        <v>0</v>
      </c>
      <c r="W580" t="s">
        <v>174</v>
      </c>
      <c r="X580">
        <v>1415757</v>
      </c>
      <c r="Z580" t="s">
        <v>175</v>
      </c>
      <c r="AA580" t="s">
        <v>173</v>
      </c>
    </row>
    <row r="581" spans="1:27" x14ac:dyDescent="0.3">
      <c r="A581">
        <v>580</v>
      </c>
      <c r="B581" t="s">
        <v>169</v>
      </c>
      <c r="C581">
        <v>99019875</v>
      </c>
      <c r="D581" s="7" t="s">
        <v>62</v>
      </c>
      <c r="E581" t="s">
        <v>63</v>
      </c>
      <c r="F581" t="s">
        <v>176</v>
      </c>
      <c r="G581" t="s">
        <v>177</v>
      </c>
      <c r="H581" s="133">
        <v>1000</v>
      </c>
      <c r="I581">
        <v>0</v>
      </c>
      <c r="J581" s="133">
        <v>1000</v>
      </c>
      <c r="K581" s="133">
        <v>34210</v>
      </c>
      <c r="L581" s="133">
        <v>34210</v>
      </c>
      <c r="M581" s="150">
        <v>0.50678240740740743</v>
      </c>
      <c r="N581" s="150">
        <v>0.50678240740740743</v>
      </c>
      <c r="O581" t="s">
        <v>172</v>
      </c>
      <c r="Q581">
        <v>1417130</v>
      </c>
      <c r="R581">
        <v>1417130</v>
      </c>
      <c r="S581">
        <v>1417080</v>
      </c>
      <c r="T581">
        <v>0</v>
      </c>
      <c r="U581" t="s">
        <v>173</v>
      </c>
      <c r="V581">
        <v>0</v>
      </c>
      <c r="W581" t="s">
        <v>174</v>
      </c>
      <c r="X581">
        <v>1417080</v>
      </c>
      <c r="Z581" t="s">
        <v>175</v>
      </c>
      <c r="AA581" t="s">
        <v>173</v>
      </c>
    </row>
    <row r="582" spans="1:27" x14ac:dyDescent="0.3">
      <c r="A582">
        <v>581</v>
      </c>
      <c r="B582" t="s">
        <v>169</v>
      </c>
      <c r="C582">
        <v>99019875</v>
      </c>
      <c r="D582" s="7" t="s">
        <v>75</v>
      </c>
      <c r="E582" t="s">
        <v>76</v>
      </c>
      <c r="F582" t="s">
        <v>176</v>
      </c>
      <c r="G582" t="s">
        <v>177</v>
      </c>
      <c r="H582" s="133">
        <v>1000</v>
      </c>
      <c r="I582">
        <v>0</v>
      </c>
      <c r="J582">
        <v>750</v>
      </c>
      <c r="K582" s="133">
        <v>20955</v>
      </c>
      <c r="L582" s="133">
        <v>20955</v>
      </c>
      <c r="M582" s="150">
        <v>0.50707175925925929</v>
      </c>
      <c r="N582" s="150">
        <v>0.50708333333333333</v>
      </c>
      <c r="O582" t="s">
        <v>172</v>
      </c>
      <c r="Q582">
        <v>1419590</v>
      </c>
      <c r="R582">
        <v>1419590</v>
      </c>
      <c r="S582">
        <v>1419553</v>
      </c>
      <c r="T582">
        <v>250</v>
      </c>
      <c r="U582" t="s">
        <v>173</v>
      </c>
      <c r="V582">
        <v>0</v>
      </c>
      <c r="W582" t="s">
        <v>174</v>
      </c>
      <c r="X582">
        <v>1419553</v>
      </c>
      <c r="Z582" t="s">
        <v>175</v>
      </c>
      <c r="AA582" t="s">
        <v>173</v>
      </c>
    </row>
    <row r="583" spans="1:27" x14ac:dyDescent="0.3">
      <c r="A583">
        <v>582</v>
      </c>
      <c r="B583" t="s">
        <v>169</v>
      </c>
      <c r="C583">
        <v>99019875</v>
      </c>
      <c r="D583" s="7" t="s">
        <v>69</v>
      </c>
      <c r="E583" t="s">
        <v>70</v>
      </c>
      <c r="F583" t="s">
        <v>176</v>
      </c>
      <c r="G583" t="s">
        <v>177</v>
      </c>
      <c r="H583" s="133">
        <v>1000</v>
      </c>
      <c r="I583">
        <v>0</v>
      </c>
      <c r="J583">
        <v>174</v>
      </c>
      <c r="K583" s="133">
        <v>10310</v>
      </c>
      <c r="L583" s="133">
        <v>10310</v>
      </c>
      <c r="M583" s="150">
        <v>0.50708333333333333</v>
      </c>
      <c r="N583" s="150">
        <v>0.50714120370370364</v>
      </c>
      <c r="O583" t="s">
        <v>172</v>
      </c>
      <c r="Q583">
        <v>1419665</v>
      </c>
      <c r="R583">
        <v>1419665</v>
      </c>
      <c r="S583">
        <v>1419602</v>
      </c>
      <c r="T583">
        <v>826</v>
      </c>
      <c r="U583" t="s">
        <v>173</v>
      </c>
      <c r="V583">
        <v>0</v>
      </c>
      <c r="W583" t="s">
        <v>174</v>
      </c>
      <c r="X583">
        <v>1419602</v>
      </c>
      <c r="Z583" t="s">
        <v>175</v>
      </c>
      <c r="AA583" t="s">
        <v>173</v>
      </c>
    </row>
    <row r="584" spans="1:27" x14ac:dyDescent="0.3">
      <c r="A584">
        <v>583</v>
      </c>
      <c r="B584" t="s">
        <v>169</v>
      </c>
      <c r="C584">
        <v>99019875</v>
      </c>
      <c r="D584" s="7" t="s">
        <v>110</v>
      </c>
      <c r="E584" t="s">
        <v>179</v>
      </c>
      <c r="F584" t="s">
        <v>176</v>
      </c>
      <c r="G584" t="s">
        <v>177</v>
      </c>
      <c r="H584">
        <v>500</v>
      </c>
      <c r="I584">
        <v>0</v>
      </c>
      <c r="J584">
        <v>500</v>
      </c>
      <c r="K584" s="133">
        <v>48530</v>
      </c>
      <c r="L584" s="133">
        <v>48530</v>
      </c>
      <c r="M584" s="150">
        <v>0.50728009259259255</v>
      </c>
      <c r="N584" s="150">
        <v>0.5072916666666667</v>
      </c>
      <c r="O584" t="s">
        <v>172</v>
      </c>
      <c r="Q584">
        <v>1421367</v>
      </c>
      <c r="R584">
        <v>1421367</v>
      </c>
      <c r="S584">
        <v>1421352</v>
      </c>
      <c r="T584">
        <v>0</v>
      </c>
      <c r="U584" t="s">
        <v>173</v>
      </c>
      <c r="V584">
        <v>0</v>
      </c>
      <c r="W584" t="s">
        <v>174</v>
      </c>
      <c r="X584">
        <v>1421352</v>
      </c>
      <c r="Z584" t="s">
        <v>175</v>
      </c>
      <c r="AA584" t="s">
        <v>173</v>
      </c>
    </row>
    <row r="585" spans="1:27" x14ac:dyDescent="0.3">
      <c r="A585">
        <v>584</v>
      </c>
      <c r="B585" t="s">
        <v>169</v>
      </c>
      <c r="C585">
        <v>99019875</v>
      </c>
      <c r="D585" s="7" t="s">
        <v>75</v>
      </c>
      <c r="E585" t="s">
        <v>76</v>
      </c>
      <c r="F585" t="s">
        <v>176</v>
      </c>
      <c r="G585" t="s">
        <v>177</v>
      </c>
      <c r="H585" s="133">
        <v>1000</v>
      </c>
      <c r="I585">
        <v>0</v>
      </c>
      <c r="J585">
        <v>600</v>
      </c>
      <c r="K585" s="133">
        <v>20965</v>
      </c>
      <c r="L585" s="133">
        <v>20965</v>
      </c>
      <c r="M585" s="150">
        <v>0.5074305555555555</v>
      </c>
      <c r="N585" s="150">
        <v>0.50744212962962965</v>
      </c>
      <c r="O585" t="s">
        <v>172</v>
      </c>
      <c r="Q585">
        <v>1422342</v>
      </c>
      <c r="R585">
        <v>1422342</v>
      </c>
      <c r="S585">
        <v>1422302</v>
      </c>
      <c r="T585">
        <v>400</v>
      </c>
      <c r="U585" t="s">
        <v>173</v>
      </c>
      <c r="V585">
        <v>0</v>
      </c>
      <c r="W585" t="s">
        <v>174</v>
      </c>
      <c r="X585">
        <v>1422302</v>
      </c>
      <c r="Z585" t="s">
        <v>175</v>
      </c>
      <c r="AA585" t="s">
        <v>173</v>
      </c>
    </row>
    <row r="586" spans="1:27" x14ac:dyDescent="0.3">
      <c r="A586">
        <v>585</v>
      </c>
      <c r="B586" t="s">
        <v>169</v>
      </c>
      <c r="C586">
        <v>99019875</v>
      </c>
      <c r="D586" s="7" t="s">
        <v>75</v>
      </c>
      <c r="E586" t="s">
        <v>76</v>
      </c>
      <c r="F586" t="s">
        <v>176</v>
      </c>
      <c r="G586" t="s">
        <v>177</v>
      </c>
      <c r="H586" s="133">
        <v>1000</v>
      </c>
      <c r="I586">
        <v>0</v>
      </c>
      <c r="J586">
        <v>1</v>
      </c>
      <c r="K586" s="133">
        <v>20965</v>
      </c>
      <c r="L586" s="133">
        <v>20965</v>
      </c>
      <c r="M586" s="150">
        <v>0.50866898148148143</v>
      </c>
      <c r="N586" s="150">
        <v>0.50868055555555558</v>
      </c>
      <c r="O586" t="s">
        <v>172</v>
      </c>
      <c r="Q586">
        <v>1431143</v>
      </c>
      <c r="R586">
        <v>1431143</v>
      </c>
      <c r="S586">
        <v>1431066</v>
      </c>
      <c r="T586">
        <v>999</v>
      </c>
      <c r="U586" t="s">
        <v>173</v>
      </c>
      <c r="V586">
        <v>0</v>
      </c>
      <c r="W586" t="s">
        <v>174</v>
      </c>
      <c r="X586">
        <v>1431066</v>
      </c>
      <c r="Z586" t="s">
        <v>175</v>
      </c>
      <c r="AA586" t="s">
        <v>173</v>
      </c>
    </row>
    <row r="587" spans="1:27" x14ac:dyDescent="0.3">
      <c r="A587">
        <v>586</v>
      </c>
      <c r="B587" t="s">
        <v>169</v>
      </c>
      <c r="C587">
        <v>99019875</v>
      </c>
      <c r="D587" s="7" t="s">
        <v>75</v>
      </c>
      <c r="E587" t="s">
        <v>76</v>
      </c>
      <c r="F587" t="s">
        <v>176</v>
      </c>
      <c r="G587" t="s">
        <v>177</v>
      </c>
      <c r="H587" s="133">
        <v>1000</v>
      </c>
      <c r="I587">
        <v>0</v>
      </c>
      <c r="J587">
        <v>31</v>
      </c>
      <c r="K587" s="133">
        <v>20965</v>
      </c>
      <c r="L587" s="133">
        <v>20965</v>
      </c>
      <c r="M587" s="150">
        <v>0.50915509259259262</v>
      </c>
      <c r="N587" s="150">
        <v>0.50916666666666666</v>
      </c>
      <c r="O587" t="s">
        <v>172</v>
      </c>
      <c r="Q587">
        <v>1434177</v>
      </c>
      <c r="R587">
        <v>1434177</v>
      </c>
      <c r="S587">
        <v>1434079</v>
      </c>
      <c r="T587">
        <v>969</v>
      </c>
      <c r="U587" t="s">
        <v>173</v>
      </c>
      <c r="V587">
        <v>0</v>
      </c>
      <c r="W587" t="s">
        <v>174</v>
      </c>
      <c r="X587">
        <v>1434079</v>
      </c>
      <c r="Z587" t="s">
        <v>175</v>
      </c>
      <c r="AA587" t="s">
        <v>173</v>
      </c>
    </row>
    <row r="588" spans="1:27" x14ac:dyDescent="0.3">
      <c r="A588">
        <v>587</v>
      </c>
      <c r="B588" t="s">
        <v>169</v>
      </c>
      <c r="C588">
        <v>99019875</v>
      </c>
      <c r="D588" s="7" t="s">
        <v>77</v>
      </c>
      <c r="E588" t="s">
        <v>78</v>
      </c>
      <c r="F588" t="s">
        <v>176</v>
      </c>
      <c r="G588" t="s">
        <v>177</v>
      </c>
      <c r="H588" s="133">
        <v>1000</v>
      </c>
      <c r="I588">
        <v>0</v>
      </c>
      <c r="J588" s="133">
        <v>1000</v>
      </c>
      <c r="K588" s="133">
        <v>7405</v>
      </c>
      <c r="L588" s="133">
        <v>7410</v>
      </c>
      <c r="M588" s="150">
        <v>0.50998842592592586</v>
      </c>
      <c r="N588" s="150">
        <v>0.50998842592592586</v>
      </c>
      <c r="O588" t="s">
        <v>172</v>
      </c>
      <c r="Q588">
        <v>1439587</v>
      </c>
      <c r="R588">
        <v>1439587</v>
      </c>
      <c r="S588">
        <v>1438766</v>
      </c>
      <c r="T588">
        <v>0</v>
      </c>
      <c r="U588" t="s">
        <v>173</v>
      </c>
      <c r="V588">
        <v>0</v>
      </c>
      <c r="W588" t="s">
        <v>174</v>
      </c>
      <c r="X588">
        <v>1438766</v>
      </c>
      <c r="Z588" t="s">
        <v>175</v>
      </c>
      <c r="AA588" t="s">
        <v>173</v>
      </c>
    </row>
    <row r="589" spans="1:27" x14ac:dyDescent="0.3">
      <c r="A589">
        <v>588</v>
      </c>
      <c r="B589" t="s">
        <v>169</v>
      </c>
      <c r="C589">
        <v>99019875</v>
      </c>
      <c r="D589" s="7" t="s">
        <v>75</v>
      </c>
      <c r="E589" t="s">
        <v>76</v>
      </c>
      <c r="F589" t="s">
        <v>176</v>
      </c>
      <c r="G589" t="s">
        <v>177</v>
      </c>
      <c r="H589" s="133">
        <v>1000</v>
      </c>
      <c r="I589">
        <v>0</v>
      </c>
      <c r="J589">
        <v>16</v>
      </c>
      <c r="K589" s="133">
        <v>20970</v>
      </c>
      <c r="L589" s="133">
        <v>20970</v>
      </c>
      <c r="M589" s="150">
        <v>0.51013888888888892</v>
      </c>
      <c r="N589" s="150">
        <v>0.51017361111111115</v>
      </c>
      <c r="O589" t="s">
        <v>172</v>
      </c>
      <c r="Q589">
        <v>1440502</v>
      </c>
      <c r="R589">
        <v>1440502</v>
      </c>
      <c r="S589">
        <v>1440476</v>
      </c>
      <c r="T589">
        <v>984</v>
      </c>
      <c r="U589" t="s">
        <v>173</v>
      </c>
      <c r="V589">
        <v>0</v>
      </c>
      <c r="W589" t="s">
        <v>174</v>
      </c>
      <c r="X589">
        <v>1440476</v>
      </c>
      <c r="Z589" t="s">
        <v>175</v>
      </c>
      <c r="AA589" t="s">
        <v>173</v>
      </c>
    </row>
    <row r="590" spans="1:27" x14ac:dyDescent="0.3">
      <c r="A590">
        <v>589</v>
      </c>
      <c r="B590" t="s">
        <v>169</v>
      </c>
      <c r="C590">
        <v>99019875</v>
      </c>
      <c r="D590" s="7" t="s">
        <v>62</v>
      </c>
      <c r="E590" t="s">
        <v>63</v>
      </c>
      <c r="F590" t="s">
        <v>170</v>
      </c>
      <c r="G590" t="s">
        <v>177</v>
      </c>
      <c r="H590" s="133">
        <v>1000</v>
      </c>
      <c r="I590">
        <v>0</v>
      </c>
      <c r="J590">
        <v>223</v>
      </c>
      <c r="K590" s="133">
        <v>34175</v>
      </c>
      <c r="L590" s="133">
        <v>34175</v>
      </c>
      <c r="M590" s="150">
        <v>0.5105439814814815</v>
      </c>
      <c r="N590" s="150">
        <v>0.5105439814814815</v>
      </c>
      <c r="O590" t="s">
        <v>172</v>
      </c>
      <c r="Q590">
        <v>1443367</v>
      </c>
      <c r="R590">
        <v>1443367</v>
      </c>
      <c r="S590">
        <v>1443341</v>
      </c>
      <c r="T590">
        <v>777</v>
      </c>
      <c r="U590" t="s">
        <v>173</v>
      </c>
      <c r="V590">
        <v>0</v>
      </c>
      <c r="W590" t="s">
        <v>174</v>
      </c>
      <c r="X590">
        <v>1443341</v>
      </c>
      <c r="Z590" t="s">
        <v>175</v>
      </c>
      <c r="AA590" t="s">
        <v>173</v>
      </c>
    </row>
    <row r="591" spans="1:27" x14ac:dyDescent="0.3">
      <c r="A591">
        <v>590</v>
      </c>
      <c r="B591" t="s">
        <v>169</v>
      </c>
      <c r="C591">
        <v>99019875</v>
      </c>
      <c r="D591" s="7" t="s">
        <v>77</v>
      </c>
      <c r="E591" t="s">
        <v>78</v>
      </c>
      <c r="F591" t="s">
        <v>176</v>
      </c>
      <c r="G591" t="s">
        <v>177</v>
      </c>
      <c r="H591" s="133">
        <v>1000</v>
      </c>
      <c r="I591">
        <v>0</v>
      </c>
      <c r="J591">
        <v>50</v>
      </c>
      <c r="K591" s="133">
        <v>7400</v>
      </c>
      <c r="L591" s="133">
        <v>7400</v>
      </c>
      <c r="M591" s="150">
        <v>0.5113657407407407</v>
      </c>
      <c r="N591" s="150">
        <v>0.5113657407407407</v>
      </c>
      <c r="O591" t="s">
        <v>172</v>
      </c>
      <c r="Q591">
        <v>1449789</v>
      </c>
      <c r="R591">
        <v>1449789</v>
      </c>
      <c r="S591">
        <v>1449509</v>
      </c>
      <c r="T591">
        <v>950</v>
      </c>
      <c r="U591" t="s">
        <v>173</v>
      </c>
      <c r="V591">
        <v>0</v>
      </c>
      <c r="W591" t="s">
        <v>174</v>
      </c>
      <c r="X591">
        <v>1449509</v>
      </c>
      <c r="Z591" t="s">
        <v>175</v>
      </c>
      <c r="AA591" t="s">
        <v>173</v>
      </c>
    </row>
    <row r="592" spans="1:27" x14ac:dyDescent="0.3">
      <c r="A592">
        <v>591</v>
      </c>
      <c r="B592" t="s">
        <v>169</v>
      </c>
      <c r="C592">
        <v>99019875</v>
      </c>
      <c r="D592" s="7" t="s">
        <v>69</v>
      </c>
      <c r="E592" t="s">
        <v>70</v>
      </c>
      <c r="F592" t="s">
        <v>176</v>
      </c>
      <c r="G592" t="s">
        <v>177</v>
      </c>
      <c r="H592" s="133">
        <v>1000</v>
      </c>
      <c r="I592">
        <v>0</v>
      </c>
      <c r="J592" s="133">
        <v>1000</v>
      </c>
      <c r="K592" s="133">
        <v>10300</v>
      </c>
      <c r="L592" s="133">
        <v>10300</v>
      </c>
      <c r="M592" s="150">
        <v>0.51194444444444442</v>
      </c>
      <c r="N592" s="150">
        <v>0.51195601851851846</v>
      </c>
      <c r="O592" t="s">
        <v>172</v>
      </c>
      <c r="Q592">
        <v>1453785</v>
      </c>
      <c r="R592">
        <v>1453785</v>
      </c>
      <c r="S592">
        <v>1453696</v>
      </c>
      <c r="T592">
        <v>0</v>
      </c>
      <c r="U592" t="s">
        <v>173</v>
      </c>
      <c r="V592">
        <v>0</v>
      </c>
      <c r="W592" t="s">
        <v>174</v>
      </c>
      <c r="X592">
        <v>1453696</v>
      </c>
      <c r="Z592" t="s">
        <v>175</v>
      </c>
      <c r="AA592" t="s">
        <v>173</v>
      </c>
    </row>
    <row r="593" spans="1:27" x14ac:dyDescent="0.3">
      <c r="A593">
        <v>592</v>
      </c>
      <c r="B593" t="s">
        <v>169</v>
      </c>
      <c r="C593">
        <v>99019875</v>
      </c>
      <c r="D593" s="7" t="s">
        <v>69</v>
      </c>
      <c r="E593" t="s">
        <v>70</v>
      </c>
      <c r="F593" t="s">
        <v>176</v>
      </c>
      <c r="G593" t="s">
        <v>177</v>
      </c>
      <c r="H593" s="133">
        <v>1000</v>
      </c>
      <c r="I593">
        <v>0</v>
      </c>
      <c r="J593">
        <v>518</v>
      </c>
      <c r="K593" s="133">
        <v>10300</v>
      </c>
      <c r="L593" s="133">
        <v>10300</v>
      </c>
      <c r="M593" s="150">
        <v>0.51254629629629633</v>
      </c>
      <c r="N593" s="150">
        <v>0.5125925925925926</v>
      </c>
      <c r="O593" t="s">
        <v>172</v>
      </c>
      <c r="Q593">
        <v>1458022</v>
      </c>
      <c r="R593">
        <v>1458022</v>
      </c>
      <c r="S593">
        <v>1457965</v>
      </c>
      <c r="T593">
        <v>482</v>
      </c>
      <c r="U593" t="s">
        <v>173</v>
      </c>
      <c r="V593">
        <v>0</v>
      </c>
      <c r="W593" t="s">
        <v>174</v>
      </c>
      <c r="X593">
        <v>1457965</v>
      </c>
      <c r="Z593" t="s">
        <v>175</v>
      </c>
      <c r="AA593" t="s">
        <v>173</v>
      </c>
    </row>
    <row r="594" spans="1:27" x14ac:dyDescent="0.3">
      <c r="A594">
        <v>593</v>
      </c>
      <c r="B594" t="s">
        <v>169</v>
      </c>
      <c r="C594">
        <v>99019875</v>
      </c>
      <c r="D594" s="7" t="s">
        <v>77</v>
      </c>
      <c r="E594" t="s">
        <v>78</v>
      </c>
      <c r="F594" t="s">
        <v>176</v>
      </c>
      <c r="G594" t="s">
        <v>177</v>
      </c>
      <c r="H594" s="133">
        <v>1000</v>
      </c>
      <c r="I594">
        <v>0</v>
      </c>
      <c r="J594" s="133">
        <v>1000</v>
      </c>
      <c r="K594" s="133">
        <v>7395</v>
      </c>
      <c r="L594" s="133">
        <v>7395</v>
      </c>
      <c r="M594" s="150">
        <v>0.51260416666666664</v>
      </c>
      <c r="N594" s="150">
        <v>0.51260416666666664</v>
      </c>
      <c r="O594" t="s">
        <v>172</v>
      </c>
      <c r="Q594">
        <v>1458314</v>
      </c>
      <c r="R594">
        <v>1458314</v>
      </c>
      <c r="S594">
        <v>1457786</v>
      </c>
      <c r="T594">
        <v>0</v>
      </c>
      <c r="U594" t="s">
        <v>173</v>
      </c>
      <c r="V594">
        <v>0</v>
      </c>
      <c r="W594" t="s">
        <v>174</v>
      </c>
      <c r="X594">
        <v>1457786</v>
      </c>
      <c r="Z594" t="s">
        <v>175</v>
      </c>
      <c r="AA594" t="s">
        <v>173</v>
      </c>
    </row>
    <row r="595" spans="1:27" x14ac:dyDescent="0.3">
      <c r="A595">
        <v>594</v>
      </c>
      <c r="B595" t="s">
        <v>169</v>
      </c>
      <c r="C595">
        <v>99019875</v>
      </c>
      <c r="D595" s="7" t="s">
        <v>77</v>
      </c>
      <c r="E595" t="s">
        <v>78</v>
      </c>
      <c r="F595" t="s">
        <v>176</v>
      </c>
      <c r="G595" t="s">
        <v>177</v>
      </c>
      <c r="H595" s="133">
        <v>1000</v>
      </c>
      <c r="I595">
        <v>0</v>
      </c>
      <c r="J595">
        <v>967</v>
      </c>
      <c r="K595" s="133">
        <v>7395</v>
      </c>
      <c r="L595" s="133">
        <v>7395</v>
      </c>
      <c r="M595" s="150">
        <v>0.51295138888888892</v>
      </c>
      <c r="N595" s="150">
        <v>0.51295138888888892</v>
      </c>
      <c r="O595" t="s">
        <v>172</v>
      </c>
      <c r="Q595">
        <v>1460222</v>
      </c>
      <c r="R595">
        <v>1460222</v>
      </c>
      <c r="S595">
        <v>1460217</v>
      </c>
      <c r="T595">
        <v>33</v>
      </c>
      <c r="U595" t="s">
        <v>173</v>
      </c>
      <c r="V595">
        <v>0</v>
      </c>
      <c r="W595" t="s">
        <v>174</v>
      </c>
      <c r="X595">
        <v>1460217</v>
      </c>
      <c r="Z595" t="s">
        <v>175</v>
      </c>
      <c r="AA595" t="s">
        <v>173</v>
      </c>
    </row>
    <row r="596" spans="1:27" x14ac:dyDescent="0.3">
      <c r="A596">
        <v>595</v>
      </c>
      <c r="B596" t="s">
        <v>169</v>
      </c>
      <c r="C596">
        <v>99019875</v>
      </c>
      <c r="D596" s="7" t="s">
        <v>69</v>
      </c>
      <c r="E596" t="s">
        <v>70</v>
      </c>
      <c r="F596" t="s">
        <v>176</v>
      </c>
      <c r="G596" t="s">
        <v>177</v>
      </c>
      <c r="H596" s="133">
        <v>1000</v>
      </c>
      <c r="I596">
        <v>0</v>
      </c>
      <c r="J596">
        <v>266</v>
      </c>
      <c r="K596" s="133">
        <v>10295</v>
      </c>
      <c r="L596" s="133">
        <v>10295</v>
      </c>
      <c r="M596" s="150">
        <v>0.51363425925925921</v>
      </c>
      <c r="N596" s="150">
        <v>0.51364583333333336</v>
      </c>
      <c r="O596" t="s">
        <v>172</v>
      </c>
      <c r="Q596">
        <v>1464637</v>
      </c>
      <c r="R596">
        <v>1464637</v>
      </c>
      <c r="S596">
        <v>1464591</v>
      </c>
      <c r="T596">
        <v>734</v>
      </c>
      <c r="U596" t="s">
        <v>173</v>
      </c>
      <c r="V596">
        <v>0</v>
      </c>
      <c r="W596" t="s">
        <v>174</v>
      </c>
      <c r="X596">
        <v>1464591</v>
      </c>
      <c r="Z596" t="s">
        <v>175</v>
      </c>
      <c r="AA596" t="s">
        <v>173</v>
      </c>
    </row>
    <row r="597" spans="1:27" x14ac:dyDescent="0.3">
      <c r="A597">
        <v>596</v>
      </c>
      <c r="B597" t="s">
        <v>169</v>
      </c>
      <c r="C597">
        <v>99019875</v>
      </c>
      <c r="D597" s="7" t="s">
        <v>69</v>
      </c>
      <c r="E597" t="s">
        <v>70</v>
      </c>
      <c r="F597" t="s">
        <v>176</v>
      </c>
      <c r="G597" t="s">
        <v>177</v>
      </c>
      <c r="H597" s="133">
        <v>1000</v>
      </c>
      <c r="I597">
        <v>0</v>
      </c>
      <c r="J597">
        <v>2</v>
      </c>
      <c r="K597" s="133">
        <v>10295</v>
      </c>
      <c r="L597" s="133">
        <v>10295</v>
      </c>
      <c r="M597" s="150">
        <v>0.51409722222222221</v>
      </c>
      <c r="N597" s="150">
        <v>0.51410879629629636</v>
      </c>
      <c r="O597" t="s">
        <v>172</v>
      </c>
      <c r="Q597">
        <v>1468426</v>
      </c>
      <c r="R597">
        <v>1468426</v>
      </c>
      <c r="S597">
        <v>1468399</v>
      </c>
      <c r="T597">
        <v>998</v>
      </c>
      <c r="U597" t="s">
        <v>173</v>
      </c>
      <c r="V597">
        <v>0</v>
      </c>
      <c r="W597" t="s">
        <v>174</v>
      </c>
      <c r="X597">
        <v>1468399</v>
      </c>
      <c r="Z597" t="s">
        <v>175</v>
      </c>
      <c r="AA597" t="s">
        <v>173</v>
      </c>
    </row>
    <row r="598" spans="1:27" x14ac:dyDescent="0.3">
      <c r="A598">
        <v>597</v>
      </c>
      <c r="B598" t="s">
        <v>169</v>
      </c>
      <c r="C598">
        <v>99019875</v>
      </c>
      <c r="D598" s="7" t="s">
        <v>75</v>
      </c>
      <c r="E598" t="s">
        <v>76</v>
      </c>
      <c r="F598" t="s">
        <v>176</v>
      </c>
      <c r="G598" t="s">
        <v>177</v>
      </c>
      <c r="H598" s="133">
        <v>1000</v>
      </c>
      <c r="I598">
        <v>0</v>
      </c>
      <c r="J598">
        <v>40</v>
      </c>
      <c r="K598" s="133">
        <v>20955</v>
      </c>
      <c r="L598" s="133">
        <v>20956</v>
      </c>
      <c r="M598" s="150">
        <v>0.51416666666666666</v>
      </c>
      <c r="N598" s="150">
        <v>0.51416666666666666</v>
      </c>
      <c r="O598" t="s">
        <v>172</v>
      </c>
      <c r="Q598">
        <v>1469087</v>
      </c>
      <c r="R598">
        <v>1469087</v>
      </c>
      <c r="S598">
        <v>1468983</v>
      </c>
      <c r="T598">
        <v>960</v>
      </c>
      <c r="U598" t="s">
        <v>173</v>
      </c>
      <c r="V598">
        <v>0</v>
      </c>
      <c r="W598" t="s">
        <v>174</v>
      </c>
      <c r="X598">
        <v>1468983</v>
      </c>
      <c r="Z598" t="s">
        <v>175</v>
      </c>
      <c r="AA598" t="s">
        <v>173</v>
      </c>
    </row>
    <row r="599" spans="1:27" x14ac:dyDescent="0.3">
      <c r="A599">
        <v>598</v>
      </c>
      <c r="B599" t="s">
        <v>169</v>
      </c>
      <c r="C599">
        <v>99019875</v>
      </c>
      <c r="D599" s="7" t="s">
        <v>75</v>
      </c>
      <c r="E599" t="s">
        <v>76</v>
      </c>
      <c r="F599" t="s">
        <v>176</v>
      </c>
      <c r="G599" t="s">
        <v>177</v>
      </c>
      <c r="H599" s="133">
        <v>1000</v>
      </c>
      <c r="I599">
        <v>0</v>
      </c>
      <c r="J599">
        <v>1</v>
      </c>
      <c r="K599" s="133">
        <v>20955</v>
      </c>
      <c r="L599" s="133">
        <v>20955</v>
      </c>
      <c r="M599" s="150">
        <v>0.51468749999999996</v>
      </c>
      <c r="N599" s="150">
        <v>0.51469907407407411</v>
      </c>
      <c r="O599" t="s">
        <v>172</v>
      </c>
      <c r="Q599">
        <v>1472843</v>
      </c>
      <c r="R599">
        <v>1472843</v>
      </c>
      <c r="S599">
        <v>1472829</v>
      </c>
      <c r="T599">
        <v>999</v>
      </c>
      <c r="U599" t="s">
        <v>173</v>
      </c>
      <c r="V599">
        <v>0</v>
      </c>
      <c r="W599" t="s">
        <v>174</v>
      </c>
      <c r="X599">
        <v>1472829</v>
      </c>
      <c r="Z599" t="s">
        <v>175</v>
      </c>
      <c r="AA599" t="s">
        <v>173</v>
      </c>
    </row>
    <row r="600" spans="1:27" x14ac:dyDescent="0.3">
      <c r="A600">
        <v>599</v>
      </c>
      <c r="B600" t="s">
        <v>169</v>
      </c>
      <c r="C600">
        <v>99019875</v>
      </c>
      <c r="D600" s="7" t="s">
        <v>75</v>
      </c>
      <c r="E600" t="s">
        <v>76</v>
      </c>
      <c r="F600" t="s">
        <v>176</v>
      </c>
      <c r="G600" t="s">
        <v>177</v>
      </c>
      <c r="H600" s="133">
        <v>1000</v>
      </c>
      <c r="I600">
        <v>0</v>
      </c>
      <c r="J600">
        <v>38</v>
      </c>
      <c r="K600" s="133">
        <v>20940</v>
      </c>
      <c r="L600" s="133">
        <v>20940</v>
      </c>
      <c r="M600" s="150">
        <v>0.51541666666666663</v>
      </c>
      <c r="N600" s="150">
        <v>0.51541666666666663</v>
      </c>
      <c r="O600" t="s">
        <v>172</v>
      </c>
      <c r="Q600">
        <v>1477659</v>
      </c>
      <c r="R600">
        <v>1477659</v>
      </c>
      <c r="S600">
        <v>1477546</v>
      </c>
      <c r="T600">
        <v>962</v>
      </c>
      <c r="U600" t="s">
        <v>173</v>
      </c>
      <c r="V600">
        <v>0</v>
      </c>
      <c r="W600" t="s">
        <v>174</v>
      </c>
      <c r="X600">
        <v>1477546</v>
      </c>
      <c r="Z600" t="s">
        <v>175</v>
      </c>
      <c r="AA600" t="s">
        <v>173</v>
      </c>
    </row>
    <row r="601" spans="1:27" x14ac:dyDescent="0.3">
      <c r="A601">
        <v>600</v>
      </c>
      <c r="B601" t="s">
        <v>169</v>
      </c>
      <c r="C601">
        <v>99019875</v>
      </c>
      <c r="D601" s="7" t="s">
        <v>77</v>
      </c>
      <c r="E601" t="s">
        <v>78</v>
      </c>
      <c r="F601" t="s">
        <v>176</v>
      </c>
      <c r="G601" t="s">
        <v>177</v>
      </c>
      <c r="H601" s="133">
        <v>1000</v>
      </c>
      <c r="I601">
        <v>0</v>
      </c>
      <c r="J601">
        <v>1</v>
      </c>
      <c r="K601" s="133">
        <v>7390</v>
      </c>
      <c r="L601" s="133">
        <v>7390</v>
      </c>
      <c r="M601" s="150">
        <v>0.51570601851851849</v>
      </c>
      <c r="N601" s="150">
        <v>0.51571759259259264</v>
      </c>
      <c r="O601" t="s">
        <v>172</v>
      </c>
      <c r="Q601">
        <v>1479635</v>
      </c>
      <c r="R601">
        <v>1479635</v>
      </c>
      <c r="S601">
        <v>1479479</v>
      </c>
      <c r="T601">
        <v>999</v>
      </c>
      <c r="U601" t="s">
        <v>173</v>
      </c>
      <c r="V601">
        <v>0</v>
      </c>
      <c r="W601" t="s">
        <v>174</v>
      </c>
      <c r="X601">
        <v>1479479</v>
      </c>
      <c r="Z601" t="s">
        <v>175</v>
      </c>
      <c r="AA601" t="s">
        <v>173</v>
      </c>
    </row>
    <row r="602" spans="1:27" x14ac:dyDescent="0.3">
      <c r="A602">
        <v>601</v>
      </c>
      <c r="B602" t="s">
        <v>169</v>
      </c>
      <c r="C602">
        <v>99019875</v>
      </c>
      <c r="D602" s="7" t="s">
        <v>75</v>
      </c>
      <c r="E602" t="s">
        <v>76</v>
      </c>
      <c r="F602" t="s">
        <v>176</v>
      </c>
      <c r="G602" t="s">
        <v>177</v>
      </c>
      <c r="H602" s="133">
        <v>1000</v>
      </c>
      <c r="I602">
        <v>0</v>
      </c>
      <c r="J602">
        <v>16</v>
      </c>
      <c r="K602" s="133">
        <v>20950</v>
      </c>
      <c r="L602" s="133">
        <v>20950</v>
      </c>
      <c r="M602" s="150">
        <v>0.51590277777777771</v>
      </c>
      <c r="N602" s="150">
        <v>0.5159259259259259</v>
      </c>
      <c r="O602" t="s">
        <v>172</v>
      </c>
      <c r="Q602">
        <v>1481288</v>
      </c>
      <c r="R602">
        <v>1481288</v>
      </c>
      <c r="S602">
        <v>1481062</v>
      </c>
      <c r="T602">
        <v>984</v>
      </c>
      <c r="U602" t="s">
        <v>173</v>
      </c>
      <c r="V602">
        <v>0</v>
      </c>
      <c r="W602" t="s">
        <v>174</v>
      </c>
      <c r="X602">
        <v>1481062</v>
      </c>
      <c r="Z602" t="s">
        <v>175</v>
      </c>
      <c r="AA602" t="s">
        <v>173</v>
      </c>
    </row>
    <row r="603" spans="1:27" x14ac:dyDescent="0.3">
      <c r="A603">
        <v>602</v>
      </c>
      <c r="B603" t="s">
        <v>169</v>
      </c>
      <c r="C603">
        <v>99019875</v>
      </c>
      <c r="D603" s="7" t="s">
        <v>77</v>
      </c>
      <c r="E603" t="s">
        <v>78</v>
      </c>
      <c r="F603" t="s">
        <v>176</v>
      </c>
      <c r="G603" t="s">
        <v>177</v>
      </c>
      <c r="H603" s="133">
        <v>1000</v>
      </c>
      <c r="I603">
        <v>0</v>
      </c>
      <c r="J603">
        <v>16</v>
      </c>
      <c r="K603" s="133">
        <v>7390</v>
      </c>
      <c r="L603" s="133">
        <v>7390</v>
      </c>
      <c r="M603" s="150">
        <v>0.51685185185185178</v>
      </c>
      <c r="N603" s="150">
        <v>0.51685185185185178</v>
      </c>
      <c r="O603" t="s">
        <v>172</v>
      </c>
      <c r="Q603">
        <v>1488078</v>
      </c>
      <c r="R603">
        <v>1488078</v>
      </c>
      <c r="S603">
        <v>1487995</v>
      </c>
      <c r="T603">
        <v>984</v>
      </c>
      <c r="U603" t="s">
        <v>173</v>
      </c>
      <c r="V603">
        <v>0</v>
      </c>
      <c r="W603" t="s">
        <v>174</v>
      </c>
      <c r="X603">
        <v>1487995</v>
      </c>
      <c r="Z603" t="s">
        <v>175</v>
      </c>
      <c r="AA603" t="s">
        <v>173</v>
      </c>
    </row>
    <row r="604" spans="1:27" x14ac:dyDescent="0.3">
      <c r="A604">
        <v>603</v>
      </c>
      <c r="B604" t="s">
        <v>169</v>
      </c>
      <c r="C604">
        <v>99019875</v>
      </c>
      <c r="D604" s="7" t="s">
        <v>69</v>
      </c>
      <c r="E604" t="s">
        <v>70</v>
      </c>
      <c r="F604" t="s">
        <v>176</v>
      </c>
      <c r="G604" t="s">
        <v>177</v>
      </c>
      <c r="H604" s="133">
        <v>1000</v>
      </c>
      <c r="I604">
        <v>0</v>
      </c>
      <c r="J604">
        <v>157</v>
      </c>
      <c r="K604" s="133">
        <v>10280</v>
      </c>
      <c r="L604" s="133">
        <v>10280</v>
      </c>
      <c r="M604" s="150">
        <v>0.51711805555555557</v>
      </c>
      <c r="N604" s="150">
        <v>0.51712962962962961</v>
      </c>
      <c r="O604" t="s">
        <v>172</v>
      </c>
      <c r="Q604">
        <v>1489741</v>
      </c>
      <c r="R604">
        <v>1489741</v>
      </c>
      <c r="S604">
        <v>1489596</v>
      </c>
      <c r="T604">
        <v>843</v>
      </c>
      <c r="U604" t="s">
        <v>173</v>
      </c>
      <c r="V604">
        <v>0</v>
      </c>
      <c r="W604" t="s">
        <v>174</v>
      </c>
      <c r="X604">
        <v>1489596</v>
      </c>
      <c r="Z604" t="s">
        <v>175</v>
      </c>
      <c r="AA604" t="s">
        <v>173</v>
      </c>
    </row>
    <row r="605" spans="1:27" x14ac:dyDescent="0.3">
      <c r="A605">
        <v>604</v>
      </c>
      <c r="B605" t="s">
        <v>169</v>
      </c>
      <c r="C605">
        <v>99019875</v>
      </c>
      <c r="D605" s="7" t="s">
        <v>69</v>
      </c>
      <c r="E605" t="s">
        <v>70</v>
      </c>
      <c r="F605" t="s">
        <v>176</v>
      </c>
      <c r="G605" t="s">
        <v>177</v>
      </c>
      <c r="H605" s="133">
        <v>1000</v>
      </c>
      <c r="I605">
        <v>0</v>
      </c>
      <c r="J605">
        <v>699</v>
      </c>
      <c r="K605" s="133">
        <v>10290</v>
      </c>
      <c r="L605" s="133">
        <v>10290</v>
      </c>
      <c r="M605" s="150">
        <v>0.51770833333333333</v>
      </c>
      <c r="N605" s="150">
        <v>0.51773148148148151</v>
      </c>
      <c r="O605" t="s">
        <v>172</v>
      </c>
      <c r="Q605">
        <v>1493641</v>
      </c>
      <c r="R605">
        <v>1493641</v>
      </c>
      <c r="S605">
        <v>1493615</v>
      </c>
      <c r="T605">
        <v>301</v>
      </c>
      <c r="U605" t="s">
        <v>173</v>
      </c>
      <c r="V605">
        <v>0</v>
      </c>
      <c r="W605" t="s">
        <v>174</v>
      </c>
      <c r="X605">
        <v>1493615</v>
      </c>
      <c r="Z605" t="s">
        <v>175</v>
      </c>
      <c r="AA605" t="s">
        <v>173</v>
      </c>
    </row>
    <row r="606" spans="1:27" x14ac:dyDescent="0.3">
      <c r="A606">
        <v>605</v>
      </c>
      <c r="B606" t="s">
        <v>169</v>
      </c>
      <c r="C606">
        <v>99019875</v>
      </c>
      <c r="D606" s="7" t="s">
        <v>75</v>
      </c>
      <c r="E606" t="s">
        <v>76</v>
      </c>
      <c r="F606" t="s">
        <v>176</v>
      </c>
      <c r="G606" t="s">
        <v>177</v>
      </c>
      <c r="H606" s="133">
        <v>1000</v>
      </c>
      <c r="I606">
        <v>0</v>
      </c>
      <c r="J606">
        <v>5</v>
      </c>
      <c r="K606" s="133">
        <v>20955</v>
      </c>
      <c r="L606" s="133">
        <v>20955</v>
      </c>
      <c r="M606" s="150">
        <v>0.52015046296296297</v>
      </c>
      <c r="N606" s="150">
        <v>0.52016203703703701</v>
      </c>
      <c r="O606" t="s">
        <v>172</v>
      </c>
      <c r="Q606">
        <v>1511076</v>
      </c>
      <c r="R606">
        <v>1511076</v>
      </c>
      <c r="S606">
        <v>1510774</v>
      </c>
      <c r="T606">
        <v>995</v>
      </c>
      <c r="U606" t="s">
        <v>173</v>
      </c>
      <c r="V606">
        <v>0</v>
      </c>
      <c r="W606" t="s">
        <v>174</v>
      </c>
      <c r="X606">
        <v>1510774</v>
      </c>
      <c r="Z606" t="s">
        <v>175</v>
      </c>
      <c r="AA606" t="s">
        <v>173</v>
      </c>
    </row>
    <row r="607" spans="1:27" x14ac:dyDescent="0.3">
      <c r="A607">
        <v>606</v>
      </c>
      <c r="B607" t="s">
        <v>169</v>
      </c>
      <c r="C607">
        <v>99019875</v>
      </c>
      <c r="D607" s="7" t="s">
        <v>69</v>
      </c>
      <c r="E607" t="s">
        <v>70</v>
      </c>
      <c r="F607" t="s">
        <v>176</v>
      </c>
      <c r="G607" t="s">
        <v>177</v>
      </c>
      <c r="H607" s="133">
        <v>1000</v>
      </c>
      <c r="I607">
        <v>0</v>
      </c>
      <c r="J607">
        <v>21</v>
      </c>
      <c r="K607" s="133">
        <v>10280</v>
      </c>
      <c r="L607" s="133">
        <v>10280</v>
      </c>
      <c r="M607" s="150">
        <v>0.52037037037037037</v>
      </c>
      <c r="N607" s="150">
        <v>0.52038194444444441</v>
      </c>
      <c r="O607" t="s">
        <v>172</v>
      </c>
      <c r="Q607">
        <v>1512708</v>
      </c>
      <c r="R607">
        <v>1512708</v>
      </c>
      <c r="S607">
        <v>1512609</v>
      </c>
      <c r="T607">
        <v>979</v>
      </c>
      <c r="U607" t="s">
        <v>173</v>
      </c>
      <c r="V607">
        <v>0</v>
      </c>
      <c r="W607" t="s">
        <v>174</v>
      </c>
      <c r="X607">
        <v>1512609</v>
      </c>
      <c r="Z607" t="s">
        <v>175</v>
      </c>
      <c r="AA607" t="s">
        <v>173</v>
      </c>
    </row>
    <row r="608" spans="1:27" x14ac:dyDescent="0.3">
      <c r="A608">
        <v>607</v>
      </c>
      <c r="B608" t="s">
        <v>169</v>
      </c>
      <c r="C608">
        <v>99019875</v>
      </c>
      <c r="D608" s="7" t="s">
        <v>77</v>
      </c>
      <c r="E608" t="s">
        <v>78</v>
      </c>
      <c r="F608" t="s">
        <v>176</v>
      </c>
      <c r="G608" t="s">
        <v>177</v>
      </c>
      <c r="H608" s="133">
        <v>1000</v>
      </c>
      <c r="I608">
        <v>0</v>
      </c>
      <c r="J608">
        <v>120</v>
      </c>
      <c r="K608" s="133">
        <v>7380</v>
      </c>
      <c r="L608" s="133">
        <v>7380</v>
      </c>
      <c r="M608" s="150">
        <v>0.52079861111111114</v>
      </c>
      <c r="N608" s="150">
        <v>0.52079861111111114</v>
      </c>
      <c r="O608" t="s">
        <v>172</v>
      </c>
      <c r="Q608">
        <v>1515579</v>
      </c>
      <c r="R608">
        <v>1515579</v>
      </c>
      <c r="S608">
        <v>1515571</v>
      </c>
      <c r="T608">
        <v>880</v>
      </c>
      <c r="U608" t="s">
        <v>173</v>
      </c>
      <c r="V608">
        <v>0</v>
      </c>
      <c r="W608" t="s">
        <v>174</v>
      </c>
      <c r="X608">
        <v>1515571</v>
      </c>
      <c r="Z608" t="s">
        <v>175</v>
      </c>
      <c r="AA608" t="s">
        <v>173</v>
      </c>
    </row>
    <row r="609" spans="1:27" x14ac:dyDescent="0.3">
      <c r="A609">
        <v>608</v>
      </c>
      <c r="B609" t="s">
        <v>169</v>
      </c>
      <c r="C609">
        <v>99019875</v>
      </c>
      <c r="D609" s="7" t="s">
        <v>77</v>
      </c>
      <c r="E609" t="s">
        <v>78</v>
      </c>
      <c r="F609" t="s">
        <v>176</v>
      </c>
      <c r="G609" t="s">
        <v>177</v>
      </c>
      <c r="H609" s="133">
        <v>1000</v>
      </c>
      <c r="I609">
        <v>0</v>
      </c>
      <c r="J609">
        <v>880</v>
      </c>
      <c r="K609" s="133">
        <v>7375</v>
      </c>
      <c r="L609" s="133">
        <v>7375</v>
      </c>
      <c r="M609" s="150">
        <v>0.52079861111111114</v>
      </c>
      <c r="N609" s="150">
        <v>0.52079861111111114</v>
      </c>
      <c r="O609" t="s">
        <v>172</v>
      </c>
      <c r="Q609">
        <v>1515587</v>
      </c>
      <c r="R609">
        <v>1515587</v>
      </c>
      <c r="S609">
        <v>1515579</v>
      </c>
      <c r="T609">
        <v>0</v>
      </c>
      <c r="U609" t="s">
        <v>173</v>
      </c>
      <c r="V609">
        <v>120</v>
      </c>
      <c r="W609" t="s">
        <v>174</v>
      </c>
      <c r="X609">
        <v>1515579</v>
      </c>
      <c r="Z609" t="s">
        <v>175</v>
      </c>
      <c r="AA609" t="s">
        <v>173</v>
      </c>
    </row>
    <row r="610" spans="1:27" x14ac:dyDescent="0.3">
      <c r="A610">
        <v>609</v>
      </c>
      <c r="B610" t="s">
        <v>169</v>
      </c>
      <c r="C610">
        <v>99019875</v>
      </c>
      <c r="D610" s="7" t="s">
        <v>118</v>
      </c>
      <c r="E610" t="s">
        <v>119</v>
      </c>
      <c r="F610" t="s">
        <v>176</v>
      </c>
      <c r="G610" t="s">
        <v>177</v>
      </c>
      <c r="H610" s="133">
        <v>1000</v>
      </c>
      <c r="I610">
        <v>0</v>
      </c>
      <c r="J610">
        <v>13</v>
      </c>
      <c r="K610" s="133">
        <v>12545</v>
      </c>
      <c r="L610" s="133">
        <v>12545</v>
      </c>
      <c r="M610" s="150">
        <v>0.52079861111111114</v>
      </c>
      <c r="N610" s="150">
        <v>0.52079861111111114</v>
      </c>
      <c r="O610" t="s">
        <v>172</v>
      </c>
      <c r="Q610">
        <v>1515589</v>
      </c>
      <c r="R610">
        <v>1515589</v>
      </c>
      <c r="S610">
        <v>1515581</v>
      </c>
      <c r="T610">
        <v>987</v>
      </c>
      <c r="U610" t="s">
        <v>173</v>
      </c>
      <c r="V610">
        <v>0</v>
      </c>
      <c r="W610" t="s">
        <v>174</v>
      </c>
      <c r="X610">
        <v>1515581</v>
      </c>
      <c r="Z610" t="s">
        <v>175</v>
      </c>
      <c r="AA610" t="s">
        <v>173</v>
      </c>
    </row>
    <row r="611" spans="1:27" x14ac:dyDescent="0.3">
      <c r="A611">
        <v>610</v>
      </c>
      <c r="B611" t="s">
        <v>169</v>
      </c>
      <c r="C611">
        <v>99019875</v>
      </c>
      <c r="D611" s="7" t="s">
        <v>69</v>
      </c>
      <c r="E611" t="s">
        <v>70</v>
      </c>
      <c r="F611" t="s">
        <v>176</v>
      </c>
      <c r="G611" t="s">
        <v>177</v>
      </c>
      <c r="H611" s="133">
        <v>1000</v>
      </c>
      <c r="I611">
        <v>0</v>
      </c>
      <c r="J611">
        <v>5</v>
      </c>
      <c r="K611" s="133">
        <v>10270</v>
      </c>
      <c r="L611" s="133">
        <v>10270</v>
      </c>
      <c r="M611" s="150">
        <v>0.52083333333333337</v>
      </c>
      <c r="N611" s="150">
        <v>0.52084490740740741</v>
      </c>
      <c r="O611" t="s">
        <v>172</v>
      </c>
      <c r="Q611">
        <v>1515840</v>
      </c>
      <c r="R611">
        <v>1515840</v>
      </c>
      <c r="S611">
        <v>1515797</v>
      </c>
      <c r="T611">
        <v>995</v>
      </c>
      <c r="U611" t="s">
        <v>173</v>
      </c>
      <c r="V611">
        <v>0</v>
      </c>
      <c r="W611" t="s">
        <v>174</v>
      </c>
      <c r="X611">
        <v>1515797</v>
      </c>
      <c r="Z611" t="s">
        <v>175</v>
      </c>
      <c r="AA611" t="s">
        <v>173</v>
      </c>
    </row>
    <row r="612" spans="1:27" x14ac:dyDescent="0.3">
      <c r="A612">
        <v>611</v>
      </c>
      <c r="B612" t="s">
        <v>169</v>
      </c>
      <c r="C612">
        <v>99019875</v>
      </c>
      <c r="D612" s="7" t="s">
        <v>62</v>
      </c>
      <c r="E612" t="s">
        <v>63</v>
      </c>
      <c r="F612" t="s">
        <v>170</v>
      </c>
      <c r="G612" t="s">
        <v>177</v>
      </c>
      <c r="H612" s="133">
        <v>1000</v>
      </c>
      <c r="I612">
        <v>0</v>
      </c>
      <c r="J612">
        <v>21</v>
      </c>
      <c r="K612" s="133">
        <v>34145</v>
      </c>
      <c r="L612" s="133">
        <v>34145</v>
      </c>
      <c r="M612" s="150">
        <v>0.52113425925925927</v>
      </c>
      <c r="N612" s="150">
        <v>0.52114583333333331</v>
      </c>
      <c r="O612" t="s">
        <v>172</v>
      </c>
      <c r="Q612">
        <v>1518171</v>
      </c>
      <c r="R612">
        <v>1518171</v>
      </c>
      <c r="S612">
        <v>1518135</v>
      </c>
      <c r="T612">
        <v>979</v>
      </c>
      <c r="U612" t="s">
        <v>173</v>
      </c>
      <c r="V612">
        <v>0</v>
      </c>
      <c r="W612" t="s">
        <v>174</v>
      </c>
      <c r="X612">
        <v>1518135</v>
      </c>
      <c r="Z612" t="s">
        <v>175</v>
      </c>
      <c r="AA612" t="s">
        <v>173</v>
      </c>
    </row>
    <row r="613" spans="1:27" x14ac:dyDescent="0.3">
      <c r="A613">
        <v>612</v>
      </c>
      <c r="B613" t="s">
        <v>184</v>
      </c>
      <c r="C613">
        <v>99019870</v>
      </c>
      <c r="D613" s="7" t="s">
        <v>91</v>
      </c>
      <c r="E613" t="s">
        <v>92</v>
      </c>
      <c r="F613" t="s">
        <v>176</v>
      </c>
      <c r="G613" t="s">
        <v>177</v>
      </c>
      <c r="H613" s="133">
        <v>1000</v>
      </c>
      <c r="I613">
        <v>0</v>
      </c>
      <c r="J613" s="133">
        <v>1000</v>
      </c>
      <c r="K613" s="133">
        <v>19550</v>
      </c>
      <c r="L613" s="133">
        <v>19550</v>
      </c>
      <c r="M613" s="150">
        <v>0.52137731481481475</v>
      </c>
      <c r="N613" s="150">
        <v>0.52137731481481475</v>
      </c>
      <c r="O613" t="s">
        <v>172</v>
      </c>
      <c r="Q613">
        <v>1521126</v>
      </c>
      <c r="R613">
        <v>1521126</v>
      </c>
      <c r="S613">
        <v>1521096</v>
      </c>
      <c r="T613">
        <v>0</v>
      </c>
      <c r="U613" t="s">
        <v>173</v>
      </c>
      <c r="V613">
        <v>0</v>
      </c>
      <c r="W613" t="s">
        <v>174</v>
      </c>
      <c r="X613">
        <v>1521096</v>
      </c>
      <c r="Z613" t="s">
        <v>175</v>
      </c>
      <c r="AA613" t="s">
        <v>173</v>
      </c>
    </row>
    <row r="614" spans="1:27" x14ac:dyDescent="0.3">
      <c r="A614">
        <v>613</v>
      </c>
      <c r="B614" t="s">
        <v>169</v>
      </c>
      <c r="C614">
        <v>99019875</v>
      </c>
      <c r="D614" s="7" t="s">
        <v>69</v>
      </c>
      <c r="E614" t="s">
        <v>70</v>
      </c>
      <c r="F614" t="s">
        <v>176</v>
      </c>
      <c r="G614" t="s">
        <v>177</v>
      </c>
      <c r="H614" s="133">
        <v>1000</v>
      </c>
      <c r="I614">
        <v>0</v>
      </c>
      <c r="J614">
        <v>518</v>
      </c>
      <c r="K614" s="133">
        <v>10260</v>
      </c>
      <c r="L614" s="133">
        <v>10260</v>
      </c>
      <c r="M614" s="150">
        <v>0.52137731481481475</v>
      </c>
      <c r="N614" s="150">
        <v>0.5213888888888889</v>
      </c>
      <c r="O614" t="s">
        <v>172</v>
      </c>
      <c r="Q614">
        <v>1521177</v>
      </c>
      <c r="R614">
        <v>1521177</v>
      </c>
      <c r="S614">
        <v>1521171</v>
      </c>
      <c r="T614">
        <v>482</v>
      </c>
      <c r="U614" t="s">
        <v>173</v>
      </c>
      <c r="V614">
        <v>0</v>
      </c>
      <c r="W614" t="s">
        <v>174</v>
      </c>
      <c r="X614">
        <v>1521171</v>
      </c>
      <c r="Z614" t="s">
        <v>175</v>
      </c>
      <c r="AA614" t="s">
        <v>173</v>
      </c>
    </row>
    <row r="615" spans="1:27" x14ac:dyDescent="0.3">
      <c r="A615">
        <v>614</v>
      </c>
      <c r="B615" t="s">
        <v>169</v>
      </c>
      <c r="C615">
        <v>99019875</v>
      </c>
      <c r="D615" s="7" t="s">
        <v>128</v>
      </c>
      <c r="E615" t="s">
        <v>129</v>
      </c>
      <c r="F615" t="s">
        <v>176</v>
      </c>
      <c r="G615" t="s">
        <v>177</v>
      </c>
      <c r="H615" s="133">
        <v>1000</v>
      </c>
      <c r="I615">
        <v>0</v>
      </c>
      <c r="J615">
        <v>36</v>
      </c>
      <c r="K615" s="133">
        <v>6510</v>
      </c>
      <c r="L615" s="133">
        <v>6510</v>
      </c>
      <c r="M615" s="150">
        <v>0.521550925925926</v>
      </c>
      <c r="N615" s="150">
        <v>0.521550925925926</v>
      </c>
      <c r="O615" t="s">
        <v>172</v>
      </c>
      <c r="Q615">
        <v>1523825</v>
      </c>
      <c r="R615">
        <v>1523825</v>
      </c>
      <c r="S615">
        <v>1523360</v>
      </c>
      <c r="T615">
        <v>964</v>
      </c>
      <c r="U615" t="s">
        <v>173</v>
      </c>
      <c r="V615">
        <v>0</v>
      </c>
      <c r="W615" t="s">
        <v>174</v>
      </c>
      <c r="X615">
        <v>1523360</v>
      </c>
      <c r="Z615" t="s">
        <v>175</v>
      </c>
      <c r="AA615" t="s">
        <v>173</v>
      </c>
    </row>
    <row r="616" spans="1:27" x14ac:dyDescent="0.3">
      <c r="A616">
        <v>615</v>
      </c>
      <c r="B616" t="s">
        <v>169</v>
      </c>
      <c r="C616">
        <v>99019875</v>
      </c>
      <c r="D616" s="7" t="s">
        <v>96</v>
      </c>
      <c r="E616" t="s">
        <v>97</v>
      </c>
      <c r="F616" t="s">
        <v>176</v>
      </c>
      <c r="G616" t="s">
        <v>177</v>
      </c>
      <c r="H616" s="133">
        <v>1000</v>
      </c>
      <c r="I616">
        <v>0</v>
      </c>
      <c r="J616">
        <v>8</v>
      </c>
      <c r="K616" s="133">
        <v>8315</v>
      </c>
      <c r="L616" s="133">
        <v>8315</v>
      </c>
      <c r="M616" s="150">
        <v>0.52160879629629631</v>
      </c>
      <c r="N616" s="150">
        <v>0.5216319444444445</v>
      </c>
      <c r="O616" t="s">
        <v>172</v>
      </c>
      <c r="Q616">
        <v>1524529</v>
      </c>
      <c r="R616">
        <v>1524529</v>
      </c>
      <c r="S616">
        <v>1523680</v>
      </c>
      <c r="T616">
        <v>992</v>
      </c>
      <c r="U616" t="s">
        <v>173</v>
      </c>
      <c r="V616">
        <v>0</v>
      </c>
      <c r="W616" t="s">
        <v>174</v>
      </c>
      <c r="X616">
        <v>1523680</v>
      </c>
      <c r="Z616" t="s">
        <v>175</v>
      </c>
      <c r="AA616" t="s">
        <v>173</v>
      </c>
    </row>
    <row r="617" spans="1:27" x14ac:dyDescent="0.3">
      <c r="A617">
        <v>616</v>
      </c>
      <c r="B617" t="s">
        <v>169</v>
      </c>
      <c r="C617">
        <v>99019875</v>
      </c>
      <c r="D617" s="7" t="s">
        <v>69</v>
      </c>
      <c r="E617" t="s">
        <v>70</v>
      </c>
      <c r="F617" t="s">
        <v>176</v>
      </c>
      <c r="G617" t="s">
        <v>177</v>
      </c>
      <c r="H617" s="133">
        <v>1000</v>
      </c>
      <c r="I617">
        <v>0</v>
      </c>
      <c r="J617">
        <v>303</v>
      </c>
      <c r="K617" s="133">
        <v>10255</v>
      </c>
      <c r="L617" s="133">
        <v>10255</v>
      </c>
      <c r="M617" s="150">
        <v>0.52189814814814817</v>
      </c>
      <c r="N617" s="150">
        <v>0.52200231481481485</v>
      </c>
      <c r="O617" t="s">
        <v>172</v>
      </c>
      <c r="Q617">
        <v>1528045</v>
      </c>
      <c r="R617">
        <v>1528045</v>
      </c>
      <c r="S617">
        <v>1528001</v>
      </c>
      <c r="T617">
        <v>697</v>
      </c>
      <c r="U617" t="s">
        <v>173</v>
      </c>
      <c r="V617">
        <v>0</v>
      </c>
      <c r="W617" t="s">
        <v>174</v>
      </c>
      <c r="X617">
        <v>1528001</v>
      </c>
      <c r="Z617" t="s">
        <v>175</v>
      </c>
      <c r="AA617" t="s">
        <v>173</v>
      </c>
    </row>
    <row r="618" spans="1:27" x14ac:dyDescent="0.3">
      <c r="A618">
        <v>617</v>
      </c>
      <c r="B618" t="s">
        <v>169</v>
      </c>
      <c r="C618">
        <v>99019875</v>
      </c>
      <c r="D618" s="7" t="s">
        <v>75</v>
      </c>
      <c r="E618" t="s">
        <v>76</v>
      </c>
      <c r="F618" t="s">
        <v>176</v>
      </c>
      <c r="G618" t="s">
        <v>177</v>
      </c>
      <c r="H618" s="133">
        <v>1000</v>
      </c>
      <c r="I618">
        <v>0</v>
      </c>
      <c r="J618">
        <v>13</v>
      </c>
      <c r="K618" s="133">
        <v>20910</v>
      </c>
      <c r="L618" s="133">
        <v>20910</v>
      </c>
      <c r="M618" s="150">
        <v>0.52223379629629629</v>
      </c>
      <c r="N618" s="150">
        <v>0.52224537037037033</v>
      </c>
      <c r="O618" t="s">
        <v>172</v>
      </c>
      <c r="Q618">
        <v>1531029</v>
      </c>
      <c r="R618">
        <v>1531029</v>
      </c>
      <c r="S618">
        <v>1530639</v>
      </c>
      <c r="T618">
        <v>987</v>
      </c>
      <c r="U618" t="s">
        <v>173</v>
      </c>
      <c r="V618">
        <v>0</v>
      </c>
      <c r="W618" t="s">
        <v>174</v>
      </c>
      <c r="X618">
        <v>1530639</v>
      </c>
      <c r="Z618" t="s">
        <v>175</v>
      </c>
      <c r="AA618" t="s">
        <v>173</v>
      </c>
    </row>
    <row r="619" spans="1:27" x14ac:dyDescent="0.3">
      <c r="A619">
        <v>618</v>
      </c>
      <c r="B619" t="s">
        <v>169</v>
      </c>
      <c r="C619">
        <v>99019875</v>
      </c>
      <c r="D619" s="7" t="s">
        <v>69</v>
      </c>
      <c r="E619" t="s">
        <v>70</v>
      </c>
      <c r="F619" t="s">
        <v>176</v>
      </c>
      <c r="G619" t="s">
        <v>177</v>
      </c>
      <c r="H619" s="133">
        <v>1000</v>
      </c>
      <c r="I619">
        <v>0</v>
      </c>
      <c r="J619">
        <v>518</v>
      </c>
      <c r="K619" s="133">
        <v>10245</v>
      </c>
      <c r="L619" s="133">
        <v>10245</v>
      </c>
      <c r="M619" s="150">
        <v>0.52234953703703701</v>
      </c>
      <c r="N619" s="150">
        <v>0.52236111111111116</v>
      </c>
      <c r="O619" t="s">
        <v>172</v>
      </c>
      <c r="Q619">
        <v>1531988</v>
      </c>
      <c r="R619">
        <v>1531988</v>
      </c>
      <c r="S619">
        <v>1531976</v>
      </c>
      <c r="T619">
        <v>482</v>
      </c>
      <c r="U619" t="s">
        <v>173</v>
      </c>
      <c r="V619">
        <v>0</v>
      </c>
      <c r="W619" t="s">
        <v>174</v>
      </c>
      <c r="X619">
        <v>1531976</v>
      </c>
      <c r="Z619" t="s">
        <v>175</v>
      </c>
      <c r="AA619" t="s">
        <v>173</v>
      </c>
    </row>
    <row r="620" spans="1:27" x14ac:dyDescent="0.3">
      <c r="A620">
        <v>619</v>
      </c>
      <c r="B620" t="s">
        <v>169</v>
      </c>
      <c r="C620">
        <v>99019875</v>
      </c>
      <c r="D620" s="7" t="s">
        <v>140</v>
      </c>
      <c r="E620" t="s">
        <v>178</v>
      </c>
      <c r="F620" t="s">
        <v>170</v>
      </c>
      <c r="G620" t="s">
        <v>177</v>
      </c>
      <c r="H620" s="133">
        <v>1000</v>
      </c>
      <c r="I620">
        <v>0</v>
      </c>
      <c r="J620">
        <v>226</v>
      </c>
      <c r="K620" s="133">
        <v>8615</v>
      </c>
      <c r="L620" s="133">
        <v>8615</v>
      </c>
      <c r="M620" s="150">
        <v>0.52252314814814815</v>
      </c>
      <c r="N620" s="150">
        <v>0.52253472222222219</v>
      </c>
      <c r="O620" t="s">
        <v>172</v>
      </c>
      <c r="Q620">
        <v>1533356</v>
      </c>
      <c r="R620">
        <v>1533356</v>
      </c>
      <c r="S620">
        <v>1533025</v>
      </c>
      <c r="T620">
        <v>774</v>
      </c>
      <c r="U620" t="s">
        <v>173</v>
      </c>
      <c r="V620">
        <v>0</v>
      </c>
      <c r="W620" t="s">
        <v>174</v>
      </c>
      <c r="X620">
        <v>1533025</v>
      </c>
      <c r="Z620" t="s">
        <v>175</v>
      </c>
      <c r="AA620" t="s">
        <v>173</v>
      </c>
    </row>
    <row r="621" spans="1:27" x14ac:dyDescent="0.3">
      <c r="A621">
        <v>620</v>
      </c>
      <c r="B621" t="s">
        <v>169</v>
      </c>
      <c r="C621">
        <v>99019875</v>
      </c>
      <c r="D621" s="7" t="s">
        <v>75</v>
      </c>
      <c r="E621" t="s">
        <v>76</v>
      </c>
      <c r="F621" t="s">
        <v>176</v>
      </c>
      <c r="G621" t="s">
        <v>177</v>
      </c>
      <c r="H621" s="133">
        <v>1000</v>
      </c>
      <c r="I621">
        <v>0</v>
      </c>
      <c r="J621">
        <v>1</v>
      </c>
      <c r="K621" s="133">
        <v>20910</v>
      </c>
      <c r="L621" s="133">
        <v>20910</v>
      </c>
      <c r="M621" s="150">
        <v>0.5227546296296296</v>
      </c>
      <c r="N621" s="150">
        <v>0.52276620370370364</v>
      </c>
      <c r="O621" t="s">
        <v>172</v>
      </c>
      <c r="Q621">
        <v>1535586</v>
      </c>
      <c r="R621">
        <v>1535586</v>
      </c>
      <c r="S621">
        <v>1535561</v>
      </c>
      <c r="T621">
        <v>999</v>
      </c>
      <c r="U621" t="s">
        <v>173</v>
      </c>
      <c r="V621">
        <v>0</v>
      </c>
      <c r="W621" t="s">
        <v>174</v>
      </c>
      <c r="X621">
        <v>1535561</v>
      </c>
      <c r="Z621" t="s">
        <v>175</v>
      </c>
      <c r="AA621" t="s">
        <v>173</v>
      </c>
    </row>
    <row r="622" spans="1:27" x14ac:dyDescent="0.3">
      <c r="A622">
        <v>621</v>
      </c>
      <c r="B622" t="s">
        <v>169</v>
      </c>
      <c r="C622">
        <v>99019875</v>
      </c>
      <c r="D622" s="7" t="s">
        <v>77</v>
      </c>
      <c r="E622" t="s">
        <v>78</v>
      </c>
      <c r="F622" t="s">
        <v>176</v>
      </c>
      <c r="G622" t="s">
        <v>177</v>
      </c>
      <c r="H622" s="133">
        <v>1000</v>
      </c>
      <c r="I622">
        <v>0</v>
      </c>
      <c r="J622">
        <v>174</v>
      </c>
      <c r="K622" s="133">
        <v>7360</v>
      </c>
      <c r="L622" s="133">
        <v>7360</v>
      </c>
      <c r="M622" s="150">
        <v>0.52280092592592597</v>
      </c>
      <c r="N622" s="150">
        <v>0.52281250000000001</v>
      </c>
      <c r="O622" t="s">
        <v>172</v>
      </c>
      <c r="Q622">
        <v>1536000</v>
      </c>
      <c r="R622">
        <v>1536000</v>
      </c>
      <c r="S622">
        <v>1535993</v>
      </c>
      <c r="T622">
        <v>826</v>
      </c>
      <c r="U622" t="s">
        <v>173</v>
      </c>
      <c r="V622">
        <v>0</v>
      </c>
      <c r="W622" t="s">
        <v>174</v>
      </c>
      <c r="X622">
        <v>1535993</v>
      </c>
      <c r="Z622" t="s">
        <v>175</v>
      </c>
      <c r="AA622" t="s">
        <v>173</v>
      </c>
    </row>
    <row r="623" spans="1:27" x14ac:dyDescent="0.3">
      <c r="A623">
        <v>622</v>
      </c>
      <c r="B623" t="s">
        <v>169</v>
      </c>
      <c r="C623">
        <v>99019875</v>
      </c>
      <c r="D623" s="7" t="s">
        <v>75</v>
      </c>
      <c r="E623" t="s">
        <v>76</v>
      </c>
      <c r="F623" t="s">
        <v>176</v>
      </c>
      <c r="G623" t="s">
        <v>177</v>
      </c>
      <c r="H623" s="133">
        <v>1000</v>
      </c>
      <c r="I623">
        <v>0</v>
      </c>
      <c r="J623">
        <v>34</v>
      </c>
      <c r="K623" s="133">
        <v>20890</v>
      </c>
      <c r="L623" s="133">
        <v>20890</v>
      </c>
      <c r="M623" s="150">
        <v>0.52310185185185187</v>
      </c>
      <c r="N623" s="150">
        <v>0.52311342592592591</v>
      </c>
      <c r="O623" t="s">
        <v>172</v>
      </c>
      <c r="Q623">
        <v>1538570</v>
      </c>
      <c r="R623">
        <v>1538570</v>
      </c>
      <c r="S623">
        <v>1538563</v>
      </c>
      <c r="T623">
        <v>966</v>
      </c>
      <c r="U623" t="s">
        <v>173</v>
      </c>
      <c r="V623">
        <v>0</v>
      </c>
      <c r="W623" t="s">
        <v>174</v>
      </c>
      <c r="X623">
        <v>1538563</v>
      </c>
      <c r="Z623" t="s">
        <v>175</v>
      </c>
      <c r="AA623" t="s">
        <v>173</v>
      </c>
    </row>
    <row r="624" spans="1:27" x14ac:dyDescent="0.3">
      <c r="A624">
        <v>623</v>
      </c>
      <c r="B624" t="s">
        <v>169</v>
      </c>
      <c r="C624">
        <v>99019875</v>
      </c>
      <c r="D624" s="7" t="s">
        <v>69</v>
      </c>
      <c r="E624" t="s">
        <v>70</v>
      </c>
      <c r="F624" t="s">
        <v>176</v>
      </c>
      <c r="G624" t="s">
        <v>177</v>
      </c>
      <c r="H624" s="133">
        <v>1000</v>
      </c>
      <c r="I624">
        <v>0</v>
      </c>
      <c r="J624">
        <v>1</v>
      </c>
      <c r="K624" s="133">
        <v>10245</v>
      </c>
      <c r="L624" s="133">
        <v>10245</v>
      </c>
      <c r="M624" s="150">
        <v>0.52315972222222229</v>
      </c>
      <c r="N624" s="150">
        <v>0.52319444444444441</v>
      </c>
      <c r="O624" t="s">
        <v>172</v>
      </c>
      <c r="Q624">
        <v>1539067</v>
      </c>
      <c r="R624">
        <v>1539067</v>
      </c>
      <c r="S624">
        <v>1538958</v>
      </c>
      <c r="T624">
        <v>999</v>
      </c>
      <c r="U624" t="s">
        <v>173</v>
      </c>
      <c r="V624">
        <v>0</v>
      </c>
      <c r="W624" t="s">
        <v>174</v>
      </c>
      <c r="X624">
        <v>1538958</v>
      </c>
      <c r="Z624" t="s">
        <v>175</v>
      </c>
      <c r="AA624" t="s">
        <v>173</v>
      </c>
    </row>
    <row r="625" spans="1:27" x14ac:dyDescent="0.3">
      <c r="A625">
        <v>624</v>
      </c>
      <c r="B625" t="s">
        <v>169</v>
      </c>
      <c r="C625">
        <v>99019875</v>
      </c>
      <c r="D625" s="7" t="s">
        <v>69</v>
      </c>
      <c r="E625" t="s">
        <v>70</v>
      </c>
      <c r="F625" t="s">
        <v>176</v>
      </c>
      <c r="G625" t="s">
        <v>177</v>
      </c>
      <c r="H625" s="133">
        <v>1000</v>
      </c>
      <c r="I625">
        <v>0</v>
      </c>
      <c r="J625">
        <v>18</v>
      </c>
      <c r="K625" s="133">
        <v>10245</v>
      </c>
      <c r="L625" s="133">
        <v>10245</v>
      </c>
      <c r="M625" s="150">
        <v>0.52380787037037035</v>
      </c>
      <c r="N625" s="150">
        <v>0.52385416666666662</v>
      </c>
      <c r="O625" t="s">
        <v>172</v>
      </c>
      <c r="Q625">
        <v>1544137</v>
      </c>
      <c r="R625">
        <v>1544137</v>
      </c>
      <c r="S625">
        <v>1543951</v>
      </c>
      <c r="T625">
        <v>982</v>
      </c>
      <c r="U625" t="s">
        <v>173</v>
      </c>
      <c r="V625">
        <v>0</v>
      </c>
      <c r="W625" t="s">
        <v>174</v>
      </c>
      <c r="X625">
        <v>1543951</v>
      </c>
      <c r="Z625" t="s">
        <v>175</v>
      </c>
      <c r="AA625" t="s">
        <v>173</v>
      </c>
    </row>
    <row r="626" spans="1:27" x14ac:dyDescent="0.3">
      <c r="A626">
        <v>625</v>
      </c>
      <c r="B626" t="s">
        <v>169</v>
      </c>
      <c r="C626">
        <v>99019875</v>
      </c>
      <c r="D626" s="7" t="s">
        <v>81</v>
      </c>
      <c r="E626" t="s">
        <v>82</v>
      </c>
      <c r="F626" t="s">
        <v>176</v>
      </c>
      <c r="G626" t="s">
        <v>177</v>
      </c>
      <c r="H626" s="133">
        <v>1000</v>
      </c>
      <c r="I626">
        <v>0</v>
      </c>
      <c r="J626">
        <v>17</v>
      </c>
      <c r="K626" s="133">
        <v>36535</v>
      </c>
      <c r="L626" s="133">
        <v>36535</v>
      </c>
      <c r="M626" s="150">
        <v>0.52465277777777775</v>
      </c>
      <c r="N626" s="150">
        <v>0.52466435185185178</v>
      </c>
      <c r="O626" t="s">
        <v>172</v>
      </c>
      <c r="Q626">
        <v>1551162</v>
      </c>
      <c r="R626">
        <v>1551162</v>
      </c>
      <c r="S626">
        <v>1551135</v>
      </c>
      <c r="T626">
        <v>983</v>
      </c>
      <c r="U626" t="s">
        <v>173</v>
      </c>
      <c r="V626">
        <v>0</v>
      </c>
      <c r="W626" t="s">
        <v>174</v>
      </c>
      <c r="X626">
        <v>1551135</v>
      </c>
      <c r="Z626" t="s">
        <v>175</v>
      </c>
      <c r="AA626" t="s">
        <v>173</v>
      </c>
    </row>
    <row r="627" spans="1:27" x14ac:dyDescent="0.3">
      <c r="A627">
        <v>626</v>
      </c>
      <c r="B627" t="s">
        <v>169</v>
      </c>
      <c r="C627">
        <v>99019875</v>
      </c>
      <c r="D627" s="7" t="s">
        <v>69</v>
      </c>
      <c r="E627" t="s">
        <v>70</v>
      </c>
      <c r="F627" t="s">
        <v>176</v>
      </c>
      <c r="G627" t="s">
        <v>177</v>
      </c>
      <c r="H627" s="133">
        <v>1000</v>
      </c>
      <c r="I627">
        <v>0</v>
      </c>
      <c r="J627">
        <v>797</v>
      </c>
      <c r="K627" s="133">
        <v>10240</v>
      </c>
      <c r="L627" s="133">
        <v>10240</v>
      </c>
      <c r="M627" s="150">
        <v>0.52466435185185178</v>
      </c>
      <c r="N627" s="150">
        <v>0.52467592592592593</v>
      </c>
      <c r="O627" t="s">
        <v>172</v>
      </c>
      <c r="Q627">
        <v>1551273</v>
      </c>
      <c r="R627">
        <v>1551273</v>
      </c>
      <c r="S627">
        <v>1550707</v>
      </c>
      <c r="T627">
        <v>203</v>
      </c>
      <c r="U627" t="s">
        <v>173</v>
      </c>
      <c r="V627">
        <v>0</v>
      </c>
      <c r="W627" t="s">
        <v>174</v>
      </c>
      <c r="X627">
        <v>1550707</v>
      </c>
      <c r="Z627" t="s">
        <v>175</v>
      </c>
      <c r="AA627" t="s">
        <v>173</v>
      </c>
    </row>
    <row r="628" spans="1:27" x14ac:dyDescent="0.3">
      <c r="A628">
        <v>627</v>
      </c>
      <c r="B628" t="s">
        <v>169</v>
      </c>
      <c r="C628">
        <v>99019875</v>
      </c>
      <c r="D628" s="7" t="s">
        <v>75</v>
      </c>
      <c r="E628" t="s">
        <v>76</v>
      </c>
      <c r="F628" t="s">
        <v>176</v>
      </c>
      <c r="G628" t="s">
        <v>177</v>
      </c>
      <c r="H628" s="133">
        <v>1000</v>
      </c>
      <c r="I628">
        <v>0</v>
      </c>
      <c r="J628">
        <v>973</v>
      </c>
      <c r="K628" s="133">
        <v>20895</v>
      </c>
      <c r="L628" s="133">
        <v>20895</v>
      </c>
      <c r="M628" s="150">
        <v>0.52495370370370364</v>
      </c>
      <c r="N628" s="150">
        <v>0.52495370370370364</v>
      </c>
      <c r="O628" t="s">
        <v>172</v>
      </c>
      <c r="Q628">
        <v>1553249</v>
      </c>
      <c r="R628">
        <v>1553249</v>
      </c>
      <c r="S628">
        <v>1553197</v>
      </c>
      <c r="T628">
        <v>27</v>
      </c>
      <c r="U628" t="s">
        <v>173</v>
      </c>
      <c r="V628">
        <v>0</v>
      </c>
      <c r="W628" t="s">
        <v>174</v>
      </c>
      <c r="X628">
        <v>1553197</v>
      </c>
      <c r="Z628" t="s">
        <v>175</v>
      </c>
      <c r="AA628" t="s">
        <v>173</v>
      </c>
    </row>
    <row r="629" spans="1:27" x14ac:dyDescent="0.3">
      <c r="A629">
        <v>628</v>
      </c>
      <c r="B629" t="s">
        <v>169</v>
      </c>
      <c r="C629">
        <v>99019875</v>
      </c>
      <c r="D629" s="7" t="s">
        <v>69</v>
      </c>
      <c r="E629" t="s">
        <v>70</v>
      </c>
      <c r="F629" t="s">
        <v>176</v>
      </c>
      <c r="G629" t="s">
        <v>177</v>
      </c>
      <c r="H629" s="133">
        <v>1000</v>
      </c>
      <c r="I629">
        <v>0</v>
      </c>
      <c r="J629">
        <v>6</v>
      </c>
      <c r="K629" s="133">
        <v>10245</v>
      </c>
      <c r="L629" s="133">
        <v>10245</v>
      </c>
      <c r="M629" s="150">
        <v>0.52512731481481478</v>
      </c>
      <c r="N629" s="150">
        <v>0.52512731481481478</v>
      </c>
      <c r="O629" t="s">
        <v>172</v>
      </c>
      <c r="Q629">
        <v>1554526</v>
      </c>
      <c r="R629">
        <v>1554526</v>
      </c>
      <c r="S629">
        <v>1554167</v>
      </c>
      <c r="T629">
        <v>994</v>
      </c>
      <c r="U629" t="s">
        <v>173</v>
      </c>
      <c r="V629">
        <v>0</v>
      </c>
      <c r="W629" t="s">
        <v>174</v>
      </c>
      <c r="X629">
        <v>1554167</v>
      </c>
      <c r="Z629" t="s">
        <v>175</v>
      </c>
      <c r="AA629" t="s">
        <v>173</v>
      </c>
    </row>
    <row r="630" spans="1:27" x14ac:dyDescent="0.3">
      <c r="A630">
        <v>629</v>
      </c>
      <c r="B630" t="s">
        <v>169</v>
      </c>
      <c r="C630">
        <v>99019875</v>
      </c>
      <c r="D630" s="7" t="s">
        <v>75</v>
      </c>
      <c r="E630" t="s">
        <v>76</v>
      </c>
      <c r="F630" t="s">
        <v>176</v>
      </c>
      <c r="G630" t="s">
        <v>177</v>
      </c>
      <c r="H630" s="133">
        <v>1000</v>
      </c>
      <c r="I630">
        <v>0</v>
      </c>
      <c r="J630" s="133">
        <v>1000</v>
      </c>
      <c r="K630" s="133">
        <v>20905</v>
      </c>
      <c r="L630" s="133">
        <v>20905</v>
      </c>
      <c r="M630" s="150">
        <v>0.52531249999999996</v>
      </c>
      <c r="N630" s="150">
        <v>0.52532407407407411</v>
      </c>
      <c r="O630" t="s">
        <v>172</v>
      </c>
      <c r="Q630">
        <v>1556106</v>
      </c>
      <c r="R630">
        <v>1556106</v>
      </c>
      <c r="S630">
        <v>1556086</v>
      </c>
      <c r="T630">
        <v>0</v>
      </c>
      <c r="U630" t="s">
        <v>173</v>
      </c>
      <c r="V630">
        <v>0</v>
      </c>
      <c r="W630" t="s">
        <v>174</v>
      </c>
      <c r="X630">
        <v>1556086</v>
      </c>
      <c r="Z630" t="s">
        <v>175</v>
      </c>
      <c r="AA630" t="s">
        <v>173</v>
      </c>
    </row>
    <row r="631" spans="1:27" x14ac:dyDescent="0.3">
      <c r="A631">
        <v>630</v>
      </c>
      <c r="B631" t="s">
        <v>169</v>
      </c>
      <c r="C631">
        <v>99019875</v>
      </c>
      <c r="D631" s="7" t="s">
        <v>62</v>
      </c>
      <c r="E631" t="s">
        <v>63</v>
      </c>
      <c r="F631" t="s">
        <v>176</v>
      </c>
      <c r="G631" t="s">
        <v>171</v>
      </c>
      <c r="H631" s="133">
        <v>5000</v>
      </c>
      <c r="I631">
        <v>0</v>
      </c>
      <c r="J631">
        <v>63</v>
      </c>
      <c r="K631" s="133">
        <v>34155</v>
      </c>
      <c r="L631" s="133">
        <v>34155</v>
      </c>
      <c r="M631" s="150">
        <v>0.52533564814814815</v>
      </c>
      <c r="N631" s="150">
        <v>0.52591435185185187</v>
      </c>
      <c r="O631" t="s">
        <v>172</v>
      </c>
      <c r="Q631">
        <v>1556269</v>
      </c>
      <c r="R631">
        <v>1556269</v>
      </c>
      <c r="S631">
        <v>0</v>
      </c>
      <c r="T631" s="133">
        <v>4937</v>
      </c>
      <c r="U631" t="s">
        <v>173</v>
      </c>
      <c r="V631">
        <v>0</v>
      </c>
      <c r="W631" t="s">
        <v>174</v>
      </c>
      <c r="X631">
        <v>0</v>
      </c>
      <c r="Z631" t="s">
        <v>173</v>
      </c>
      <c r="AA631" t="s">
        <v>173</v>
      </c>
    </row>
    <row r="632" spans="1:27" x14ac:dyDescent="0.3">
      <c r="A632">
        <v>631</v>
      </c>
      <c r="B632" t="s">
        <v>169</v>
      </c>
      <c r="C632">
        <v>99019875</v>
      </c>
      <c r="D632" s="7" t="s">
        <v>62</v>
      </c>
      <c r="E632" t="s">
        <v>63</v>
      </c>
      <c r="F632" t="s">
        <v>176</v>
      </c>
      <c r="G632" t="s">
        <v>171</v>
      </c>
      <c r="H632" s="133">
        <v>2000</v>
      </c>
      <c r="I632">
        <v>0</v>
      </c>
      <c r="J632" s="133">
        <v>2000</v>
      </c>
      <c r="K632" s="133">
        <v>34150</v>
      </c>
      <c r="L632" s="133">
        <v>34150</v>
      </c>
      <c r="M632" s="150">
        <v>0.52538194444444442</v>
      </c>
      <c r="N632" s="150">
        <v>0.52541666666666664</v>
      </c>
      <c r="O632" t="s">
        <v>172</v>
      </c>
      <c r="Q632">
        <v>1556747</v>
      </c>
      <c r="R632">
        <v>1556747</v>
      </c>
      <c r="S632">
        <v>0</v>
      </c>
      <c r="T632">
        <v>0</v>
      </c>
      <c r="U632" t="s">
        <v>173</v>
      </c>
      <c r="V632">
        <v>0</v>
      </c>
      <c r="W632" t="s">
        <v>174</v>
      </c>
      <c r="X632">
        <v>0</v>
      </c>
      <c r="Z632" t="s">
        <v>173</v>
      </c>
      <c r="AA632" t="s">
        <v>173</v>
      </c>
    </row>
    <row r="633" spans="1:27" x14ac:dyDescent="0.3">
      <c r="A633">
        <v>632</v>
      </c>
      <c r="B633" t="s">
        <v>169</v>
      </c>
      <c r="C633">
        <v>99019875</v>
      </c>
      <c r="D633" s="7" t="s">
        <v>69</v>
      </c>
      <c r="E633" t="s">
        <v>70</v>
      </c>
      <c r="F633" t="s">
        <v>176</v>
      </c>
      <c r="G633" t="s">
        <v>177</v>
      </c>
      <c r="H633" s="133">
        <v>1000</v>
      </c>
      <c r="I633">
        <v>0</v>
      </c>
      <c r="J633">
        <v>518</v>
      </c>
      <c r="K633" s="133">
        <v>10240</v>
      </c>
      <c r="L633" s="133">
        <v>10240</v>
      </c>
      <c r="M633" s="150">
        <v>0.52565972222222224</v>
      </c>
      <c r="N633" s="150">
        <v>0.52567129629629628</v>
      </c>
      <c r="O633" t="s">
        <v>172</v>
      </c>
      <c r="Q633">
        <v>1558797</v>
      </c>
      <c r="R633">
        <v>1558797</v>
      </c>
      <c r="S633">
        <v>1558710</v>
      </c>
      <c r="T633">
        <v>482</v>
      </c>
      <c r="U633" t="s">
        <v>173</v>
      </c>
      <c r="V633">
        <v>0</v>
      </c>
      <c r="W633" t="s">
        <v>174</v>
      </c>
      <c r="X633">
        <v>1558710</v>
      </c>
      <c r="Z633" t="s">
        <v>175</v>
      </c>
      <c r="AA633" t="s">
        <v>173</v>
      </c>
    </row>
    <row r="634" spans="1:27" x14ac:dyDescent="0.3">
      <c r="A634">
        <v>633</v>
      </c>
      <c r="B634" t="s">
        <v>169</v>
      </c>
      <c r="C634">
        <v>99019875</v>
      </c>
      <c r="D634" s="7" t="s">
        <v>75</v>
      </c>
      <c r="E634" t="s">
        <v>76</v>
      </c>
      <c r="F634" t="s">
        <v>176</v>
      </c>
      <c r="G634" t="s">
        <v>177</v>
      </c>
      <c r="H634" s="133">
        <v>1000</v>
      </c>
      <c r="I634">
        <v>0</v>
      </c>
      <c r="J634">
        <v>5</v>
      </c>
      <c r="K634" s="133">
        <v>20910</v>
      </c>
      <c r="L634" s="133">
        <v>20910</v>
      </c>
      <c r="M634" s="150">
        <v>0.52569444444444446</v>
      </c>
      <c r="N634" s="150">
        <v>0.52569444444444446</v>
      </c>
      <c r="O634" t="s">
        <v>172</v>
      </c>
      <c r="Q634">
        <v>1558985</v>
      </c>
      <c r="R634">
        <v>1558985</v>
      </c>
      <c r="S634">
        <v>1558982</v>
      </c>
      <c r="T634">
        <v>995</v>
      </c>
      <c r="U634" t="s">
        <v>173</v>
      </c>
      <c r="V634">
        <v>0</v>
      </c>
      <c r="W634" t="s">
        <v>174</v>
      </c>
      <c r="X634">
        <v>1558982</v>
      </c>
      <c r="Z634" t="s">
        <v>175</v>
      </c>
      <c r="AA634" t="s">
        <v>173</v>
      </c>
    </row>
    <row r="635" spans="1:27" x14ac:dyDescent="0.3">
      <c r="A635">
        <v>634</v>
      </c>
      <c r="B635" t="s">
        <v>169</v>
      </c>
      <c r="C635">
        <v>99019875</v>
      </c>
      <c r="D635" s="7" t="s">
        <v>69</v>
      </c>
      <c r="E635" t="s">
        <v>70</v>
      </c>
      <c r="F635" t="s">
        <v>170</v>
      </c>
      <c r="G635" t="s">
        <v>171</v>
      </c>
      <c r="H635" s="133">
        <v>5000</v>
      </c>
      <c r="I635">
        <v>0</v>
      </c>
      <c r="J635" s="133">
        <v>5000</v>
      </c>
      <c r="K635" s="133">
        <v>10240</v>
      </c>
      <c r="L635" s="133">
        <v>10240</v>
      </c>
      <c r="M635" s="150">
        <v>0.52605324074074067</v>
      </c>
      <c r="N635" s="150">
        <v>0.52605324074074067</v>
      </c>
      <c r="O635" t="s">
        <v>172</v>
      </c>
      <c r="Q635">
        <v>1561251</v>
      </c>
      <c r="R635">
        <v>1561251</v>
      </c>
      <c r="S635">
        <v>0</v>
      </c>
      <c r="T635">
        <v>0</v>
      </c>
      <c r="U635" t="s">
        <v>173</v>
      </c>
      <c r="V635">
        <v>0</v>
      </c>
      <c r="W635" t="s">
        <v>174</v>
      </c>
      <c r="X635">
        <v>0</v>
      </c>
      <c r="Z635" t="s">
        <v>173</v>
      </c>
      <c r="AA635" t="s">
        <v>173</v>
      </c>
    </row>
    <row r="636" spans="1:27" x14ac:dyDescent="0.3">
      <c r="A636">
        <v>635</v>
      </c>
      <c r="B636" t="s">
        <v>169</v>
      </c>
      <c r="C636">
        <v>99019875</v>
      </c>
      <c r="D636" s="7" t="s">
        <v>69</v>
      </c>
      <c r="E636" t="s">
        <v>70</v>
      </c>
      <c r="F636" t="s">
        <v>170</v>
      </c>
      <c r="G636" t="s">
        <v>171</v>
      </c>
      <c r="H636" s="133">
        <v>5000</v>
      </c>
      <c r="I636">
        <v>0</v>
      </c>
      <c r="J636" s="133">
        <v>5000</v>
      </c>
      <c r="K636" s="133">
        <v>10240</v>
      </c>
      <c r="L636" s="133">
        <v>10240</v>
      </c>
      <c r="M636" s="150">
        <v>0.52606481481481482</v>
      </c>
      <c r="N636" s="150">
        <v>0.52606481481481482</v>
      </c>
      <c r="O636" t="s">
        <v>172</v>
      </c>
      <c r="Q636">
        <v>1561305</v>
      </c>
      <c r="R636">
        <v>1561305</v>
      </c>
      <c r="S636">
        <v>0</v>
      </c>
      <c r="T636">
        <v>0</v>
      </c>
      <c r="U636" t="s">
        <v>173</v>
      </c>
      <c r="V636">
        <v>0</v>
      </c>
      <c r="W636" t="s">
        <v>174</v>
      </c>
      <c r="X636">
        <v>0</v>
      </c>
      <c r="Z636" t="s">
        <v>173</v>
      </c>
      <c r="AA636" t="s">
        <v>173</v>
      </c>
    </row>
    <row r="637" spans="1:27" x14ac:dyDescent="0.3">
      <c r="A637">
        <v>636</v>
      </c>
      <c r="B637" t="s">
        <v>169</v>
      </c>
      <c r="C637">
        <v>99019875</v>
      </c>
      <c r="D637" s="7" t="s">
        <v>69</v>
      </c>
      <c r="E637" t="s">
        <v>70</v>
      </c>
      <c r="F637" t="s">
        <v>170</v>
      </c>
      <c r="G637" t="s">
        <v>171</v>
      </c>
      <c r="H637" s="133">
        <v>5000</v>
      </c>
      <c r="I637">
        <v>0</v>
      </c>
      <c r="J637" s="133">
        <v>1080</v>
      </c>
      <c r="K637" s="133">
        <v>10240</v>
      </c>
      <c r="L637" s="133">
        <v>10240</v>
      </c>
      <c r="M637" s="150">
        <v>0.52607638888888886</v>
      </c>
      <c r="N637" s="150">
        <v>0.52631944444444445</v>
      </c>
      <c r="O637" t="s">
        <v>172</v>
      </c>
      <c r="Q637">
        <v>1561374</v>
      </c>
      <c r="R637">
        <v>1561374</v>
      </c>
      <c r="S637">
        <v>0</v>
      </c>
      <c r="T637" s="133">
        <v>3920</v>
      </c>
      <c r="U637" t="s">
        <v>173</v>
      </c>
      <c r="V637">
        <v>0</v>
      </c>
      <c r="W637" t="s">
        <v>174</v>
      </c>
      <c r="X637">
        <v>0</v>
      </c>
      <c r="Z637" t="s">
        <v>173</v>
      </c>
      <c r="AA637" t="s">
        <v>173</v>
      </c>
    </row>
    <row r="638" spans="1:27" x14ac:dyDescent="0.3">
      <c r="A638">
        <v>637</v>
      </c>
      <c r="B638" t="s">
        <v>169</v>
      </c>
      <c r="C638">
        <v>99019875</v>
      </c>
      <c r="D638" s="7" t="s">
        <v>75</v>
      </c>
      <c r="E638" t="s">
        <v>76</v>
      </c>
      <c r="F638" t="s">
        <v>176</v>
      </c>
      <c r="G638" t="s">
        <v>177</v>
      </c>
      <c r="H638" s="133">
        <v>1000</v>
      </c>
      <c r="I638">
        <v>0</v>
      </c>
      <c r="J638">
        <v>10</v>
      </c>
      <c r="K638" s="133">
        <v>20910</v>
      </c>
      <c r="L638" s="133">
        <v>20910</v>
      </c>
      <c r="M638" s="150">
        <v>0.52609953703703705</v>
      </c>
      <c r="N638" s="150">
        <v>0.52611111111111108</v>
      </c>
      <c r="O638" t="s">
        <v>172</v>
      </c>
      <c r="Q638">
        <v>1561451</v>
      </c>
      <c r="R638">
        <v>1561451</v>
      </c>
      <c r="S638">
        <v>1561348</v>
      </c>
      <c r="T638">
        <v>990</v>
      </c>
      <c r="U638" t="s">
        <v>173</v>
      </c>
      <c r="V638">
        <v>0</v>
      </c>
      <c r="W638" t="s">
        <v>174</v>
      </c>
      <c r="X638">
        <v>1561348</v>
      </c>
      <c r="Z638" t="s">
        <v>175</v>
      </c>
      <c r="AA638" t="s">
        <v>173</v>
      </c>
    </row>
    <row r="639" spans="1:27" x14ac:dyDescent="0.3">
      <c r="A639">
        <v>638</v>
      </c>
      <c r="B639" t="s">
        <v>169</v>
      </c>
      <c r="C639">
        <v>99019875</v>
      </c>
      <c r="D639" s="7" t="s">
        <v>75</v>
      </c>
      <c r="E639" t="s">
        <v>76</v>
      </c>
      <c r="F639" t="s">
        <v>176</v>
      </c>
      <c r="G639" t="s">
        <v>177</v>
      </c>
      <c r="H639" s="133">
        <v>1000</v>
      </c>
      <c r="I639">
        <v>0</v>
      </c>
      <c r="J639">
        <v>815</v>
      </c>
      <c r="K639" s="133">
        <v>20900</v>
      </c>
      <c r="L639" s="133">
        <v>20900</v>
      </c>
      <c r="M639" s="150">
        <v>0.52644675925925932</v>
      </c>
      <c r="N639" s="150">
        <v>0.52644675925925932</v>
      </c>
      <c r="O639" t="s">
        <v>172</v>
      </c>
      <c r="Q639">
        <v>1563741</v>
      </c>
      <c r="R639">
        <v>1563741</v>
      </c>
      <c r="S639">
        <v>1563704</v>
      </c>
      <c r="T639">
        <v>185</v>
      </c>
      <c r="U639" t="s">
        <v>173</v>
      </c>
      <c r="V639">
        <v>0</v>
      </c>
      <c r="W639" t="s">
        <v>174</v>
      </c>
      <c r="X639">
        <v>1563704</v>
      </c>
      <c r="Z639" t="s">
        <v>175</v>
      </c>
      <c r="AA639" t="s">
        <v>173</v>
      </c>
    </row>
    <row r="640" spans="1:27" x14ac:dyDescent="0.3">
      <c r="A640">
        <v>639</v>
      </c>
      <c r="B640" t="s">
        <v>169</v>
      </c>
      <c r="C640">
        <v>99019875</v>
      </c>
      <c r="D640" s="7" t="s">
        <v>69</v>
      </c>
      <c r="E640" t="s">
        <v>70</v>
      </c>
      <c r="F640" t="s">
        <v>170</v>
      </c>
      <c r="G640" t="s">
        <v>177</v>
      </c>
      <c r="H640" s="133">
        <v>3920</v>
      </c>
      <c r="I640">
        <v>0</v>
      </c>
      <c r="J640" s="133">
        <v>3920</v>
      </c>
      <c r="K640" s="133">
        <v>10250</v>
      </c>
      <c r="L640" s="133">
        <v>10250</v>
      </c>
      <c r="M640" s="150">
        <v>0.52648148148148144</v>
      </c>
      <c r="N640" s="150">
        <v>0.52658564814814812</v>
      </c>
      <c r="O640" t="s">
        <v>172</v>
      </c>
      <c r="Q640">
        <v>1564106</v>
      </c>
      <c r="R640">
        <v>1564106</v>
      </c>
      <c r="S640">
        <v>1561374</v>
      </c>
      <c r="T640">
        <v>0</v>
      </c>
      <c r="U640" t="s">
        <v>173</v>
      </c>
      <c r="V640">
        <v>0</v>
      </c>
      <c r="W640" t="s">
        <v>174</v>
      </c>
      <c r="X640">
        <v>1561374</v>
      </c>
      <c r="Z640" t="s">
        <v>173</v>
      </c>
      <c r="AA640" t="s">
        <v>173</v>
      </c>
    </row>
    <row r="641" spans="1:27" x14ac:dyDescent="0.3">
      <c r="A641">
        <v>640</v>
      </c>
      <c r="B641" t="s">
        <v>169</v>
      </c>
      <c r="C641">
        <v>99019875</v>
      </c>
      <c r="D641" s="7" t="s">
        <v>62</v>
      </c>
      <c r="E641" t="s">
        <v>63</v>
      </c>
      <c r="F641" t="s">
        <v>176</v>
      </c>
      <c r="G641" t="s">
        <v>171</v>
      </c>
      <c r="H641" s="133">
        <v>5000</v>
      </c>
      <c r="I641">
        <v>0</v>
      </c>
      <c r="J641" s="133">
        <v>5000</v>
      </c>
      <c r="K641" s="133">
        <v>34110</v>
      </c>
      <c r="L641" s="133">
        <v>34110</v>
      </c>
      <c r="M641" s="150">
        <v>0.52688657407407413</v>
      </c>
      <c r="N641" s="150">
        <v>0.52712962962962961</v>
      </c>
      <c r="O641" t="s">
        <v>172</v>
      </c>
      <c r="Q641">
        <v>1567113</v>
      </c>
      <c r="R641">
        <v>1567113</v>
      </c>
      <c r="S641">
        <v>0</v>
      </c>
      <c r="T641">
        <v>0</v>
      </c>
      <c r="U641" t="s">
        <v>173</v>
      </c>
      <c r="V641">
        <v>0</v>
      </c>
      <c r="W641" t="s">
        <v>174</v>
      </c>
      <c r="X641">
        <v>0</v>
      </c>
      <c r="Z641" t="s">
        <v>173</v>
      </c>
      <c r="AA641" t="s">
        <v>173</v>
      </c>
    </row>
    <row r="642" spans="1:27" x14ac:dyDescent="0.3">
      <c r="A642">
        <v>641</v>
      </c>
      <c r="B642" t="s">
        <v>169</v>
      </c>
      <c r="C642">
        <v>99019875</v>
      </c>
      <c r="D642" s="7" t="s">
        <v>75</v>
      </c>
      <c r="E642" t="s">
        <v>76</v>
      </c>
      <c r="F642" t="s">
        <v>176</v>
      </c>
      <c r="G642" t="s">
        <v>177</v>
      </c>
      <c r="H642" s="133">
        <v>1000</v>
      </c>
      <c r="I642">
        <v>0</v>
      </c>
      <c r="J642">
        <v>5</v>
      </c>
      <c r="K642" s="133">
        <v>20905</v>
      </c>
      <c r="L642" s="133">
        <v>20905</v>
      </c>
      <c r="M642" s="150">
        <v>0.52718750000000003</v>
      </c>
      <c r="N642" s="150">
        <v>0.52718750000000003</v>
      </c>
      <c r="O642" t="s">
        <v>172</v>
      </c>
      <c r="Q642">
        <v>1569200</v>
      </c>
      <c r="R642">
        <v>1569200</v>
      </c>
      <c r="S642">
        <v>1568880</v>
      </c>
      <c r="T642">
        <v>995</v>
      </c>
      <c r="U642" t="s">
        <v>173</v>
      </c>
      <c r="V642">
        <v>0</v>
      </c>
      <c r="W642" t="s">
        <v>174</v>
      </c>
      <c r="X642">
        <v>1568880</v>
      </c>
      <c r="Z642" t="s">
        <v>175</v>
      </c>
      <c r="AA642" t="s">
        <v>173</v>
      </c>
    </row>
    <row r="643" spans="1:27" x14ac:dyDescent="0.3">
      <c r="A643">
        <v>642</v>
      </c>
      <c r="B643" t="s">
        <v>169</v>
      </c>
      <c r="C643">
        <v>99019875</v>
      </c>
      <c r="D643" s="7" t="s">
        <v>69</v>
      </c>
      <c r="E643" t="s">
        <v>70</v>
      </c>
      <c r="F643" t="s">
        <v>176</v>
      </c>
      <c r="G643" t="s">
        <v>177</v>
      </c>
      <c r="H643" s="133">
        <v>1000</v>
      </c>
      <c r="I643">
        <v>0</v>
      </c>
      <c r="J643">
        <v>518</v>
      </c>
      <c r="K643" s="133">
        <v>10250</v>
      </c>
      <c r="L643" s="133">
        <v>10250</v>
      </c>
      <c r="M643" s="150">
        <v>0.5274537037037037</v>
      </c>
      <c r="N643" s="150">
        <v>0.52748842592592593</v>
      </c>
      <c r="O643" t="s">
        <v>172</v>
      </c>
      <c r="Q643">
        <v>1570969</v>
      </c>
      <c r="R643">
        <v>1570969</v>
      </c>
      <c r="S643">
        <v>1570757</v>
      </c>
      <c r="T643">
        <v>482</v>
      </c>
      <c r="U643" t="s">
        <v>173</v>
      </c>
      <c r="V643">
        <v>0</v>
      </c>
      <c r="W643" t="s">
        <v>174</v>
      </c>
      <c r="X643">
        <v>1570757</v>
      </c>
      <c r="Z643" t="s">
        <v>175</v>
      </c>
      <c r="AA643" t="s">
        <v>173</v>
      </c>
    </row>
    <row r="644" spans="1:27" x14ac:dyDescent="0.3">
      <c r="A644">
        <v>643</v>
      </c>
      <c r="B644" t="s">
        <v>169</v>
      </c>
      <c r="C644">
        <v>99019875</v>
      </c>
      <c r="D644" s="7" t="s">
        <v>75</v>
      </c>
      <c r="E644" t="s">
        <v>76</v>
      </c>
      <c r="F644" t="s">
        <v>170</v>
      </c>
      <c r="G644" t="s">
        <v>171</v>
      </c>
      <c r="H644" s="133">
        <v>5000</v>
      </c>
      <c r="I644">
        <v>0</v>
      </c>
      <c r="J644" s="133">
        <v>5000</v>
      </c>
      <c r="K644" s="133">
        <v>20905</v>
      </c>
      <c r="L644" s="133">
        <v>20905</v>
      </c>
      <c r="M644" s="150">
        <v>0.52759259259259261</v>
      </c>
      <c r="N644" s="150">
        <v>0.52759259259259261</v>
      </c>
      <c r="O644" t="s">
        <v>172</v>
      </c>
      <c r="Q644">
        <v>1571885</v>
      </c>
      <c r="R644">
        <v>1571885</v>
      </c>
      <c r="S644">
        <v>0</v>
      </c>
      <c r="T644">
        <v>0</v>
      </c>
      <c r="U644" t="s">
        <v>173</v>
      </c>
      <c r="V644">
        <v>0</v>
      </c>
      <c r="W644" t="s">
        <v>174</v>
      </c>
      <c r="X644">
        <v>0</v>
      </c>
      <c r="Z644" t="s">
        <v>173</v>
      </c>
      <c r="AA644" t="s">
        <v>173</v>
      </c>
    </row>
    <row r="645" spans="1:27" x14ac:dyDescent="0.3">
      <c r="A645">
        <v>644</v>
      </c>
      <c r="B645" t="s">
        <v>169</v>
      </c>
      <c r="C645">
        <v>99019875</v>
      </c>
      <c r="D645" s="7" t="s">
        <v>75</v>
      </c>
      <c r="E645" t="s">
        <v>76</v>
      </c>
      <c r="F645" t="s">
        <v>176</v>
      </c>
      <c r="G645" t="s">
        <v>171</v>
      </c>
      <c r="H645" s="133">
        <v>1000</v>
      </c>
      <c r="I645">
        <v>0</v>
      </c>
      <c r="J645">
        <v>9</v>
      </c>
      <c r="K645" s="133">
        <v>20900</v>
      </c>
      <c r="L645" s="133">
        <v>20900</v>
      </c>
      <c r="M645" s="150">
        <v>0.52763888888888888</v>
      </c>
      <c r="N645" s="150">
        <v>0.52765046296296292</v>
      </c>
      <c r="O645" t="s">
        <v>172</v>
      </c>
      <c r="Q645">
        <v>1572183</v>
      </c>
      <c r="R645">
        <v>1572183</v>
      </c>
      <c r="S645">
        <v>0</v>
      </c>
      <c r="T645">
        <v>991</v>
      </c>
      <c r="U645" t="s">
        <v>173</v>
      </c>
      <c r="V645">
        <v>0</v>
      </c>
      <c r="W645" t="s">
        <v>174</v>
      </c>
      <c r="X645">
        <v>0</v>
      </c>
      <c r="Z645" t="s">
        <v>175</v>
      </c>
      <c r="AA645" t="s">
        <v>173</v>
      </c>
    </row>
    <row r="646" spans="1:27" x14ac:dyDescent="0.3">
      <c r="A646">
        <v>645</v>
      </c>
      <c r="B646" t="s">
        <v>169</v>
      </c>
      <c r="C646">
        <v>99019875</v>
      </c>
      <c r="D646" s="7" t="s">
        <v>75</v>
      </c>
      <c r="E646" t="s">
        <v>76</v>
      </c>
      <c r="F646" t="s">
        <v>176</v>
      </c>
      <c r="G646" t="s">
        <v>177</v>
      </c>
      <c r="H646" s="133">
        <v>1000</v>
      </c>
      <c r="I646">
        <v>0</v>
      </c>
      <c r="J646">
        <v>1</v>
      </c>
      <c r="K646" s="133">
        <v>20895</v>
      </c>
      <c r="L646" s="133">
        <v>20895</v>
      </c>
      <c r="M646" s="150">
        <v>0.52837962962962959</v>
      </c>
      <c r="N646" s="150">
        <v>0.52839120370370374</v>
      </c>
      <c r="O646" t="s">
        <v>172</v>
      </c>
      <c r="Q646">
        <v>1578471</v>
      </c>
      <c r="R646">
        <v>1578471</v>
      </c>
      <c r="S646">
        <v>1578376</v>
      </c>
      <c r="T646">
        <v>999</v>
      </c>
      <c r="U646" t="s">
        <v>173</v>
      </c>
      <c r="V646">
        <v>0</v>
      </c>
      <c r="W646" t="s">
        <v>174</v>
      </c>
      <c r="X646">
        <v>1578376</v>
      </c>
      <c r="Z646" t="s">
        <v>175</v>
      </c>
      <c r="AA646" t="s">
        <v>173</v>
      </c>
    </row>
    <row r="647" spans="1:27" x14ac:dyDescent="0.3">
      <c r="A647">
        <v>646</v>
      </c>
      <c r="B647" t="s">
        <v>169</v>
      </c>
      <c r="C647">
        <v>99019875</v>
      </c>
      <c r="D647" s="7" t="s">
        <v>75</v>
      </c>
      <c r="E647" t="s">
        <v>76</v>
      </c>
      <c r="F647" t="s">
        <v>176</v>
      </c>
      <c r="G647" t="s">
        <v>177</v>
      </c>
      <c r="H647" s="133">
        <v>1000</v>
      </c>
      <c r="I647">
        <v>0</v>
      </c>
      <c r="J647">
        <v>10</v>
      </c>
      <c r="K647" s="133">
        <v>20895</v>
      </c>
      <c r="L647" s="133">
        <v>20895</v>
      </c>
      <c r="M647" s="150">
        <v>0.52886574074074078</v>
      </c>
      <c r="N647" s="150">
        <v>0.52887731481481481</v>
      </c>
      <c r="O647" t="s">
        <v>172</v>
      </c>
      <c r="Q647">
        <v>1582181</v>
      </c>
      <c r="R647">
        <v>1582181</v>
      </c>
      <c r="S647">
        <v>1582048</v>
      </c>
      <c r="T647">
        <v>990</v>
      </c>
      <c r="U647" t="s">
        <v>173</v>
      </c>
      <c r="V647">
        <v>0</v>
      </c>
      <c r="W647" t="s">
        <v>174</v>
      </c>
      <c r="X647">
        <v>1582048</v>
      </c>
      <c r="Z647" t="s">
        <v>175</v>
      </c>
      <c r="AA647" t="s">
        <v>173</v>
      </c>
    </row>
    <row r="648" spans="1:27" x14ac:dyDescent="0.3">
      <c r="A648">
        <v>647</v>
      </c>
      <c r="B648" t="s">
        <v>169</v>
      </c>
      <c r="C648">
        <v>99019875</v>
      </c>
      <c r="D648" s="7" t="s">
        <v>75</v>
      </c>
      <c r="E648" t="s">
        <v>76</v>
      </c>
      <c r="F648" t="s">
        <v>176</v>
      </c>
      <c r="G648" t="s">
        <v>177</v>
      </c>
      <c r="H648" s="133">
        <v>1000</v>
      </c>
      <c r="I648">
        <v>0</v>
      </c>
      <c r="J648">
        <v>1</v>
      </c>
      <c r="K648" s="133">
        <v>20900</v>
      </c>
      <c r="L648" s="133">
        <v>20900</v>
      </c>
      <c r="M648" s="150">
        <v>0.53089120370370368</v>
      </c>
      <c r="N648" s="150">
        <v>0.53090277777777783</v>
      </c>
      <c r="O648" t="s">
        <v>172</v>
      </c>
      <c r="Q648">
        <v>1595554</v>
      </c>
      <c r="R648">
        <v>1595554</v>
      </c>
      <c r="S648">
        <v>1595512</v>
      </c>
      <c r="T648">
        <v>999</v>
      </c>
      <c r="U648" t="s">
        <v>173</v>
      </c>
      <c r="V648">
        <v>0</v>
      </c>
      <c r="W648" t="s">
        <v>174</v>
      </c>
      <c r="X648">
        <v>1595512</v>
      </c>
      <c r="Z648" t="s">
        <v>175</v>
      </c>
      <c r="AA648" t="s">
        <v>173</v>
      </c>
    </row>
    <row r="649" spans="1:27" x14ac:dyDescent="0.3">
      <c r="A649">
        <v>648</v>
      </c>
      <c r="B649" t="s">
        <v>169</v>
      </c>
      <c r="C649">
        <v>99019875</v>
      </c>
      <c r="D649" s="7" t="s">
        <v>75</v>
      </c>
      <c r="E649" t="s">
        <v>76</v>
      </c>
      <c r="F649" t="s">
        <v>176</v>
      </c>
      <c r="G649" t="s">
        <v>177</v>
      </c>
      <c r="H649" s="133">
        <v>1000</v>
      </c>
      <c r="I649">
        <v>0</v>
      </c>
      <c r="J649">
        <v>20</v>
      </c>
      <c r="K649" s="133">
        <v>20895</v>
      </c>
      <c r="L649" s="133">
        <v>20895</v>
      </c>
      <c r="M649" s="150">
        <v>0.53125</v>
      </c>
      <c r="N649" s="150">
        <v>0.53126157407407404</v>
      </c>
      <c r="O649" t="s">
        <v>172</v>
      </c>
      <c r="Q649">
        <v>1597757</v>
      </c>
      <c r="R649">
        <v>1597757</v>
      </c>
      <c r="S649">
        <v>1597665</v>
      </c>
      <c r="T649">
        <v>980</v>
      </c>
      <c r="U649" t="s">
        <v>173</v>
      </c>
      <c r="V649">
        <v>0</v>
      </c>
      <c r="W649" t="s">
        <v>174</v>
      </c>
      <c r="X649">
        <v>1597665</v>
      </c>
      <c r="Z649" t="s">
        <v>175</v>
      </c>
      <c r="AA649" t="s">
        <v>173</v>
      </c>
    </row>
    <row r="650" spans="1:27" x14ac:dyDescent="0.3">
      <c r="A650">
        <v>649</v>
      </c>
      <c r="B650" t="s">
        <v>169</v>
      </c>
      <c r="C650">
        <v>99019875</v>
      </c>
      <c r="D650" s="7" t="s">
        <v>69</v>
      </c>
      <c r="E650" t="s">
        <v>70</v>
      </c>
      <c r="F650" t="s">
        <v>170</v>
      </c>
      <c r="G650" t="s">
        <v>177</v>
      </c>
      <c r="H650" s="133">
        <v>5000</v>
      </c>
      <c r="I650">
        <v>0</v>
      </c>
      <c r="J650">
        <v>49</v>
      </c>
      <c r="K650" s="133">
        <v>10240</v>
      </c>
      <c r="L650" s="133">
        <v>10240</v>
      </c>
      <c r="M650" s="150">
        <v>0.53150462962962963</v>
      </c>
      <c r="N650" s="150">
        <v>0.53152777777777771</v>
      </c>
      <c r="O650" t="s">
        <v>172</v>
      </c>
      <c r="Q650">
        <v>1599860</v>
      </c>
      <c r="R650">
        <v>1599860</v>
      </c>
      <c r="S650">
        <v>1598809</v>
      </c>
      <c r="T650" s="133">
        <v>4951</v>
      </c>
      <c r="U650" t="s">
        <v>173</v>
      </c>
      <c r="V650">
        <v>0</v>
      </c>
      <c r="W650" t="s">
        <v>174</v>
      </c>
      <c r="X650">
        <v>1598809</v>
      </c>
      <c r="Z650" t="s">
        <v>173</v>
      </c>
      <c r="AA650" t="s">
        <v>173</v>
      </c>
    </row>
    <row r="651" spans="1:27" x14ac:dyDescent="0.3">
      <c r="A651">
        <v>650</v>
      </c>
      <c r="B651" t="s">
        <v>169</v>
      </c>
      <c r="C651">
        <v>99019875</v>
      </c>
      <c r="D651" s="7" t="s">
        <v>69</v>
      </c>
      <c r="E651" t="s">
        <v>70</v>
      </c>
      <c r="F651" t="s">
        <v>170</v>
      </c>
      <c r="G651" t="s">
        <v>177</v>
      </c>
      <c r="H651" s="133">
        <v>4951</v>
      </c>
      <c r="I651">
        <v>0</v>
      </c>
      <c r="J651" s="133">
        <v>3000</v>
      </c>
      <c r="K651" s="133">
        <v>10245</v>
      </c>
      <c r="L651" s="133">
        <v>10245</v>
      </c>
      <c r="M651" s="150">
        <v>0.53179398148148149</v>
      </c>
      <c r="N651" s="150">
        <v>0.53179398148148149</v>
      </c>
      <c r="O651" t="s">
        <v>172</v>
      </c>
      <c r="Q651">
        <v>1602328</v>
      </c>
      <c r="R651">
        <v>1602328</v>
      </c>
      <c r="S651">
        <v>1599860</v>
      </c>
      <c r="T651" s="133">
        <v>1951</v>
      </c>
      <c r="U651" t="s">
        <v>173</v>
      </c>
      <c r="V651">
        <v>0</v>
      </c>
      <c r="W651" t="s">
        <v>174</v>
      </c>
      <c r="X651">
        <v>1599860</v>
      </c>
      <c r="Z651" t="s">
        <v>173</v>
      </c>
      <c r="AA651" t="s">
        <v>173</v>
      </c>
    </row>
    <row r="652" spans="1:27" x14ac:dyDescent="0.3">
      <c r="A652">
        <v>651</v>
      </c>
      <c r="B652" t="s">
        <v>169</v>
      </c>
      <c r="C652">
        <v>99019875</v>
      </c>
      <c r="D652" s="7" t="s">
        <v>75</v>
      </c>
      <c r="E652" t="s">
        <v>76</v>
      </c>
      <c r="F652" t="s">
        <v>176</v>
      </c>
      <c r="G652" t="s">
        <v>177</v>
      </c>
      <c r="H652" s="133">
        <v>1000</v>
      </c>
      <c r="I652">
        <v>0</v>
      </c>
      <c r="J652">
        <v>1</v>
      </c>
      <c r="K652" s="133">
        <v>20895</v>
      </c>
      <c r="L652" s="133">
        <v>20895</v>
      </c>
      <c r="M652" s="150">
        <v>0.53180555555555553</v>
      </c>
      <c r="N652" s="150">
        <v>0.53181712962962957</v>
      </c>
      <c r="O652" t="s">
        <v>172</v>
      </c>
      <c r="Q652">
        <v>1602464</v>
      </c>
      <c r="R652">
        <v>1602464</v>
      </c>
      <c r="S652">
        <v>1602290</v>
      </c>
      <c r="T652">
        <v>999</v>
      </c>
      <c r="U652" t="s">
        <v>173</v>
      </c>
      <c r="V652">
        <v>0</v>
      </c>
      <c r="W652" t="s">
        <v>174</v>
      </c>
      <c r="X652">
        <v>1602290</v>
      </c>
      <c r="Z652" t="s">
        <v>175</v>
      </c>
      <c r="AA652" t="s">
        <v>173</v>
      </c>
    </row>
    <row r="653" spans="1:27" x14ac:dyDescent="0.3">
      <c r="A653">
        <v>652</v>
      </c>
      <c r="B653" t="s">
        <v>169</v>
      </c>
      <c r="C653">
        <v>99019875</v>
      </c>
      <c r="D653" s="7" t="s">
        <v>69</v>
      </c>
      <c r="E653" t="s">
        <v>70</v>
      </c>
      <c r="F653" t="s">
        <v>170</v>
      </c>
      <c r="G653" t="s">
        <v>177</v>
      </c>
      <c r="H653" s="133">
        <v>1951</v>
      </c>
      <c r="I653">
        <v>0</v>
      </c>
      <c r="J653" s="133">
        <v>1951</v>
      </c>
      <c r="K653" s="133">
        <v>10255</v>
      </c>
      <c r="L653" s="133">
        <v>10255</v>
      </c>
      <c r="M653" s="150">
        <v>0.53186342592592595</v>
      </c>
      <c r="N653" s="150">
        <v>0.53208333333333335</v>
      </c>
      <c r="O653" t="s">
        <v>172</v>
      </c>
      <c r="Q653">
        <v>1602957</v>
      </c>
      <c r="R653">
        <v>1602957</v>
      </c>
      <c r="S653">
        <v>1602328</v>
      </c>
      <c r="T653">
        <v>0</v>
      </c>
      <c r="U653" t="s">
        <v>173</v>
      </c>
      <c r="V653">
        <v>0</v>
      </c>
      <c r="W653" t="s">
        <v>174</v>
      </c>
      <c r="X653">
        <v>1602328</v>
      </c>
      <c r="Z653" t="s">
        <v>173</v>
      </c>
      <c r="AA653" t="s">
        <v>173</v>
      </c>
    </row>
    <row r="654" spans="1:27" x14ac:dyDescent="0.3">
      <c r="A654">
        <v>653</v>
      </c>
      <c r="B654" t="s">
        <v>169</v>
      </c>
      <c r="C654">
        <v>99019875</v>
      </c>
      <c r="D654" s="7" t="s">
        <v>77</v>
      </c>
      <c r="E654" t="s">
        <v>78</v>
      </c>
      <c r="F654" t="s">
        <v>176</v>
      </c>
      <c r="G654" t="s">
        <v>177</v>
      </c>
      <c r="H654" s="133">
        <v>1000</v>
      </c>
      <c r="I654">
        <v>0</v>
      </c>
      <c r="J654">
        <v>2</v>
      </c>
      <c r="K654" s="133">
        <v>7380</v>
      </c>
      <c r="L654" s="133">
        <v>7380</v>
      </c>
      <c r="M654" s="150">
        <v>0.53350694444444446</v>
      </c>
      <c r="N654" s="150">
        <v>0.53355324074074073</v>
      </c>
      <c r="O654" t="s">
        <v>172</v>
      </c>
      <c r="Q654">
        <v>1615039</v>
      </c>
      <c r="R654">
        <v>1615039</v>
      </c>
      <c r="S654">
        <v>1614609</v>
      </c>
      <c r="T654">
        <v>998</v>
      </c>
      <c r="U654" t="s">
        <v>173</v>
      </c>
      <c r="V654">
        <v>0</v>
      </c>
      <c r="W654" t="s">
        <v>174</v>
      </c>
      <c r="X654">
        <v>1614609</v>
      </c>
      <c r="Z654" t="s">
        <v>175</v>
      </c>
      <c r="AA654" t="s">
        <v>173</v>
      </c>
    </row>
    <row r="655" spans="1:27" x14ac:dyDescent="0.3">
      <c r="A655">
        <v>654</v>
      </c>
      <c r="B655" t="s">
        <v>169</v>
      </c>
      <c r="C655">
        <v>99019875</v>
      </c>
      <c r="D655" s="7" t="s">
        <v>77</v>
      </c>
      <c r="E655" t="s">
        <v>78</v>
      </c>
      <c r="F655" t="s">
        <v>176</v>
      </c>
      <c r="G655" t="s">
        <v>177</v>
      </c>
      <c r="H655" s="133">
        <v>1000</v>
      </c>
      <c r="I655">
        <v>0</v>
      </c>
      <c r="J655">
        <v>10</v>
      </c>
      <c r="K655" s="133">
        <v>7380</v>
      </c>
      <c r="L655" s="133">
        <v>7380</v>
      </c>
      <c r="M655" s="150">
        <v>0.53408564814814818</v>
      </c>
      <c r="N655" s="150">
        <v>0.53413194444444445</v>
      </c>
      <c r="O655" t="s">
        <v>172</v>
      </c>
      <c r="Q655">
        <v>1619000</v>
      </c>
      <c r="R655">
        <v>1619000</v>
      </c>
      <c r="S655">
        <v>1618127</v>
      </c>
      <c r="T655">
        <v>990</v>
      </c>
      <c r="U655" t="s">
        <v>173</v>
      </c>
      <c r="V655">
        <v>0</v>
      </c>
      <c r="W655" t="s">
        <v>174</v>
      </c>
      <c r="X655">
        <v>1618127</v>
      </c>
      <c r="Z655" t="s">
        <v>175</v>
      </c>
      <c r="AA655" t="s">
        <v>173</v>
      </c>
    </row>
    <row r="656" spans="1:27" x14ac:dyDescent="0.3">
      <c r="A656">
        <v>655</v>
      </c>
      <c r="B656" t="s">
        <v>169</v>
      </c>
      <c r="C656">
        <v>99019875</v>
      </c>
      <c r="D656" s="7" t="s">
        <v>108</v>
      </c>
      <c r="E656" t="s">
        <v>109</v>
      </c>
      <c r="F656" t="s">
        <v>176</v>
      </c>
      <c r="G656" t="s">
        <v>177</v>
      </c>
      <c r="H656" s="133">
        <v>1000</v>
      </c>
      <c r="I656">
        <v>0</v>
      </c>
      <c r="J656" s="133">
        <v>1000</v>
      </c>
      <c r="K656" s="133">
        <v>2730</v>
      </c>
      <c r="L656" s="133">
        <v>2730</v>
      </c>
      <c r="M656" s="150">
        <v>0.53425925925925932</v>
      </c>
      <c r="N656" s="150">
        <v>0.53978009259259252</v>
      </c>
      <c r="O656" t="s">
        <v>172</v>
      </c>
      <c r="Q656">
        <v>1620062</v>
      </c>
      <c r="R656">
        <v>1620062</v>
      </c>
      <c r="S656">
        <v>1619875</v>
      </c>
      <c r="T656">
        <v>0</v>
      </c>
      <c r="U656" t="s">
        <v>173</v>
      </c>
      <c r="V656">
        <v>0</v>
      </c>
      <c r="W656" t="s">
        <v>174</v>
      </c>
      <c r="X656">
        <v>1619875</v>
      </c>
      <c r="Z656" t="s">
        <v>175</v>
      </c>
      <c r="AA656" t="s">
        <v>173</v>
      </c>
    </row>
    <row r="657" spans="1:27" x14ac:dyDescent="0.3">
      <c r="A657">
        <v>656</v>
      </c>
      <c r="B657" t="s">
        <v>169</v>
      </c>
      <c r="C657">
        <v>99019875</v>
      </c>
      <c r="D657" s="7" t="s">
        <v>102</v>
      </c>
      <c r="E657" t="s">
        <v>103</v>
      </c>
      <c r="F657" t="s">
        <v>176</v>
      </c>
      <c r="G657" t="s">
        <v>177</v>
      </c>
      <c r="H657" s="133">
        <v>1000</v>
      </c>
      <c r="I657">
        <v>0</v>
      </c>
      <c r="J657">
        <v>9</v>
      </c>
      <c r="K657" s="133">
        <v>27065</v>
      </c>
      <c r="L657" s="133">
        <v>27065</v>
      </c>
      <c r="M657" s="150">
        <v>0.53569444444444447</v>
      </c>
      <c r="N657" s="150">
        <v>0.53570601851851851</v>
      </c>
      <c r="O657" t="s">
        <v>172</v>
      </c>
      <c r="Q657">
        <v>1632354</v>
      </c>
      <c r="R657">
        <v>1632354</v>
      </c>
      <c r="S657">
        <v>1632233</v>
      </c>
      <c r="T657">
        <v>991</v>
      </c>
      <c r="U657" t="s">
        <v>173</v>
      </c>
      <c r="V657">
        <v>0</v>
      </c>
      <c r="W657" t="s">
        <v>174</v>
      </c>
      <c r="X657">
        <v>1632233</v>
      </c>
      <c r="Z657" t="s">
        <v>175</v>
      </c>
      <c r="AA657" t="s">
        <v>173</v>
      </c>
    </row>
    <row r="658" spans="1:27" x14ac:dyDescent="0.3">
      <c r="A658">
        <v>657</v>
      </c>
      <c r="B658" t="s">
        <v>169</v>
      </c>
      <c r="C658">
        <v>99019875</v>
      </c>
      <c r="D658" s="7" t="s">
        <v>69</v>
      </c>
      <c r="E658" t="s">
        <v>70</v>
      </c>
      <c r="F658" t="s">
        <v>176</v>
      </c>
      <c r="G658" t="s">
        <v>177</v>
      </c>
      <c r="H658" s="133">
        <v>1000</v>
      </c>
      <c r="I658">
        <v>0</v>
      </c>
      <c r="J658">
        <v>61</v>
      </c>
      <c r="K658" s="133">
        <v>10250</v>
      </c>
      <c r="L658" s="133">
        <v>10250</v>
      </c>
      <c r="M658" s="150">
        <v>0.53597222222222218</v>
      </c>
      <c r="N658" s="150">
        <v>0.53598379629629633</v>
      </c>
      <c r="O658" t="s">
        <v>172</v>
      </c>
      <c r="Q658">
        <v>1634434</v>
      </c>
      <c r="R658">
        <v>1634434</v>
      </c>
      <c r="S658">
        <v>1634326</v>
      </c>
      <c r="T658">
        <v>939</v>
      </c>
      <c r="U658" t="s">
        <v>173</v>
      </c>
      <c r="V658">
        <v>0</v>
      </c>
      <c r="W658" t="s">
        <v>174</v>
      </c>
      <c r="X658">
        <v>1634326</v>
      </c>
      <c r="Z658" t="s">
        <v>175</v>
      </c>
      <c r="AA658" t="s">
        <v>173</v>
      </c>
    </row>
    <row r="659" spans="1:27" x14ac:dyDescent="0.3">
      <c r="A659">
        <v>658</v>
      </c>
      <c r="B659" t="s">
        <v>169</v>
      </c>
      <c r="C659">
        <v>99019875</v>
      </c>
      <c r="D659" s="7" t="s">
        <v>77</v>
      </c>
      <c r="E659" t="s">
        <v>78</v>
      </c>
      <c r="F659" t="s">
        <v>176</v>
      </c>
      <c r="G659" t="s">
        <v>177</v>
      </c>
      <c r="H659" s="133">
        <v>1000</v>
      </c>
      <c r="I659">
        <v>0</v>
      </c>
      <c r="J659">
        <v>1</v>
      </c>
      <c r="K659" s="133">
        <v>7365</v>
      </c>
      <c r="L659" s="133">
        <v>7365</v>
      </c>
      <c r="M659" s="150">
        <v>0.53658564814814813</v>
      </c>
      <c r="N659" s="150">
        <v>0.53659722222222228</v>
      </c>
      <c r="O659" t="s">
        <v>172</v>
      </c>
      <c r="Q659">
        <v>1639853</v>
      </c>
      <c r="R659">
        <v>1639853</v>
      </c>
      <c r="S659">
        <v>1639796</v>
      </c>
      <c r="T659">
        <v>999</v>
      </c>
      <c r="U659" t="s">
        <v>173</v>
      </c>
      <c r="V659">
        <v>0</v>
      </c>
      <c r="W659" t="s">
        <v>174</v>
      </c>
      <c r="X659">
        <v>1639796</v>
      </c>
      <c r="Z659" t="s">
        <v>175</v>
      </c>
      <c r="AA659" t="s">
        <v>173</v>
      </c>
    </row>
    <row r="660" spans="1:27" x14ac:dyDescent="0.3">
      <c r="A660">
        <v>659</v>
      </c>
      <c r="B660" t="s">
        <v>169</v>
      </c>
      <c r="C660">
        <v>99019875</v>
      </c>
      <c r="D660" s="7" t="s">
        <v>122</v>
      </c>
      <c r="E660" t="s">
        <v>123</v>
      </c>
      <c r="F660" t="s">
        <v>176</v>
      </c>
      <c r="G660" t="s">
        <v>177</v>
      </c>
      <c r="H660" s="133">
        <v>1000</v>
      </c>
      <c r="I660">
        <v>0</v>
      </c>
      <c r="J660">
        <v>980</v>
      </c>
      <c r="K660" s="133">
        <v>36040</v>
      </c>
      <c r="L660" s="133">
        <v>36040</v>
      </c>
      <c r="M660" s="150">
        <v>0.53788194444444437</v>
      </c>
      <c r="N660" s="150">
        <v>0.53788194444444437</v>
      </c>
      <c r="O660" t="s">
        <v>172</v>
      </c>
      <c r="Q660">
        <v>1650153</v>
      </c>
      <c r="R660">
        <v>1650153</v>
      </c>
      <c r="S660">
        <v>1650147</v>
      </c>
      <c r="T660">
        <v>20</v>
      </c>
      <c r="U660" t="s">
        <v>173</v>
      </c>
      <c r="V660">
        <v>0</v>
      </c>
      <c r="W660" t="s">
        <v>174</v>
      </c>
      <c r="X660">
        <v>1650147</v>
      </c>
      <c r="Z660" t="s">
        <v>175</v>
      </c>
      <c r="AA660" t="s">
        <v>173</v>
      </c>
    </row>
    <row r="661" spans="1:27" x14ac:dyDescent="0.3">
      <c r="A661">
        <v>660</v>
      </c>
      <c r="B661" t="s">
        <v>169</v>
      </c>
      <c r="C661">
        <v>99019875</v>
      </c>
      <c r="D661" s="7" t="s">
        <v>75</v>
      </c>
      <c r="E661" t="s">
        <v>76</v>
      </c>
      <c r="F661" t="s">
        <v>176</v>
      </c>
      <c r="G661" t="s">
        <v>177</v>
      </c>
      <c r="H661" s="133">
        <v>1000</v>
      </c>
      <c r="I661">
        <v>0</v>
      </c>
      <c r="J661">
        <v>3</v>
      </c>
      <c r="K661" s="133">
        <v>20860</v>
      </c>
      <c r="L661" s="133">
        <v>20860</v>
      </c>
      <c r="M661" s="150">
        <v>0.53788194444444437</v>
      </c>
      <c r="N661" s="150">
        <v>0.53790509259259256</v>
      </c>
      <c r="O661" t="s">
        <v>172</v>
      </c>
      <c r="Q661">
        <v>1650170</v>
      </c>
      <c r="R661">
        <v>1650170</v>
      </c>
      <c r="S661">
        <v>1650033</v>
      </c>
      <c r="T661">
        <v>997</v>
      </c>
      <c r="U661" t="s">
        <v>173</v>
      </c>
      <c r="V661">
        <v>0</v>
      </c>
      <c r="W661" t="s">
        <v>174</v>
      </c>
      <c r="X661">
        <v>1650033</v>
      </c>
      <c r="Z661" t="s">
        <v>175</v>
      </c>
      <c r="AA661" t="s">
        <v>173</v>
      </c>
    </row>
    <row r="662" spans="1:27" x14ac:dyDescent="0.3">
      <c r="A662">
        <v>661</v>
      </c>
      <c r="B662" t="s">
        <v>169</v>
      </c>
      <c r="C662">
        <v>99019875</v>
      </c>
      <c r="D662" s="7" t="s">
        <v>75</v>
      </c>
      <c r="E662" t="s">
        <v>76</v>
      </c>
      <c r="F662" t="s">
        <v>176</v>
      </c>
      <c r="G662" t="s">
        <v>177</v>
      </c>
      <c r="H662" s="133">
        <v>1000</v>
      </c>
      <c r="I662">
        <v>0</v>
      </c>
      <c r="J662">
        <v>6</v>
      </c>
      <c r="K662" s="133">
        <v>20860</v>
      </c>
      <c r="L662" s="133">
        <v>20860</v>
      </c>
      <c r="M662" s="150">
        <v>0.53841435185185182</v>
      </c>
      <c r="N662" s="150">
        <v>0.53841435185185182</v>
      </c>
      <c r="O662" t="s">
        <v>172</v>
      </c>
      <c r="Q662">
        <v>1654825</v>
      </c>
      <c r="R662">
        <v>1654825</v>
      </c>
      <c r="S662">
        <v>1654789</v>
      </c>
      <c r="T662">
        <v>994</v>
      </c>
      <c r="U662" t="s">
        <v>173</v>
      </c>
      <c r="V662">
        <v>0</v>
      </c>
      <c r="W662" t="s">
        <v>174</v>
      </c>
      <c r="X662">
        <v>1654789</v>
      </c>
      <c r="Z662" t="s">
        <v>175</v>
      </c>
      <c r="AA662" t="s">
        <v>173</v>
      </c>
    </row>
    <row r="663" spans="1:27" x14ac:dyDescent="0.3">
      <c r="A663">
        <v>662</v>
      </c>
      <c r="B663" t="s">
        <v>169</v>
      </c>
      <c r="C663">
        <v>99019875</v>
      </c>
      <c r="D663" s="7" t="s">
        <v>75</v>
      </c>
      <c r="E663" t="s">
        <v>76</v>
      </c>
      <c r="F663" t="s">
        <v>176</v>
      </c>
      <c r="G663" t="s">
        <v>177</v>
      </c>
      <c r="H663" s="133">
        <v>1000</v>
      </c>
      <c r="I663">
        <v>0</v>
      </c>
      <c r="J663">
        <v>1</v>
      </c>
      <c r="K663" s="133">
        <v>20855</v>
      </c>
      <c r="L663" s="133">
        <v>20855</v>
      </c>
      <c r="M663" s="150">
        <v>0.5388425925925926</v>
      </c>
      <c r="N663" s="150">
        <v>0.5388425925925926</v>
      </c>
      <c r="O663" t="s">
        <v>172</v>
      </c>
      <c r="Q663">
        <v>1659158</v>
      </c>
      <c r="R663">
        <v>1659158</v>
      </c>
      <c r="S663">
        <v>1658941</v>
      </c>
      <c r="T663">
        <v>999</v>
      </c>
      <c r="U663" t="s">
        <v>173</v>
      </c>
      <c r="V663">
        <v>0</v>
      </c>
      <c r="W663" t="s">
        <v>174</v>
      </c>
      <c r="X663">
        <v>1658941</v>
      </c>
      <c r="Z663" t="s">
        <v>175</v>
      </c>
      <c r="AA663" t="s">
        <v>173</v>
      </c>
    </row>
    <row r="664" spans="1:27" x14ac:dyDescent="0.3">
      <c r="A664">
        <v>663</v>
      </c>
      <c r="B664" t="s">
        <v>169</v>
      </c>
      <c r="C664">
        <v>99019875</v>
      </c>
      <c r="D664" s="7" t="s">
        <v>69</v>
      </c>
      <c r="E664" t="s">
        <v>70</v>
      </c>
      <c r="F664" t="s">
        <v>176</v>
      </c>
      <c r="G664" t="s">
        <v>177</v>
      </c>
      <c r="H664" s="133">
        <v>1000</v>
      </c>
      <c r="I664">
        <v>0</v>
      </c>
      <c r="J664">
        <v>259</v>
      </c>
      <c r="K664" s="133">
        <v>10255</v>
      </c>
      <c r="L664" s="133">
        <v>10255</v>
      </c>
      <c r="M664" s="150">
        <v>0.5388425925925926</v>
      </c>
      <c r="N664" s="150">
        <v>0.53886574074074078</v>
      </c>
      <c r="O664" t="s">
        <v>172</v>
      </c>
      <c r="Q664">
        <v>1659220</v>
      </c>
      <c r="R664">
        <v>1659220</v>
      </c>
      <c r="S664">
        <v>1659147</v>
      </c>
      <c r="T664">
        <v>741</v>
      </c>
      <c r="U664" t="s">
        <v>173</v>
      </c>
      <c r="V664">
        <v>0</v>
      </c>
      <c r="W664" t="s">
        <v>174</v>
      </c>
      <c r="X664">
        <v>1659147</v>
      </c>
      <c r="Z664" t="s">
        <v>175</v>
      </c>
      <c r="AA664" t="s">
        <v>173</v>
      </c>
    </row>
    <row r="665" spans="1:27" x14ac:dyDescent="0.3">
      <c r="A665">
        <v>664</v>
      </c>
      <c r="B665" t="s">
        <v>169</v>
      </c>
      <c r="C665">
        <v>99019875</v>
      </c>
      <c r="D665" s="7" t="s">
        <v>69</v>
      </c>
      <c r="E665" t="s">
        <v>70</v>
      </c>
      <c r="F665" t="s">
        <v>176</v>
      </c>
      <c r="G665" t="s">
        <v>177</v>
      </c>
      <c r="H665" s="133">
        <v>1000</v>
      </c>
      <c r="I665">
        <v>0</v>
      </c>
      <c r="J665">
        <v>341</v>
      </c>
      <c r="K665" s="133">
        <v>10250</v>
      </c>
      <c r="L665" s="133">
        <v>10250</v>
      </c>
      <c r="M665" s="150">
        <v>0.53943287037037035</v>
      </c>
      <c r="N665" s="150">
        <v>0.5394444444444445</v>
      </c>
      <c r="O665" t="s">
        <v>172</v>
      </c>
      <c r="Q665">
        <v>1664750</v>
      </c>
      <c r="R665">
        <v>1664750</v>
      </c>
      <c r="S665">
        <v>1664662</v>
      </c>
      <c r="T665">
        <v>659</v>
      </c>
      <c r="U665" t="s">
        <v>173</v>
      </c>
      <c r="V665">
        <v>0</v>
      </c>
      <c r="W665" t="s">
        <v>174</v>
      </c>
      <c r="X665">
        <v>1664662</v>
      </c>
      <c r="Z665" t="s">
        <v>175</v>
      </c>
      <c r="AA665" t="s">
        <v>173</v>
      </c>
    </row>
    <row r="666" spans="1:27" x14ac:dyDescent="0.3">
      <c r="A666">
        <v>665</v>
      </c>
      <c r="B666" t="s">
        <v>169</v>
      </c>
      <c r="C666">
        <v>99019875</v>
      </c>
      <c r="D666" s="7" t="s">
        <v>69</v>
      </c>
      <c r="E666" t="s">
        <v>70</v>
      </c>
      <c r="F666" t="s">
        <v>176</v>
      </c>
      <c r="G666" t="s">
        <v>177</v>
      </c>
      <c r="H666" s="133">
        <v>1000</v>
      </c>
      <c r="I666">
        <v>0</v>
      </c>
      <c r="J666">
        <v>777</v>
      </c>
      <c r="K666" s="133">
        <v>10245</v>
      </c>
      <c r="L666" s="133">
        <v>10245</v>
      </c>
      <c r="M666" s="150">
        <v>0.53989583333333335</v>
      </c>
      <c r="N666" s="150">
        <v>0.53991898148148143</v>
      </c>
      <c r="O666" t="s">
        <v>172</v>
      </c>
      <c r="Q666">
        <v>1669487</v>
      </c>
      <c r="R666">
        <v>1669487</v>
      </c>
      <c r="S666">
        <v>1668669</v>
      </c>
      <c r="T666">
        <v>223</v>
      </c>
      <c r="U666" t="s">
        <v>173</v>
      </c>
      <c r="V666">
        <v>0</v>
      </c>
      <c r="W666" t="s">
        <v>174</v>
      </c>
      <c r="X666">
        <v>1668669</v>
      </c>
      <c r="Z666" t="s">
        <v>175</v>
      </c>
      <c r="AA666" t="s">
        <v>173</v>
      </c>
    </row>
    <row r="667" spans="1:27" x14ac:dyDescent="0.3">
      <c r="A667">
        <v>666</v>
      </c>
      <c r="B667" t="s">
        <v>169</v>
      </c>
      <c r="C667">
        <v>99019875</v>
      </c>
      <c r="D667" s="7" t="s">
        <v>108</v>
      </c>
      <c r="E667" t="s">
        <v>109</v>
      </c>
      <c r="F667" t="s">
        <v>176</v>
      </c>
      <c r="G667" t="s">
        <v>171</v>
      </c>
      <c r="H667" s="133">
        <v>1000</v>
      </c>
      <c r="I667">
        <v>0</v>
      </c>
      <c r="J667">
        <v>94</v>
      </c>
      <c r="K667" s="133">
        <v>2730</v>
      </c>
      <c r="L667" s="133">
        <v>2730</v>
      </c>
      <c r="M667" s="150">
        <v>0.5401273148148148</v>
      </c>
      <c r="N667" s="150">
        <v>0.54240740740740734</v>
      </c>
      <c r="O667" t="s">
        <v>172</v>
      </c>
      <c r="Q667">
        <v>1671991</v>
      </c>
      <c r="R667">
        <v>1671991</v>
      </c>
      <c r="S667">
        <v>0</v>
      </c>
      <c r="T667">
        <v>906</v>
      </c>
      <c r="U667" t="s">
        <v>173</v>
      </c>
      <c r="V667">
        <v>0</v>
      </c>
      <c r="W667" t="s">
        <v>174</v>
      </c>
      <c r="X667">
        <v>0</v>
      </c>
      <c r="Z667" t="s">
        <v>175</v>
      </c>
      <c r="AA667" t="s">
        <v>173</v>
      </c>
    </row>
    <row r="668" spans="1:27" x14ac:dyDescent="0.3">
      <c r="A668">
        <v>667</v>
      </c>
      <c r="B668" t="s">
        <v>169</v>
      </c>
      <c r="C668">
        <v>99019875</v>
      </c>
      <c r="D668" s="7" t="s">
        <v>102</v>
      </c>
      <c r="E668" t="s">
        <v>103</v>
      </c>
      <c r="F668" t="s">
        <v>176</v>
      </c>
      <c r="G668" t="s">
        <v>177</v>
      </c>
      <c r="H668" s="133">
        <v>1000</v>
      </c>
      <c r="I668">
        <v>0</v>
      </c>
      <c r="J668">
        <v>1</v>
      </c>
      <c r="K668" s="133">
        <v>27015</v>
      </c>
      <c r="L668" s="133">
        <v>27015</v>
      </c>
      <c r="M668" s="150">
        <v>0.54031249999999997</v>
      </c>
      <c r="N668" s="150">
        <v>0.54032407407407412</v>
      </c>
      <c r="O668" t="s">
        <v>172</v>
      </c>
      <c r="Q668">
        <v>1674229</v>
      </c>
      <c r="R668">
        <v>1674229</v>
      </c>
      <c r="S668">
        <v>1674161</v>
      </c>
      <c r="T668">
        <v>999</v>
      </c>
      <c r="U668" t="s">
        <v>173</v>
      </c>
      <c r="V668">
        <v>0</v>
      </c>
      <c r="W668" t="s">
        <v>174</v>
      </c>
      <c r="X668">
        <v>1674161</v>
      </c>
      <c r="Z668" t="s">
        <v>175</v>
      </c>
      <c r="AA668" t="s">
        <v>173</v>
      </c>
    </row>
    <row r="669" spans="1:27" x14ac:dyDescent="0.3">
      <c r="A669">
        <v>668</v>
      </c>
      <c r="B669" t="s">
        <v>169</v>
      </c>
      <c r="C669">
        <v>99019875</v>
      </c>
      <c r="D669" s="7" t="s">
        <v>69</v>
      </c>
      <c r="E669" t="s">
        <v>70</v>
      </c>
      <c r="F669" t="s">
        <v>176</v>
      </c>
      <c r="G669" t="s">
        <v>177</v>
      </c>
      <c r="H669" s="133">
        <v>1000</v>
      </c>
      <c r="I669">
        <v>0</v>
      </c>
      <c r="J669">
        <v>3</v>
      </c>
      <c r="K669" s="133">
        <v>10245</v>
      </c>
      <c r="L669" s="133">
        <v>10245</v>
      </c>
      <c r="M669" s="150">
        <v>0.54043981481481485</v>
      </c>
      <c r="N669" s="150">
        <v>0.54045138888888888</v>
      </c>
      <c r="O669" t="s">
        <v>172</v>
      </c>
      <c r="Q669">
        <v>1675498</v>
      </c>
      <c r="R669">
        <v>1675498</v>
      </c>
      <c r="S669">
        <v>1675338</v>
      </c>
      <c r="T669">
        <v>997</v>
      </c>
      <c r="U669" t="s">
        <v>173</v>
      </c>
      <c r="V669">
        <v>0</v>
      </c>
      <c r="W669" t="s">
        <v>174</v>
      </c>
      <c r="X669">
        <v>1675338</v>
      </c>
      <c r="Z669" t="s">
        <v>175</v>
      </c>
      <c r="AA669" t="s">
        <v>173</v>
      </c>
    </row>
    <row r="670" spans="1:27" x14ac:dyDescent="0.3">
      <c r="A670">
        <v>669</v>
      </c>
      <c r="B670" t="s">
        <v>169</v>
      </c>
      <c r="C670">
        <v>99019875</v>
      </c>
      <c r="D670" s="7" t="s">
        <v>75</v>
      </c>
      <c r="E670" t="s">
        <v>76</v>
      </c>
      <c r="F670" t="s">
        <v>176</v>
      </c>
      <c r="G670" t="s">
        <v>177</v>
      </c>
      <c r="H670" s="133">
        <v>1000</v>
      </c>
      <c r="I670">
        <v>0</v>
      </c>
      <c r="J670">
        <v>261</v>
      </c>
      <c r="K670" s="133">
        <v>20835</v>
      </c>
      <c r="L670" s="133">
        <v>20835</v>
      </c>
      <c r="M670" s="150">
        <v>0.54054398148148153</v>
      </c>
      <c r="N670" s="150">
        <v>0.54055555555555557</v>
      </c>
      <c r="O670" t="s">
        <v>172</v>
      </c>
      <c r="Q670">
        <v>1676605</v>
      </c>
      <c r="R670">
        <v>1676605</v>
      </c>
      <c r="S670">
        <v>1676510</v>
      </c>
      <c r="T670">
        <v>739</v>
      </c>
      <c r="U670" t="s">
        <v>173</v>
      </c>
      <c r="V670">
        <v>0</v>
      </c>
      <c r="W670" t="s">
        <v>174</v>
      </c>
      <c r="X670">
        <v>1676510</v>
      </c>
      <c r="Z670" t="s">
        <v>175</v>
      </c>
      <c r="AA670" t="s">
        <v>173</v>
      </c>
    </row>
    <row r="671" spans="1:27" x14ac:dyDescent="0.3">
      <c r="A671">
        <v>670</v>
      </c>
      <c r="B671" t="s">
        <v>169</v>
      </c>
      <c r="C671">
        <v>99019875</v>
      </c>
      <c r="D671" s="7" t="s">
        <v>69</v>
      </c>
      <c r="E671" t="s">
        <v>70</v>
      </c>
      <c r="F671" t="s">
        <v>176</v>
      </c>
      <c r="G671" t="s">
        <v>177</v>
      </c>
      <c r="H671" s="133">
        <v>1000</v>
      </c>
      <c r="I671">
        <v>0</v>
      </c>
      <c r="J671">
        <v>3</v>
      </c>
      <c r="K671" s="133">
        <v>10245</v>
      </c>
      <c r="L671" s="133">
        <v>10245</v>
      </c>
      <c r="M671" s="150">
        <v>0.54087962962962965</v>
      </c>
      <c r="N671" s="150">
        <v>0.54089120370370369</v>
      </c>
      <c r="O671" t="s">
        <v>172</v>
      </c>
      <c r="Q671">
        <v>1680634</v>
      </c>
      <c r="R671">
        <v>1680634</v>
      </c>
      <c r="S671">
        <v>1680504</v>
      </c>
      <c r="T671">
        <v>997</v>
      </c>
      <c r="U671" t="s">
        <v>173</v>
      </c>
      <c r="V671">
        <v>0</v>
      </c>
      <c r="W671" t="s">
        <v>174</v>
      </c>
      <c r="X671">
        <v>1680504</v>
      </c>
      <c r="Z671" t="s">
        <v>175</v>
      </c>
      <c r="AA671" t="s">
        <v>173</v>
      </c>
    </row>
    <row r="672" spans="1:27" x14ac:dyDescent="0.3">
      <c r="A672">
        <v>671</v>
      </c>
      <c r="B672" t="s">
        <v>169</v>
      </c>
      <c r="C672">
        <v>99019875</v>
      </c>
      <c r="D672" s="7" t="s">
        <v>75</v>
      </c>
      <c r="E672" t="s">
        <v>76</v>
      </c>
      <c r="F672" t="s">
        <v>176</v>
      </c>
      <c r="G672" t="s">
        <v>171</v>
      </c>
      <c r="H672" s="133">
        <v>1000</v>
      </c>
      <c r="I672">
        <v>0</v>
      </c>
      <c r="J672">
        <v>2</v>
      </c>
      <c r="K672" s="133">
        <v>20840</v>
      </c>
      <c r="L672" s="133">
        <v>20842</v>
      </c>
      <c r="M672" s="150">
        <v>0.54089120370370369</v>
      </c>
      <c r="N672" s="150">
        <v>0.54089120370370369</v>
      </c>
      <c r="O672" t="s">
        <v>172</v>
      </c>
      <c r="Q672">
        <v>1680675</v>
      </c>
      <c r="R672">
        <v>1680675</v>
      </c>
      <c r="S672">
        <v>0</v>
      </c>
      <c r="T672">
        <v>998</v>
      </c>
      <c r="U672" t="s">
        <v>173</v>
      </c>
      <c r="V672">
        <v>0</v>
      </c>
      <c r="W672" t="s">
        <v>174</v>
      </c>
      <c r="X672">
        <v>0</v>
      </c>
      <c r="Z672" t="s">
        <v>175</v>
      </c>
      <c r="AA672" t="s">
        <v>173</v>
      </c>
    </row>
    <row r="673" spans="1:27" x14ac:dyDescent="0.3">
      <c r="A673">
        <v>672</v>
      </c>
      <c r="B673" t="s">
        <v>169</v>
      </c>
      <c r="C673">
        <v>99019875</v>
      </c>
      <c r="D673" s="7" t="s">
        <v>75</v>
      </c>
      <c r="E673" t="s">
        <v>76</v>
      </c>
      <c r="F673" t="s">
        <v>176</v>
      </c>
      <c r="G673" t="s">
        <v>171</v>
      </c>
      <c r="H673" s="133">
        <v>1000</v>
      </c>
      <c r="I673">
        <v>0</v>
      </c>
      <c r="J673">
        <v>14</v>
      </c>
      <c r="K673" s="133">
        <v>20835</v>
      </c>
      <c r="L673" s="133">
        <v>20835</v>
      </c>
      <c r="M673" s="150">
        <v>0.54123842592592586</v>
      </c>
      <c r="N673" s="150">
        <v>0.54123842592592586</v>
      </c>
      <c r="O673" t="s">
        <v>172</v>
      </c>
      <c r="Q673">
        <v>1684803</v>
      </c>
      <c r="R673">
        <v>1684803</v>
      </c>
      <c r="S673">
        <v>0</v>
      </c>
      <c r="T673">
        <v>986</v>
      </c>
      <c r="U673" t="s">
        <v>173</v>
      </c>
      <c r="V673">
        <v>0</v>
      </c>
      <c r="W673" t="s">
        <v>174</v>
      </c>
      <c r="X673">
        <v>0</v>
      </c>
      <c r="Z673" t="s">
        <v>175</v>
      </c>
      <c r="AA673" t="s">
        <v>173</v>
      </c>
    </row>
    <row r="674" spans="1:27" x14ac:dyDescent="0.3">
      <c r="A674">
        <v>673</v>
      </c>
      <c r="B674" t="s">
        <v>169</v>
      </c>
      <c r="C674">
        <v>99019875</v>
      </c>
      <c r="D674" s="7" t="s">
        <v>62</v>
      </c>
      <c r="E674" t="s">
        <v>63</v>
      </c>
      <c r="F674" t="s">
        <v>176</v>
      </c>
      <c r="G674" t="s">
        <v>177</v>
      </c>
      <c r="H674" s="133">
        <v>1000</v>
      </c>
      <c r="I674">
        <v>0</v>
      </c>
      <c r="J674">
        <v>191</v>
      </c>
      <c r="K674" s="133">
        <v>34045</v>
      </c>
      <c r="L674" s="133">
        <v>34045</v>
      </c>
      <c r="M674" s="150">
        <v>0.54150462962962964</v>
      </c>
      <c r="N674" s="150">
        <v>0.54151620370370368</v>
      </c>
      <c r="O674" t="s">
        <v>172</v>
      </c>
      <c r="Q674">
        <v>1687873</v>
      </c>
      <c r="R674">
        <v>1687873</v>
      </c>
      <c r="S674">
        <v>1687860</v>
      </c>
      <c r="T674">
        <v>809</v>
      </c>
      <c r="U674" t="s">
        <v>173</v>
      </c>
      <c r="V674">
        <v>0</v>
      </c>
      <c r="W674" t="s">
        <v>174</v>
      </c>
      <c r="X674">
        <v>1687860</v>
      </c>
      <c r="Z674" t="s">
        <v>175</v>
      </c>
      <c r="AA674" t="s">
        <v>173</v>
      </c>
    </row>
    <row r="675" spans="1:27" x14ac:dyDescent="0.3">
      <c r="A675">
        <v>674</v>
      </c>
      <c r="B675" t="s">
        <v>184</v>
      </c>
      <c r="C675">
        <v>99019870</v>
      </c>
      <c r="D675" s="7" t="s">
        <v>91</v>
      </c>
      <c r="E675" t="s">
        <v>92</v>
      </c>
      <c r="F675" t="s">
        <v>176</v>
      </c>
      <c r="G675" t="s">
        <v>177</v>
      </c>
      <c r="H675" s="133">
        <v>1000</v>
      </c>
      <c r="I675">
        <v>0</v>
      </c>
      <c r="J675">
        <v>161</v>
      </c>
      <c r="K675" s="133">
        <v>19500</v>
      </c>
      <c r="L675" s="133">
        <v>19500</v>
      </c>
      <c r="M675" s="150">
        <v>0.54158564814814814</v>
      </c>
      <c r="N675" s="150">
        <v>0.54159722222222217</v>
      </c>
      <c r="O675" t="s">
        <v>172</v>
      </c>
      <c r="Q675">
        <v>1688583</v>
      </c>
      <c r="R675">
        <v>1688583</v>
      </c>
      <c r="S675">
        <v>1688549</v>
      </c>
      <c r="T675">
        <v>839</v>
      </c>
      <c r="U675" t="s">
        <v>173</v>
      </c>
      <c r="V675">
        <v>0</v>
      </c>
      <c r="W675" t="s">
        <v>174</v>
      </c>
      <c r="X675">
        <v>1688549</v>
      </c>
      <c r="Z675" t="s">
        <v>175</v>
      </c>
      <c r="AA675" t="s">
        <v>173</v>
      </c>
    </row>
    <row r="676" spans="1:27" x14ac:dyDescent="0.3">
      <c r="A676">
        <v>675</v>
      </c>
      <c r="B676" t="s">
        <v>169</v>
      </c>
      <c r="C676">
        <v>99019875</v>
      </c>
      <c r="D676" s="7" t="s">
        <v>75</v>
      </c>
      <c r="E676" t="s">
        <v>76</v>
      </c>
      <c r="F676" t="s">
        <v>176</v>
      </c>
      <c r="G676" t="s">
        <v>177</v>
      </c>
      <c r="H676" s="133">
        <v>1000</v>
      </c>
      <c r="I676">
        <v>0</v>
      </c>
      <c r="J676">
        <v>1</v>
      </c>
      <c r="K676" s="133">
        <v>20820</v>
      </c>
      <c r="L676" s="133">
        <v>20820</v>
      </c>
      <c r="M676" s="150">
        <v>0.54159722222222217</v>
      </c>
      <c r="N676" s="150">
        <v>0.54159722222222217</v>
      </c>
      <c r="O676" t="s">
        <v>172</v>
      </c>
      <c r="Q676">
        <v>1688769</v>
      </c>
      <c r="R676">
        <v>1688769</v>
      </c>
      <c r="S676">
        <v>1688570</v>
      </c>
      <c r="T676">
        <v>999</v>
      </c>
      <c r="U676" t="s">
        <v>173</v>
      </c>
      <c r="V676">
        <v>0</v>
      </c>
      <c r="W676" t="s">
        <v>174</v>
      </c>
      <c r="X676">
        <v>1688570</v>
      </c>
      <c r="Z676" t="s">
        <v>175</v>
      </c>
      <c r="AA676" t="s">
        <v>173</v>
      </c>
    </row>
    <row r="677" spans="1:27" x14ac:dyDescent="0.3">
      <c r="A677">
        <v>676</v>
      </c>
      <c r="B677" t="s">
        <v>169</v>
      </c>
      <c r="C677">
        <v>99019875</v>
      </c>
      <c r="D677" s="7" t="s">
        <v>75</v>
      </c>
      <c r="E677" t="s">
        <v>76</v>
      </c>
      <c r="F677" t="s">
        <v>176</v>
      </c>
      <c r="G677" t="s">
        <v>177</v>
      </c>
      <c r="H677" s="133">
        <v>1000</v>
      </c>
      <c r="I677">
        <v>0</v>
      </c>
      <c r="J677">
        <v>42</v>
      </c>
      <c r="K677" s="133">
        <v>20815</v>
      </c>
      <c r="L677" s="133">
        <v>20815</v>
      </c>
      <c r="M677" s="150">
        <v>0.54159722222222217</v>
      </c>
      <c r="N677" s="150">
        <v>0.54160879629629632</v>
      </c>
      <c r="O677" t="s">
        <v>172</v>
      </c>
      <c r="Q677">
        <v>1688774</v>
      </c>
      <c r="R677">
        <v>1688774</v>
      </c>
      <c r="S677">
        <v>1688769</v>
      </c>
      <c r="T677">
        <v>957</v>
      </c>
      <c r="U677" t="s">
        <v>173</v>
      </c>
      <c r="V677">
        <v>1</v>
      </c>
      <c r="W677" t="s">
        <v>174</v>
      </c>
      <c r="X677">
        <v>1688769</v>
      </c>
      <c r="Z677" t="s">
        <v>175</v>
      </c>
      <c r="AA677" t="s">
        <v>173</v>
      </c>
    </row>
    <row r="678" spans="1:27" x14ac:dyDescent="0.3">
      <c r="A678">
        <v>677</v>
      </c>
      <c r="B678" t="s">
        <v>169</v>
      </c>
      <c r="C678">
        <v>99019875</v>
      </c>
      <c r="D678" s="7" t="s">
        <v>69</v>
      </c>
      <c r="E678" t="s">
        <v>70</v>
      </c>
      <c r="F678" t="s">
        <v>176</v>
      </c>
      <c r="G678" t="s">
        <v>177</v>
      </c>
      <c r="H678" s="133">
        <v>1000</v>
      </c>
      <c r="I678">
        <v>0</v>
      </c>
      <c r="J678">
        <v>15</v>
      </c>
      <c r="K678" s="133">
        <v>10240</v>
      </c>
      <c r="L678" s="133">
        <v>10240</v>
      </c>
      <c r="M678" s="150">
        <v>0.54160879629629632</v>
      </c>
      <c r="N678" s="150">
        <v>0.54162037037037036</v>
      </c>
      <c r="O678" t="s">
        <v>172</v>
      </c>
      <c r="Q678">
        <v>1688971</v>
      </c>
      <c r="R678">
        <v>1688971</v>
      </c>
      <c r="S678">
        <v>1688700</v>
      </c>
      <c r="T678">
        <v>985</v>
      </c>
      <c r="U678" t="s">
        <v>173</v>
      </c>
      <c r="V678">
        <v>0</v>
      </c>
      <c r="W678" t="s">
        <v>174</v>
      </c>
      <c r="X678">
        <v>1688700</v>
      </c>
      <c r="Z678" t="s">
        <v>175</v>
      </c>
      <c r="AA678" t="s">
        <v>173</v>
      </c>
    </row>
    <row r="679" spans="1:27" x14ac:dyDescent="0.3">
      <c r="A679">
        <v>678</v>
      </c>
      <c r="B679" t="s">
        <v>169</v>
      </c>
      <c r="C679">
        <v>99019875</v>
      </c>
      <c r="D679" s="7" t="s">
        <v>75</v>
      </c>
      <c r="E679" t="s">
        <v>76</v>
      </c>
      <c r="F679" t="s">
        <v>176</v>
      </c>
      <c r="G679" t="s">
        <v>177</v>
      </c>
      <c r="H679" s="133">
        <v>1000</v>
      </c>
      <c r="I679">
        <v>0</v>
      </c>
      <c r="J679">
        <v>2</v>
      </c>
      <c r="K679" s="133">
        <v>20815</v>
      </c>
      <c r="L679" s="133">
        <v>20815</v>
      </c>
      <c r="M679" s="150">
        <v>0.54194444444444445</v>
      </c>
      <c r="N679" s="150">
        <v>0.54196759259259253</v>
      </c>
      <c r="O679" t="s">
        <v>172</v>
      </c>
      <c r="Q679">
        <v>1694109</v>
      </c>
      <c r="R679">
        <v>1694109</v>
      </c>
      <c r="S679">
        <v>1694081</v>
      </c>
      <c r="T679">
        <v>998</v>
      </c>
      <c r="U679" t="s">
        <v>173</v>
      </c>
      <c r="V679">
        <v>0</v>
      </c>
      <c r="W679" t="s">
        <v>174</v>
      </c>
      <c r="X679">
        <v>1694081</v>
      </c>
      <c r="Z679" t="s">
        <v>175</v>
      </c>
      <c r="AA679" t="s">
        <v>173</v>
      </c>
    </row>
    <row r="680" spans="1:27" x14ac:dyDescent="0.3">
      <c r="A680">
        <v>679</v>
      </c>
      <c r="B680" t="s">
        <v>169</v>
      </c>
      <c r="C680">
        <v>99019875</v>
      </c>
      <c r="D680" s="7" t="s">
        <v>75</v>
      </c>
      <c r="E680" t="s">
        <v>76</v>
      </c>
      <c r="F680" t="s">
        <v>176</v>
      </c>
      <c r="G680" t="s">
        <v>177</v>
      </c>
      <c r="H680" s="133">
        <v>1000</v>
      </c>
      <c r="I680">
        <v>0</v>
      </c>
      <c r="J680" s="133">
        <v>1000</v>
      </c>
      <c r="K680" s="133">
        <v>20810</v>
      </c>
      <c r="L680" s="133">
        <v>20810</v>
      </c>
      <c r="M680" s="150">
        <v>0.54233796296296299</v>
      </c>
      <c r="N680" s="150">
        <v>0.54234953703703703</v>
      </c>
      <c r="O680" t="s">
        <v>172</v>
      </c>
      <c r="Q680">
        <v>1698805</v>
      </c>
      <c r="R680">
        <v>1698805</v>
      </c>
      <c r="S680">
        <v>1698627</v>
      </c>
      <c r="T680">
        <v>0</v>
      </c>
      <c r="U680" t="s">
        <v>173</v>
      </c>
      <c r="V680">
        <v>0</v>
      </c>
      <c r="W680" t="s">
        <v>174</v>
      </c>
      <c r="X680">
        <v>1698627</v>
      </c>
      <c r="Z680" t="s">
        <v>175</v>
      </c>
      <c r="AA680" t="s">
        <v>173</v>
      </c>
    </row>
    <row r="681" spans="1:27" x14ac:dyDescent="0.3">
      <c r="A681">
        <v>680</v>
      </c>
      <c r="B681" t="s">
        <v>169</v>
      </c>
      <c r="C681">
        <v>99019875</v>
      </c>
      <c r="D681" s="7" t="s">
        <v>62</v>
      </c>
      <c r="E681" t="s">
        <v>63</v>
      </c>
      <c r="F681" t="s">
        <v>176</v>
      </c>
      <c r="G681" t="s">
        <v>177</v>
      </c>
      <c r="H681" s="133">
        <v>1000</v>
      </c>
      <c r="I681">
        <v>0</v>
      </c>
      <c r="J681">
        <v>467</v>
      </c>
      <c r="K681" s="133">
        <v>34015</v>
      </c>
      <c r="L681" s="133">
        <v>34015</v>
      </c>
      <c r="M681" s="150">
        <v>0.54241898148148149</v>
      </c>
      <c r="N681" s="150">
        <v>0.54243055555555553</v>
      </c>
      <c r="O681" t="s">
        <v>172</v>
      </c>
      <c r="Q681">
        <v>1699689</v>
      </c>
      <c r="R681">
        <v>1699689</v>
      </c>
      <c r="S681">
        <v>1699673</v>
      </c>
      <c r="T681">
        <v>533</v>
      </c>
      <c r="U681" t="s">
        <v>173</v>
      </c>
      <c r="V681">
        <v>0</v>
      </c>
      <c r="W681" t="s">
        <v>174</v>
      </c>
      <c r="X681">
        <v>1699673</v>
      </c>
      <c r="Z681" t="s">
        <v>175</v>
      </c>
      <c r="AA681" t="s">
        <v>173</v>
      </c>
    </row>
    <row r="682" spans="1:27" x14ac:dyDescent="0.3">
      <c r="A682">
        <v>681</v>
      </c>
      <c r="B682" t="s">
        <v>169</v>
      </c>
      <c r="C682">
        <v>99019875</v>
      </c>
      <c r="D682" s="7" t="s">
        <v>75</v>
      </c>
      <c r="E682" t="s">
        <v>76</v>
      </c>
      <c r="F682" t="s">
        <v>176</v>
      </c>
      <c r="G682" t="s">
        <v>171</v>
      </c>
      <c r="H682" s="133">
        <v>1000</v>
      </c>
      <c r="I682">
        <v>0</v>
      </c>
      <c r="J682">
        <v>10</v>
      </c>
      <c r="K682" s="133">
        <v>20810</v>
      </c>
      <c r="L682" s="133">
        <v>20810</v>
      </c>
      <c r="M682" s="150">
        <v>0.54268518518518516</v>
      </c>
      <c r="N682" s="150">
        <v>0.54268518518518516</v>
      </c>
      <c r="O682" t="s">
        <v>172</v>
      </c>
      <c r="Q682">
        <v>1702225</v>
      </c>
      <c r="R682">
        <v>1702225</v>
      </c>
      <c r="S682">
        <v>0</v>
      </c>
      <c r="T682">
        <v>990</v>
      </c>
      <c r="U682" t="s">
        <v>173</v>
      </c>
      <c r="V682">
        <v>0</v>
      </c>
      <c r="W682" t="s">
        <v>174</v>
      </c>
      <c r="X682">
        <v>0</v>
      </c>
      <c r="Z682" t="s">
        <v>175</v>
      </c>
      <c r="AA682" t="s">
        <v>173</v>
      </c>
    </row>
    <row r="683" spans="1:27" x14ac:dyDescent="0.3">
      <c r="A683">
        <v>682</v>
      </c>
      <c r="B683" t="s">
        <v>169</v>
      </c>
      <c r="C683">
        <v>99019875</v>
      </c>
      <c r="D683" s="7" t="s">
        <v>62</v>
      </c>
      <c r="E683" t="s">
        <v>63</v>
      </c>
      <c r="F683" t="s">
        <v>176</v>
      </c>
      <c r="G683" t="s">
        <v>177</v>
      </c>
      <c r="H683" s="133">
        <v>1000</v>
      </c>
      <c r="I683">
        <v>0</v>
      </c>
      <c r="J683">
        <v>1</v>
      </c>
      <c r="K683" s="133">
        <v>33985</v>
      </c>
      <c r="L683" s="133">
        <v>33985</v>
      </c>
      <c r="M683" s="150">
        <v>0.54331018518518526</v>
      </c>
      <c r="N683" s="150">
        <v>0.54331018518518526</v>
      </c>
      <c r="O683" t="s">
        <v>172</v>
      </c>
      <c r="Q683">
        <v>1709267</v>
      </c>
      <c r="R683">
        <v>1709267</v>
      </c>
      <c r="S683">
        <v>1709244</v>
      </c>
      <c r="T683">
        <v>999</v>
      </c>
      <c r="U683" t="s">
        <v>173</v>
      </c>
      <c r="V683">
        <v>0</v>
      </c>
      <c r="W683" t="s">
        <v>174</v>
      </c>
      <c r="X683">
        <v>1709244</v>
      </c>
      <c r="Z683" t="s">
        <v>175</v>
      </c>
      <c r="AA683" t="s">
        <v>173</v>
      </c>
    </row>
    <row r="684" spans="1:27" x14ac:dyDescent="0.3">
      <c r="A684">
        <v>683</v>
      </c>
      <c r="B684" t="s">
        <v>169</v>
      </c>
      <c r="C684">
        <v>99019875</v>
      </c>
      <c r="D684" s="7" t="s">
        <v>62</v>
      </c>
      <c r="E684" t="s">
        <v>63</v>
      </c>
      <c r="F684" t="s">
        <v>176</v>
      </c>
      <c r="G684" t="s">
        <v>177</v>
      </c>
      <c r="H684" s="133">
        <v>1000</v>
      </c>
      <c r="I684">
        <v>0</v>
      </c>
      <c r="J684" s="133">
        <v>1000</v>
      </c>
      <c r="K684" s="133">
        <v>33965</v>
      </c>
      <c r="L684" s="133">
        <v>33965</v>
      </c>
      <c r="M684" s="150">
        <v>0.54396990740740747</v>
      </c>
      <c r="N684" s="150">
        <v>0.54398148148148151</v>
      </c>
      <c r="O684" t="s">
        <v>172</v>
      </c>
      <c r="Q684">
        <v>1716712</v>
      </c>
      <c r="R684">
        <v>1716712</v>
      </c>
      <c r="S684">
        <v>1716707</v>
      </c>
      <c r="T684">
        <v>0</v>
      </c>
      <c r="U684" t="s">
        <v>173</v>
      </c>
      <c r="V684">
        <v>0</v>
      </c>
      <c r="W684" t="s">
        <v>174</v>
      </c>
      <c r="X684">
        <v>1716707</v>
      </c>
      <c r="Z684" t="s">
        <v>175</v>
      </c>
      <c r="AA684" t="s">
        <v>173</v>
      </c>
    </row>
    <row r="685" spans="1:27" x14ac:dyDescent="0.3">
      <c r="A685">
        <v>684</v>
      </c>
      <c r="B685" t="s">
        <v>169</v>
      </c>
      <c r="C685">
        <v>99019875</v>
      </c>
      <c r="D685" s="7" t="s">
        <v>77</v>
      </c>
      <c r="E685" t="s">
        <v>78</v>
      </c>
      <c r="F685" t="s">
        <v>176</v>
      </c>
      <c r="G685" t="s">
        <v>177</v>
      </c>
      <c r="H685" s="133">
        <v>1000</v>
      </c>
      <c r="I685">
        <v>0</v>
      </c>
      <c r="J685">
        <v>3</v>
      </c>
      <c r="K685" s="133">
        <v>7345</v>
      </c>
      <c r="L685" s="133">
        <v>7345</v>
      </c>
      <c r="M685" s="150">
        <v>0.54427083333333337</v>
      </c>
      <c r="N685" s="150">
        <v>0.54428240740740741</v>
      </c>
      <c r="O685" t="s">
        <v>172</v>
      </c>
      <c r="Q685">
        <v>1719601</v>
      </c>
      <c r="R685">
        <v>1719601</v>
      </c>
      <c r="S685">
        <v>1719199</v>
      </c>
      <c r="T685">
        <v>997</v>
      </c>
      <c r="U685" t="s">
        <v>173</v>
      </c>
      <c r="V685">
        <v>0</v>
      </c>
      <c r="W685" t="s">
        <v>174</v>
      </c>
      <c r="X685">
        <v>1719199</v>
      </c>
      <c r="Z685" t="s">
        <v>175</v>
      </c>
      <c r="AA685" t="s">
        <v>173</v>
      </c>
    </row>
    <row r="686" spans="1:27" x14ac:dyDescent="0.3">
      <c r="A686">
        <v>685</v>
      </c>
      <c r="B686" t="s">
        <v>169</v>
      </c>
      <c r="C686">
        <v>99019875</v>
      </c>
      <c r="D686" s="7" t="s">
        <v>62</v>
      </c>
      <c r="E686" t="s">
        <v>63</v>
      </c>
      <c r="F686" t="s">
        <v>176</v>
      </c>
      <c r="G686" t="s">
        <v>177</v>
      </c>
      <c r="H686" s="133">
        <v>1000</v>
      </c>
      <c r="I686">
        <v>0</v>
      </c>
      <c r="J686" s="133">
        <v>1000</v>
      </c>
      <c r="K686" s="133">
        <v>33970</v>
      </c>
      <c r="L686" s="133">
        <v>33970</v>
      </c>
      <c r="M686" s="150">
        <v>0.5443634259259259</v>
      </c>
      <c r="N686" s="150">
        <v>0.54437499999999994</v>
      </c>
      <c r="O686" t="s">
        <v>172</v>
      </c>
      <c r="Q686">
        <v>1720559</v>
      </c>
      <c r="R686">
        <v>1720559</v>
      </c>
      <c r="S686">
        <v>1720545</v>
      </c>
      <c r="T686">
        <v>0</v>
      </c>
      <c r="U686" t="s">
        <v>173</v>
      </c>
      <c r="V686">
        <v>0</v>
      </c>
      <c r="W686" t="s">
        <v>174</v>
      </c>
      <c r="X686">
        <v>1720545</v>
      </c>
      <c r="Z686" t="s">
        <v>175</v>
      </c>
      <c r="AA686" t="s">
        <v>173</v>
      </c>
    </row>
    <row r="687" spans="1:27" x14ac:dyDescent="0.3">
      <c r="A687">
        <v>686</v>
      </c>
      <c r="B687" t="s">
        <v>169</v>
      </c>
      <c r="C687">
        <v>99019875</v>
      </c>
      <c r="D687" s="7" t="s">
        <v>62</v>
      </c>
      <c r="E687" t="s">
        <v>63</v>
      </c>
      <c r="F687" t="s">
        <v>176</v>
      </c>
      <c r="G687" t="s">
        <v>171</v>
      </c>
      <c r="H687" s="133">
        <v>1000</v>
      </c>
      <c r="I687">
        <v>0</v>
      </c>
      <c r="J687">
        <v>16</v>
      </c>
      <c r="K687" s="133">
        <v>33970</v>
      </c>
      <c r="L687" s="133">
        <v>33970</v>
      </c>
      <c r="M687" s="150">
        <v>0.54471064814814818</v>
      </c>
      <c r="N687" s="150">
        <v>0.54471064814814818</v>
      </c>
      <c r="O687" t="s">
        <v>172</v>
      </c>
      <c r="Q687">
        <v>1724018</v>
      </c>
      <c r="R687">
        <v>1724018</v>
      </c>
      <c r="S687">
        <v>0</v>
      </c>
      <c r="T687">
        <v>984</v>
      </c>
      <c r="U687" t="s">
        <v>173</v>
      </c>
      <c r="V687">
        <v>0</v>
      </c>
      <c r="W687" t="s">
        <v>174</v>
      </c>
      <c r="X687">
        <v>0</v>
      </c>
      <c r="Z687" t="s">
        <v>175</v>
      </c>
      <c r="AA687" t="s">
        <v>173</v>
      </c>
    </row>
    <row r="688" spans="1:27" x14ac:dyDescent="0.3">
      <c r="A688">
        <v>687</v>
      </c>
      <c r="B688" t="s">
        <v>169</v>
      </c>
      <c r="C688">
        <v>99019875</v>
      </c>
      <c r="D688" s="7" t="s">
        <v>69</v>
      </c>
      <c r="E688" t="s">
        <v>70</v>
      </c>
      <c r="F688" t="s">
        <v>176</v>
      </c>
      <c r="G688" t="s">
        <v>177</v>
      </c>
      <c r="H688" s="133">
        <v>1000</v>
      </c>
      <c r="I688">
        <v>0</v>
      </c>
      <c r="J688">
        <v>518</v>
      </c>
      <c r="K688" s="133">
        <v>10235</v>
      </c>
      <c r="L688" s="133">
        <v>10235</v>
      </c>
      <c r="M688" s="150">
        <v>0.54562500000000003</v>
      </c>
      <c r="N688" s="150">
        <v>0.54564814814814822</v>
      </c>
      <c r="O688" t="s">
        <v>172</v>
      </c>
      <c r="Q688">
        <v>1735939</v>
      </c>
      <c r="R688">
        <v>1735939</v>
      </c>
      <c r="S688">
        <v>1735340</v>
      </c>
      <c r="T688">
        <v>482</v>
      </c>
      <c r="U688" t="s">
        <v>173</v>
      </c>
      <c r="V688">
        <v>0</v>
      </c>
      <c r="W688" t="s">
        <v>174</v>
      </c>
      <c r="X688">
        <v>1735340</v>
      </c>
      <c r="Z688" t="s">
        <v>175</v>
      </c>
      <c r="AA688" t="s">
        <v>173</v>
      </c>
    </row>
    <row r="689" spans="1:27" x14ac:dyDescent="0.3">
      <c r="A689">
        <v>688</v>
      </c>
      <c r="B689" t="s">
        <v>169</v>
      </c>
      <c r="C689">
        <v>99019875</v>
      </c>
      <c r="D689" s="7" t="s">
        <v>62</v>
      </c>
      <c r="E689" t="s">
        <v>63</v>
      </c>
      <c r="F689" t="s">
        <v>176</v>
      </c>
      <c r="G689" t="s">
        <v>177</v>
      </c>
      <c r="H689" s="133">
        <v>1000</v>
      </c>
      <c r="I689">
        <v>0</v>
      </c>
      <c r="J689" s="133">
        <v>1000</v>
      </c>
      <c r="K689" s="133">
        <v>33960</v>
      </c>
      <c r="L689" s="133">
        <v>33960</v>
      </c>
      <c r="M689" s="150">
        <v>0.54563657407407407</v>
      </c>
      <c r="N689" s="150">
        <v>0.54564814814814822</v>
      </c>
      <c r="O689" t="s">
        <v>172</v>
      </c>
      <c r="Q689">
        <v>1736063</v>
      </c>
      <c r="R689">
        <v>1736063</v>
      </c>
      <c r="S689">
        <v>1736026</v>
      </c>
      <c r="T689">
        <v>0</v>
      </c>
      <c r="U689" t="s">
        <v>173</v>
      </c>
      <c r="V689">
        <v>0</v>
      </c>
      <c r="W689" t="s">
        <v>174</v>
      </c>
      <c r="X689">
        <v>1736026</v>
      </c>
      <c r="Z689" t="s">
        <v>175</v>
      </c>
      <c r="AA689" t="s">
        <v>173</v>
      </c>
    </row>
    <row r="690" spans="1:27" x14ac:dyDescent="0.3">
      <c r="A690">
        <v>689</v>
      </c>
      <c r="B690" t="s">
        <v>169</v>
      </c>
      <c r="C690">
        <v>99019875</v>
      </c>
      <c r="D690" s="7" t="s">
        <v>69</v>
      </c>
      <c r="E690" t="s">
        <v>70</v>
      </c>
      <c r="F690" t="s">
        <v>176</v>
      </c>
      <c r="G690" t="s">
        <v>177</v>
      </c>
      <c r="H690" s="133">
        <v>1000</v>
      </c>
      <c r="I690">
        <v>0</v>
      </c>
      <c r="J690" s="133">
        <v>1000</v>
      </c>
      <c r="K690" s="133">
        <v>10240</v>
      </c>
      <c r="L690" s="133">
        <v>10240</v>
      </c>
      <c r="M690" s="150">
        <v>0.54599537037037038</v>
      </c>
      <c r="N690" s="150">
        <v>0.54600694444444442</v>
      </c>
      <c r="O690" t="s">
        <v>172</v>
      </c>
      <c r="Q690">
        <v>1740193</v>
      </c>
      <c r="R690">
        <v>1740193</v>
      </c>
      <c r="S690">
        <v>1740050</v>
      </c>
      <c r="T690">
        <v>0</v>
      </c>
      <c r="U690" t="s">
        <v>173</v>
      </c>
      <c r="V690">
        <v>0</v>
      </c>
      <c r="W690" t="s">
        <v>174</v>
      </c>
      <c r="X690">
        <v>1740050</v>
      </c>
      <c r="Z690" t="s">
        <v>175</v>
      </c>
      <c r="AA690" t="s">
        <v>173</v>
      </c>
    </row>
    <row r="691" spans="1:27" x14ac:dyDescent="0.3">
      <c r="A691">
        <v>690</v>
      </c>
      <c r="B691" t="s">
        <v>169</v>
      </c>
      <c r="C691">
        <v>99019875</v>
      </c>
      <c r="D691" s="7" t="s">
        <v>62</v>
      </c>
      <c r="E691" t="s">
        <v>63</v>
      </c>
      <c r="F691" t="s">
        <v>176</v>
      </c>
      <c r="G691" t="s">
        <v>177</v>
      </c>
      <c r="H691" s="133">
        <v>1000</v>
      </c>
      <c r="I691">
        <v>0</v>
      </c>
      <c r="J691">
        <v>53</v>
      </c>
      <c r="K691" s="133">
        <v>33960</v>
      </c>
      <c r="L691" s="133">
        <v>33960</v>
      </c>
      <c r="M691" s="150">
        <v>0.54607638888888888</v>
      </c>
      <c r="N691" s="150">
        <v>0.54607638888888888</v>
      </c>
      <c r="O691" t="s">
        <v>172</v>
      </c>
      <c r="Q691">
        <v>1740907</v>
      </c>
      <c r="R691">
        <v>1740907</v>
      </c>
      <c r="S691">
        <v>1740893</v>
      </c>
      <c r="T691">
        <v>947</v>
      </c>
      <c r="U691" t="s">
        <v>173</v>
      </c>
      <c r="V691">
        <v>0</v>
      </c>
      <c r="W691" t="s">
        <v>174</v>
      </c>
      <c r="X691">
        <v>1740893</v>
      </c>
      <c r="Z691" t="s">
        <v>175</v>
      </c>
      <c r="AA691" t="s">
        <v>173</v>
      </c>
    </row>
    <row r="692" spans="1:27" x14ac:dyDescent="0.3">
      <c r="A692">
        <v>691</v>
      </c>
      <c r="B692" t="s">
        <v>169</v>
      </c>
      <c r="C692">
        <v>99019875</v>
      </c>
      <c r="D692" s="7" t="s">
        <v>62</v>
      </c>
      <c r="E692" t="s">
        <v>63</v>
      </c>
      <c r="F692" t="s">
        <v>176</v>
      </c>
      <c r="G692" t="s">
        <v>177</v>
      </c>
      <c r="H692" s="133">
        <v>1000</v>
      </c>
      <c r="I692">
        <v>0</v>
      </c>
      <c r="J692">
        <v>947</v>
      </c>
      <c r="K692" s="133">
        <v>33955</v>
      </c>
      <c r="L692" s="133">
        <v>33955</v>
      </c>
      <c r="M692" s="150">
        <v>0.54607638888888888</v>
      </c>
      <c r="N692" s="150">
        <v>0.54607638888888888</v>
      </c>
      <c r="O692" t="s">
        <v>172</v>
      </c>
      <c r="Q692">
        <v>1740918</v>
      </c>
      <c r="R692">
        <v>1740918</v>
      </c>
      <c r="S692">
        <v>1740907</v>
      </c>
      <c r="T692">
        <v>0</v>
      </c>
      <c r="U692" t="s">
        <v>173</v>
      </c>
      <c r="V692">
        <v>53</v>
      </c>
      <c r="W692" t="s">
        <v>174</v>
      </c>
      <c r="X692">
        <v>1740907</v>
      </c>
      <c r="Z692" t="s">
        <v>175</v>
      </c>
      <c r="AA692" t="s">
        <v>173</v>
      </c>
    </row>
    <row r="693" spans="1:27" x14ac:dyDescent="0.3">
      <c r="A693">
        <v>692</v>
      </c>
      <c r="B693" t="s">
        <v>169</v>
      </c>
      <c r="C693">
        <v>99019875</v>
      </c>
      <c r="D693" s="7" t="s">
        <v>73</v>
      </c>
      <c r="E693" t="s">
        <v>74</v>
      </c>
      <c r="F693" t="s">
        <v>176</v>
      </c>
      <c r="G693" t="s">
        <v>177</v>
      </c>
      <c r="H693" s="133">
        <v>1000</v>
      </c>
      <c r="I693">
        <v>0</v>
      </c>
      <c r="J693">
        <v>1</v>
      </c>
      <c r="K693" s="133">
        <v>18575</v>
      </c>
      <c r="L693" s="133">
        <v>18575</v>
      </c>
      <c r="M693" s="150">
        <v>0.54608796296296302</v>
      </c>
      <c r="N693" s="150">
        <v>0.5461111111111111</v>
      </c>
      <c r="O693" t="s">
        <v>172</v>
      </c>
      <c r="Q693">
        <v>1741088</v>
      </c>
      <c r="R693">
        <v>1741088</v>
      </c>
      <c r="S693">
        <v>1740953</v>
      </c>
      <c r="T693">
        <v>999</v>
      </c>
      <c r="U693" t="s">
        <v>173</v>
      </c>
      <c r="V693">
        <v>0</v>
      </c>
      <c r="W693" t="s">
        <v>174</v>
      </c>
      <c r="X693">
        <v>1740953</v>
      </c>
      <c r="Z693" t="s">
        <v>175</v>
      </c>
      <c r="AA693" t="s">
        <v>173</v>
      </c>
    </row>
    <row r="694" spans="1:27" x14ac:dyDescent="0.3">
      <c r="A694">
        <v>693</v>
      </c>
      <c r="B694" t="s">
        <v>169</v>
      </c>
      <c r="C694">
        <v>99019875</v>
      </c>
      <c r="D694" s="7" t="s">
        <v>102</v>
      </c>
      <c r="E694" t="s">
        <v>103</v>
      </c>
      <c r="F694" t="s">
        <v>176</v>
      </c>
      <c r="G694" t="s">
        <v>177</v>
      </c>
      <c r="H694" s="133">
        <v>1000</v>
      </c>
      <c r="I694">
        <v>0</v>
      </c>
      <c r="J694">
        <v>36</v>
      </c>
      <c r="K694" s="133">
        <v>26945</v>
      </c>
      <c r="L694" s="133">
        <v>26946</v>
      </c>
      <c r="M694" s="150">
        <v>0.54712962962962963</v>
      </c>
      <c r="N694" s="150">
        <v>0.54712962962962963</v>
      </c>
      <c r="O694" t="s">
        <v>172</v>
      </c>
      <c r="Q694">
        <v>1751690</v>
      </c>
      <c r="R694">
        <v>1751690</v>
      </c>
      <c r="S694">
        <v>1751519</v>
      </c>
      <c r="T694">
        <v>964</v>
      </c>
      <c r="U694" t="s">
        <v>173</v>
      </c>
      <c r="V694">
        <v>0</v>
      </c>
      <c r="W694" t="s">
        <v>174</v>
      </c>
      <c r="X694">
        <v>1751519</v>
      </c>
      <c r="Z694" t="s">
        <v>175</v>
      </c>
      <c r="AA694" t="s">
        <v>173</v>
      </c>
    </row>
    <row r="695" spans="1:27" x14ac:dyDescent="0.3">
      <c r="A695">
        <v>694</v>
      </c>
      <c r="B695" t="s">
        <v>169</v>
      </c>
      <c r="C695">
        <v>99019875</v>
      </c>
      <c r="D695" s="7" t="s">
        <v>102</v>
      </c>
      <c r="E695" t="s">
        <v>103</v>
      </c>
      <c r="F695" t="s">
        <v>176</v>
      </c>
      <c r="G695" t="s">
        <v>177</v>
      </c>
      <c r="H695" s="133">
        <v>1000</v>
      </c>
      <c r="I695">
        <v>0</v>
      </c>
      <c r="J695">
        <v>7</v>
      </c>
      <c r="K695" s="133">
        <v>26950</v>
      </c>
      <c r="L695" s="133">
        <v>26950</v>
      </c>
      <c r="M695" s="150">
        <v>0.54881944444444442</v>
      </c>
      <c r="N695" s="150">
        <v>0.54883101851851845</v>
      </c>
      <c r="O695" t="s">
        <v>172</v>
      </c>
      <c r="Q695">
        <v>1771723</v>
      </c>
      <c r="R695">
        <v>1771723</v>
      </c>
      <c r="S695">
        <v>1771684</v>
      </c>
      <c r="T695">
        <v>993</v>
      </c>
      <c r="U695" t="s">
        <v>173</v>
      </c>
      <c r="V695">
        <v>0</v>
      </c>
      <c r="W695" t="s">
        <v>174</v>
      </c>
      <c r="X695">
        <v>1771684</v>
      </c>
      <c r="Z695" t="s">
        <v>175</v>
      </c>
      <c r="AA695" t="s">
        <v>173</v>
      </c>
    </row>
    <row r="696" spans="1:27" x14ac:dyDescent="0.3">
      <c r="A696">
        <v>695</v>
      </c>
      <c r="B696" t="s">
        <v>169</v>
      </c>
      <c r="C696">
        <v>99019875</v>
      </c>
      <c r="D696" s="7" t="s">
        <v>75</v>
      </c>
      <c r="E696" t="s">
        <v>76</v>
      </c>
      <c r="F696" t="s">
        <v>170</v>
      </c>
      <c r="G696" t="s">
        <v>171</v>
      </c>
      <c r="H696" s="133">
        <v>5000</v>
      </c>
      <c r="I696">
        <v>0</v>
      </c>
      <c r="J696" s="133">
        <v>5000</v>
      </c>
      <c r="K696" s="133">
        <v>20720</v>
      </c>
      <c r="L696" s="133">
        <v>20720</v>
      </c>
      <c r="M696" s="150">
        <v>0.54885416666666664</v>
      </c>
      <c r="N696" s="150">
        <v>0.54887731481481483</v>
      </c>
      <c r="O696" t="s">
        <v>172</v>
      </c>
      <c r="Q696">
        <v>1772099</v>
      </c>
      <c r="R696">
        <v>1772099</v>
      </c>
      <c r="S696">
        <v>0</v>
      </c>
      <c r="T696">
        <v>0</v>
      </c>
      <c r="U696" t="s">
        <v>173</v>
      </c>
      <c r="V696">
        <v>0</v>
      </c>
      <c r="W696" t="s">
        <v>174</v>
      </c>
      <c r="X696">
        <v>0</v>
      </c>
      <c r="Z696" t="s">
        <v>173</v>
      </c>
      <c r="AA696" t="s">
        <v>173</v>
      </c>
    </row>
    <row r="697" spans="1:27" x14ac:dyDescent="0.3">
      <c r="A697">
        <v>696</v>
      </c>
      <c r="B697" t="s">
        <v>169</v>
      </c>
      <c r="C697">
        <v>99019875</v>
      </c>
      <c r="D697" s="7" t="s">
        <v>75</v>
      </c>
      <c r="E697" t="s">
        <v>76</v>
      </c>
      <c r="F697" t="s">
        <v>176</v>
      </c>
      <c r="G697" t="s">
        <v>177</v>
      </c>
      <c r="H697" s="133">
        <v>1000</v>
      </c>
      <c r="I697">
        <v>0</v>
      </c>
      <c r="J697">
        <v>774</v>
      </c>
      <c r="K697" s="133">
        <v>20705</v>
      </c>
      <c r="L697" s="133">
        <v>20705</v>
      </c>
      <c r="M697" s="150">
        <v>0.55116898148148141</v>
      </c>
      <c r="N697" s="150">
        <v>0.55116898148148141</v>
      </c>
      <c r="O697" t="s">
        <v>172</v>
      </c>
      <c r="Q697">
        <v>1799401</v>
      </c>
      <c r="R697">
        <v>1799401</v>
      </c>
      <c r="S697">
        <v>1799364</v>
      </c>
      <c r="T697">
        <v>226</v>
      </c>
      <c r="U697" t="s">
        <v>173</v>
      </c>
      <c r="V697">
        <v>0</v>
      </c>
      <c r="W697" t="s">
        <v>174</v>
      </c>
      <c r="X697">
        <v>1799364</v>
      </c>
      <c r="Z697" t="s">
        <v>175</v>
      </c>
      <c r="AA697" t="s">
        <v>173</v>
      </c>
    </row>
    <row r="698" spans="1:27" x14ac:dyDescent="0.3">
      <c r="A698">
        <v>697</v>
      </c>
      <c r="B698" t="s">
        <v>169</v>
      </c>
      <c r="C698">
        <v>99019875</v>
      </c>
      <c r="D698" s="7" t="s">
        <v>75</v>
      </c>
      <c r="E698" t="s">
        <v>76</v>
      </c>
      <c r="F698" t="s">
        <v>176</v>
      </c>
      <c r="G698" t="s">
        <v>177</v>
      </c>
      <c r="H698" s="133">
        <v>1000</v>
      </c>
      <c r="I698">
        <v>0</v>
      </c>
      <c r="J698" s="133">
        <v>1000</v>
      </c>
      <c r="K698" s="133">
        <v>20700</v>
      </c>
      <c r="L698" s="133">
        <v>20700</v>
      </c>
      <c r="M698" s="150">
        <v>0.55156250000000007</v>
      </c>
      <c r="N698" s="150">
        <v>0.55157407407407411</v>
      </c>
      <c r="O698" t="s">
        <v>172</v>
      </c>
      <c r="Q698">
        <v>1804092</v>
      </c>
      <c r="R698">
        <v>1804092</v>
      </c>
      <c r="S698">
        <v>1803601</v>
      </c>
      <c r="T698">
        <v>0</v>
      </c>
      <c r="U698" t="s">
        <v>173</v>
      </c>
      <c r="V698">
        <v>0</v>
      </c>
      <c r="W698" t="s">
        <v>174</v>
      </c>
      <c r="X698">
        <v>1803601</v>
      </c>
      <c r="Z698" t="s">
        <v>175</v>
      </c>
      <c r="AA698" t="s">
        <v>173</v>
      </c>
    </row>
    <row r="699" spans="1:27" x14ac:dyDescent="0.3">
      <c r="A699">
        <v>698</v>
      </c>
      <c r="B699" t="s">
        <v>169</v>
      </c>
      <c r="C699">
        <v>99019875</v>
      </c>
      <c r="D699" s="7" t="s">
        <v>75</v>
      </c>
      <c r="E699" t="s">
        <v>76</v>
      </c>
      <c r="F699" t="s">
        <v>176</v>
      </c>
      <c r="G699" t="s">
        <v>177</v>
      </c>
      <c r="H699" s="133">
        <v>1000</v>
      </c>
      <c r="I699">
        <v>0</v>
      </c>
      <c r="J699">
        <v>928</v>
      </c>
      <c r="K699" s="133">
        <v>20700</v>
      </c>
      <c r="L699" s="133">
        <v>20700</v>
      </c>
      <c r="M699" s="150">
        <v>0.55190972222222223</v>
      </c>
      <c r="N699" s="150">
        <v>0.55192129629629627</v>
      </c>
      <c r="O699" t="s">
        <v>172</v>
      </c>
      <c r="Q699">
        <v>1808284</v>
      </c>
      <c r="R699">
        <v>1808284</v>
      </c>
      <c r="S699">
        <v>1808278</v>
      </c>
      <c r="T699">
        <v>72</v>
      </c>
      <c r="U699" t="s">
        <v>173</v>
      </c>
      <c r="V699">
        <v>0</v>
      </c>
      <c r="W699" t="s">
        <v>174</v>
      </c>
      <c r="X699">
        <v>1808278</v>
      </c>
      <c r="Z699" t="s">
        <v>175</v>
      </c>
      <c r="AA699" t="s">
        <v>173</v>
      </c>
    </row>
    <row r="700" spans="1:27" x14ac:dyDescent="0.3">
      <c r="A700">
        <v>699</v>
      </c>
      <c r="B700" t="s">
        <v>169</v>
      </c>
      <c r="C700">
        <v>99019875</v>
      </c>
      <c r="D700" s="7" t="s">
        <v>75</v>
      </c>
      <c r="E700" t="s">
        <v>76</v>
      </c>
      <c r="F700" t="s">
        <v>176</v>
      </c>
      <c r="G700" t="s">
        <v>177</v>
      </c>
      <c r="H700" s="133">
        <v>1000</v>
      </c>
      <c r="I700">
        <v>0</v>
      </c>
      <c r="J700">
        <v>1</v>
      </c>
      <c r="K700" s="133">
        <v>20700</v>
      </c>
      <c r="L700" s="133">
        <v>20700</v>
      </c>
      <c r="M700" s="150">
        <v>0.55230324074074078</v>
      </c>
      <c r="N700" s="150">
        <v>0.55231481481481481</v>
      </c>
      <c r="O700" t="s">
        <v>172</v>
      </c>
      <c r="Q700">
        <v>1813466</v>
      </c>
      <c r="R700">
        <v>1813466</v>
      </c>
      <c r="S700">
        <v>1812914</v>
      </c>
      <c r="T700">
        <v>999</v>
      </c>
      <c r="U700" t="s">
        <v>173</v>
      </c>
      <c r="V700">
        <v>0</v>
      </c>
      <c r="W700" t="s">
        <v>174</v>
      </c>
      <c r="X700">
        <v>1812914</v>
      </c>
      <c r="Z700" t="s">
        <v>175</v>
      </c>
      <c r="AA700" t="s">
        <v>173</v>
      </c>
    </row>
    <row r="701" spans="1:27" x14ac:dyDescent="0.3">
      <c r="A701">
        <v>700</v>
      </c>
      <c r="B701" t="s">
        <v>169</v>
      </c>
      <c r="C701">
        <v>99019875</v>
      </c>
      <c r="D701" s="7" t="s">
        <v>69</v>
      </c>
      <c r="E701" t="s">
        <v>70</v>
      </c>
      <c r="F701" t="s">
        <v>176</v>
      </c>
      <c r="G701" t="s">
        <v>177</v>
      </c>
      <c r="H701" s="133">
        <v>1000</v>
      </c>
      <c r="I701">
        <v>0</v>
      </c>
      <c r="J701">
        <v>872</v>
      </c>
      <c r="K701" s="133">
        <v>10265</v>
      </c>
      <c r="L701" s="133">
        <v>10265</v>
      </c>
      <c r="M701" s="150">
        <v>0.55233796296296289</v>
      </c>
      <c r="N701" s="150">
        <v>0.55237268518518523</v>
      </c>
      <c r="O701" t="s">
        <v>172</v>
      </c>
      <c r="Q701">
        <v>1813831</v>
      </c>
      <c r="R701">
        <v>1813831</v>
      </c>
      <c r="S701">
        <v>1813778</v>
      </c>
      <c r="T701">
        <v>128</v>
      </c>
      <c r="U701" t="s">
        <v>173</v>
      </c>
      <c r="V701">
        <v>0</v>
      </c>
      <c r="W701" t="s">
        <v>174</v>
      </c>
      <c r="X701">
        <v>1813778</v>
      </c>
      <c r="Z701" t="s">
        <v>175</v>
      </c>
      <c r="AA701" t="s">
        <v>173</v>
      </c>
    </row>
    <row r="702" spans="1:27" x14ac:dyDescent="0.3">
      <c r="A702">
        <v>701</v>
      </c>
      <c r="B702" t="s">
        <v>169</v>
      </c>
      <c r="C702">
        <v>99019875</v>
      </c>
      <c r="D702" s="7" t="s">
        <v>75</v>
      </c>
      <c r="E702" t="s">
        <v>76</v>
      </c>
      <c r="F702" t="s">
        <v>176</v>
      </c>
      <c r="G702" t="s">
        <v>177</v>
      </c>
      <c r="H702" s="133">
        <v>1000</v>
      </c>
      <c r="I702">
        <v>0</v>
      </c>
      <c r="J702">
        <v>980</v>
      </c>
      <c r="K702" s="133">
        <v>20705</v>
      </c>
      <c r="L702" s="133">
        <v>20705</v>
      </c>
      <c r="M702" s="150">
        <v>0.55285879629629631</v>
      </c>
      <c r="N702" s="150">
        <v>0.55285879629629631</v>
      </c>
      <c r="O702" t="s">
        <v>172</v>
      </c>
      <c r="Q702">
        <v>1820401</v>
      </c>
      <c r="R702">
        <v>1820401</v>
      </c>
      <c r="S702">
        <v>1819680</v>
      </c>
      <c r="T702">
        <v>20</v>
      </c>
      <c r="U702" t="s">
        <v>173</v>
      </c>
      <c r="V702">
        <v>0</v>
      </c>
      <c r="W702" t="s">
        <v>174</v>
      </c>
      <c r="X702">
        <v>1819680</v>
      </c>
      <c r="Z702" t="s">
        <v>175</v>
      </c>
      <c r="AA702" t="s">
        <v>173</v>
      </c>
    </row>
    <row r="703" spans="1:27" x14ac:dyDescent="0.3">
      <c r="A703">
        <v>702</v>
      </c>
      <c r="B703" t="s">
        <v>169</v>
      </c>
      <c r="C703">
        <v>99019875</v>
      </c>
      <c r="D703" s="7" t="s">
        <v>62</v>
      </c>
      <c r="E703" t="s">
        <v>63</v>
      </c>
      <c r="F703" t="s">
        <v>176</v>
      </c>
      <c r="G703" t="s">
        <v>177</v>
      </c>
      <c r="H703" s="133">
        <v>1000</v>
      </c>
      <c r="I703">
        <v>0</v>
      </c>
      <c r="J703" s="133">
        <v>1000</v>
      </c>
      <c r="K703" s="133">
        <v>33975</v>
      </c>
      <c r="L703" s="133">
        <v>33975</v>
      </c>
      <c r="M703" s="150">
        <v>0.55305555555555552</v>
      </c>
      <c r="N703" s="150">
        <v>0.55306712962962956</v>
      </c>
      <c r="O703" t="s">
        <v>172</v>
      </c>
      <c r="Q703">
        <v>1823243</v>
      </c>
      <c r="R703">
        <v>1823243</v>
      </c>
      <c r="S703">
        <v>1823233</v>
      </c>
      <c r="T703">
        <v>0</v>
      </c>
      <c r="U703" t="s">
        <v>173</v>
      </c>
      <c r="V703">
        <v>0</v>
      </c>
      <c r="W703" t="s">
        <v>174</v>
      </c>
      <c r="X703">
        <v>1823233</v>
      </c>
      <c r="Z703" t="s">
        <v>175</v>
      </c>
      <c r="AA703" t="s">
        <v>173</v>
      </c>
    </row>
    <row r="704" spans="1:27" x14ac:dyDescent="0.3">
      <c r="A704">
        <v>703</v>
      </c>
      <c r="B704" t="s">
        <v>169</v>
      </c>
      <c r="C704">
        <v>99019875</v>
      </c>
      <c r="D704" s="7" t="s">
        <v>75</v>
      </c>
      <c r="E704" t="s">
        <v>76</v>
      </c>
      <c r="F704" t="s">
        <v>170</v>
      </c>
      <c r="G704" t="s">
        <v>171</v>
      </c>
      <c r="H704" s="133">
        <v>5000</v>
      </c>
      <c r="I704">
        <v>0</v>
      </c>
      <c r="J704">
        <v>544</v>
      </c>
      <c r="K704" s="133">
        <v>20705</v>
      </c>
      <c r="L704" s="133">
        <v>20705</v>
      </c>
      <c r="M704" s="150">
        <v>0.55322916666666666</v>
      </c>
      <c r="N704" s="150">
        <v>0.55343750000000003</v>
      </c>
      <c r="O704" t="s">
        <v>172</v>
      </c>
      <c r="Q704">
        <v>1825337</v>
      </c>
      <c r="R704">
        <v>1825337</v>
      </c>
      <c r="S704">
        <v>0</v>
      </c>
      <c r="T704" s="133">
        <v>4456</v>
      </c>
      <c r="U704" t="s">
        <v>173</v>
      </c>
      <c r="V704">
        <v>0</v>
      </c>
      <c r="W704" t="s">
        <v>174</v>
      </c>
      <c r="X704">
        <v>0</v>
      </c>
      <c r="Z704" t="s">
        <v>173</v>
      </c>
      <c r="AA704" t="s">
        <v>173</v>
      </c>
    </row>
    <row r="705" spans="1:27" x14ac:dyDescent="0.3">
      <c r="A705">
        <v>704</v>
      </c>
      <c r="B705" t="s">
        <v>169</v>
      </c>
      <c r="C705">
        <v>99019875</v>
      </c>
      <c r="D705" s="7" t="s">
        <v>75</v>
      </c>
      <c r="E705" t="s">
        <v>76</v>
      </c>
      <c r="F705" t="s">
        <v>170</v>
      </c>
      <c r="G705" t="s">
        <v>177</v>
      </c>
      <c r="H705" s="133">
        <v>4456</v>
      </c>
      <c r="I705">
        <v>0</v>
      </c>
      <c r="J705" s="133">
        <v>4456</v>
      </c>
      <c r="K705" s="133">
        <v>20710</v>
      </c>
      <c r="L705" s="133">
        <v>20710</v>
      </c>
      <c r="M705" s="150">
        <v>0.55354166666666671</v>
      </c>
      <c r="N705" s="150">
        <v>0.55354166666666671</v>
      </c>
      <c r="O705" t="s">
        <v>172</v>
      </c>
      <c r="Q705">
        <v>1828612</v>
      </c>
      <c r="R705">
        <v>1828612</v>
      </c>
      <c r="S705">
        <v>1825337</v>
      </c>
      <c r="T705">
        <v>0</v>
      </c>
      <c r="U705" t="s">
        <v>173</v>
      </c>
      <c r="V705">
        <v>0</v>
      </c>
      <c r="W705" t="s">
        <v>174</v>
      </c>
      <c r="X705">
        <v>1825337</v>
      </c>
      <c r="Z705" t="s">
        <v>173</v>
      </c>
      <c r="AA705" t="s">
        <v>173</v>
      </c>
    </row>
    <row r="706" spans="1:27" x14ac:dyDescent="0.3">
      <c r="A706">
        <v>705</v>
      </c>
      <c r="B706" t="s">
        <v>169</v>
      </c>
      <c r="C706">
        <v>99019875</v>
      </c>
      <c r="D706" s="7" t="s">
        <v>75</v>
      </c>
      <c r="E706" t="s">
        <v>76</v>
      </c>
      <c r="F706" t="s">
        <v>176</v>
      </c>
      <c r="G706" t="s">
        <v>177</v>
      </c>
      <c r="H706" s="133">
        <v>1000</v>
      </c>
      <c r="I706">
        <v>0</v>
      </c>
      <c r="J706">
        <v>1</v>
      </c>
      <c r="K706" s="133">
        <v>20710</v>
      </c>
      <c r="L706" s="133">
        <v>20710</v>
      </c>
      <c r="M706" s="150">
        <v>0.55368055555555562</v>
      </c>
      <c r="N706" s="150">
        <v>0.55369212962962966</v>
      </c>
      <c r="O706" t="s">
        <v>172</v>
      </c>
      <c r="Q706">
        <v>1830087</v>
      </c>
      <c r="R706">
        <v>1830087</v>
      </c>
      <c r="S706">
        <v>1829894</v>
      </c>
      <c r="T706">
        <v>999</v>
      </c>
      <c r="U706" t="s">
        <v>173</v>
      </c>
      <c r="V706">
        <v>0</v>
      </c>
      <c r="W706" t="s">
        <v>174</v>
      </c>
      <c r="X706">
        <v>1829894</v>
      </c>
      <c r="Z706" t="s">
        <v>175</v>
      </c>
      <c r="AA706" t="s">
        <v>173</v>
      </c>
    </row>
    <row r="707" spans="1:27" x14ac:dyDescent="0.3">
      <c r="A707">
        <v>706</v>
      </c>
      <c r="B707" t="s">
        <v>169</v>
      </c>
      <c r="C707">
        <v>99019875</v>
      </c>
      <c r="D707" s="7" t="s">
        <v>69</v>
      </c>
      <c r="E707" t="s">
        <v>70</v>
      </c>
      <c r="F707" t="s">
        <v>176</v>
      </c>
      <c r="G707" t="s">
        <v>177</v>
      </c>
      <c r="H707" s="133">
        <v>1000</v>
      </c>
      <c r="I707">
        <v>0</v>
      </c>
      <c r="J707">
        <v>777</v>
      </c>
      <c r="K707" s="133">
        <v>10250</v>
      </c>
      <c r="L707" s="133">
        <v>10250</v>
      </c>
      <c r="M707" s="150">
        <v>0.55451388888888886</v>
      </c>
      <c r="N707" s="150">
        <v>0.5545254629629629</v>
      </c>
      <c r="O707" t="s">
        <v>172</v>
      </c>
      <c r="Q707">
        <v>1839698</v>
      </c>
      <c r="R707">
        <v>1839698</v>
      </c>
      <c r="S707">
        <v>1839485</v>
      </c>
      <c r="T707">
        <v>223</v>
      </c>
      <c r="U707" t="s">
        <v>173</v>
      </c>
      <c r="V707">
        <v>0</v>
      </c>
      <c r="W707" t="s">
        <v>174</v>
      </c>
      <c r="X707">
        <v>1839485</v>
      </c>
      <c r="Z707" t="s">
        <v>175</v>
      </c>
      <c r="AA707" t="s">
        <v>173</v>
      </c>
    </row>
    <row r="708" spans="1:27" x14ac:dyDescent="0.3">
      <c r="A708">
        <v>707</v>
      </c>
      <c r="B708" t="s">
        <v>169</v>
      </c>
      <c r="C708">
        <v>99019875</v>
      </c>
      <c r="D708" s="7" t="s">
        <v>69</v>
      </c>
      <c r="E708" t="s">
        <v>70</v>
      </c>
      <c r="F708" t="s">
        <v>176</v>
      </c>
      <c r="G708" t="s">
        <v>177</v>
      </c>
      <c r="H708" s="133">
        <v>1000</v>
      </c>
      <c r="I708">
        <v>0</v>
      </c>
      <c r="J708" s="133">
        <v>1000</v>
      </c>
      <c r="K708" s="133">
        <v>10260</v>
      </c>
      <c r="L708" s="133">
        <v>10260</v>
      </c>
      <c r="M708" s="150">
        <v>0.55496527777777771</v>
      </c>
      <c r="N708" s="150">
        <v>0.55496527777777771</v>
      </c>
      <c r="O708" t="s">
        <v>172</v>
      </c>
      <c r="Q708">
        <v>1844829</v>
      </c>
      <c r="R708">
        <v>1844829</v>
      </c>
      <c r="S708">
        <v>1844685</v>
      </c>
      <c r="T708">
        <v>0</v>
      </c>
      <c r="U708" t="s">
        <v>173</v>
      </c>
      <c r="V708">
        <v>0</v>
      </c>
      <c r="W708" t="s">
        <v>174</v>
      </c>
      <c r="X708">
        <v>1844685</v>
      </c>
      <c r="Z708" t="s">
        <v>175</v>
      </c>
      <c r="AA708" t="s">
        <v>173</v>
      </c>
    </row>
    <row r="709" spans="1:27" x14ac:dyDescent="0.3">
      <c r="A709">
        <v>708</v>
      </c>
      <c r="B709" t="s">
        <v>169</v>
      </c>
      <c r="C709">
        <v>99019875</v>
      </c>
      <c r="D709" s="7" t="s">
        <v>69</v>
      </c>
      <c r="E709" t="s">
        <v>70</v>
      </c>
      <c r="F709" t="s">
        <v>176</v>
      </c>
      <c r="G709" t="s">
        <v>177</v>
      </c>
      <c r="H709" s="133">
        <v>1000</v>
      </c>
      <c r="I709">
        <v>0</v>
      </c>
      <c r="J709">
        <v>777</v>
      </c>
      <c r="K709" s="133">
        <v>10265</v>
      </c>
      <c r="L709" s="133">
        <v>10265</v>
      </c>
      <c r="M709" s="150">
        <v>0.55540509259259263</v>
      </c>
      <c r="N709" s="150">
        <v>0.55541666666666667</v>
      </c>
      <c r="O709" t="s">
        <v>172</v>
      </c>
      <c r="Q709">
        <v>1850196</v>
      </c>
      <c r="R709">
        <v>1850196</v>
      </c>
      <c r="S709">
        <v>1850070</v>
      </c>
      <c r="T709">
        <v>223</v>
      </c>
      <c r="U709" t="s">
        <v>173</v>
      </c>
      <c r="V709">
        <v>0</v>
      </c>
      <c r="W709" t="s">
        <v>174</v>
      </c>
      <c r="X709">
        <v>1850070</v>
      </c>
      <c r="Z709" t="s">
        <v>175</v>
      </c>
      <c r="AA709" t="s">
        <v>173</v>
      </c>
    </row>
    <row r="710" spans="1:27" x14ac:dyDescent="0.3">
      <c r="A710">
        <v>709</v>
      </c>
      <c r="B710" t="s">
        <v>169</v>
      </c>
      <c r="C710">
        <v>99019875</v>
      </c>
      <c r="D710" s="7" t="s">
        <v>140</v>
      </c>
      <c r="E710" t="s">
        <v>178</v>
      </c>
      <c r="F710" t="s">
        <v>176</v>
      </c>
      <c r="G710" t="s">
        <v>177</v>
      </c>
      <c r="H710" s="133">
        <v>1000</v>
      </c>
      <c r="I710">
        <v>0</v>
      </c>
      <c r="J710">
        <v>398</v>
      </c>
      <c r="K710" s="133">
        <v>8665</v>
      </c>
      <c r="L710" s="133">
        <v>8665</v>
      </c>
      <c r="M710" s="150">
        <v>0.55563657407407407</v>
      </c>
      <c r="N710" s="150">
        <v>0.5557523148148148</v>
      </c>
      <c r="O710" t="s">
        <v>172</v>
      </c>
      <c r="Q710">
        <v>1852924</v>
      </c>
      <c r="R710">
        <v>1852924</v>
      </c>
      <c r="S710">
        <v>1852829</v>
      </c>
      <c r="T710">
        <v>602</v>
      </c>
      <c r="U710" t="s">
        <v>173</v>
      </c>
      <c r="V710">
        <v>0</v>
      </c>
      <c r="W710" t="s">
        <v>174</v>
      </c>
      <c r="X710">
        <v>1852829</v>
      </c>
      <c r="Z710" t="s">
        <v>175</v>
      </c>
      <c r="AA710" t="s">
        <v>173</v>
      </c>
    </row>
    <row r="711" spans="1:27" x14ac:dyDescent="0.3">
      <c r="A711">
        <v>710</v>
      </c>
      <c r="B711" t="s">
        <v>169</v>
      </c>
      <c r="C711">
        <v>99019875</v>
      </c>
      <c r="D711" s="7" t="s">
        <v>69</v>
      </c>
      <c r="E711" t="s">
        <v>70</v>
      </c>
      <c r="F711" t="s">
        <v>176</v>
      </c>
      <c r="G711" t="s">
        <v>177</v>
      </c>
      <c r="H711" s="133">
        <v>1000</v>
      </c>
      <c r="I711">
        <v>0</v>
      </c>
      <c r="J711">
        <v>309</v>
      </c>
      <c r="K711" s="133">
        <v>10270</v>
      </c>
      <c r="L711" s="133">
        <v>10270</v>
      </c>
      <c r="M711" s="150">
        <v>0.55584490740740744</v>
      </c>
      <c r="N711" s="150">
        <v>0.55585648148148148</v>
      </c>
      <c r="O711" t="s">
        <v>172</v>
      </c>
      <c r="Q711">
        <v>1856034</v>
      </c>
      <c r="R711">
        <v>1856034</v>
      </c>
      <c r="S711">
        <v>1855399</v>
      </c>
      <c r="T711">
        <v>691</v>
      </c>
      <c r="U711" t="s">
        <v>173</v>
      </c>
      <c r="V711">
        <v>0</v>
      </c>
      <c r="W711" t="s">
        <v>174</v>
      </c>
      <c r="X711">
        <v>1855399</v>
      </c>
      <c r="Z711" t="s">
        <v>175</v>
      </c>
      <c r="AA711" t="s">
        <v>173</v>
      </c>
    </row>
    <row r="712" spans="1:27" x14ac:dyDescent="0.3">
      <c r="A712">
        <v>711</v>
      </c>
      <c r="B712" t="s">
        <v>169</v>
      </c>
      <c r="C712">
        <v>99019875</v>
      </c>
      <c r="D712" s="7" t="s">
        <v>69</v>
      </c>
      <c r="E712" t="s">
        <v>70</v>
      </c>
      <c r="F712" t="s">
        <v>176</v>
      </c>
      <c r="G712" t="s">
        <v>177</v>
      </c>
      <c r="H712" s="133">
        <v>1000</v>
      </c>
      <c r="I712">
        <v>0</v>
      </c>
      <c r="J712">
        <v>515</v>
      </c>
      <c r="K712" s="133">
        <v>10270</v>
      </c>
      <c r="L712" s="133">
        <v>10270</v>
      </c>
      <c r="M712" s="150">
        <v>0.55931712962962965</v>
      </c>
      <c r="N712" s="150">
        <v>0.55932870370370369</v>
      </c>
      <c r="O712" t="s">
        <v>172</v>
      </c>
      <c r="Q712">
        <v>1895304</v>
      </c>
      <c r="R712">
        <v>1895304</v>
      </c>
      <c r="S712">
        <v>1895254</v>
      </c>
      <c r="T712">
        <v>485</v>
      </c>
      <c r="U712" t="s">
        <v>173</v>
      </c>
      <c r="V712">
        <v>0</v>
      </c>
      <c r="W712" t="s">
        <v>174</v>
      </c>
      <c r="X712">
        <v>1895254</v>
      </c>
      <c r="Z712" t="s">
        <v>175</v>
      </c>
      <c r="AA712" t="s">
        <v>173</v>
      </c>
    </row>
    <row r="713" spans="1:27" x14ac:dyDescent="0.3">
      <c r="A713">
        <v>712</v>
      </c>
      <c r="B713" t="s">
        <v>169</v>
      </c>
      <c r="C713">
        <v>99019875</v>
      </c>
      <c r="D713" s="7" t="s">
        <v>71</v>
      </c>
      <c r="E713" t="s">
        <v>72</v>
      </c>
      <c r="F713" t="s">
        <v>176</v>
      </c>
      <c r="G713" t="s">
        <v>177</v>
      </c>
      <c r="H713" s="133">
        <v>1000</v>
      </c>
      <c r="I713">
        <v>0</v>
      </c>
      <c r="J713">
        <v>2</v>
      </c>
      <c r="K713" s="133">
        <v>18060</v>
      </c>
      <c r="L713" s="133">
        <v>18060</v>
      </c>
      <c r="M713" s="150">
        <v>0.55937500000000007</v>
      </c>
      <c r="N713" s="150">
        <v>0.55938657407407411</v>
      </c>
      <c r="O713" t="s">
        <v>172</v>
      </c>
      <c r="Q713">
        <v>1895970</v>
      </c>
      <c r="R713">
        <v>1895970</v>
      </c>
      <c r="S713">
        <v>1895678</v>
      </c>
      <c r="T713">
        <v>998</v>
      </c>
      <c r="U713" t="s">
        <v>173</v>
      </c>
      <c r="V713">
        <v>0</v>
      </c>
      <c r="W713" t="s">
        <v>174</v>
      </c>
      <c r="X713">
        <v>1895678</v>
      </c>
      <c r="Z713" t="s">
        <v>175</v>
      </c>
      <c r="AA713" t="s">
        <v>173</v>
      </c>
    </row>
    <row r="714" spans="1:27" x14ac:dyDescent="0.3">
      <c r="A714">
        <v>713</v>
      </c>
      <c r="B714" t="s">
        <v>169</v>
      </c>
      <c r="C714">
        <v>99019875</v>
      </c>
      <c r="D714" s="7" t="s">
        <v>62</v>
      </c>
      <c r="E714" t="s">
        <v>63</v>
      </c>
      <c r="F714" t="s">
        <v>176</v>
      </c>
      <c r="G714" t="s">
        <v>177</v>
      </c>
      <c r="H714" s="133">
        <v>1000</v>
      </c>
      <c r="I714">
        <v>0</v>
      </c>
      <c r="J714" s="133">
        <v>1000</v>
      </c>
      <c r="K714" s="133">
        <v>34010</v>
      </c>
      <c r="L714" s="133">
        <v>34010</v>
      </c>
      <c r="M714" s="150">
        <v>0.55940972222222218</v>
      </c>
      <c r="N714" s="150">
        <v>0.55940972222222218</v>
      </c>
      <c r="O714" t="s">
        <v>172</v>
      </c>
      <c r="Q714">
        <v>1896282</v>
      </c>
      <c r="R714">
        <v>1896282</v>
      </c>
      <c r="S714">
        <v>1896268</v>
      </c>
      <c r="T714">
        <v>0</v>
      </c>
      <c r="U714" t="s">
        <v>173</v>
      </c>
      <c r="V714">
        <v>0</v>
      </c>
      <c r="W714" t="s">
        <v>174</v>
      </c>
      <c r="X714">
        <v>1896268</v>
      </c>
      <c r="Z714" t="s">
        <v>175</v>
      </c>
      <c r="AA714" t="s">
        <v>173</v>
      </c>
    </row>
    <row r="715" spans="1:27" x14ac:dyDescent="0.3">
      <c r="A715">
        <v>714</v>
      </c>
      <c r="B715" t="s">
        <v>169</v>
      </c>
      <c r="C715">
        <v>99019875</v>
      </c>
      <c r="D715" s="7" t="s">
        <v>77</v>
      </c>
      <c r="E715" t="s">
        <v>78</v>
      </c>
      <c r="F715" t="s">
        <v>176</v>
      </c>
      <c r="G715" t="s">
        <v>177</v>
      </c>
      <c r="H715" s="133">
        <v>1000</v>
      </c>
      <c r="I715">
        <v>0</v>
      </c>
      <c r="J715" s="133">
        <v>1000</v>
      </c>
      <c r="K715" s="133">
        <v>7355</v>
      </c>
      <c r="L715" s="133">
        <v>7355</v>
      </c>
      <c r="M715" s="150">
        <v>0.55942129629629633</v>
      </c>
      <c r="N715" s="150">
        <v>0.55943287037037037</v>
      </c>
      <c r="O715" t="s">
        <v>172</v>
      </c>
      <c r="Q715">
        <v>1896554</v>
      </c>
      <c r="R715">
        <v>1896554</v>
      </c>
      <c r="S715">
        <v>1896443</v>
      </c>
      <c r="T715">
        <v>0</v>
      </c>
      <c r="U715" t="s">
        <v>173</v>
      </c>
      <c r="V715">
        <v>0</v>
      </c>
      <c r="W715" t="s">
        <v>174</v>
      </c>
      <c r="X715">
        <v>1896443</v>
      </c>
      <c r="Z715" t="s">
        <v>175</v>
      </c>
      <c r="AA715" t="s">
        <v>173</v>
      </c>
    </row>
    <row r="716" spans="1:27" x14ac:dyDescent="0.3">
      <c r="A716">
        <v>715</v>
      </c>
      <c r="B716" t="s">
        <v>169</v>
      </c>
      <c r="C716">
        <v>99019875</v>
      </c>
      <c r="D716" s="7" t="s">
        <v>140</v>
      </c>
      <c r="E716" t="s">
        <v>178</v>
      </c>
      <c r="F716" t="s">
        <v>176</v>
      </c>
      <c r="G716" t="s">
        <v>177</v>
      </c>
      <c r="H716" s="133">
        <v>1000</v>
      </c>
      <c r="I716">
        <v>0</v>
      </c>
      <c r="J716">
        <v>16</v>
      </c>
      <c r="K716" s="133">
        <v>8655</v>
      </c>
      <c r="L716" s="133">
        <v>8655</v>
      </c>
      <c r="M716" s="150">
        <v>0.55999999999999994</v>
      </c>
      <c r="N716" s="150">
        <v>0.56001157407407409</v>
      </c>
      <c r="O716" t="s">
        <v>172</v>
      </c>
      <c r="Q716">
        <v>1902156</v>
      </c>
      <c r="R716">
        <v>1902156</v>
      </c>
      <c r="S716">
        <v>1901391</v>
      </c>
      <c r="T716">
        <v>984</v>
      </c>
      <c r="U716" t="s">
        <v>173</v>
      </c>
      <c r="V716">
        <v>0</v>
      </c>
      <c r="W716" t="s">
        <v>174</v>
      </c>
      <c r="X716">
        <v>1901391</v>
      </c>
      <c r="Z716" t="s">
        <v>175</v>
      </c>
      <c r="AA716" t="s">
        <v>173</v>
      </c>
    </row>
    <row r="717" spans="1:27" x14ac:dyDescent="0.3">
      <c r="A717">
        <v>716</v>
      </c>
      <c r="B717" t="s">
        <v>169</v>
      </c>
      <c r="C717">
        <v>99019875</v>
      </c>
      <c r="D717" s="7" t="s">
        <v>77</v>
      </c>
      <c r="E717" t="s">
        <v>78</v>
      </c>
      <c r="F717" t="s">
        <v>176</v>
      </c>
      <c r="G717" t="s">
        <v>177</v>
      </c>
      <c r="H717" s="133">
        <v>1000</v>
      </c>
      <c r="I717">
        <v>0</v>
      </c>
      <c r="J717" s="133">
        <v>1000</v>
      </c>
      <c r="K717" s="133">
        <v>7460</v>
      </c>
      <c r="L717" s="133">
        <v>7460</v>
      </c>
      <c r="M717" s="150">
        <v>0.56015046296296289</v>
      </c>
      <c r="N717" s="150">
        <v>0.56015046296296289</v>
      </c>
      <c r="O717" t="s">
        <v>172</v>
      </c>
      <c r="Q717">
        <v>1904712</v>
      </c>
      <c r="R717">
        <v>1904712</v>
      </c>
      <c r="S717">
        <v>1904697</v>
      </c>
      <c r="T717">
        <v>0</v>
      </c>
      <c r="U717" t="s">
        <v>173</v>
      </c>
      <c r="V717">
        <v>0</v>
      </c>
      <c r="W717" t="s">
        <v>174</v>
      </c>
      <c r="X717">
        <v>1904697</v>
      </c>
      <c r="Z717" t="s">
        <v>175</v>
      </c>
      <c r="AA717" t="s">
        <v>173</v>
      </c>
    </row>
    <row r="718" spans="1:27" x14ac:dyDescent="0.3">
      <c r="A718">
        <v>717</v>
      </c>
      <c r="B718" t="s">
        <v>169</v>
      </c>
      <c r="C718">
        <v>99019875</v>
      </c>
      <c r="D718" s="7" t="s">
        <v>118</v>
      </c>
      <c r="E718" t="s">
        <v>119</v>
      </c>
      <c r="F718" t="s">
        <v>170</v>
      </c>
      <c r="G718" t="s">
        <v>177</v>
      </c>
      <c r="H718" s="133">
        <v>1000</v>
      </c>
      <c r="I718">
        <v>0</v>
      </c>
      <c r="J718" s="133">
        <v>1000</v>
      </c>
      <c r="K718" s="133">
        <v>12665</v>
      </c>
      <c r="L718" s="133">
        <v>12665</v>
      </c>
      <c r="M718" s="150">
        <v>0.56017361111111108</v>
      </c>
      <c r="N718" s="150">
        <v>0.56017361111111108</v>
      </c>
      <c r="O718" t="s">
        <v>172</v>
      </c>
      <c r="Q718">
        <v>1906114</v>
      </c>
      <c r="R718">
        <v>1906114</v>
      </c>
      <c r="S718">
        <v>1905787</v>
      </c>
      <c r="T718">
        <v>0</v>
      </c>
      <c r="U718" t="s">
        <v>173</v>
      </c>
      <c r="V718">
        <v>0</v>
      </c>
      <c r="W718" t="s">
        <v>174</v>
      </c>
      <c r="X718">
        <v>1905787</v>
      </c>
      <c r="Z718" t="s">
        <v>175</v>
      </c>
      <c r="AA718" t="s">
        <v>173</v>
      </c>
    </row>
    <row r="719" spans="1:27" x14ac:dyDescent="0.3">
      <c r="A719">
        <v>718</v>
      </c>
      <c r="B719" t="s">
        <v>169</v>
      </c>
      <c r="C719">
        <v>99019875</v>
      </c>
      <c r="D719" s="7" t="s">
        <v>69</v>
      </c>
      <c r="E719" t="s">
        <v>70</v>
      </c>
      <c r="F719" t="s">
        <v>176</v>
      </c>
      <c r="G719" t="s">
        <v>177</v>
      </c>
      <c r="H719" s="133">
        <v>1000</v>
      </c>
      <c r="I719">
        <v>0</v>
      </c>
      <c r="J719">
        <v>1</v>
      </c>
      <c r="K719" s="133">
        <v>10280</v>
      </c>
      <c r="L719" s="133">
        <v>10280</v>
      </c>
      <c r="M719" s="150">
        <v>0.56035879629629626</v>
      </c>
      <c r="N719" s="150">
        <v>0.56038194444444445</v>
      </c>
      <c r="O719" t="s">
        <v>172</v>
      </c>
      <c r="Q719">
        <v>1910701</v>
      </c>
      <c r="R719">
        <v>1910701</v>
      </c>
      <c r="S719">
        <v>1910636</v>
      </c>
      <c r="T719">
        <v>999</v>
      </c>
      <c r="U719" t="s">
        <v>173</v>
      </c>
      <c r="V719">
        <v>0</v>
      </c>
      <c r="W719" t="s">
        <v>174</v>
      </c>
      <c r="X719">
        <v>1910636</v>
      </c>
      <c r="Z719" t="s">
        <v>175</v>
      </c>
      <c r="AA719" t="s">
        <v>173</v>
      </c>
    </row>
    <row r="720" spans="1:27" x14ac:dyDescent="0.3">
      <c r="A720">
        <v>719</v>
      </c>
      <c r="B720" t="s">
        <v>169</v>
      </c>
      <c r="C720">
        <v>99019875</v>
      </c>
      <c r="D720" s="7" t="s">
        <v>140</v>
      </c>
      <c r="E720" t="s">
        <v>178</v>
      </c>
      <c r="F720" t="s">
        <v>176</v>
      </c>
      <c r="G720" t="s">
        <v>177</v>
      </c>
      <c r="H720" s="133">
        <v>1000</v>
      </c>
      <c r="I720">
        <v>0</v>
      </c>
      <c r="J720">
        <v>25</v>
      </c>
      <c r="K720" s="133">
        <v>8655</v>
      </c>
      <c r="L720" s="133">
        <v>8655</v>
      </c>
      <c r="M720" s="150">
        <v>0.56040509259259264</v>
      </c>
      <c r="N720" s="150">
        <v>0.56043981481481475</v>
      </c>
      <c r="O720" t="s">
        <v>172</v>
      </c>
      <c r="Q720">
        <v>1911645</v>
      </c>
      <c r="R720">
        <v>1911645</v>
      </c>
      <c r="S720">
        <v>1911401</v>
      </c>
      <c r="T720">
        <v>975</v>
      </c>
      <c r="U720" t="s">
        <v>173</v>
      </c>
      <c r="V720">
        <v>0</v>
      </c>
      <c r="W720" t="s">
        <v>174</v>
      </c>
      <c r="X720">
        <v>1911401</v>
      </c>
      <c r="Z720" t="s">
        <v>175</v>
      </c>
      <c r="AA720" t="s">
        <v>173</v>
      </c>
    </row>
    <row r="721" spans="1:27" x14ac:dyDescent="0.3">
      <c r="A721">
        <v>720</v>
      </c>
      <c r="B721" t="s">
        <v>169</v>
      </c>
      <c r="C721">
        <v>99019875</v>
      </c>
      <c r="D721" s="7" t="s">
        <v>118</v>
      </c>
      <c r="E721" t="s">
        <v>119</v>
      </c>
      <c r="F721" t="s">
        <v>170</v>
      </c>
      <c r="G721" t="s">
        <v>177</v>
      </c>
      <c r="H721" s="133">
        <v>1000</v>
      </c>
      <c r="I721">
        <v>0</v>
      </c>
      <c r="J721">
        <v>845</v>
      </c>
      <c r="K721" s="133">
        <v>12840</v>
      </c>
      <c r="L721" s="133">
        <v>12840</v>
      </c>
      <c r="M721" s="150">
        <v>0.56049768518518517</v>
      </c>
      <c r="N721" s="150">
        <v>0.56050925925925921</v>
      </c>
      <c r="O721" t="s">
        <v>172</v>
      </c>
      <c r="Q721">
        <v>1915546</v>
      </c>
      <c r="R721">
        <v>1915546</v>
      </c>
      <c r="S721">
        <v>1915197</v>
      </c>
      <c r="T721">
        <v>155</v>
      </c>
      <c r="U721" t="s">
        <v>173</v>
      </c>
      <c r="V721">
        <v>0</v>
      </c>
      <c r="W721" t="s">
        <v>174</v>
      </c>
      <c r="X721">
        <v>1915197</v>
      </c>
      <c r="Z721" t="s">
        <v>175</v>
      </c>
      <c r="AA721" t="s">
        <v>173</v>
      </c>
    </row>
    <row r="722" spans="1:27" x14ac:dyDescent="0.3">
      <c r="A722">
        <v>721</v>
      </c>
      <c r="B722" t="s">
        <v>169</v>
      </c>
      <c r="C722">
        <v>99019875</v>
      </c>
      <c r="D722" s="7" t="s">
        <v>118</v>
      </c>
      <c r="E722" t="s">
        <v>119</v>
      </c>
      <c r="F722" t="s">
        <v>170</v>
      </c>
      <c r="G722" t="s">
        <v>177</v>
      </c>
      <c r="H722" s="133">
        <v>1000</v>
      </c>
      <c r="I722">
        <v>0</v>
      </c>
      <c r="J722">
        <v>155</v>
      </c>
      <c r="K722" s="133">
        <v>12835</v>
      </c>
      <c r="L722" s="133">
        <v>12835</v>
      </c>
      <c r="M722" s="150">
        <v>0.56050925925925921</v>
      </c>
      <c r="N722" s="150">
        <v>0.56050925925925921</v>
      </c>
      <c r="O722" t="s">
        <v>172</v>
      </c>
      <c r="Q722">
        <v>1915572</v>
      </c>
      <c r="R722">
        <v>1915572</v>
      </c>
      <c r="S722">
        <v>1915546</v>
      </c>
      <c r="T722">
        <v>0</v>
      </c>
      <c r="U722" t="s">
        <v>173</v>
      </c>
      <c r="V722">
        <v>845</v>
      </c>
      <c r="W722" t="s">
        <v>174</v>
      </c>
      <c r="X722">
        <v>1915546</v>
      </c>
      <c r="Z722" t="s">
        <v>175</v>
      </c>
      <c r="AA722" t="s">
        <v>173</v>
      </c>
    </row>
    <row r="723" spans="1:27" x14ac:dyDescent="0.3">
      <c r="A723">
        <v>722</v>
      </c>
      <c r="B723" t="s">
        <v>169</v>
      </c>
      <c r="C723">
        <v>99019875</v>
      </c>
      <c r="D723" s="7" t="s">
        <v>77</v>
      </c>
      <c r="E723" t="s">
        <v>78</v>
      </c>
      <c r="F723" t="s">
        <v>170</v>
      </c>
      <c r="G723" t="s">
        <v>177</v>
      </c>
      <c r="H723" s="133">
        <v>1000</v>
      </c>
      <c r="I723">
        <v>0</v>
      </c>
      <c r="J723" s="133">
        <v>1000</v>
      </c>
      <c r="K723" s="133">
        <v>7540</v>
      </c>
      <c r="L723" s="133">
        <v>7540</v>
      </c>
      <c r="M723" s="150">
        <v>0.56050925925925921</v>
      </c>
      <c r="N723" s="150">
        <v>0.56050925925925921</v>
      </c>
      <c r="O723" t="s">
        <v>172</v>
      </c>
      <c r="Q723">
        <v>1915900</v>
      </c>
      <c r="R723">
        <v>1915900</v>
      </c>
      <c r="S723">
        <v>1915549</v>
      </c>
      <c r="T723">
        <v>0</v>
      </c>
      <c r="U723" t="s">
        <v>173</v>
      </c>
      <c r="V723">
        <v>0</v>
      </c>
      <c r="W723" t="s">
        <v>174</v>
      </c>
      <c r="X723">
        <v>1915549</v>
      </c>
      <c r="Z723" t="s">
        <v>175</v>
      </c>
      <c r="AA723" t="s">
        <v>173</v>
      </c>
    </row>
    <row r="724" spans="1:27" x14ac:dyDescent="0.3">
      <c r="A724">
        <v>723</v>
      </c>
      <c r="B724" t="s">
        <v>169</v>
      </c>
      <c r="C724">
        <v>99019875</v>
      </c>
      <c r="D724" s="7" t="s">
        <v>77</v>
      </c>
      <c r="E724" t="s">
        <v>78</v>
      </c>
      <c r="F724" t="s">
        <v>170</v>
      </c>
      <c r="G724" t="s">
        <v>177</v>
      </c>
      <c r="H724" s="133">
        <v>1000</v>
      </c>
      <c r="I724">
        <v>0</v>
      </c>
      <c r="J724" s="133">
        <v>1000</v>
      </c>
      <c r="K724" s="133">
        <v>7510</v>
      </c>
      <c r="L724" s="133">
        <v>7510</v>
      </c>
      <c r="M724" s="150">
        <v>0.56057870370370366</v>
      </c>
      <c r="N724" s="150">
        <v>0.56057870370370366</v>
      </c>
      <c r="O724" t="s">
        <v>172</v>
      </c>
      <c r="Q724">
        <v>1918296</v>
      </c>
      <c r="R724">
        <v>1918296</v>
      </c>
      <c r="S724">
        <v>1918289</v>
      </c>
      <c r="T724">
        <v>0</v>
      </c>
      <c r="U724" t="s">
        <v>173</v>
      </c>
      <c r="V724">
        <v>0</v>
      </c>
      <c r="W724" t="s">
        <v>174</v>
      </c>
      <c r="X724">
        <v>1918289</v>
      </c>
      <c r="Z724" t="s">
        <v>175</v>
      </c>
      <c r="AA724" t="s">
        <v>173</v>
      </c>
    </row>
    <row r="725" spans="1:27" x14ac:dyDescent="0.3">
      <c r="A725">
        <v>724</v>
      </c>
      <c r="B725" t="s">
        <v>169</v>
      </c>
      <c r="C725">
        <v>99019875</v>
      </c>
      <c r="D725" s="7" t="s">
        <v>140</v>
      </c>
      <c r="E725" t="s">
        <v>178</v>
      </c>
      <c r="F725" t="s">
        <v>176</v>
      </c>
      <c r="G725" t="s">
        <v>171</v>
      </c>
      <c r="H725" s="133">
        <v>1000</v>
      </c>
      <c r="I725">
        <v>0</v>
      </c>
      <c r="J725" s="133">
        <v>1000</v>
      </c>
      <c r="K725" s="133">
        <v>8645</v>
      </c>
      <c r="L725" s="133">
        <v>8645</v>
      </c>
      <c r="M725" s="150">
        <v>0.56077546296296299</v>
      </c>
      <c r="N725" s="150">
        <v>0.56079861111111107</v>
      </c>
      <c r="O725" t="s">
        <v>172</v>
      </c>
      <c r="Q725">
        <v>1922716</v>
      </c>
      <c r="R725">
        <v>1922716</v>
      </c>
      <c r="S725">
        <v>0</v>
      </c>
      <c r="T725">
        <v>0</v>
      </c>
      <c r="U725" t="s">
        <v>173</v>
      </c>
      <c r="V725">
        <v>0</v>
      </c>
      <c r="W725" t="s">
        <v>174</v>
      </c>
      <c r="X725">
        <v>0</v>
      </c>
      <c r="Z725" t="s">
        <v>175</v>
      </c>
      <c r="AA725" t="s">
        <v>173</v>
      </c>
    </row>
    <row r="726" spans="1:27" x14ac:dyDescent="0.3">
      <c r="A726">
        <v>725</v>
      </c>
      <c r="B726" t="s">
        <v>169</v>
      </c>
      <c r="C726">
        <v>99019875</v>
      </c>
      <c r="D726" s="7" t="s">
        <v>62</v>
      </c>
      <c r="E726" t="s">
        <v>63</v>
      </c>
      <c r="F726" t="s">
        <v>176</v>
      </c>
      <c r="G726" t="s">
        <v>177</v>
      </c>
      <c r="H726" s="133">
        <v>1000</v>
      </c>
      <c r="I726">
        <v>0</v>
      </c>
      <c r="J726" s="133">
        <v>1000</v>
      </c>
      <c r="K726" s="133">
        <v>33995</v>
      </c>
      <c r="L726" s="133">
        <v>33995</v>
      </c>
      <c r="M726" s="150">
        <v>0.56082175925925926</v>
      </c>
      <c r="N726" s="150">
        <v>0.56083333333333341</v>
      </c>
      <c r="O726" t="s">
        <v>172</v>
      </c>
      <c r="Q726">
        <v>1923479</v>
      </c>
      <c r="R726">
        <v>1923479</v>
      </c>
      <c r="S726">
        <v>1923457</v>
      </c>
      <c r="T726">
        <v>0</v>
      </c>
      <c r="U726" t="s">
        <v>173</v>
      </c>
      <c r="V726">
        <v>0</v>
      </c>
      <c r="W726" t="s">
        <v>174</v>
      </c>
      <c r="X726">
        <v>1923457</v>
      </c>
      <c r="Z726" t="s">
        <v>175</v>
      </c>
      <c r="AA726" t="s">
        <v>173</v>
      </c>
    </row>
    <row r="727" spans="1:27" x14ac:dyDescent="0.3">
      <c r="A727">
        <v>726</v>
      </c>
      <c r="B727" t="s">
        <v>169</v>
      </c>
      <c r="C727">
        <v>99019875</v>
      </c>
      <c r="D727" s="7" t="s">
        <v>77</v>
      </c>
      <c r="E727" t="s">
        <v>78</v>
      </c>
      <c r="F727" t="s">
        <v>176</v>
      </c>
      <c r="G727" t="s">
        <v>177</v>
      </c>
      <c r="H727" s="133">
        <v>1000</v>
      </c>
      <c r="I727">
        <v>0</v>
      </c>
      <c r="J727">
        <v>322</v>
      </c>
      <c r="K727" s="133">
        <v>7510</v>
      </c>
      <c r="L727" s="133">
        <v>7510</v>
      </c>
      <c r="M727" s="150">
        <v>0.56098379629629636</v>
      </c>
      <c r="N727" s="150">
        <v>0.56098379629629636</v>
      </c>
      <c r="O727" t="s">
        <v>172</v>
      </c>
      <c r="Q727">
        <v>1926281</v>
      </c>
      <c r="R727">
        <v>1926281</v>
      </c>
      <c r="S727">
        <v>1926272</v>
      </c>
      <c r="T727">
        <v>678</v>
      </c>
      <c r="U727" t="s">
        <v>173</v>
      </c>
      <c r="V727">
        <v>0</v>
      </c>
      <c r="W727" t="s">
        <v>174</v>
      </c>
      <c r="X727">
        <v>1926272</v>
      </c>
      <c r="Z727" t="s">
        <v>175</v>
      </c>
      <c r="AA727" t="s">
        <v>173</v>
      </c>
    </row>
    <row r="728" spans="1:27" x14ac:dyDescent="0.3">
      <c r="A728">
        <v>727</v>
      </c>
      <c r="B728" t="s">
        <v>169</v>
      </c>
      <c r="C728">
        <v>99019875</v>
      </c>
      <c r="D728" s="7" t="s">
        <v>77</v>
      </c>
      <c r="E728" t="s">
        <v>78</v>
      </c>
      <c r="F728" t="s">
        <v>170</v>
      </c>
      <c r="G728" t="s">
        <v>177</v>
      </c>
      <c r="H728" s="133">
        <v>1000</v>
      </c>
      <c r="I728">
        <v>0</v>
      </c>
      <c r="J728">
        <v>999</v>
      </c>
      <c r="K728" s="133">
        <v>7500</v>
      </c>
      <c r="L728" s="133">
        <v>7500</v>
      </c>
      <c r="M728" s="150">
        <v>0.56098379629629636</v>
      </c>
      <c r="N728" s="150">
        <v>0.56098379629629636</v>
      </c>
      <c r="O728" t="s">
        <v>172</v>
      </c>
      <c r="Q728">
        <v>1926287</v>
      </c>
      <c r="R728">
        <v>1926287</v>
      </c>
      <c r="S728">
        <v>1926276</v>
      </c>
      <c r="T728">
        <v>1</v>
      </c>
      <c r="U728" t="s">
        <v>173</v>
      </c>
      <c r="V728">
        <v>0</v>
      </c>
      <c r="W728" t="s">
        <v>174</v>
      </c>
      <c r="X728">
        <v>1926276</v>
      </c>
      <c r="Z728" t="s">
        <v>175</v>
      </c>
      <c r="AA728" t="s">
        <v>173</v>
      </c>
    </row>
    <row r="729" spans="1:27" x14ac:dyDescent="0.3">
      <c r="A729">
        <v>728</v>
      </c>
      <c r="B729" t="s">
        <v>169</v>
      </c>
      <c r="C729">
        <v>99019875</v>
      </c>
      <c r="D729" s="7" t="s">
        <v>77</v>
      </c>
      <c r="E729" t="s">
        <v>78</v>
      </c>
      <c r="F729" t="s">
        <v>176</v>
      </c>
      <c r="G729" t="s">
        <v>177</v>
      </c>
      <c r="H729" s="133">
        <v>1000</v>
      </c>
      <c r="I729">
        <v>0</v>
      </c>
      <c r="J729" s="133">
        <v>1000</v>
      </c>
      <c r="K729" s="133">
        <v>7500</v>
      </c>
      <c r="L729" s="133">
        <v>7500</v>
      </c>
      <c r="M729" s="150">
        <v>0.56140046296296298</v>
      </c>
      <c r="N729" s="150">
        <v>0.56140046296296298</v>
      </c>
      <c r="O729" t="s">
        <v>172</v>
      </c>
      <c r="Q729">
        <v>1933083</v>
      </c>
      <c r="R729">
        <v>1933083</v>
      </c>
      <c r="S729">
        <v>1933077</v>
      </c>
      <c r="T729">
        <v>0</v>
      </c>
      <c r="U729" t="s">
        <v>173</v>
      </c>
      <c r="V729">
        <v>0</v>
      </c>
      <c r="W729" t="s">
        <v>174</v>
      </c>
      <c r="X729">
        <v>1933077</v>
      </c>
      <c r="Z729" t="s">
        <v>175</v>
      </c>
      <c r="AA729" t="s">
        <v>173</v>
      </c>
    </row>
    <row r="730" spans="1:27" x14ac:dyDescent="0.3">
      <c r="A730">
        <v>729</v>
      </c>
      <c r="B730" t="s">
        <v>169</v>
      </c>
      <c r="C730">
        <v>99019875</v>
      </c>
      <c r="D730" s="7" t="s">
        <v>118</v>
      </c>
      <c r="E730" t="s">
        <v>119</v>
      </c>
      <c r="F730" t="s">
        <v>176</v>
      </c>
      <c r="G730" t="s">
        <v>177</v>
      </c>
      <c r="H730" s="133">
        <v>1000</v>
      </c>
      <c r="I730">
        <v>0</v>
      </c>
      <c r="J730">
        <v>949</v>
      </c>
      <c r="K730" s="133">
        <v>12730</v>
      </c>
      <c r="L730" s="133">
        <v>12730</v>
      </c>
      <c r="M730" s="150">
        <v>0.5615162037037037</v>
      </c>
      <c r="N730" s="150">
        <v>0.56152777777777774</v>
      </c>
      <c r="O730" t="s">
        <v>172</v>
      </c>
      <c r="Q730">
        <v>1934972</v>
      </c>
      <c r="R730">
        <v>1934972</v>
      </c>
      <c r="S730">
        <v>1934950</v>
      </c>
      <c r="T730">
        <v>51</v>
      </c>
      <c r="U730" t="s">
        <v>173</v>
      </c>
      <c r="V730">
        <v>0</v>
      </c>
      <c r="W730" t="s">
        <v>174</v>
      </c>
      <c r="X730">
        <v>1934950</v>
      </c>
      <c r="Z730" t="s">
        <v>175</v>
      </c>
      <c r="AA730" t="s">
        <v>173</v>
      </c>
    </row>
    <row r="731" spans="1:27" x14ac:dyDescent="0.3">
      <c r="A731">
        <v>730</v>
      </c>
      <c r="B731" t="s">
        <v>169</v>
      </c>
      <c r="C731">
        <v>99019875</v>
      </c>
      <c r="D731" s="7" t="s">
        <v>118</v>
      </c>
      <c r="E731" t="s">
        <v>119</v>
      </c>
      <c r="F731" t="s">
        <v>176</v>
      </c>
      <c r="G731" t="s">
        <v>177</v>
      </c>
      <c r="H731" s="133">
        <v>1000</v>
      </c>
      <c r="I731">
        <v>0</v>
      </c>
      <c r="J731">
        <v>51</v>
      </c>
      <c r="K731" s="133">
        <v>12735</v>
      </c>
      <c r="L731" s="133">
        <v>12735</v>
      </c>
      <c r="M731" s="150">
        <v>0.5615162037037037</v>
      </c>
      <c r="N731" s="150">
        <v>0.56152777777777774</v>
      </c>
      <c r="O731" t="s">
        <v>172</v>
      </c>
      <c r="Q731">
        <v>1934977</v>
      </c>
      <c r="R731">
        <v>1934977</v>
      </c>
      <c r="S731">
        <v>1934972</v>
      </c>
      <c r="T731">
        <v>0</v>
      </c>
      <c r="U731" t="s">
        <v>173</v>
      </c>
      <c r="V731">
        <v>949</v>
      </c>
      <c r="W731" t="s">
        <v>174</v>
      </c>
      <c r="X731">
        <v>1934972</v>
      </c>
      <c r="Z731" t="s">
        <v>175</v>
      </c>
      <c r="AA731" t="s">
        <v>173</v>
      </c>
    </row>
    <row r="732" spans="1:27" x14ac:dyDescent="0.3">
      <c r="A732">
        <v>731</v>
      </c>
      <c r="B732" t="s">
        <v>169</v>
      </c>
      <c r="C732">
        <v>99019875</v>
      </c>
      <c r="D732" s="7" t="s">
        <v>69</v>
      </c>
      <c r="E732" t="s">
        <v>70</v>
      </c>
      <c r="F732" t="s">
        <v>170</v>
      </c>
      <c r="G732" t="s">
        <v>171</v>
      </c>
      <c r="H732" s="133">
        <v>5000</v>
      </c>
      <c r="I732">
        <v>0</v>
      </c>
      <c r="J732" s="133">
        <v>5000</v>
      </c>
      <c r="K732" s="133">
        <v>10270</v>
      </c>
      <c r="L732" s="133">
        <v>10270</v>
      </c>
      <c r="M732" s="150">
        <v>0.56157407407407411</v>
      </c>
      <c r="N732" s="150">
        <v>0.56157407407407411</v>
      </c>
      <c r="O732" t="s">
        <v>172</v>
      </c>
      <c r="Q732">
        <v>1935531</v>
      </c>
      <c r="R732">
        <v>1935531</v>
      </c>
      <c r="S732">
        <v>0</v>
      </c>
      <c r="T732">
        <v>0</v>
      </c>
      <c r="U732" t="s">
        <v>173</v>
      </c>
      <c r="V732">
        <v>0</v>
      </c>
      <c r="W732" t="s">
        <v>174</v>
      </c>
      <c r="X732">
        <v>0</v>
      </c>
      <c r="Z732" t="s">
        <v>173</v>
      </c>
      <c r="AA732" t="s">
        <v>173</v>
      </c>
    </row>
    <row r="733" spans="1:27" x14ac:dyDescent="0.3">
      <c r="A733">
        <v>732</v>
      </c>
      <c r="B733" t="s">
        <v>169</v>
      </c>
      <c r="C733">
        <v>99019875</v>
      </c>
      <c r="D733" s="7" t="s">
        <v>69</v>
      </c>
      <c r="E733" t="s">
        <v>70</v>
      </c>
      <c r="F733" t="s">
        <v>170</v>
      </c>
      <c r="G733" t="s">
        <v>171</v>
      </c>
      <c r="H733" s="133">
        <v>5000</v>
      </c>
      <c r="I733">
        <v>0</v>
      </c>
      <c r="J733" s="133">
        <v>5000</v>
      </c>
      <c r="K733" s="133">
        <v>10270</v>
      </c>
      <c r="L733" s="133">
        <v>10270</v>
      </c>
      <c r="M733" s="150">
        <v>0.56158564814814815</v>
      </c>
      <c r="N733" s="150">
        <v>0.56158564814814815</v>
      </c>
      <c r="O733" t="s">
        <v>172</v>
      </c>
      <c r="Q733">
        <v>1935657</v>
      </c>
      <c r="R733">
        <v>1935657</v>
      </c>
      <c r="S733">
        <v>0</v>
      </c>
      <c r="T733">
        <v>0</v>
      </c>
      <c r="U733" t="s">
        <v>173</v>
      </c>
      <c r="V733">
        <v>0</v>
      </c>
      <c r="W733" t="s">
        <v>174</v>
      </c>
      <c r="X733">
        <v>0</v>
      </c>
      <c r="Z733" t="s">
        <v>173</v>
      </c>
      <c r="AA733" t="s">
        <v>173</v>
      </c>
    </row>
    <row r="734" spans="1:27" x14ac:dyDescent="0.3">
      <c r="A734">
        <v>733</v>
      </c>
      <c r="B734" t="s">
        <v>169</v>
      </c>
      <c r="C734">
        <v>99019875</v>
      </c>
      <c r="D734" s="7" t="s">
        <v>102</v>
      </c>
      <c r="E734" t="s">
        <v>103</v>
      </c>
      <c r="F734" t="s">
        <v>176</v>
      </c>
      <c r="G734" t="s">
        <v>177</v>
      </c>
      <c r="H734" s="133">
        <v>1000</v>
      </c>
      <c r="I734">
        <v>0</v>
      </c>
      <c r="J734">
        <v>14</v>
      </c>
      <c r="K734" s="133">
        <v>26950</v>
      </c>
      <c r="L734" s="133">
        <v>26950</v>
      </c>
      <c r="M734" s="150">
        <v>0.56177083333333333</v>
      </c>
      <c r="N734" s="150">
        <v>0.56177083333333333</v>
      </c>
      <c r="O734" t="s">
        <v>172</v>
      </c>
      <c r="Q734">
        <v>1937812</v>
      </c>
      <c r="R734">
        <v>1937812</v>
      </c>
      <c r="S734">
        <v>1937785</v>
      </c>
      <c r="T734">
        <v>986</v>
      </c>
      <c r="U734" t="s">
        <v>173</v>
      </c>
      <c r="V734">
        <v>0</v>
      </c>
      <c r="W734" t="s">
        <v>174</v>
      </c>
      <c r="X734">
        <v>1937785</v>
      </c>
      <c r="Z734" t="s">
        <v>175</v>
      </c>
      <c r="AA734" t="s">
        <v>173</v>
      </c>
    </row>
    <row r="735" spans="1:27" x14ac:dyDescent="0.3">
      <c r="A735">
        <v>734</v>
      </c>
      <c r="B735" t="s">
        <v>169</v>
      </c>
      <c r="C735">
        <v>99019875</v>
      </c>
      <c r="D735" s="7" t="s">
        <v>114</v>
      </c>
      <c r="E735" t="s">
        <v>115</v>
      </c>
      <c r="F735" t="s">
        <v>170</v>
      </c>
      <c r="G735" t="s">
        <v>177</v>
      </c>
      <c r="H735" s="133">
        <v>1000</v>
      </c>
      <c r="I735">
        <v>0</v>
      </c>
      <c r="J735" s="133">
        <v>1000</v>
      </c>
      <c r="K735" s="133">
        <v>53600</v>
      </c>
      <c r="L735" s="133">
        <v>53600</v>
      </c>
      <c r="M735" s="150">
        <v>0.56192129629629628</v>
      </c>
      <c r="N735" s="150">
        <v>0.56193287037037043</v>
      </c>
      <c r="O735" t="s">
        <v>172</v>
      </c>
      <c r="Q735">
        <v>1939937</v>
      </c>
      <c r="R735">
        <v>1939937</v>
      </c>
      <c r="S735">
        <v>1939872</v>
      </c>
      <c r="T735">
        <v>0</v>
      </c>
      <c r="U735" t="s">
        <v>173</v>
      </c>
      <c r="V735">
        <v>0</v>
      </c>
      <c r="W735" t="s">
        <v>174</v>
      </c>
      <c r="X735">
        <v>1939872</v>
      </c>
      <c r="Z735" t="s">
        <v>175</v>
      </c>
      <c r="AA735" t="s">
        <v>173</v>
      </c>
    </row>
    <row r="736" spans="1:27" x14ac:dyDescent="0.3">
      <c r="A736">
        <v>735</v>
      </c>
      <c r="B736" t="s">
        <v>169</v>
      </c>
      <c r="C736">
        <v>99019875</v>
      </c>
      <c r="D736" s="7" t="s">
        <v>77</v>
      </c>
      <c r="E736" t="s">
        <v>78</v>
      </c>
      <c r="F736" t="s">
        <v>176</v>
      </c>
      <c r="G736" t="s">
        <v>177</v>
      </c>
      <c r="H736" s="133">
        <v>1000</v>
      </c>
      <c r="I736">
        <v>0</v>
      </c>
      <c r="J736">
        <v>1</v>
      </c>
      <c r="K736" s="133">
        <v>7465</v>
      </c>
      <c r="L736" s="133">
        <v>7465</v>
      </c>
      <c r="M736" s="150">
        <v>0.56196759259259255</v>
      </c>
      <c r="N736" s="150">
        <v>0.5619791666666667</v>
      </c>
      <c r="O736" t="s">
        <v>172</v>
      </c>
      <c r="Q736">
        <v>1940625</v>
      </c>
      <c r="R736">
        <v>1940625</v>
      </c>
      <c r="S736">
        <v>1940614</v>
      </c>
      <c r="T736">
        <v>999</v>
      </c>
      <c r="U736" t="s">
        <v>173</v>
      </c>
      <c r="V736">
        <v>0</v>
      </c>
      <c r="W736" t="s">
        <v>174</v>
      </c>
      <c r="X736">
        <v>1940614</v>
      </c>
      <c r="Z736" t="s">
        <v>175</v>
      </c>
      <c r="AA736" t="s">
        <v>173</v>
      </c>
    </row>
    <row r="737" spans="1:27" x14ac:dyDescent="0.3">
      <c r="A737">
        <v>736</v>
      </c>
      <c r="B737" t="s">
        <v>169</v>
      </c>
      <c r="C737">
        <v>99019875</v>
      </c>
      <c r="D737" s="7" t="s">
        <v>102</v>
      </c>
      <c r="E737" t="s">
        <v>103</v>
      </c>
      <c r="F737" t="s">
        <v>176</v>
      </c>
      <c r="G737" t="s">
        <v>177</v>
      </c>
      <c r="H737" s="133">
        <v>1000</v>
      </c>
      <c r="I737">
        <v>0</v>
      </c>
      <c r="J737">
        <v>22</v>
      </c>
      <c r="K737" s="133">
        <v>26950</v>
      </c>
      <c r="L737" s="133">
        <v>26950</v>
      </c>
      <c r="M737" s="150">
        <v>0.562962962962963</v>
      </c>
      <c r="N737" s="150">
        <v>0.56297453703703704</v>
      </c>
      <c r="O737" t="s">
        <v>172</v>
      </c>
      <c r="Q737">
        <v>1954027</v>
      </c>
      <c r="R737">
        <v>1954027</v>
      </c>
      <c r="S737">
        <v>1953991</v>
      </c>
      <c r="T737">
        <v>978</v>
      </c>
      <c r="U737" t="s">
        <v>173</v>
      </c>
      <c r="V737">
        <v>0</v>
      </c>
      <c r="W737" t="s">
        <v>174</v>
      </c>
      <c r="X737">
        <v>1953991</v>
      </c>
      <c r="Z737" t="s">
        <v>175</v>
      </c>
      <c r="AA737" t="s">
        <v>173</v>
      </c>
    </row>
    <row r="738" spans="1:27" x14ac:dyDescent="0.3">
      <c r="A738">
        <v>737</v>
      </c>
      <c r="B738" t="s">
        <v>184</v>
      </c>
      <c r="C738">
        <v>99019870</v>
      </c>
      <c r="D738" s="7" t="s">
        <v>91</v>
      </c>
      <c r="E738" t="s">
        <v>92</v>
      </c>
      <c r="F738" t="s">
        <v>176</v>
      </c>
      <c r="G738" t="s">
        <v>177</v>
      </c>
      <c r="H738" s="133">
        <v>1000</v>
      </c>
      <c r="I738">
        <v>0</v>
      </c>
      <c r="J738">
        <v>139</v>
      </c>
      <c r="K738" s="133">
        <v>19470</v>
      </c>
      <c r="L738" s="133">
        <v>19470</v>
      </c>
      <c r="M738" s="150">
        <v>0.56306712962962957</v>
      </c>
      <c r="N738" s="150">
        <v>0.56307870370370372</v>
      </c>
      <c r="O738" t="s">
        <v>172</v>
      </c>
      <c r="Q738">
        <v>1955423</v>
      </c>
      <c r="R738">
        <v>1955423</v>
      </c>
      <c r="S738">
        <v>1955102</v>
      </c>
      <c r="T738">
        <v>861</v>
      </c>
      <c r="U738" t="s">
        <v>173</v>
      </c>
      <c r="V738">
        <v>0</v>
      </c>
      <c r="W738" t="s">
        <v>174</v>
      </c>
      <c r="X738">
        <v>1955102</v>
      </c>
      <c r="Z738" t="s">
        <v>175</v>
      </c>
      <c r="AA738" t="s">
        <v>173</v>
      </c>
    </row>
    <row r="739" spans="1:27" x14ac:dyDescent="0.3">
      <c r="A739">
        <v>738</v>
      </c>
      <c r="B739" t="s">
        <v>169</v>
      </c>
      <c r="C739">
        <v>99019875</v>
      </c>
      <c r="D739" s="7" t="s">
        <v>69</v>
      </c>
      <c r="E739" t="s">
        <v>70</v>
      </c>
      <c r="F739" t="s">
        <v>176</v>
      </c>
      <c r="G739" t="s">
        <v>177</v>
      </c>
      <c r="H739" s="133">
        <v>1000</v>
      </c>
      <c r="I739">
        <v>0</v>
      </c>
      <c r="J739">
        <v>10</v>
      </c>
      <c r="K739" s="133">
        <v>10260</v>
      </c>
      <c r="L739" s="133">
        <v>10260</v>
      </c>
      <c r="M739" s="150">
        <v>0.56322916666666667</v>
      </c>
      <c r="N739" s="150">
        <v>0.56325231481481486</v>
      </c>
      <c r="O739" t="s">
        <v>172</v>
      </c>
      <c r="Q739">
        <v>1957474</v>
      </c>
      <c r="R739">
        <v>1957474</v>
      </c>
      <c r="S739">
        <v>1957313</v>
      </c>
      <c r="T739">
        <v>990</v>
      </c>
      <c r="U739" t="s">
        <v>173</v>
      </c>
      <c r="V739">
        <v>0</v>
      </c>
      <c r="W739" t="s">
        <v>174</v>
      </c>
      <c r="X739">
        <v>1957313</v>
      </c>
      <c r="Z739" t="s">
        <v>175</v>
      </c>
      <c r="AA739" t="s">
        <v>173</v>
      </c>
    </row>
    <row r="740" spans="1:27" x14ac:dyDescent="0.3">
      <c r="A740">
        <v>739</v>
      </c>
      <c r="B740" t="s">
        <v>184</v>
      </c>
      <c r="C740">
        <v>99019870</v>
      </c>
      <c r="D740" s="7" t="s">
        <v>91</v>
      </c>
      <c r="E740" t="s">
        <v>92</v>
      </c>
      <c r="F740" t="s">
        <v>176</v>
      </c>
      <c r="G740" t="s">
        <v>177</v>
      </c>
      <c r="H740" s="133">
        <v>1000</v>
      </c>
      <c r="I740">
        <v>0</v>
      </c>
      <c r="J740">
        <v>80</v>
      </c>
      <c r="K740" s="133">
        <v>19470</v>
      </c>
      <c r="L740" s="133">
        <v>19470</v>
      </c>
      <c r="M740" s="150">
        <v>0.56364583333333329</v>
      </c>
      <c r="N740" s="150">
        <v>0.56366898148148148</v>
      </c>
      <c r="O740" t="s">
        <v>172</v>
      </c>
      <c r="Q740">
        <v>1963404</v>
      </c>
      <c r="R740">
        <v>1963404</v>
      </c>
      <c r="S740">
        <v>1963382</v>
      </c>
      <c r="T740">
        <v>920</v>
      </c>
      <c r="U740" t="s">
        <v>173</v>
      </c>
      <c r="V740">
        <v>0</v>
      </c>
      <c r="W740" t="s">
        <v>174</v>
      </c>
      <c r="X740">
        <v>1963382</v>
      </c>
      <c r="Z740" t="s">
        <v>175</v>
      </c>
      <c r="AA740" t="s">
        <v>173</v>
      </c>
    </row>
    <row r="741" spans="1:27" x14ac:dyDescent="0.3">
      <c r="A741">
        <v>740</v>
      </c>
      <c r="B741" t="s">
        <v>169</v>
      </c>
      <c r="C741">
        <v>99019875</v>
      </c>
      <c r="D741" s="7" t="s">
        <v>62</v>
      </c>
      <c r="E741" t="s">
        <v>63</v>
      </c>
      <c r="F741" t="s">
        <v>176</v>
      </c>
      <c r="G741" t="s">
        <v>177</v>
      </c>
      <c r="H741" s="133">
        <v>1000</v>
      </c>
      <c r="I741">
        <v>0</v>
      </c>
      <c r="J741" s="133">
        <v>1000</v>
      </c>
      <c r="K741" s="133">
        <v>34015</v>
      </c>
      <c r="L741" s="133">
        <v>34015</v>
      </c>
      <c r="M741" s="150">
        <v>0.56381944444444443</v>
      </c>
      <c r="N741" s="150">
        <v>0.56381944444444443</v>
      </c>
      <c r="O741" t="s">
        <v>172</v>
      </c>
      <c r="Q741">
        <v>1965679</v>
      </c>
      <c r="R741">
        <v>1965679</v>
      </c>
      <c r="S741">
        <v>1965634</v>
      </c>
      <c r="T741">
        <v>0</v>
      </c>
      <c r="U741" t="s">
        <v>173</v>
      </c>
      <c r="V741">
        <v>0</v>
      </c>
      <c r="W741" t="s">
        <v>174</v>
      </c>
      <c r="X741">
        <v>1965634</v>
      </c>
      <c r="Z741" t="s">
        <v>175</v>
      </c>
      <c r="AA741" t="s">
        <v>173</v>
      </c>
    </row>
    <row r="742" spans="1:27" x14ac:dyDescent="0.3">
      <c r="A742">
        <v>741</v>
      </c>
      <c r="B742" t="s">
        <v>169</v>
      </c>
      <c r="C742">
        <v>99019875</v>
      </c>
      <c r="D742" s="7" t="s">
        <v>69</v>
      </c>
      <c r="E742" t="s">
        <v>70</v>
      </c>
      <c r="F742" t="s">
        <v>176</v>
      </c>
      <c r="G742" t="s">
        <v>177</v>
      </c>
      <c r="H742" s="133">
        <v>1000</v>
      </c>
      <c r="I742">
        <v>0</v>
      </c>
      <c r="J742" s="133">
        <v>1000</v>
      </c>
      <c r="K742" s="133">
        <v>10275</v>
      </c>
      <c r="L742" s="133">
        <v>10275</v>
      </c>
      <c r="M742" s="150">
        <v>0.56407407407407406</v>
      </c>
      <c r="N742" s="150">
        <v>0.56412037037037044</v>
      </c>
      <c r="O742" t="s">
        <v>172</v>
      </c>
      <c r="Q742">
        <v>1968634</v>
      </c>
      <c r="R742">
        <v>1968634</v>
      </c>
      <c r="S742">
        <v>1968400</v>
      </c>
      <c r="T742">
        <v>0</v>
      </c>
      <c r="U742" t="s">
        <v>173</v>
      </c>
      <c r="V742">
        <v>0</v>
      </c>
      <c r="W742" t="s">
        <v>174</v>
      </c>
      <c r="X742">
        <v>1968400</v>
      </c>
      <c r="Z742" t="s">
        <v>175</v>
      </c>
      <c r="AA742" t="s">
        <v>173</v>
      </c>
    </row>
    <row r="743" spans="1:27" x14ac:dyDescent="0.3">
      <c r="A743">
        <v>742</v>
      </c>
      <c r="B743" t="s">
        <v>169</v>
      </c>
      <c r="C743">
        <v>99019875</v>
      </c>
      <c r="D743" s="7" t="s">
        <v>77</v>
      </c>
      <c r="E743" t="s">
        <v>78</v>
      </c>
      <c r="F743" t="s">
        <v>176</v>
      </c>
      <c r="G743" t="s">
        <v>177</v>
      </c>
      <c r="H743" s="133">
        <v>1000</v>
      </c>
      <c r="I743">
        <v>0</v>
      </c>
      <c r="J743" s="133">
        <v>1000</v>
      </c>
      <c r="K743" s="133">
        <v>7490</v>
      </c>
      <c r="L743" s="133">
        <v>7490</v>
      </c>
      <c r="M743" s="150">
        <v>0.56572916666666673</v>
      </c>
      <c r="N743" s="150">
        <v>0.56582175925925926</v>
      </c>
      <c r="O743" t="s">
        <v>172</v>
      </c>
      <c r="Q743">
        <v>1990043</v>
      </c>
      <c r="R743">
        <v>1990043</v>
      </c>
      <c r="S743">
        <v>1989992</v>
      </c>
      <c r="T743">
        <v>0</v>
      </c>
      <c r="U743" t="s">
        <v>173</v>
      </c>
      <c r="V743">
        <v>0</v>
      </c>
      <c r="W743" t="s">
        <v>174</v>
      </c>
      <c r="X743">
        <v>1989992</v>
      </c>
      <c r="Z743" t="s">
        <v>175</v>
      </c>
      <c r="AA743" t="s">
        <v>173</v>
      </c>
    </row>
    <row r="744" spans="1:27" x14ac:dyDescent="0.3">
      <c r="A744">
        <v>743</v>
      </c>
      <c r="B744" t="s">
        <v>184</v>
      </c>
      <c r="C744">
        <v>99019870</v>
      </c>
      <c r="D744" s="7" t="s">
        <v>91</v>
      </c>
      <c r="E744" t="s">
        <v>92</v>
      </c>
      <c r="F744" t="s">
        <v>176</v>
      </c>
      <c r="G744" t="s">
        <v>177</v>
      </c>
      <c r="H744" s="133">
        <v>1000</v>
      </c>
      <c r="I744">
        <v>0</v>
      </c>
      <c r="J744">
        <v>24</v>
      </c>
      <c r="K744" s="133">
        <v>19470</v>
      </c>
      <c r="L744" s="133">
        <v>19470</v>
      </c>
      <c r="M744" s="150">
        <v>0.5662962962962963</v>
      </c>
      <c r="N744" s="150">
        <v>0.5662962962962963</v>
      </c>
      <c r="O744" t="s">
        <v>172</v>
      </c>
      <c r="Q744">
        <v>1996592</v>
      </c>
      <c r="R744">
        <v>1996592</v>
      </c>
      <c r="S744">
        <v>1996431</v>
      </c>
      <c r="T744">
        <v>976</v>
      </c>
      <c r="U744" t="s">
        <v>173</v>
      </c>
      <c r="V744">
        <v>0</v>
      </c>
      <c r="W744" t="s">
        <v>174</v>
      </c>
      <c r="X744">
        <v>1996431</v>
      </c>
      <c r="Z744" t="s">
        <v>175</v>
      </c>
      <c r="AA744" t="s">
        <v>173</v>
      </c>
    </row>
    <row r="745" spans="1:27" x14ac:dyDescent="0.3">
      <c r="A745">
        <v>744</v>
      </c>
      <c r="B745" t="s">
        <v>169</v>
      </c>
      <c r="C745">
        <v>99019875</v>
      </c>
      <c r="D745" s="7" t="s">
        <v>77</v>
      </c>
      <c r="E745" t="s">
        <v>78</v>
      </c>
      <c r="F745" t="s">
        <v>176</v>
      </c>
      <c r="G745" t="s">
        <v>177</v>
      </c>
      <c r="H745" s="133">
        <v>1000</v>
      </c>
      <c r="I745">
        <v>0</v>
      </c>
      <c r="J745" s="133">
        <v>1000</v>
      </c>
      <c r="K745" s="133">
        <v>7475</v>
      </c>
      <c r="L745" s="133">
        <v>7475</v>
      </c>
      <c r="M745" s="150">
        <v>0.5667592592592593</v>
      </c>
      <c r="N745" s="150">
        <v>0.56677083333333333</v>
      </c>
      <c r="O745" t="s">
        <v>172</v>
      </c>
      <c r="Q745">
        <v>2002553</v>
      </c>
      <c r="R745">
        <v>2002553</v>
      </c>
      <c r="S745">
        <v>2002534</v>
      </c>
      <c r="T745">
        <v>0</v>
      </c>
      <c r="U745" t="s">
        <v>173</v>
      </c>
      <c r="V745">
        <v>0</v>
      </c>
      <c r="W745" t="s">
        <v>174</v>
      </c>
      <c r="X745">
        <v>2002534</v>
      </c>
      <c r="Z745" t="s">
        <v>175</v>
      </c>
      <c r="AA745" t="s">
        <v>173</v>
      </c>
    </row>
    <row r="746" spans="1:27" x14ac:dyDescent="0.3">
      <c r="A746">
        <v>745</v>
      </c>
      <c r="B746" t="s">
        <v>169</v>
      </c>
      <c r="C746">
        <v>99019875</v>
      </c>
      <c r="D746" s="7" t="s">
        <v>77</v>
      </c>
      <c r="E746" t="s">
        <v>78</v>
      </c>
      <c r="F746" t="s">
        <v>176</v>
      </c>
      <c r="G746" t="s">
        <v>177</v>
      </c>
      <c r="H746" s="133">
        <v>1000</v>
      </c>
      <c r="I746">
        <v>0</v>
      </c>
      <c r="J746" s="133">
        <v>1000</v>
      </c>
      <c r="K746" s="133">
        <v>7450</v>
      </c>
      <c r="L746" s="133">
        <v>7450</v>
      </c>
      <c r="M746" s="150">
        <v>0.56776620370370368</v>
      </c>
      <c r="N746" s="150">
        <v>0.56776620370370368</v>
      </c>
      <c r="O746" t="s">
        <v>172</v>
      </c>
      <c r="Q746">
        <v>2014860</v>
      </c>
      <c r="R746">
        <v>2014860</v>
      </c>
      <c r="S746">
        <v>2014852</v>
      </c>
      <c r="T746">
        <v>0</v>
      </c>
      <c r="U746" t="s">
        <v>173</v>
      </c>
      <c r="V746">
        <v>0</v>
      </c>
      <c r="W746" t="s">
        <v>174</v>
      </c>
      <c r="X746">
        <v>2014852</v>
      </c>
      <c r="Z746" t="s">
        <v>175</v>
      </c>
      <c r="AA746" t="s">
        <v>173</v>
      </c>
    </row>
    <row r="747" spans="1:27" x14ac:dyDescent="0.3">
      <c r="A747">
        <v>746</v>
      </c>
      <c r="B747" t="s">
        <v>169</v>
      </c>
      <c r="C747">
        <v>99019875</v>
      </c>
      <c r="D747" s="7" t="s">
        <v>69</v>
      </c>
      <c r="E747" t="s">
        <v>70</v>
      </c>
      <c r="F747" t="s">
        <v>176</v>
      </c>
      <c r="G747" t="s">
        <v>177</v>
      </c>
      <c r="H747" s="133">
        <v>1000</v>
      </c>
      <c r="I747">
        <v>0</v>
      </c>
      <c r="J747">
        <v>16</v>
      </c>
      <c r="K747" s="133">
        <v>10265</v>
      </c>
      <c r="L747" s="133">
        <v>10265</v>
      </c>
      <c r="M747" s="150">
        <v>0.5681828703703703</v>
      </c>
      <c r="N747" s="150">
        <v>0.56820601851851849</v>
      </c>
      <c r="O747" t="s">
        <v>172</v>
      </c>
      <c r="Q747">
        <v>2020286</v>
      </c>
      <c r="R747">
        <v>2020286</v>
      </c>
      <c r="S747">
        <v>2020255</v>
      </c>
      <c r="T747">
        <v>984</v>
      </c>
      <c r="U747" t="s">
        <v>173</v>
      </c>
      <c r="V747">
        <v>0</v>
      </c>
      <c r="W747" t="s">
        <v>174</v>
      </c>
      <c r="X747">
        <v>2020255</v>
      </c>
      <c r="Z747" t="s">
        <v>175</v>
      </c>
      <c r="AA747" t="s">
        <v>173</v>
      </c>
    </row>
    <row r="748" spans="1:27" x14ac:dyDescent="0.3">
      <c r="A748">
        <v>747</v>
      </c>
      <c r="B748" t="s">
        <v>169</v>
      </c>
      <c r="C748">
        <v>99019875</v>
      </c>
      <c r="D748" s="7" t="s">
        <v>77</v>
      </c>
      <c r="E748" t="s">
        <v>78</v>
      </c>
      <c r="F748" t="s">
        <v>170</v>
      </c>
      <c r="G748" t="s">
        <v>177</v>
      </c>
      <c r="H748" s="133">
        <v>1000</v>
      </c>
      <c r="I748">
        <v>0</v>
      </c>
      <c r="J748" s="133">
        <v>1000</v>
      </c>
      <c r="K748" s="133">
        <v>7415</v>
      </c>
      <c r="L748" s="133">
        <v>7415</v>
      </c>
      <c r="M748" s="150">
        <v>0.56819444444444445</v>
      </c>
      <c r="N748" s="150">
        <v>0.5683449074074074</v>
      </c>
      <c r="O748" t="s">
        <v>172</v>
      </c>
      <c r="Q748">
        <v>2020428</v>
      </c>
      <c r="R748">
        <v>2020428</v>
      </c>
      <c r="S748">
        <v>2020316</v>
      </c>
      <c r="T748">
        <v>0</v>
      </c>
      <c r="U748" t="s">
        <v>173</v>
      </c>
      <c r="V748">
        <v>0</v>
      </c>
      <c r="W748" t="s">
        <v>174</v>
      </c>
      <c r="X748">
        <v>2020316</v>
      </c>
      <c r="Z748" t="s">
        <v>175</v>
      </c>
      <c r="AA748" t="s">
        <v>173</v>
      </c>
    </row>
    <row r="749" spans="1:27" x14ac:dyDescent="0.3">
      <c r="A749">
        <v>748</v>
      </c>
      <c r="B749" t="s">
        <v>169</v>
      </c>
      <c r="C749">
        <v>99019875</v>
      </c>
      <c r="D749" s="7" t="s">
        <v>77</v>
      </c>
      <c r="E749" t="s">
        <v>78</v>
      </c>
      <c r="F749" t="s">
        <v>176</v>
      </c>
      <c r="G749" t="s">
        <v>177</v>
      </c>
      <c r="H749" s="133">
        <v>1000</v>
      </c>
      <c r="I749">
        <v>0</v>
      </c>
      <c r="J749" s="133">
        <v>1000</v>
      </c>
      <c r="K749" s="133">
        <v>7440</v>
      </c>
      <c r="L749" s="133">
        <v>7440</v>
      </c>
      <c r="M749" s="150">
        <v>0.56819444444444445</v>
      </c>
      <c r="N749" s="150">
        <v>0.56820601851851849</v>
      </c>
      <c r="O749" t="s">
        <v>172</v>
      </c>
      <c r="Q749">
        <v>2020429</v>
      </c>
      <c r="R749">
        <v>2020429</v>
      </c>
      <c r="S749">
        <v>2020315</v>
      </c>
      <c r="T749">
        <v>0</v>
      </c>
      <c r="U749" t="s">
        <v>173</v>
      </c>
      <c r="V749">
        <v>0</v>
      </c>
      <c r="W749" t="s">
        <v>174</v>
      </c>
      <c r="X749">
        <v>2020315</v>
      </c>
      <c r="Z749" t="s">
        <v>175</v>
      </c>
      <c r="AA749" t="s">
        <v>173</v>
      </c>
    </row>
    <row r="750" spans="1:27" x14ac:dyDescent="0.3">
      <c r="A750">
        <v>749</v>
      </c>
      <c r="B750" t="s">
        <v>184</v>
      </c>
      <c r="C750">
        <v>99019870</v>
      </c>
      <c r="D750" s="7" t="s">
        <v>91</v>
      </c>
      <c r="E750" t="s">
        <v>92</v>
      </c>
      <c r="F750" t="s">
        <v>176</v>
      </c>
      <c r="G750" t="s">
        <v>177</v>
      </c>
      <c r="H750" s="133">
        <v>1000</v>
      </c>
      <c r="I750">
        <v>0</v>
      </c>
      <c r="J750" s="133">
        <v>1000</v>
      </c>
      <c r="K750" s="133">
        <v>19450</v>
      </c>
      <c r="L750" s="133">
        <v>19450</v>
      </c>
      <c r="M750" s="150">
        <v>0.5687268518518519</v>
      </c>
      <c r="N750" s="150">
        <v>0.56873842592592594</v>
      </c>
      <c r="O750" t="s">
        <v>172</v>
      </c>
      <c r="Q750">
        <v>2027219</v>
      </c>
      <c r="R750">
        <v>2027219</v>
      </c>
      <c r="S750">
        <v>2027216</v>
      </c>
      <c r="T750">
        <v>0</v>
      </c>
      <c r="U750" t="s">
        <v>173</v>
      </c>
      <c r="V750">
        <v>0</v>
      </c>
      <c r="W750" t="s">
        <v>174</v>
      </c>
      <c r="X750">
        <v>2027216</v>
      </c>
      <c r="Z750" t="s">
        <v>175</v>
      </c>
      <c r="AA750" t="s">
        <v>173</v>
      </c>
    </row>
    <row r="751" spans="1:27" x14ac:dyDescent="0.3">
      <c r="A751">
        <v>750</v>
      </c>
      <c r="B751" t="s">
        <v>169</v>
      </c>
      <c r="C751">
        <v>99019875</v>
      </c>
      <c r="D751" s="7" t="s">
        <v>77</v>
      </c>
      <c r="E751" t="s">
        <v>78</v>
      </c>
      <c r="F751" t="s">
        <v>176</v>
      </c>
      <c r="G751" t="s">
        <v>177</v>
      </c>
      <c r="H751" s="133">
        <v>1000</v>
      </c>
      <c r="I751">
        <v>0</v>
      </c>
      <c r="J751" s="133">
        <v>1000</v>
      </c>
      <c r="K751" s="133">
        <v>7420</v>
      </c>
      <c r="L751" s="133">
        <v>7420</v>
      </c>
      <c r="M751" s="150">
        <v>0.56895833333333334</v>
      </c>
      <c r="N751" s="150">
        <v>0.56895833333333334</v>
      </c>
      <c r="O751" t="s">
        <v>172</v>
      </c>
      <c r="Q751">
        <v>2030540</v>
      </c>
      <c r="R751">
        <v>2030540</v>
      </c>
      <c r="S751">
        <v>2030530</v>
      </c>
      <c r="T751">
        <v>0</v>
      </c>
      <c r="U751" t="s">
        <v>173</v>
      </c>
      <c r="V751">
        <v>0</v>
      </c>
      <c r="W751" t="s">
        <v>174</v>
      </c>
      <c r="X751">
        <v>2030530</v>
      </c>
      <c r="Z751" t="s">
        <v>175</v>
      </c>
      <c r="AA751" t="s">
        <v>173</v>
      </c>
    </row>
    <row r="752" spans="1:27" x14ac:dyDescent="0.3">
      <c r="A752">
        <v>751</v>
      </c>
      <c r="B752" t="s">
        <v>184</v>
      </c>
      <c r="C752">
        <v>99019870</v>
      </c>
      <c r="D752" s="7" t="s">
        <v>91</v>
      </c>
      <c r="E752" t="s">
        <v>92</v>
      </c>
      <c r="F752" t="s">
        <v>176</v>
      </c>
      <c r="G752" t="s">
        <v>177</v>
      </c>
      <c r="H752" s="133">
        <v>1000</v>
      </c>
      <c r="I752">
        <v>0</v>
      </c>
      <c r="J752">
        <v>43</v>
      </c>
      <c r="K752" s="133">
        <v>19450</v>
      </c>
      <c r="L752" s="133">
        <v>19450</v>
      </c>
      <c r="M752" s="150">
        <v>0.56915509259259256</v>
      </c>
      <c r="N752" s="150">
        <v>0.56916666666666671</v>
      </c>
      <c r="O752" t="s">
        <v>172</v>
      </c>
      <c r="Q752">
        <v>2033284</v>
      </c>
      <c r="R752">
        <v>2033284</v>
      </c>
      <c r="S752">
        <v>2033271</v>
      </c>
      <c r="T752">
        <v>957</v>
      </c>
      <c r="U752" t="s">
        <v>173</v>
      </c>
      <c r="V752">
        <v>0</v>
      </c>
      <c r="W752" t="s">
        <v>174</v>
      </c>
      <c r="X752">
        <v>2033271</v>
      </c>
      <c r="Z752" t="s">
        <v>175</v>
      </c>
      <c r="AA752" t="s">
        <v>173</v>
      </c>
    </row>
    <row r="753" spans="1:27" x14ac:dyDescent="0.3">
      <c r="A753">
        <v>752</v>
      </c>
      <c r="B753" t="s">
        <v>169</v>
      </c>
      <c r="C753">
        <v>99019875</v>
      </c>
      <c r="D753" s="7" t="s">
        <v>77</v>
      </c>
      <c r="E753" t="s">
        <v>78</v>
      </c>
      <c r="F753" t="s">
        <v>176</v>
      </c>
      <c r="G753" t="s">
        <v>177</v>
      </c>
      <c r="H753" s="133">
        <v>1000</v>
      </c>
      <c r="I753">
        <v>0</v>
      </c>
      <c r="J753">
        <v>28</v>
      </c>
      <c r="K753" s="133">
        <v>7375</v>
      </c>
      <c r="L753" s="133">
        <v>7375</v>
      </c>
      <c r="M753" s="150">
        <v>0.56944444444444442</v>
      </c>
      <c r="N753" s="150">
        <v>0.56945601851851857</v>
      </c>
      <c r="O753" t="s">
        <v>172</v>
      </c>
      <c r="Q753">
        <v>2036926</v>
      </c>
      <c r="R753">
        <v>2036926</v>
      </c>
      <c r="S753">
        <v>2036919</v>
      </c>
      <c r="T753">
        <v>972</v>
      </c>
      <c r="U753" t="s">
        <v>173</v>
      </c>
      <c r="V753">
        <v>0</v>
      </c>
      <c r="W753" t="s">
        <v>174</v>
      </c>
      <c r="X753">
        <v>2036919</v>
      </c>
      <c r="Z753" t="s">
        <v>175</v>
      </c>
      <c r="AA753" t="s">
        <v>173</v>
      </c>
    </row>
    <row r="754" spans="1:27" x14ac:dyDescent="0.3">
      <c r="A754">
        <v>753</v>
      </c>
      <c r="B754" t="s">
        <v>184</v>
      </c>
      <c r="C754">
        <v>99019870</v>
      </c>
      <c r="D754" s="7" t="s">
        <v>91</v>
      </c>
      <c r="E754" t="s">
        <v>92</v>
      </c>
      <c r="F754" t="s">
        <v>176</v>
      </c>
      <c r="G754" t="s">
        <v>177</v>
      </c>
      <c r="H754" s="133">
        <v>1000</v>
      </c>
      <c r="I754">
        <v>0</v>
      </c>
      <c r="J754" s="133">
        <v>1000</v>
      </c>
      <c r="K754" s="133">
        <v>19445</v>
      </c>
      <c r="L754" s="133">
        <v>19445</v>
      </c>
      <c r="M754" s="150">
        <v>0.56951388888888888</v>
      </c>
      <c r="N754" s="150">
        <v>0.56951388888888888</v>
      </c>
      <c r="O754" t="s">
        <v>172</v>
      </c>
      <c r="Q754">
        <v>2038128</v>
      </c>
      <c r="R754">
        <v>2038128</v>
      </c>
      <c r="S754">
        <v>2038106</v>
      </c>
      <c r="T754">
        <v>0</v>
      </c>
      <c r="U754" t="s">
        <v>173</v>
      </c>
      <c r="V754">
        <v>0</v>
      </c>
      <c r="W754" t="s">
        <v>174</v>
      </c>
      <c r="X754">
        <v>2038106</v>
      </c>
      <c r="Z754" t="s">
        <v>175</v>
      </c>
      <c r="AA754" t="s">
        <v>173</v>
      </c>
    </row>
    <row r="755" spans="1:27" x14ac:dyDescent="0.3">
      <c r="A755">
        <v>754</v>
      </c>
      <c r="B755" t="s">
        <v>169</v>
      </c>
      <c r="C755">
        <v>99019875</v>
      </c>
      <c r="D755" s="7" t="s">
        <v>77</v>
      </c>
      <c r="E755" t="s">
        <v>78</v>
      </c>
      <c r="F755" t="s">
        <v>176</v>
      </c>
      <c r="G755" t="s">
        <v>177</v>
      </c>
      <c r="H755" s="133">
        <v>1000</v>
      </c>
      <c r="I755">
        <v>0</v>
      </c>
      <c r="J755">
        <v>1</v>
      </c>
      <c r="K755" s="133">
        <v>7355</v>
      </c>
      <c r="L755" s="133">
        <v>7355</v>
      </c>
      <c r="M755" s="150">
        <v>0.57040509259259264</v>
      </c>
      <c r="N755" s="150">
        <v>0.57040509259259264</v>
      </c>
      <c r="O755" t="s">
        <v>172</v>
      </c>
      <c r="Q755">
        <v>2050570</v>
      </c>
      <c r="R755">
        <v>2050570</v>
      </c>
      <c r="S755">
        <v>2050519</v>
      </c>
      <c r="T755">
        <v>999</v>
      </c>
      <c r="U755" t="s">
        <v>173</v>
      </c>
      <c r="V755">
        <v>0</v>
      </c>
      <c r="W755" t="s">
        <v>174</v>
      </c>
      <c r="X755">
        <v>2050519</v>
      </c>
      <c r="Z755" t="s">
        <v>175</v>
      </c>
      <c r="AA755" t="s">
        <v>173</v>
      </c>
    </row>
    <row r="756" spans="1:27" x14ac:dyDescent="0.3">
      <c r="A756">
        <v>755</v>
      </c>
      <c r="B756" t="s">
        <v>184</v>
      </c>
      <c r="C756">
        <v>99019870</v>
      </c>
      <c r="D756" s="7" t="s">
        <v>91</v>
      </c>
      <c r="E756" t="s">
        <v>92</v>
      </c>
      <c r="F756" t="s">
        <v>176</v>
      </c>
      <c r="G756" t="s">
        <v>177</v>
      </c>
      <c r="H756" s="133">
        <v>1000</v>
      </c>
      <c r="I756">
        <v>0</v>
      </c>
      <c r="J756">
        <v>100</v>
      </c>
      <c r="K756" s="133">
        <v>19435</v>
      </c>
      <c r="L756" s="133">
        <v>19435</v>
      </c>
      <c r="M756" s="150">
        <v>0.57046296296296295</v>
      </c>
      <c r="N756" s="150">
        <v>0.57046296296296295</v>
      </c>
      <c r="O756" t="s">
        <v>172</v>
      </c>
      <c r="Q756">
        <v>2051348</v>
      </c>
      <c r="R756">
        <v>2051348</v>
      </c>
      <c r="S756">
        <v>2051124</v>
      </c>
      <c r="T756">
        <v>900</v>
      </c>
      <c r="U756" t="s">
        <v>173</v>
      </c>
      <c r="V756">
        <v>0</v>
      </c>
      <c r="W756" t="s">
        <v>174</v>
      </c>
      <c r="X756">
        <v>2051124</v>
      </c>
      <c r="Z756" t="s">
        <v>175</v>
      </c>
      <c r="AA756" t="s">
        <v>173</v>
      </c>
    </row>
    <row r="757" spans="1:27" x14ac:dyDescent="0.3">
      <c r="A757">
        <v>756</v>
      </c>
      <c r="B757" t="s">
        <v>184</v>
      </c>
      <c r="C757">
        <v>99019870</v>
      </c>
      <c r="D757" s="7" t="s">
        <v>91</v>
      </c>
      <c r="E757" t="s">
        <v>92</v>
      </c>
      <c r="F757" t="s">
        <v>176</v>
      </c>
      <c r="G757" t="s">
        <v>177</v>
      </c>
      <c r="H757" s="133">
        <v>1000</v>
      </c>
      <c r="I757">
        <v>0</v>
      </c>
      <c r="J757">
        <v>72</v>
      </c>
      <c r="K757" s="133">
        <v>19435</v>
      </c>
      <c r="L757" s="133">
        <v>19435</v>
      </c>
      <c r="M757" s="150">
        <v>0.57082175925925926</v>
      </c>
      <c r="N757" s="150">
        <v>0.57082175925925926</v>
      </c>
      <c r="O757" t="s">
        <v>172</v>
      </c>
      <c r="Q757">
        <v>2056095</v>
      </c>
      <c r="R757">
        <v>2056095</v>
      </c>
      <c r="S757">
        <v>2056074</v>
      </c>
      <c r="T757">
        <v>928</v>
      </c>
      <c r="U757" t="s">
        <v>173</v>
      </c>
      <c r="V757">
        <v>0</v>
      </c>
      <c r="W757" t="s">
        <v>174</v>
      </c>
      <c r="X757">
        <v>2056074</v>
      </c>
      <c r="Z757" t="s">
        <v>175</v>
      </c>
      <c r="AA757" t="s">
        <v>173</v>
      </c>
    </row>
    <row r="758" spans="1:27" x14ac:dyDescent="0.3">
      <c r="A758">
        <v>757</v>
      </c>
      <c r="B758" t="s">
        <v>169</v>
      </c>
      <c r="C758">
        <v>99019875</v>
      </c>
      <c r="D758" s="7" t="s">
        <v>77</v>
      </c>
      <c r="E758" t="s">
        <v>78</v>
      </c>
      <c r="F758" t="s">
        <v>176</v>
      </c>
      <c r="G758" t="s">
        <v>177</v>
      </c>
      <c r="H758" s="133">
        <v>1000</v>
      </c>
      <c r="I758">
        <v>0</v>
      </c>
      <c r="J758">
        <v>6</v>
      </c>
      <c r="K758" s="133">
        <v>7350</v>
      </c>
      <c r="L758" s="133">
        <v>7350</v>
      </c>
      <c r="M758" s="150">
        <v>0.5708333333333333</v>
      </c>
      <c r="N758" s="150">
        <v>0.5708333333333333</v>
      </c>
      <c r="O758" t="s">
        <v>172</v>
      </c>
      <c r="Q758">
        <v>2056286</v>
      </c>
      <c r="R758">
        <v>2056286</v>
      </c>
      <c r="S758">
        <v>2056276</v>
      </c>
      <c r="T758">
        <v>994</v>
      </c>
      <c r="U758" t="s">
        <v>173</v>
      </c>
      <c r="V758">
        <v>0</v>
      </c>
      <c r="W758" t="s">
        <v>174</v>
      </c>
      <c r="X758">
        <v>2056276</v>
      </c>
      <c r="Z758" t="s">
        <v>175</v>
      </c>
      <c r="AA758" t="s">
        <v>173</v>
      </c>
    </row>
    <row r="759" spans="1:27" x14ac:dyDescent="0.3">
      <c r="A759">
        <v>758</v>
      </c>
      <c r="B759" t="s">
        <v>169</v>
      </c>
      <c r="C759">
        <v>99019875</v>
      </c>
      <c r="D759" s="7" t="s">
        <v>77</v>
      </c>
      <c r="E759" t="s">
        <v>78</v>
      </c>
      <c r="F759" t="s">
        <v>170</v>
      </c>
      <c r="G759" t="s">
        <v>177</v>
      </c>
      <c r="H759" s="133">
        <v>1000</v>
      </c>
      <c r="I759">
        <v>0</v>
      </c>
      <c r="J759" s="133">
        <v>1000</v>
      </c>
      <c r="K759" s="133">
        <v>7340</v>
      </c>
      <c r="L759" s="133">
        <v>7340</v>
      </c>
      <c r="M759" s="150">
        <v>0.57136574074074076</v>
      </c>
      <c r="N759" s="150">
        <v>0.57146990740740744</v>
      </c>
      <c r="O759" t="s">
        <v>172</v>
      </c>
      <c r="Q759">
        <v>2063671</v>
      </c>
      <c r="R759">
        <v>2063671</v>
      </c>
      <c r="S759">
        <v>2063666</v>
      </c>
      <c r="T759">
        <v>0</v>
      </c>
      <c r="U759" t="s">
        <v>173</v>
      </c>
      <c r="V759">
        <v>0</v>
      </c>
      <c r="W759" t="s">
        <v>174</v>
      </c>
      <c r="X759">
        <v>2063666</v>
      </c>
      <c r="Z759" t="s">
        <v>175</v>
      </c>
      <c r="AA759" t="s">
        <v>173</v>
      </c>
    </row>
    <row r="760" spans="1:27" x14ac:dyDescent="0.3">
      <c r="A760">
        <v>759</v>
      </c>
      <c r="B760" t="s">
        <v>169</v>
      </c>
      <c r="C760">
        <v>99019875</v>
      </c>
      <c r="D760" s="7" t="s">
        <v>77</v>
      </c>
      <c r="E760" t="s">
        <v>78</v>
      </c>
      <c r="F760" t="s">
        <v>176</v>
      </c>
      <c r="G760" t="s">
        <v>177</v>
      </c>
      <c r="H760" s="133">
        <v>1000</v>
      </c>
      <c r="I760">
        <v>0</v>
      </c>
      <c r="J760" s="133">
        <v>1000</v>
      </c>
      <c r="K760" s="133">
        <v>7365</v>
      </c>
      <c r="L760" s="133">
        <v>7365</v>
      </c>
      <c r="M760" s="150">
        <v>0.57136574074074076</v>
      </c>
      <c r="N760" s="150">
        <v>0.5713773148148148</v>
      </c>
      <c r="O760" t="s">
        <v>172</v>
      </c>
      <c r="Q760">
        <v>2063672</v>
      </c>
      <c r="R760">
        <v>2063672</v>
      </c>
      <c r="S760">
        <v>2063576</v>
      </c>
      <c r="T760">
        <v>0</v>
      </c>
      <c r="U760" t="s">
        <v>173</v>
      </c>
      <c r="V760">
        <v>0</v>
      </c>
      <c r="W760" t="s">
        <v>174</v>
      </c>
      <c r="X760">
        <v>2063576</v>
      </c>
      <c r="Z760" t="s">
        <v>175</v>
      </c>
      <c r="AA760" t="s">
        <v>173</v>
      </c>
    </row>
    <row r="761" spans="1:27" x14ac:dyDescent="0.3">
      <c r="A761">
        <v>760</v>
      </c>
      <c r="B761" t="s">
        <v>169</v>
      </c>
      <c r="C761">
        <v>99019875</v>
      </c>
      <c r="D761" s="7" t="s">
        <v>62</v>
      </c>
      <c r="E761" t="s">
        <v>63</v>
      </c>
      <c r="F761" t="s">
        <v>176</v>
      </c>
      <c r="G761" t="s">
        <v>177</v>
      </c>
      <c r="H761" s="133">
        <v>1000</v>
      </c>
      <c r="I761">
        <v>0</v>
      </c>
      <c r="J761" s="133">
        <v>1000</v>
      </c>
      <c r="K761" s="133">
        <v>33975</v>
      </c>
      <c r="L761" s="133">
        <v>33975</v>
      </c>
      <c r="M761" s="150">
        <v>0.57164351851851858</v>
      </c>
      <c r="N761" s="150">
        <v>0.57165509259259262</v>
      </c>
      <c r="O761" t="s">
        <v>172</v>
      </c>
      <c r="Q761">
        <v>2067911</v>
      </c>
      <c r="R761">
        <v>2067911</v>
      </c>
      <c r="S761">
        <v>2067881</v>
      </c>
      <c r="T761">
        <v>0</v>
      </c>
      <c r="U761" t="s">
        <v>173</v>
      </c>
      <c r="V761">
        <v>0</v>
      </c>
      <c r="W761" t="s">
        <v>174</v>
      </c>
      <c r="X761">
        <v>2067881</v>
      </c>
      <c r="Z761" t="s">
        <v>175</v>
      </c>
      <c r="AA761" t="s">
        <v>173</v>
      </c>
    </row>
    <row r="762" spans="1:27" x14ac:dyDescent="0.3">
      <c r="A762">
        <v>761</v>
      </c>
      <c r="B762" t="s">
        <v>169</v>
      </c>
      <c r="C762">
        <v>99019875</v>
      </c>
      <c r="D762" s="7" t="s">
        <v>77</v>
      </c>
      <c r="E762" t="s">
        <v>78</v>
      </c>
      <c r="F762" t="s">
        <v>176</v>
      </c>
      <c r="G762" t="s">
        <v>177</v>
      </c>
      <c r="H762" s="133">
        <v>1000</v>
      </c>
      <c r="I762">
        <v>0</v>
      </c>
      <c r="J762" s="133">
        <v>1000</v>
      </c>
      <c r="K762" s="133">
        <v>7370</v>
      </c>
      <c r="L762" s="133">
        <v>7370</v>
      </c>
      <c r="M762" s="150">
        <v>0.57199074074074074</v>
      </c>
      <c r="N762" s="150">
        <v>0.57199074074074074</v>
      </c>
      <c r="O762" t="s">
        <v>172</v>
      </c>
      <c r="Q762">
        <v>2071481</v>
      </c>
      <c r="R762">
        <v>2071481</v>
      </c>
      <c r="S762">
        <v>2071405</v>
      </c>
      <c r="T762">
        <v>0</v>
      </c>
      <c r="U762" t="s">
        <v>173</v>
      </c>
      <c r="V762">
        <v>0</v>
      </c>
      <c r="W762" t="s">
        <v>174</v>
      </c>
      <c r="X762">
        <v>2071405</v>
      </c>
      <c r="Z762" t="s">
        <v>175</v>
      </c>
      <c r="AA762" t="s">
        <v>173</v>
      </c>
    </row>
    <row r="763" spans="1:27" x14ac:dyDescent="0.3">
      <c r="A763">
        <v>762</v>
      </c>
      <c r="B763" t="s">
        <v>169</v>
      </c>
      <c r="C763">
        <v>99019875</v>
      </c>
      <c r="D763" s="7" t="s">
        <v>62</v>
      </c>
      <c r="E763" t="s">
        <v>63</v>
      </c>
      <c r="F763" t="s">
        <v>176</v>
      </c>
      <c r="G763" t="s">
        <v>177</v>
      </c>
      <c r="H763" s="133">
        <v>1000</v>
      </c>
      <c r="I763">
        <v>0</v>
      </c>
      <c r="J763" s="133">
        <v>1000</v>
      </c>
      <c r="K763" s="133">
        <v>34005</v>
      </c>
      <c r="L763" s="133">
        <v>34005</v>
      </c>
      <c r="M763" s="150">
        <v>0.57202546296296297</v>
      </c>
      <c r="N763" s="150">
        <v>0.57203703703703701</v>
      </c>
      <c r="O763" t="s">
        <v>172</v>
      </c>
      <c r="Q763">
        <v>2071873</v>
      </c>
      <c r="R763">
        <v>2071873</v>
      </c>
      <c r="S763">
        <v>2071866</v>
      </c>
      <c r="T763">
        <v>0</v>
      </c>
      <c r="U763" t="s">
        <v>173</v>
      </c>
      <c r="V763">
        <v>0</v>
      </c>
      <c r="W763" t="s">
        <v>174</v>
      </c>
      <c r="X763">
        <v>2071866</v>
      </c>
      <c r="Z763" t="s">
        <v>175</v>
      </c>
      <c r="AA763" t="s">
        <v>173</v>
      </c>
    </row>
    <row r="764" spans="1:27" x14ac:dyDescent="0.3">
      <c r="A764">
        <v>763</v>
      </c>
      <c r="B764" t="s">
        <v>169</v>
      </c>
      <c r="C764">
        <v>99019875</v>
      </c>
      <c r="D764" s="7" t="s">
        <v>77</v>
      </c>
      <c r="E764" t="s">
        <v>78</v>
      </c>
      <c r="F764" t="s">
        <v>176</v>
      </c>
      <c r="G764" t="s">
        <v>177</v>
      </c>
      <c r="H764" s="133">
        <v>1000</v>
      </c>
      <c r="I764">
        <v>0</v>
      </c>
      <c r="J764">
        <v>400</v>
      </c>
      <c r="K764" s="133">
        <v>7410</v>
      </c>
      <c r="L764" s="133">
        <v>7410</v>
      </c>
      <c r="M764" s="150">
        <v>0.57246527777777778</v>
      </c>
      <c r="N764" s="150">
        <v>0.57250000000000001</v>
      </c>
      <c r="O764" t="s">
        <v>172</v>
      </c>
      <c r="Q764">
        <v>2077297</v>
      </c>
      <c r="R764">
        <v>2077297</v>
      </c>
      <c r="S764">
        <v>2077278</v>
      </c>
      <c r="T764">
        <v>600</v>
      </c>
      <c r="U764" t="s">
        <v>173</v>
      </c>
      <c r="V764">
        <v>0</v>
      </c>
      <c r="W764" t="s">
        <v>174</v>
      </c>
      <c r="X764">
        <v>2077278</v>
      </c>
      <c r="Z764" t="s">
        <v>175</v>
      </c>
      <c r="AA764" t="s">
        <v>173</v>
      </c>
    </row>
    <row r="765" spans="1:27" x14ac:dyDescent="0.3">
      <c r="A765">
        <v>764</v>
      </c>
      <c r="B765" t="s">
        <v>169</v>
      </c>
      <c r="C765">
        <v>99019875</v>
      </c>
      <c r="D765" s="7" t="s">
        <v>77</v>
      </c>
      <c r="E765" t="s">
        <v>78</v>
      </c>
      <c r="F765" t="s">
        <v>176</v>
      </c>
      <c r="G765" t="s">
        <v>177</v>
      </c>
      <c r="H765" s="133">
        <v>1000</v>
      </c>
      <c r="I765">
        <v>0</v>
      </c>
      <c r="J765" s="133">
        <v>1000</v>
      </c>
      <c r="K765" s="133">
        <v>7415</v>
      </c>
      <c r="L765" s="133">
        <v>7415</v>
      </c>
      <c r="M765" s="150">
        <v>0.5733449074074074</v>
      </c>
      <c r="N765" s="150">
        <v>0.57337962962962963</v>
      </c>
      <c r="O765" t="s">
        <v>172</v>
      </c>
      <c r="Q765">
        <v>2087866</v>
      </c>
      <c r="R765">
        <v>2087866</v>
      </c>
      <c r="S765">
        <v>2087429</v>
      </c>
      <c r="T765">
        <v>0</v>
      </c>
      <c r="U765" t="s">
        <v>173</v>
      </c>
      <c r="V765">
        <v>0</v>
      </c>
      <c r="W765" t="s">
        <v>174</v>
      </c>
      <c r="X765">
        <v>2087429</v>
      </c>
      <c r="Z765" t="s">
        <v>175</v>
      </c>
      <c r="AA765" t="s">
        <v>173</v>
      </c>
    </row>
    <row r="766" spans="1:27" x14ac:dyDescent="0.3">
      <c r="A766">
        <v>765</v>
      </c>
      <c r="B766" t="s">
        <v>169</v>
      </c>
      <c r="C766">
        <v>99019875</v>
      </c>
      <c r="D766" s="7" t="s">
        <v>62</v>
      </c>
      <c r="E766" t="s">
        <v>63</v>
      </c>
      <c r="F766" t="s">
        <v>176</v>
      </c>
      <c r="G766" t="s">
        <v>177</v>
      </c>
      <c r="H766" s="133">
        <v>1000</v>
      </c>
      <c r="I766">
        <v>0</v>
      </c>
      <c r="J766" s="133">
        <v>1000</v>
      </c>
      <c r="K766" s="133">
        <v>34015</v>
      </c>
      <c r="L766" s="133">
        <v>34015</v>
      </c>
      <c r="M766" s="150">
        <v>0.57376157407407413</v>
      </c>
      <c r="N766" s="150">
        <v>0.57377314814814817</v>
      </c>
      <c r="O766" t="s">
        <v>172</v>
      </c>
      <c r="Q766">
        <v>2092773</v>
      </c>
      <c r="R766">
        <v>2092773</v>
      </c>
      <c r="S766">
        <v>2092734</v>
      </c>
      <c r="T766">
        <v>0</v>
      </c>
      <c r="U766" t="s">
        <v>173</v>
      </c>
      <c r="V766">
        <v>0</v>
      </c>
      <c r="W766" t="s">
        <v>174</v>
      </c>
      <c r="X766">
        <v>2092734</v>
      </c>
      <c r="Z766" t="s">
        <v>175</v>
      </c>
      <c r="AA766" t="s">
        <v>173</v>
      </c>
    </row>
    <row r="767" spans="1:27" x14ac:dyDescent="0.3">
      <c r="A767">
        <v>766</v>
      </c>
      <c r="B767" t="s">
        <v>169</v>
      </c>
      <c r="C767">
        <v>99019875</v>
      </c>
      <c r="D767" s="7" t="s">
        <v>69</v>
      </c>
      <c r="E767" t="s">
        <v>70</v>
      </c>
      <c r="F767" t="s">
        <v>176</v>
      </c>
      <c r="G767" t="s">
        <v>177</v>
      </c>
      <c r="H767" s="133">
        <v>1000</v>
      </c>
      <c r="I767">
        <v>0</v>
      </c>
      <c r="J767">
        <v>33</v>
      </c>
      <c r="K767" s="133">
        <v>10295</v>
      </c>
      <c r="L767" s="133">
        <v>10295</v>
      </c>
      <c r="M767" s="150">
        <v>0.57446759259259261</v>
      </c>
      <c r="N767" s="150">
        <v>0.57446759259259261</v>
      </c>
      <c r="O767" t="s">
        <v>172</v>
      </c>
      <c r="Q767">
        <v>2101031</v>
      </c>
      <c r="R767">
        <v>2101031</v>
      </c>
      <c r="S767">
        <v>2101007</v>
      </c>
      <c r="T767">
        <v>967</v>
      </c>
      <c r="U767" t="s">
        <v>173</v>
      </c>
      <c r="V767">
        <v>0</v>
      </c>
      <c r="W767" t="s">
        <v>174</v>
      </c>
      <c r="X767">
        <v>2101007</v>
      </c>
      <c r="Z767" t="s">
        <v>175</v>
      </c>
      <c r="AA767" t="s">
        <v>173</v>
      </c>
    </row>
    <row r="768" spans="1:27" x14ac:dyDescent="0.3">
      <c r="A768">
        <v>767</v>
      </c>
      <c r="B768" t="s">
        <v>180</v>
      </c>
      <c r="C768">
        <v>99019421</v>
      </c>
      <c r="D768" s="7" t="s">
        <v>185</v>
      </c>
      <c r="E768" t="s">
        <v>181</v>
      </c>
      <c r="F768" t="s">
        <v>170</v>
      </c>
      <c r="G768" t="s">
        <v>177</v>
      </c>
      <c r="H768">
        <v>161</v>
      </c>
      <c r="I768">
        <v>0</v>
      </c>
      <c r="J768">
        <v>161</v>
      </c>
      <c r="K768" s="133">
        <v>13760</v>
      </c>
      <c r="L768" s="133">
        <v>13760</v>
      </c>
      <c r="M768" s="150">
        <v>0.57712962962962966</v>
      </c>
      <c r="N768" s="150">
        <v>0.57718749999999996</v>
      </c>
      <c r="O768" t="s">
        <v>172</v>
      </c>
      <c r="Q768">
        <v>2132882</v>
      </c>
      <c r="R768">
        <v>2132882</v>
      </c>
      <c r="S768">
        <v>2130845</v>
      </c>
      <c r="T768">
        <v>0</v>
      </c>
      <c r="U768" t="s">
        <v>173</v>
      </c>
      <c r="V768">
        <v>0</v>
      </c>
      <c r="W768" t="s">
        <v>174</v>
      </c>
      <c r="X768">
        <v>2130845</v>
      </c>
      <c r="Y768" t="s">
        <v>182</v>
      </c>
      <c r="Z768" t="s">
        <v>183</v>
      </c>
      <c r="AA768" t="s">
        <v>173</v>
      </c>
    </row>
    <row r="769" spans="1:27" x14ac:dyDescent="0.3">
      <c r="A769">
        <v>768</v>
      </c>
      <c r="B769" t="s">
        <v>169</v>
      </c>
      <c r="C769">
        <v>99019875</v>
      </c>
      <c r="D769" s="7" t="s">
        <v>77</v>
      </c>
      <c r="E769" t="s">
        <v>78</v>
      </c>
      <c r="F769" t="s">
        <v>176</v>
      </c>
      <c r="G769" t="s">
        <v>177</v>
      </c>
      <c r="H769" s="133">
        <v>1000</v>
      </c>
      <c r="I769">
        <v>0</v>
      </c>
      <c r="J769">
        <v>10</v>
      </c>
      <c r="K769" s="133">
        <v>7350</v>
      </c>
      <c r="L769" s="133">
        <v>7350</v>
      </c>
      <c r="M769" s="150">
        <v>0.57733796296296302</v>
      </c>
      <c r="N769" s="150">
        <v>0.57734953703703706</v>
      </c>
      <c r="O769" t="s">
        <v>172</v>
      </c>
      <c r="Q769">
        <v>2135231</v>
      </c>
      <c r="R769">
        <v>2135231</v>
      </c>
      <c r="S769">
        <v>2135139</v>
      </c>
      <c r="T769">
        <v>990</v>
      </c>
      <c r="U769" t="s">
        <v>173</v>
      </c>
      <c r="V769">
        <v>0</v>
      </c>
      <c r="W769" t="s">
        <v>174</v>
      </c>
      <c r="X769">
        <v>2135139</v>
      </c>
      <c r="Z769" t="s">
        <v>175</v>
      </c>
      <c r="AA769" t="s">
        <v>173</v>
      </c>
    </row>
    <row r="770" spans="1:27" x14ac:dyDescent="0.3">
      <c r="A770">
        <v>769</v>
      </c>
      <c r="B770" t="s">
        <v>169</v>
      </c>
      <c r="C770">
        <v>99019875</v>
      </c>
      <c r="D770" s="7" t="s">
        <v>69</v>
      </c>
      <c r="E770" t="s">
        <v>70</v>
      </c>
      <c r="F770" t="s">
        <v>176</v>
      </c>
      <c r="G770" t="s">
        <v>177</v>
      </c>
      <c r="H770" s="133">
        <v>1000</v>
      </c>
      <c r="I770">
        <v>0</v>
      </c>
      <c r="J770">
        <v>8</v>
      </c>
      <c r="K770" s="133">
        <v>10295</v>
      </c>
      <c r="L770" s="133">
        <v>10295</v>
      </c>
      <c r="M770" s="150">
        <v>0.57855324074074077</v>
      </c>
      <c r="N770" s="150">
        <v>0.57856481481481481</v>
      </c>
      <c r="O770" t="s">
        <v>172</v>
      </c>
      <c r="Q770">
        <v>2149663</v>
      </c>
      <c r="R770">
        <v>2149663</v>
      </c>
      <c r="S770">
        <v>2149367</v>
      </c>
      <c r="T770">
        <v>992</v>
      </c>
      <c r="U770" t="s">
        <v>173</v>
      </c>
      <c r="V770">
        <v>0</v>
      </c>
      <c r="W770" t="s">
        <v>174</v>
      </c>
      <c r="X770">
        <v>2149367</v>
      </c>
      <c r="Z770" t="s">
        <v>175</v>
      </c>
      <c r="AA770" t="s">
        <v>173</v>
      </c>
    </row>
    <row r="771" spans="1:27" x14ac:dyDescent="0.3">
      <c r="A771">
        <v>770</v>
      </c>
      <c r="B771" t="s">
        <v>169</v>
      </c>
      <c r="C771">
        <v>99019875</v>
      </c>
      <c r="D771" s="7" t="s">
        <v>69</v>
      </c>
      <c r="E771" t="s">
        <v>70</v>
      </c>
      <c r="F771" t="s">
        <v>176</v>
      </c>
      <c r="G771" t="s">
        <v>177</v>
      </c>
      <c r="H771" s="133">
        <v>1000</v>
      </c>
      <c r="I771">
        <v>0</v>
      </c>
      <c r="J771" s="133">
        <v>1000</v>
      </c>
      <c r="K771" s="133">
        <v>10315</v>
      </c>
      <c r="L771" s="133">
        <v>10315</v>
      </c>
      <c r="M771" s="150">
        <v>0.57916666666666672</v>
      </c>
      <c r="N771" s="150">
        <v>0.57917824074074076</v>
      </c>
      <c r="O771" t="s">
        <v>172</v>
      </c>
      <c r="Q771">
        <v>2156146</v>
      </c>
      <c r="R771">
        <v>2156146</v>
      </c>
      <c r="S771">
        <v>2155956</v>
      </c>
      <c r="T771">
        <v>0</v>
      </c>
      <c r="U771" t="s">
        <v>173</v>
      </c>
      <c r="V771">
        <v>0</v>
      </c>
      <c r="W771" t="s">
        <v>174</v>
      </c>
      <c r="X771">
        <v>2155956</v>
      </c>
      <c r="Z771" t="s">
        <v>175</v>
      </c>
      <c r="AA771" t="s">
        <v>173</v>
      </c>
    </row>
    <row r="772" spans="1:27" x14ac:dyDescent="0.3">
      <c r="A772">
        <v>771</v>
      </c>
      <c r="B772" t="s">
        <v>169</v>
      </c>
      <c r="C772">
        <v>99019875</v>
      </c>
      <c r="D772" s="7" t="s">
        <v>69</v>
      </c>
      <c r="E772" t="s">
        <v>70</v>
      </c>
      <c r="F772" t="s">
        <v>176</v>
      </c>
      <c r="G772" t="s">
        <v>177</v>
      </c>
      <c r="H772" s="133">
        <v>1000</v>
      </c>
      <c r="I772">
        <v>0</v>
      </c>
      <c r="J772" s="133">
        <v>1000</v>
      </c>
      <c r="K772" s="133">
        <v>10315</v>
      </c>
      <c r="L772" s="133">
        <v>10315</v>
      </c>
      <c r="M772" s="150">
        <v>0.58052083333333326</v>
      </c>
      <c r="N772" s="150">
        <v>0.58053240740740741</v>
      </c>
      <c r="O772" t="s">
        <v>172</v>
      </c>
      <c r="Q772">
        <v>2173315</v>
      </c>
      <c r="R772">
        <v>2173315</v>
      </c>
      <c r="S772">
        <v>2173307</v>
      </c>
      <c r="T772">
        <v>0</v>
      </c>
      <c r="U772" t="s">
        <v>173</v>
      </c>
      <c r="V772">
        <v>0</v>
      </c>
      <c r="W772" t="s">
        <v>174</v>
      </c>
      <c r="X772">
        <v>2173307</v>
      </c>
      <c r="Z772" t="s">
        <v>175</v>
      </c>
      <c r="AA772" t="s">
        <v>173</v>
      </c>
    </row>
    <row r="773" spans="1:27" x14ac:dyDescent="0.3">
      <c r="A773">
        <v>772</v>
      </c>
      <c r="B773" t="s">
        <v>169</v>
      </c>
      <c r="C773">
        <v>99019875</v>
      </c>
      <c r="D773" s="7" t="s">
        <v>69</v>
      </c>
      <c r="E773" t="s">
        <v>70</v>
      </c>
      <c r="F773" t="s">
        <v>176</v>
      </c>
      <c r="G773" t="s">
        <v>177</v>
      </c>
      <c r="H773" s="133">
        <v>1000</v>
      </c>
      <c r="I773">
        <v>0</v>
      </c>
      <c r="J773">
        <v>778</v>
      </c>
      <c r="K773" s="133">
        <v>10295</v>
      </c>
      <c r="L773" s="133">
        <v>10295</v>
      </c>
      <c r="M773" s="150">
        <v>0.58146990740740734</v>
      </c>
      <c r="N773" s="150">
        <v>0.58148148148148149</v>
      </c>
      <c r="O773" t="s">
        <v>172</v>
      </c>
      <c r="Q773">
        <v>2186312</v>
      </c>
      <c r="R773">
        <v>2186312</v>
      </c>
      <c r="S773">
        <v>2186238</v>
      </c>
      <c r="T773">
        <v>222</v>
      </c>
      <c r="U773" t="s">
        <v>173</v>
      </c>
      <c r="V773">
        <v>0</v>
      </c>
      <c r="W773" t="s">
        <v>174</v>
      </c>
      <c r="X773">
        <v>2186238</v>
      </c>
      <c r="Z773" t="s">
        <v>175</v>
      </c>
      <c r="AA773" t="s">
        <v>173</v>
      </c>
    </row>
    <row r="774" spans="1:27" x14ac:dyDescent="0.3">
      <c r="A774">
        <v>773</v>
      </c>
      <c r="B774" t="s">
        <v>169</v>
      </c>
      <c r="C774">
        <v>99019875</v>
      </c>
      <c r="D774" s="7" t="s">
        <v>69</v>
      </c>
      <c r="E774" t="s">
        <v>70</v>
      </c>
      <c r="F774" t="s">
        <v>176</v>
      </c>
      <c r="G774" t="s">
        <v>177</v>
      </c>
      <c r="H774" s="133">
        <v>1000</v>
      </c>
      <c r="I774">
        <v>0</v>
      </c>
      <c r="J774" s="133">
        <v>1000</v>
      </c>
      <c r="K774" s="133">
        <v>10285</v>
      </c>
      <c r="L774" s="133">
        <v>10285</v>
      </c>
      <c r="M774" s="150">
        <v>0.58199074074074075</v>
      </c>
      <c r="N774" s="150">
        <v>0.58199074074074075</v>
      </c>
      <c r="O774" t="s">
        <v>172</v>
      </c>
      <c r="Q774">
        <v>2191666</v>
      </c>
      <c r="R774">
        <v>2191666</v>
      </c>
      <c r="S774">
        <v>2191648</v>
      </c>
      <c r="T774">
        <v>0</v>
      </c>
      <c r="U774" t="s">
        <v>173</v>
      </c>
      <c r="V774">
        <v>0</v>
      </c>
      <c r="W774" t="s">
        <v>174</v>
      </c>
      <c r="X774">
        <v>2191648</v>
      </c>
      <c r="Z774" t="s">
        <v>175</v>
      </c>
      <c r="AA774" t="s">
        <v>173</v>
      </c>
    </row>
    <row r="775" spans="1:27" x14ac:dyDescent="0.3">
      <c r="A775">
        <v>774</v>
      </c>
      <c r="B775" t="s">
        <v>169</v>
      </c>
      <c r="C775">
        <v>99019875</v>
      </c>
      <c r="D775" s="7" t="s">
        <v>69</v>
      </c>
      <c r="E775" t="s">
        <v>70</v>
      </c>
      <c r="F775" t="s">
        <v>176</v>
      </c>
      <c r="G775" t="s">
        <v>177</v>
      </c>
      <c r="H775" s="133">
        <v>1000</v>
      </c>
      <c r="I775">
        <v>0</v>
      </c>
      <c r="J775">
        <v>30</v>
      </c>
      <c r="K775" s="133">
        <v>10290</v>
      </c>
      <c r="L775" s="133">
        <v>10290</v>
      </c>
      <c r="M775" s="150">
        <v>0.5834259259259259</v>
      </c>
      <c r="N775" s="150">
        <v>0.58343749999999994</v>
      </c>
      <c r="O775" t="s">
        <v>172</v>
      </c>
      <c r="Q775">
        <v>2207183</v>
      </c>
      <c r="R775">
        <v>2207183</v>
      </c>
      <c r="S775">
        <v>2206823</v>
      </c>
      <c r="T775">
        <v>970</v>
      </c>
      <c r="U775" t="s">
        <v>173</v>
      </c>
      <c r="V775">
        <v>0</v>
      </c>
      <c r="W775" t="s">
        <v>174</v>
      </c>
      <c r="X775">
        <v>2206823</v>
      </c>
      <c r="Z775" t="s">
        <v>175</v>
      </c>
      <c r="AA775" t="s">
        <v>173</v>
      </c>
    </row>
    <row r="776" spans="1:27" x14ac:dyDescent="0.3">
      <c r="A776">
        <v>775</v>
      </c>
      <c r="B776" t="s">
        <v>169</v>
      </c>
      <c r="C776">
        <v>99019875</v>
      </c>
      <c r="D776" s="7" t="s">
        <v>77</v>
      </c>
      <c r="E776" t="s">
        <v>78</v>
      </c>
      <c r="F776" t="s">
        <v>170</v>
      </c>
      <c r="G776" t="s">
        <v>171</v>
      </c>
      <c r="H776" s="133">
        <v>5000</v>
      </c>
      <c r="I776">
        <v>0</v>
      </c>
      <c r="J776" s="133">
        <v>3914</v>
      </c>
      <c r="K776" s="133">
        <v>7345</v>
      </c>
      <c r="L776" s="133">
        <v>7345</v>
      </c>
      <c r="M776" s="150">
        <v>0.58361111111111108</v>
      </c>
      <c r="N776" s="150">
        <v>0.58365740740740735</v>
      </c>
      <c r="O776" t="s">
        <v>172</v>
      </c>
      <c r="Q776">
        <v>2209808</v>
      </c>
      <c r="R776">
        <v>2209808</v>
      </c>
      <c r="S776">
        <v>0</v>
      </c>
      <c r="T776" s="133">
        <v>1086</v>
      </c>
      <c r="U776" t="s">
        <v>173</v>
      </c>
      <c r="V776">
        <v>0</v>
      </c>
      <c r="W776" t="s">
        <v>174</v>
      </c>
      <c r="X776">
        <v>0</v>
      </c>
      <c r="Z776" t="s">
        <v>173</v>
      </c>
      <c r="AA776" t="s">
        <v>173</v>
      </c>
    </row>
    <row r="777" spans="1:27" x14ac:dyDescent="0.3">
      <c r="A777">
        <v>776</v>
      </c>
      <c r="B777" t="s">
        <v>169</v>
      </c>
      <c r="C777">
        <v>99019875</v>
      </c>
      <c r="D777" s="7" t="s">
        <v>77</v>
      </c>
      <c r="E777" t="s">
        <v>78</v>
      </c>
      <c r="F777" t="s">
        <v>170</v>
      </c>
      <c r="G777" t="s">
        <v>177</v>
      </c>
      <c r="H777" s="133">
        <v>1086</v>
      </c>
      <c r="I777">
        <v>0</v>
      </c>
      <c r="J777" s="133">
        <v>1086</v>
      </c>
      <c r="K777" s="133">
        <v>7350</v>
      </c>
      <c r="L777" s="133">
        <v>7350</v>
      </c>
      <c r="M777" s="150">
        <v>0.58370370370370372</v>
      </c>
      <c r="N777" s="150">
        <v>0.58371527777777776</v>
      </c>
      <c r="O777" t="s">
        <v>172</v>
      </c>
      <c r="Q777">
        <v>2210817</v>
      </c>
      <c r="R777">
        <v>2210817</v>
      </c>
      <c r="S777">
        <v>2209808</v>
      </c>
      <c r="T777">
        <v>0</v>
      </c>
      <c r="U777" t="s">
        <v>173</v>
      </c>
      <c r="V777">
        <v>0</v>
      </c>
      <c r="W777" t="s">
        <v>174</v>
      </c>
      <c r="X777">
        <v>2209808</v>
      </c>
      <c r="Z777" t="s">
        <v>173</v>
      </c>
      <c r="AA777" t="s">
        <v>173</v>
      </c>
    </row>
    <row r="778" spans="1:27" x14ac:dyDescent="0.3">
      <c r="A778">
        <v>777</v>
      </c>
      <c r="B778" t="s">
        <v>169</v>
      </c>
      <c r="C778">
        <v>99019875</v>
      </c>
      <c r="D778" s="7" t="s">
        <v>69</v>
      </c>
      <c r="E778" t="s">
        <v>70</v>
      </c>
      <c r="F778" t="s">
        <v>176</v>
      </c>
      <c r="G778" t="s">
        <v>177</v>
      </c>
      <c r="H778" s="133">
        <v>1000</v>
      </c>
      <c r="I778">
        <v>0</v>
      </c>
      <c r="J778">
        <v>200</v>
      </c>
      <c r="K778" s="133">
        <v>10270</v>
      </c>
      <c r="L778" s="133">
        <v>10270</v>
      </c>
      <c r="M778" s="150">
        <v>0.58392361111111113</v>
      </c>
      <c r="N778" s="150">
        <v>0.58393518518518517</v>
      </c>
      <c r="O778" t="s">
        <v>172</v>
      </c>
      <c r="Q778">
        <v>2213044</v>
      </c>
      <c r="R778">
        <v>2213044</v>
      </c>
      <c r="S778">
        <v>2212979</v>
      </c>
      <c r="T778">
        <v>800</v>
      </c>
      <c r="U778" t="s">
        <v>173</v>
      </c>
      <c r="V778">
        <v>0</v>
      </c>
      <c r="W778" t="s">
        <v>174</v>
      </c>
      <c r="X778">
        <v>2212979</v>
      </c>
      <c r="Z778" t="s">
        <v>175</v>
      </c>
      <c r="AA778" t="s">
        <v>173</v>
      </c>
    </row>
    <row r="779" spans="1:27" x14ac:dyDescent="0.3">
      <c r="A779">
        <v>778</v>
      </c>
      <c r="B779" t="s">
        <v>169</v>
      </c>
      <c r="C779">
        <v>99019875</v>
      </c>
      <c r="D779" s="7" t="s">
        <v>69</v>
      </c>
      <c r="E779" t="s">
        <v>70</v>
      </c>
      <c r="F779" t="s">
        <v>176</v>
      </c>
      <c r="G779" t="s">
        <v>177</v>
      </c>
      <c r="H779" s="133">
        <v>1000</v>
      </c>
      <c r="I779">
        <v>0</v>
      </c>
      <c r="J779">
        <v>292</v>
      </c>
      <c r="K779" s="133">
        <v>10250</v>
      </c>
      <c r="L779" s="133">
        <v>10250</v>
      </c>
      <c r="M779" s="150">
        <v>0.58527777777777779</v>
      </c>
      <c r="N779" s="150">
        <v>0.58530092592592597</v>
      </c>
      <c r="O779" t="s">
        <v>172</v>
      </c>
      <c r="Q779">
        <v>2229028</v>
      </c>
      <c r="R779">
        <v>2229028</v>
      </c>
      <c r="S779">
        <v>2229008</v>
      </c>
      <c r="T779">
        <v>708</v>
      </c>
      <c r="U779" t="s">
        <v>173</v>
      </c>
      <c r="V779">
        <v>0</v>
      </c>
      <c r="W779" t="s">
        <v>174</v>
      </c>
      <c r="X779">
        <v>2229008</v>
      </c>
      <c r="Z779" t="s">
        <v>175</v>
      </c>
      <c r="AA779" t="s">
        <v>173</v>
      </c>
    </row>
    <row r="780" spans="1:27" x14ac:dyDescent="0.3">
      <c r="A780">
        <v>779</v>
      </c>
      <c r="B780" t="s">
        <v>169</v>
      </c>
      <c r="C780">
        <v>99019875</v>
      </c>
      <c r="D780" s="7" t="s">
        <v>69</v>
      </c>
      <c r="E780" t="s">
        <v>70</v>
      </c>
      <c r="F780" t="s">
        <v>176</v>
      </c>
      <c r="G780" t="s">
        <v>177</v>
      </c>
      <c r="H780" s="133">
        <v>1000</v>
      </c>
      <c r="I780">
        <v>0</v>
      </c>
      <c r="J780">
        <v>200</v>
      </c>
      <c r="K780" s="133">
        <v>10250</v>
      </c>
      <c r="L780" s="133">
        <v>10250</v>
      </c>
      <c r="M780" s="150">
        <v>0.58651620370370372</v>
      </c>
      <c r="N780" s="150">
        <v>0.58652777777777776</v>
      </c>
      <c r="O780" t="s">
        <v>172</v>
      </c>
      <c r="Q780">
        <v>2245080</v>
      </c>
      <c r="R780">
        <v>2245080</v>
      </c>
      <c r="S780">
        <v>2244742</v>
      </c>
      <c r="T780">
        <v>800</v>
      </c>
      <c r="U780" t="s">
        <v>173</v>
      </c>
      <c r="V780">
        <v>0</v>
      </c>
      <c r="W780" t="s">
        <v>174</v>
      </c>
      <c r="X780">
        <v>2244742</v>
      </c>
      <c r="Z780" t="s">
        <v>175</v>
      </c>
      <c r="AA780" t="s">
        <v>173</v>
      </c>
    </row>
    <row r="781" spans="1:27" x14ac:dyDescent="0.3">
      <c r="A781">
        <v>780</v>
      </c>
      <c r="B781" t="s">
        <v>169</v>
      </c>
      <c r="C781">
        <v>99019875</v>
      </c>
      <c r="D781" s="7" t="s">
        <v>69</v>
      </c>
      <c r="E781" t="s">
        <v>70</v>
      </c>
      <c r="F781" t="s">
        <v>176</v>
      </c>
      <c r="G781" t="s">
        <v>177</v>
      </c>
      <c r="H781" s="133">
        <v>1000</v>
      </c>
      <c r="I781">
        <v>0</v>
      </c>
      <c r="J781" s="133">
        <v>1000</v>
      </c>
      <c r="K781" s="133">
        <v>10255</v>
      </c>
      <c r="L781" s="133">
        <v>10255</v>
      </c>
      <c r="M781" s="150">
        <v>0.58688657407407407</v>
      </c>
      <c r="N781" s="150">
        <v>0.58688657407407407</v>
      </c>
      <c r="O781" t="s">
        <v>172</v>
      </c>
      <c r="Q781">
        <v>2249538</v>
      </c>
      <c r="R781">
        <v>2249538</v>
      </c>
      <c r="S781">
        <v>2249470</v>
      </c>
      <c r="T781">
        <v>0</v>
      </c>
      <c r="U781" t="s">
        <v>173</v>
      </c>
      <c r="V781">
        <v>0</v>
      </c>
      <c r="W781" t="s">
        <v>174</v>
      </c>
      <c r="X781">
        <v>2249470</v>
      </c>
      <c r="Z781" t="s">
        <v>175</v>
      </c>
      <c r="AA781" t="s">
        <v>173</v>
      </c>
    </row>
    <row r="782" spans="1:27" x14ac:dyDescent="0.3">
      <c r="A782">
        <v>781</v>
      </c>
      <c r="B782" t="s">
        <v>169</v>
      </c>
      <c r="C782">
        <v>99019875</v>
      </c>
      <c r="D782" s="7" t="s">
        <v>114</v>
      </c>
      <c r="E782" t="s">
        <v>115</v>
      </c>
      <c r="F782" t="s">
        <v>170</v>
      </c>
      <c r="G782" t="s">
        <v>177</v>
      </c>
      <c r="H782" s="133">
        <v>1000</v>
      </c>
      <c r="I782">
        <v>0</v>
      </c>
      <c r="J782">
        <v>1</v>
      </c>
      <c r="K782" s="133">
        <v>53600</v>
      </c>
      <c r="L782" s="133">
        <v>53600</v>
      </c>
      <c r="M782" s="150">
        <v>0.58725694444444443</v>
      </c>
      <c r="N782" s="150">
        <v>0.58726851851851858</v>
      </c>
      <c r="O782" t="s">
        <v>172</v>
      </c>
      <c r="Q782">
        <v>2253661</v>
      </c>
      <c r="R782">
        <v>2253661</v>
      </c>
      <c r="S782">
        <v>2253633</v>
      </c>
      <c r="T782">
        <v>999</v>
      </c>
      <c r="U782" t="s">
        <v>173</v>
      </c>
      <c r="V782">
        <v>0</v>
      </c>
      <c r="W782" t="s">
        <v>174</v>
      </c>
      <c r="X782">
        <v>2253633</v>
      </c>
      <c r="Z782" t="s">
        <v>175</v>
      </c>
      <c r="AA782" t="s">
        <v>173</v>
      </c>
    </row>
    <row r="783" spans="1:27" x14ac:dyDescent="0.3">
      <c r="A783">
        <v>782</v>
      </c>
      <c r="B783" t="s">
        <v>169</v>
      </c>
      <c r="C783">
        <v>99019875</v>
      </c>
      <c r="D783" s="7" t="s">
        <v>69</v>
      </c>
      <c r="E783" t="s">
        <v>70</v>
      </c>
      <c r="F783" t="s">
        <v>176</v>
      </c>
      <c r="G783" t="s">
        <v>177</v>
      </c>
      <c r="H783" s="133">
        <v>1000</v>
      </c>
      <c r="I783">
        <v>0</v>
      </c>
      <c r="J783" s="133">
        <v>1000</v>
      </c>
      <c r="K783" s="133">
        <v>10240</v>
      </c>
      <c r="L783" s="133">
        <v>10240</v>
      </c>
      <c r="M783" s="150">
        <v>0.58848379629629632</v>
      </c>
      <c r="N783" s="150">
        <v>0.58849537037037036</v>
      </c>
      <c r="O783" t="s">
        <v>172</v>
      </c>
      <c r="Q783">
        <v>2267642</v>
      </c>
      <c r="R783">
        <v>2267642</v>
      </c>
      <c r="S783">
        <v>2267626</v>
      </c>
      <c r="T783">
        <v>0</v>
      </c>
      <c r="U783" t="s">
        <v>173</v>
      </c>
      <c r="V783">
        <v>0</v>
      </c>
      <c r="W783" t="s">
        <v>174</v>
      </c>
      <c r="X783">
        <v>2267626</v>
      </c>
      <c r="Z783" t="s">
        <v>175</v>
      </c>
      <c r="AA783" t="s">
        <v>173</v>
      </c>
    </row>
    <row r="784" spans="1:27" x14ac:dyDescent="0.3">
      <c r="A784">
        <v>783</v>
      </c>
      <c r="B784" t="s">
        <v>169</v>
      </c>
      <c r="C784">
        <v>99019875</v>
      </c>
      <c r="D784" s="7" t="s">
        <v>69</v>
      </c>
      <c r="E784" t="s">
        <v>70</v>
      </c>
      <c r="F784" t="s">
        <v>176</v>
      </c>
      <c r="G784" t="s">
        <v>177</v>
      </c>
      <c r="H784" s="133">
        <v>1000</v>
      </c>
      <c r="I784">
        <v>0</v>
      </c>
      <c r="J784">
        <v>200</v>
      </c>
      <c r="K784" s="133">
        <v>10255</v>
      </c>
      <c r="L784" s="133">
        <v>10255</v>
      </c>
      <c r="M784" s="150">
        <v>0.58918981481481481</v>
      </c>
      <c r="N784" s="150">
        <v>0.58920138888888884</v>
      </c>
      <c r="O784" t="s">
        <v>172</v>
      </c>
      <c r="Q784">
        <v>2274822</v>
      </c>
      <c r="R784">
        <v>2274822</v>
      </c>
      <c r="S784">
        <v>2274765</v>
      </c>
      <c r="T784">
        <v>800</v>
      </c>
      <c r="U784" t="s">
        <v>173</v>
      </c>
      <c r="V784">
        <v>0</v>
      </c>
      <c r="W784" t="s">
        <v>174</v>
      </c>
      <c r="X784">
        <v>2274765</v>
      </c>
      <c r="Z784" t="s">
        <v>175</v>
      </c>
      <c r="AA784" t="s">
        <v>173</v>
      </c>
    </row>
    <row r="785" spans="1:27" x14ac:dyDescent="0.3">
      <c r="A785">
        <v>784</v>
      </c>
      <c r="B785" t="s">
        <v>169</v>
      </c>
      <c r="C785">
        <v>99019875</v>
      </c>
      <c r="D785" s="7" t="s">
        <v>69</v>
      </c>
      <c r="E785" t="s">
        <v>70</v>
      </c>
      <c r="F785" t="s">
        <v>176</v>
      </c>
      <c r="G785" t="s">
        <v>177</v>
      </c>
      <c r="H785" s="133">
        <v>1000</v>
      </c>
      <c r="I785">
        <v>0</v>
      </c>
      <c r="J785">
        <v>483</v>
      </c>
      <c r="K785" s="133">
        <v>10275</v>
      </c>
      <c r="L785" s="133">
        <v>10275</v>
      </c>
      <c r="M785" s="150">
        <v>0.59065972222222218</v>
      </c>
      <c r="N785" s="150">
        <v>0.59065972222222218</v>
      </c>
      <c r="O785" t="s">
        <v>172</v>
      </c>
      <c r="Q785">
        <v>2291666</v>
      </c>
      <c r="R785">
        <v>2291666</v>
      </c>
      <c r="S785">
        <v>2291634</v>
      </c>
      <c r="T785">
        <v>517</v>
      </c>
      <c r="U785" t="s">
        <v>173</v>
      </c>
      <c r="V785">
        <v>0</v>
      </c>
      <c r="W785" t="s">
        <v>174</v>
      </c>
      <c r="X785">
        <v>2291634</v>
      </c>
      <c r="Z785" t="s">
        <v>175</v>
      </c>
      <c r="AA785" t="s">
        <v>173</v>
      </c>
    </row>
    <row r="786" spans="1:27" x14ac:dyDescent="0.3">
      <c r="A786">
        <v>785</v>
      </c>
      <c r="B786" t="s">
        <v>169</v>
      </c>
      <c r="C786">
        <v>99019875</v>
      </c>
      <c r="D786" s="7" t="s">
        <v>71</v>
      </c>
      <c r="E786" t="s">
        <v>72</v>
      </c>
      <c r="F786" t="s">
        <v>176</v>
      </c>
      <c r="G786" t="s">
        <v>177</v>
      </c>
      <c r="H786" s="133">
        <v>1000</v>
      </c>
      <c r="I786">
        <v>0</v>
      </c>
      <c r="J786">
        <v>1</v>
      </c>
      <c r="K786" s="133">
        <v>18035</v>
      </c>
      <c r="L786" s="133">
        <v>18035</v>
      </c>
      <c r="M786" s="150">
        <v>0.59115740740740741</v>
      </c>
      <c r="N786" s="150">
        <v>0.59116898148148145</v>
      </c>
      <c r="O786" t="s">
        <v>172</v>
      </c>
      <c r="Q786">
        <v>2297542</v>
      </c>
      <c r="R786">
        <v>2297542</v>
      </c>
      <c r="S786">
        <v>2297502</v>
      </c>
      <c r="T786">
        <v>999</v>
      </c>
      <c r="U786" t="s">
        <v>173</v>
      </c>
      <c r="V786">
        <v>0</v>
      </c>
      <c r="W786" t="s">
        <v>174</v>
      </c>
      <c r="X786">
        <v>2297502</v>
      </c>
      <c r="Z786" t="s">
        <v>175</v>
      </c>
      <c r="AA786" t="s">
        <v>173</v>
      </c>
    </row>
    <row r="787" spans="1:27" x14ac:dyDescent="0.3">
      <c r="A787">
        <v>786</v>
      </c>
      <c r="B787" t="s">
        <v>169</v>
      </c>
      <c r="C787">
        <v>99019875</v>
      </c>
      <c r="D787" s="7" t="s">
        <v>114</v>
      </c>
      <c r="E787" t="s">
        <v>115</v>
      </c>
      <c r="F787" t="s">
        <v>170</v>
      </c>
      <c r="G787" t="s">
        <v>177</v>
      </c>
      <c r="H787" s="133">
        <v>1000</v>
      </c>
      <c r="I787">
        <v>0</v>
      </c>
      <c r="J787">
        <v>811</v>
      </c>
      <c r="K787" s="133">
        <v>53730</v>
      </c>
      <c r="L787" s="133">
        <v>53730</v>
      </c>
      <c r="M787" s="150">
        <v>0.59150462962962969</v>
      </c>
      <c r="N787" s="150">
        <v>0.59151620370370372</v>
      </c>
      <c r="O787" t="s">
        <v>172</v>
      </c>
      <c r="Q787">
        <v>2301679</v>
      </c>
      <c r="R787">
        <v>2301679</v>
      </c>
      <c r="S787">
        <v>2301656</v>
      </c>
      <c r="T787">
        <v>189</v>
      </c>
      <c r="U787" t="s">
        <v>173</v>
      </c>
      <c r="V787">
        <v>0</v>
      </c>
      <c r="W787" t="s">
        <v>174</v>
      </c>
      <c r="X787">
        <v>2301656</v>
      </c>
      <c r="Z787" t="s">
        <v>175</v>
      </c>
      <c r="AA787" t="s">
        <v>173</v>
      </c>
    </row>
    <row r="788" spans="1:27" x14ac:dyDescent="0.3">
      <c r="A788">
        <v>787</v>
      </c>
      <c r="B788" t="s">
        <v>169</v>
      </c>
      <c r="C788">
        <v>99019875</v>
      </c>
      <c r="D788" s="7" t="s">
        <v>62</v>
      </c>
      <c r="E788" t="s">
        <v>63</v>
      </c>
      <c r="F788" t="s">
        <v>170</v>
      </c>
      <c r="G788" t="s">
        <v>177</v>
      </c>
      <c r="H788" s="133">
        <v>1000</v>
      </c>
      <c r="I788">
        <v>0</v>
      </c>
      <c r="J788">
        <v>586</v>
      </c>
      <c r="K788" s="133">
        <v>34015</v>
      </c>
      <c r="L788" s="133">
        <v>34015</v>
      </c>
      <c r="M788" s="150">
        <v>0.5916203703703703</v>
      </c>
      <c r="N788" s="150">
        <v>0.5916203703703703</v>
      </c>
      <c r="O788" t="s">
        <v>172</v>
      </c>
      <c r="Q788">
        <v>2302860</v>
      </c>
      <c r="R788">
        <v>2302860</v>
      </c>
      <c r="S788">
        <v>2302855</v>
      </c>
      <c r="T788">
        <v>414</v>
      </c>
      <c r="U788" t="s">
        <v>173</v>
      </c>
      <c r="V788">
        <v>0</v>
      </c>
      <c r="W788" t="s">
        <v>174</v>
      </c>
      <c r="X788">
        <v>2302855</v>
      </c>
      <c r="Z788" t="s">
        <v>175</v>
      </c>
      <c r="AA788" t="s">
        <v>173</v>
      </c>
    </row>
    <row r="789" spans="1:27" x14ac:dyDescent="0.3">
      <c r="A789">
        <v>788</v>
      </c>
      <c r="B789" t="s">
        <v>169</v>
      </c>
      <c r="C789">
        <v>99019875</v>
      </c>
      <c r="D789" s="7" t="s">
        <v>102</v>
      </c>
      <c r="E789" t="s">
        <v>103</v>
      </c>
      <c r="F789" t="s">
        <v>176</v>
      </c>
      <c r="G789" t="s">
        <v>177</v>
      </c>
      <c r="H789" s="133">
        <v>1000</v>
      </c>
      <c r="I789">
        <v>0</v>
      </c>
      <c r="J789">
        <v>10</v>
      </c>
      <c r="K789" s="133">
        <v>26960</v>
      </c>
      <c r="L789" s="133">
        <v>26960</v>
      </c>
      <c r="M789" s="150">
        <v>0.59302083333333333</v>
      </c>
      <c r="N789" s="150">
        <v>0.59302083333333333</v>
      </c>
      <c r="O789" t="s">
        <v>172</v>
      </c>
      <c r="Q789">
        <v>2319763</v>
      </c>
      <c r="R789">
        <v>2319763</v>
      </c>
      <c r="S789">
        <v>2319687</v>
      </c>
      <c r="T789">
        <v>990</v>
      </c>
      <c r="U789" t="s">
        <v>173</v>
      </c>
      <c r="V789">
        <v>0</v>
      </c>
      <c r="W789" t="s">
        <v>174</v>
      </c>
      <c r="X789">
        <v>2319687</v>
      </c>
      <c r="Z789" t="s">
        <v>175</v>
      </c>
      <c r="AA789" t="s">
        <v>173</v>
      </c>
    </row>
    <row r="790" spans="1:27" x14ac:dyDescent="0.3">
      <c r="A790">
        <v>789</v>
      </c>
      <c r="B790" t="s">
        <v>169</v>
      </c>
      <c r="C790">
        <v>99019875</v>
      </c>
      <c r="D790" s="7" t="s">
        <v>102</v>
      </c>
      <c r="E790" t="s">
        <v>103</v>
      </c>
      <c r="F790" t="s">
        <v>176</v>
      </c>
      <c r="G790" t="s">
        <v>177</v>
      </c>
      <c r="H790" s="133">
        <v>1000</v>
      </c>
      <c r="I790">
        <v>0</v>
      </c>
      <c r="J790">
        <v>27</v>
      </c>
      <c r="K790" s="133">
        <v>26955</v>
      </c>
      <c r="L790" s="133">
        <v>26955</v>
      </c>
      <c r="M790" s="150">
        <v>0.59386574074074072</v>
      </c>
      <c r="N790" s="150">
        <v>0.59386574074074072</v>
      </c>
      <c r="O790" t="s">
        <v>172</v>
      </c>
      <c r="Q790">
        <v>2329920</v>
      </c>
      <c r="R790">
        <v>2329920</v>
      </c>
      <c r="S790">
        <v>2329917</v>
      </c>
      <c r="T790">
        <v>973</v>
      </c>
      <c r="U790" t="s">
        <v>173</v>
      </c>
      <c r="V790">
        <v>0</v>
      </c>
      <c r="W790" t="s">
        <v>174</v>
      </c>
      <c r="X790">
        <v>2329917</v>
      </c>
      <c r="Z790" t="s">
        <v>175</v>
      </c>
      <c r="AA790" t="s">
        <v>173</v>
      </c>
    </row>
    <row r="791" spans="1:27" x14ac:dyDescent="0.3">
      <c r="A791">
        <v>790</v>
      </c>
      <c r="B791" t="s">
        <v>169</v>
      </c>
      <c r="C791">
        <v>99019875</v>
      </c>
      <c r="D791" s="7" t="s">
        <v>69</v>
      </c>
      <c r="E791" t="s">
        <v>70</v>
      </c>
      <c r="F791" t="s">
        <v>170</v>
      </c>
      <c r="G791" t="s">
        <v>171</v>
      </c>
      <c r="H791" s="133">
        <v>5000</v>
      </c>
      <c r="I791">
        <v>0</v>
      </c>
      <c r="J791" s="133">
        <v>5000</v>
      </c>
      <c r="K791" s="133">
        <v>10320</v>
      </c>
      <c r="L791" s="133">
        <v>10320</v>
      </c>
      <c r="M791" s="150">
        <v>0.59498842592592593</v>
      </c>
      <c r="N791" s="150">
        <v>0.59499999999999997</v>
      </c>
      <c r="O791" t="s">
        <v>172</v>
      </c>
      <c r="Q791">
        <v>2342824</v>
      </c>
      <c r="R791">
        <v>2342824</v>
      </c>
      <c r="S791">
        <v>0</v>
      </c>
      <c r="T791">
        <v>0</v>
      </c>
      <c r="U791" t="s">
        <v>173</v>
      </c>
      <c r="V791">
        <v>0</v>
      </c>
      <c r="W791" t="s">
        <v>174</v>
      </c>
      <c r="X791">
        <v>0</v>
      </c>
      <c r="Z791" t="s">
        <v>173</v>
      </c>
      <c r="AA791" t="s">
        <v>173</v>
      </c>
    </row>
    <row r="792" spans="1:27" x14ac:dyDescent="0.3">
      <c r="A792">
        <v>791</v>
      </c>
      <c r="B792" t="s">
        <v>169</v>
      </c>
      <c r="C792">
        <v>99019875</v>
      </c>
      <c r="D792" s="7" t="s">
        <v>69</v>
      </c>
      <c r="E792" t="s">
        <v>70</v>
      </c>
      <c r="F792" t="s">
        <v>170</v>
      </c>
      <c r="G792" t="s">
        <v>177</v>
      </c>
      <c r="H792" s="133">
        <v>5000</v>
      </c>
      <c r="I792">
        <v>0</v>
      </c>
      <c r="J792" s="133">
        <v>5000</v>
      </c>
      <c r="K792" s="133">
        <v>10320</v>
      </c>
      <c r="L792" s="133">
        <v>10320</v>
      </c>
      <c r="M792" s="150">
        <v>0.59502314814814816</v>
      </c>
      <c r="N792" s="150">
        <v>0.59518518518518515</v>
      </c>
      <c r="O792" t="s">
        <v>172</v>
      </c>
      <c r="Q792">
        <v>2343178</v>
      </c>
      <c r="R792">
        <v>2343178</v>
      </c>
      <c r="S792">
        <v>2342764</v>
      </c>
      <c r="T792">
        <v>0</v>
      </c>
      <c r="U792" t="s">
        <v>173</v>
      </c>
      <c r="V792">
        <v>0</v>
      </c>
      <c r="W792" t="s">
        <v>174</v>
      </c>
      <c r="X792">
        <v>2342764</v>
      </c>
      <c r="Z792" t="s">
        <v>173</v>
      </c>
      <c r="AA792" t="s">
        <v>173</v>
      </c>
    </row>
    <row r="793" spans="1:27" x14ac:dyDescent="0.3">
      <c r="A793">
        <v>792</v>
      </c>
      <c r="B793" t="s">
        <v>169</v>
      </c>
      <c r="C793">
        <v>99019875</v>
      </c>
      <c r="D793" s="7" t="s">
        <v>75</v>
      </c>
      <c r="E793" t="s">
        <v>76</v>
      </c>
      <c r="F793" t="s">
        <v>176</v>
      </c>
      <c r="G793" t="s">
        <v>177</v>
      </c>
      <c r="H793" s="133">
        <v>1000</v>
      </c>
      <c r="I793">
        <v>0</v>
      </c>
      <c r="J793">
        <v>415</v>
      </c>
      <c r="K793" s="133">
        <v>20770</v>
      </c>
      <c r="L793" s="133">
        <v>20770</v>
      </c>
      <c r="M793" s="150">
        <v>0.59583333333333333</v>
      </c>
      <c r="N793" s="150">
        <v>0.59584490740740736</v>
      </c>
      <c r="O793" t="s">
        <v>172</v>
      </c>
      <c r="Q793">
        <v>2352636</v>
      </c>
      <c r="R793">
        <v>2352636</v>
      </c>
      <c r="S793">
        <v>2352542</v>
      </c>
      <c r="T793">
        <v>585</v>
      </c>
      <c r="U793" t="s">
        <v>173</v>
      </c>
      <c r="V793">
        <v>0</v>
      </c>
      <c r="W793" t="s">
        <v>174</v>
      </c>
      <c r="X793">
        <v>2352542</v>
      </c>
      <c r="Z793" t="s">
        <v>175</v>
      </c>
      <c r="AA793" t="s">
        <v>173</v>
      </c>
    </row>
    <row r="794" spans="1:27" x14ac:dyDescent="0.3">
      <c r="A794">
        <v>793</v>
      </c>
      <c r="B794" t="s">
        <v>169</v>
      </c>
      <c r="C794">
        <v>99019875</v>
      </c>
      <c r="D794" s="7" t="s">
        <v>62</v>
      </c>
      <c r="E794" t="s">
        <v>63</v>
      </c>
      <c r="F794" t="s">
        <v>170</v>
      </c>
      <c r="G794" t="s">
        <v>177</v>
      </c>
      <c r="H794" s="133">
        <v>1000</v>
      </c>
      <c r="I794">
        <v>0</v>
      </c>
      <c r="J794" s="133">
        <v>1000</v>
      </c>
      <c r="K794" s="133">
        <v>34070</v>
      </c>
      <c r="L794" s="133">
        <v>34070</v>
      </c>
      <c r="M794" s="150">
        <v>0.59748842592592599</v>
      </c>
      <c r="N794" s="150">
        <v>0.59748842592592599</v>
      </c>
      <c r="O794" t="s">
        <v>172</v>
      </c>
      <c r="Q794">
        <v>2373937</v>
      </c>
      <c r="R794">
        <v>2373937</v>
      </c>
      <c r="S794">
        <v>2373906</v>
      </c>
      <c r="T794">
        <v>0</v>
      </c>
      <c r="U794" t="s">
        <v>173</v>
      </c>
      <c r="V794">
        <v>0</v>
      </c>
      <c r="W794" t="s">
        <v>174</v>
      </c>
      <c r="X794">
        <v>2373906</v>
      </c>
      <c r="Z794" t="s">
        <v>175</v>
      </c>
      <c r="AA794" t="s">
        <v>173</v>
      </c>
    </row>
    <row r="795" spans="1:27" x14ac:dyDescent="0.3">
      <c r="A795">
        <v>794</v>
      </c>
      <c r="B795" t="s">
        <v>169</v>
      </c>
      <c r="C795">
        <v>99019875</v>
      </c>
      <c r="D795" s="7" t="s">
        <v>102</v>
      </c>
      <c r="E795" t="s">
        <v>103</v>
      </c>
      <c r="F795" t="s">
        <v>176</v>
      </c>
      <c r="G795" t="s">
        <v>177</v>
      </c>
      <c r="H795" s="133">
        <v>1000</v>
      </c>
      <c r="I795">
        <v>0</v>
      </c>
      <c r="J795">
        <v>308</v>
      </c>
      <c r="K795" s="133">
        <v>26955</v>
      </c>
      <c r="L795" s="133">
        <v>26955</v>
      </c>
      <c r="M795" s="150">
        <v>0.59797453703703707</v>
      </c>
      <c r="N795" s="150">
        <v>0.59798611111111111</v>
      </c>
      <c r="O795" t="s">
        <v>172</v>
      </c>
      <c r="Q795">
        <v>2379511</v>
      </c>
      <c r="R795">
        <v>2379511</v>
      </c>
      <c r="S795">
        <v>2379375</v>
      </c>
      <c r="T795">
        <v>692</v>
      </c>
      <c r="U795" t="s">
        <v>173</v>
      </c>
      <c r="V795">
        <v>0</v>
      </c>
      <c r="W795" t="s">
        <v>174</v>
      </c>
      <c r="X795">
        <v>2379375</v>
      </c>
      <c r="Z795" t="s">
        <v>175</v>
      </c>
      <c r="AA795" t="s">
        <v>173</v>
      </c>
    </row>
    <row r="796" spans="1:27" x14ac:dyDescent="0.3">
      <c r="A796">
        <v>795</v>
      </c>
      <c r="B796" t="s">
        <v>169</v>
      </c>
      <c r="C796">
        <v>99019875</v>
      </c>
      <c r="D796" s="7" t="s">
        <v>62</v>
      </c>
      <c r="E796" t="s">
        <v>63</v>
      </c>
      <c r="F796" t="s">
        <v>170</v>
      </c>
      <c r="G796" t="s">
        <v>177</v>
      </c>
      <c r="H796" s="133">
        <v>1000</v>
      </c>
      <c r="I796">
        <v>0</v>
      </c>
      <c r="J796" s="133">
        <v>1000</v>
      </c>
      <c r="K796" s="133">
        <v>34065</v>
      </c>
      <c r="L796" s="133">
        <v>34065</v>
      </c>
      <c r="M796" s="150">
        <v>0.59812500000000002</v>
      </c>
      <c r="N796" s="150">
        <v>0.59812500000000002</v>
      </c>
      <c r="O796" t="s">
        <v>172</v>
      </c>
      <c r="Q796">
        <v>2381359</v>
      </c>
      <c r="R796">
        <v>2381359</v>
      </c>
      <c r="S796">
        <v>2381249</v>
      </c>
      <c r="T796">
        <v>0</v>
      </c>
      <c r="U796" t="s">
        <v>173</v>
      </c>
      <c r="V796">
        <v>0</v>
      </c>
      <c r="W796" t="s">
        <v>174</v>
      </c>
      <c r="X796">
        <v>2381249</v>
      </c>
      <c r="Z796" t="s">
        <v>175</v>
      </c>
      <c r="AA796" t="s">
        <v>173</v>
      </c>
    </row>
    <row r="797" spans="1:27" x14ac:dyDescent="0.3">
      <c r="A797">
        <v>796</v>
      </c>
      <c r="B797" t="s">
        <v>169</v>
      </c>
      <c r="C797">
        <v>99019875</v>
      </c>
      <c r="D797" s="7" t="s">
        <v>75</v>
      </c>
      <c r="E797" t="s">
        <v>76</v>
      </c>
      <c r="F797" t="s">
        <v>176</v>
      </c>
      <c r="G797" t="s">
        <v>177</v>
      </c>
      <c r="H797" s="133">
        <v>1000</v>
      </c>
      <c r="I797">
        <v>0</v>
      </c>
      <c r="J797">
        <v>5</v>
      </c>
      <c r="K797" s="133">
        <v>20765</v>
      </c>
      <c r="L797" s="133">
        <v>20765</v>
      </c>
      <c r="M797" s="150">
        <v>0.59888888888888892</v>
      </c>
      <c r="N797" s="150">
        <v>0.59890046296296295</v>
      </c>
      <c r="O797" t="s">
        <v>172</v>
      </c>
      <c r="Q797">
        <v>2389386</v>
      </c>
      <c r="R797">
        <v>2389386</v>
      </c>
      <c r="S797">
        <v>2389216</v>
      </c>
      <c r="T797">
        <v>995</v>
      </c>
      <c r="U797" t="s">
        <v>173</v>
      </c>
      <c r="V797">
        <v>0</v>
      </c>
      <c r="W797" t="s">
        <v>174</v>
      </c>
      <c r="X797">
        <v>2389216</v>
      </c>
      <c r="Z797" t="s">
        <v>175</v>
      </c>
      <c r="AA797" t="s">
        <v>173</v>
      </c>
    </row>
    <row r="798" spans="1:27" x14ac:dyDescent="0.3">
      <c r="A798">
        <v>797</v>
      </c>
      <c r="B798" t="s">
        <v>169</v>
      </c>
      <c r="C798">
        <v>99019875</v>
      </c>
      <c r="D798" s="7" t="s">
        <v>102</v>
      </c>
      <c r="E798" t="s">
        <v>103</v>
      </c>
      <c r="F798" t="s">
        <v>176</v>
      </c>
      <c r="G798" t="s">
        <v>177</v>
      </c>
      <c r="H798" s="133">
        <v>1000</v>
      </c>
      <c r="I798">
        <v>0</v>
      </c>
      <c r="J798">
        <v>2</v>
      </c>
      <c r="K798" s="133">
        <v>26945</v>
      </c>
      <c r="L798" s="133">
        <v>26945</v>
      </c>
      <c r="M798" s="150">
        <v>0.6004976851851852</v>
      </c>
      <c r="N798" s="150">
        <v>0.60050925925925924</v>
      </c>
      <c r="O798" t="s">
        <v>172</v>
      </c>
      <c r="Q798">
        <v>2407215</v>
      </c>
      <c r="R798">
        <v>2407215</v>
      </c>
      <c r="S798">
        <v>2407208</v>
      </c>
      <c r="T798">
        <v>998</v>
      </c>
      <c r="U798" t="s">
        <v>173</v>
      </c>
      <c r="V798">
        <v>0</v>
      </c>
      <c r="W798" t="s">
        <v>174</v>
      </c>
      <c r="X798">
        <v>2407208</v>
      </c>
      <c r="Z798" t="s">
        <v>175</v>
      </c>
      <c r="AA798" t="s">
        <v>173</v>
      </c>
    </row>
    <row r="799" spans="1:27" x14ac:dyDescent="0.3">
      <c r="A799">
        <v>798</v>
      </c>
      <c r="B799" t="s">
        <v>169</v>
      </c>
      <c r="C799">
        <v>99019875</v>
      </c>
      <c r="D799" s="7" t="s">
        <v>62</v>
      </c>
      <c r="E799" t="s">
        <v>63</v>
      </c>
      <c r="F799" t="s">
        <v>170</v>
      </c>
      <c r="G799" t="s">
        <v>177</v>
      </c>
      <c r="H799" s="133">
        <v>1000</v>
      </c>
      <c r="I799">
        <v>0</v>
      </c>
      <c r="J799" s="133">
        <v>1000</v>
      </c>
      <c r="K799" s="133">
        <v>34110</v>
      </c>
      <c r="L799" s="133">
        <v>34110</v>
      </c>
      <c r="M799" s="150">
        <v>0.60103009259259255</v>
      </c>
      <c r="N799" s="150">
        <v>0.6010416666666667</v>
      </c>
      <c r="O799" t="s">
        <v>172</v>
      </c>
      <c r="Q799">
        <v>2413177</v>
      </c>
      <c r="R799">
        <v>2413177</v>
      </c>
      <c r="S799">
        <v>2413166</v>
      </c>
      <c r="T799">
        <v>0</v>
      </c>
      <c r="U799" t="s">
        <v>173</v>
      </c>
      <c r="V799">
        <v>0</v>
      </c>
      <c r="W799" t="s">
        <v>174</v>
      </c>
      <c r="X799">
        <v>2413166</v>
      </c>
      <c r="Z799" t="s">
        <v>175</v>
      </c>
      <c r="AA799" t="s">
        <v>173</v>
      </c>
    </row>
    <row r="800" spans="1:27" x14ac:dyDescent="0.3">
      <c r="A800">
        <v>799</v>
      </c>
      <c r="B800" t="s">
        <v>169</v>
      </c>
      <c r="C800">
        <v>99019875</v>
      </c>
      <c r="D800" s="7" t="s">
        <v>102</v>
      </c>
      <c r="E800" t="s">
        <v>103</v>
      </c>
      <c r="F800" t="s">
        <v>176</v>
      </c>
      <c r="G800" t="s">
        <v>177</v>
      </c>
      <c r="H800" s="133">
        <v>1000</v>
      </c>
      <c r="I800">
        <v>0</v>
      </c>
      <c r="J800">
        <v>239</v>
      </c>
      <c r="K800" s="133">
        <v>26950</v>
      </c>
      <c r="L800" s="133">
        <v>26950</v>
      </c>
      <c r="M800" s="150">
        <v>0.60121527777777783</v>
      </c>
      <c r="N800" s="150">
        <v>0.60121527777777783</v>
      </c>
      <c r="O800" t="s">
        <v>172</v>
      </c>
      <c r="Q800">
        <v>2414979</v>
      </c>
      <c r="R800">
        <v>2414979</v>
      </c>
      <c r="S800">
        <v>2414882</v>
      </c>
      <c r="T800">
        <v>761</v>
      </c>
      <c r="U800" t="s">
        <v>173</v>
      </c>
      <c r="V800">
        <v>0</v>
      </c>
      <c r="W800" t="s">
        <v>174</v>
      </c>
      <c r="X800">
        <v>2414882</v>
      </c>
      <c r="Z800" t="s">
        <v>175</v>
      </c>
      <c r="AA800" t="s">
        <v>173</v>
      </c>
    </row>
    <row r="801" spans="1:27" x14ac:dyDescent="0.3">
      <c r="A801">
        <v>800</v>
      </c>
      <c r="B801" t="s">
        <v>184</v>
      </c>
      <c r="C801">
        <v>99019870</v>
      </c>
      <c r="D801" s="7" t="s">
        <v>91</v>
      </c>
      <c r="E801" t="s">
        <v>92</v>
      </c>
      <c r="F801" t="s">
        <v>170</v>
      </c>
      <c r="G801" t="s">
        <v>171</v>
      </c>
      <c r="H801" s="133">
        <v>3619</v>
      </c>
      <c r="I801">
        <v>0</v>
      </c>
      <c r="J801">
        <v>12</v>
      </c>
      <c r="K801" s="133">
        <v>19565</v>
      </c>
      <c r="L801" s="133">
        <v>19565</v>
      </c>
      <c r="M801" s="150">
        <v>0.6012615740740741</v>
      </c>
      <c r="N801" s="150">
        <v>0.60127314814814814</v>
      </c>
      <c r="O801" t="s">
        <v>172</v>
      </c>
      <c r="Q801">
        <v>2415473</v>
      </c>
      <c r="R801">
        <v>2415473</v>
      </c>
      <c r="S801">
        <v>0</v>
      </c>
      <c r="T801" s="133">
        <v>3607</v>
      </c>
      <c r="U801" t="s">
        <v>173</v>
      </c>
      <c r="V801">
        <v>0</v>
      </c>
      <c r="W801" t="s">
        <v>174</v>
      </c>
      <c r="X801">
        <v>0</v>
      </c>
      <c r="Z801" t="s">
        <v>173</v>
      </c>
      <c r="AA801" t="s">
        <v>173</v>
      </c>
    </row>
    <row r="802" spans="1:27" x14ac:dyDescent="0.3">
      <c r="A802">
        <v>801</v>
      </c>
      <c r="B802" t="s">
        <v>184</v>
      </c>
      <c r="C802">
        <v>99019870</v>
      </c>
      <c r="D802" s="7" t="s">
        <v>91</v>
      </c>
      <c r="E802" t="s">
        <v>92</v>
      </c>
      <c r="F802" t="s">
        <v>170</v>
      </c>
      <c r="G802" t="s">
        <v>177</v>
      </c>
      <c r="H802" s="133">
        <v>3607</v>
      </c>
      <c r="I802">
        <v>0</v>
      </c>
      <c r="J802" s="133">
        <v>3607</v>
      </c>
      <c r="K802" s="133">
        <v>19570</v>
      </c>
      <c r="L802" s="133">
        <v>19570</v>
      </c>
      <c r="M802" s="150">
        <v>0.60127314814814814</v>
      </c>
      <c r="N802" s="150">
        <v>0.60131944444444441</v>
      </c>
      <c r="O802" t="s">
        <v>172</v>
      </c>
      <c r="Q802">
        <v>2415684</v>
      </c>
      <c r="R802">
        <v>2415684</v>
      </c>
      <c r="S802">
        <v>2415473</v>
      </c>
      <c r="T802">
        <v>0</v>
      </c>
      <c r="U802" t="s">
        <v>173</v>
      </c>
      <c r="V802">
        <v>0</v>
      </c>
      <c r="W802" t="s">
        <v>174</v>
      </c>
      <c r="X802">
        <v>2415473</v>
      </c>
      <c r="Z802" t="s">
        <v>173</v>
      </c>
      <c r="AA802" t="s">
        <v>173</v>
      </c>
    </row>
    <row r="803" spans="1:27" x14ac:dyDescent="0.3">
      <c r="A803">
        <v>802</v>
      </c>
      <c r="B803" t="s">
        <v>169</v>
      </c>
      <c r="C803">
        <v>99019875</v>
      </c>
      <c r="D803" s="7" t="s">
        <v>62</v>
      </c>
      <c r="E803" t="s">
        <v>63</v>
      </c>
      <c r="F803" t="s">
        <v>170</v>
      </c>
      <c r="G803" t="s">
        <v>177</v>
      </c>
      <c r="H803" s="133">
        <v>1000</v>
      </c>
      <c r="I803">
        <v>0</v>
      </c>
      <c r="J803">
        <v>5</v>
      </c>
      <c r="K803" s="133">
        <v>34135</v>
      </c>
      <c r="L803" s="133">
        <v>34135</v>
      </c>
      <c r="M803" s="150">
        <v>0.60142361111111109</v>
      </c>
      <c r="N803" s="150">
        <v>0.60142361111111109</v>
      </c>
      <c r="O803" t="s">
        <v>172</v>
      </c>
      <c r="Q803">
        <v>2417111</v>
      </c>
      <c r="R803">
        <v>2417111</v>
      </c>
      <c r="S803">
        <v>2417084</v>
      </c>
      <c r="T803">
        <v>995</v>
      </c>
      <c r="U803" t="s">
        <v>173</v>
      </c>
      <c r="V803">
        <v>0</v>
      </c>
      <c r="W803" t="s">
        <v>174</v>
      </c>
      <c r="X803">
        <v>2417084</v>
      </c>
      <c r="Z803" t="s">
        <v>175</v>
      </c>
      <c r="AA803" t="s">
        <v>173</v>
      </c>
    </row>
    <row r="804" spans="1:27" x14ac:dyDescent="0.3">
      <c r="A804">
        <v>803</v>
      </c>
      <c r="B804" t="s">
        <v>169</v>
      </c>
      <c r="C804">
        <v>99019875</v>
      </c>
      <c r="D804" s="7" t="s">
        <v>62</v>
      </c>
      <c r="E804" t="s">
        <v>63</v>
      </c>
      <c r="F804" t="s">
        <v>170</v>
      </c>
      <c r="G804" t="s">
        <v>177</v>
      </c>
      <c r="H804" s="133">
        <v>1000</v>
      </c>
      <c r="I804">
        <v>0</v>
      </c>
      <c r="J804" s="133">
        <v>1000</v>
      </c>
      <c r="K804" s="133">
        <v>34135</v>
      </c>
      <c r="L804" s="133">
        <v>34135</v>
      </c>
      <c r="M804" s="150">
        <v>0.60255787037037034</v>
      </c>
      <c r="N804" s="150">
        <v>0.60256944444444438</v>
      </c>
      <c r="O804" t="s">
        <v>172</v>
      </c>
      <c r="Q804">
        <v>2428770</v>
      </c>
      <c r="R804">
        <v>2428770</v>
      </c>
      <c r="S804">
        <v>2428732</v>
      </c>
      <c r="T804">
        <v>0</v>
      </c>
      <c r="U804" t="s">
        <v>173</v>
      </c>
      <c r="V804">
        <v>0</v>
      </c>
      <c r="W804" t="s">
        <v>174</v>
      </c>
      <c r="X804">
        <v>2428732</v>
      </c>
      <c r="Z804" t="s">
        <v>175</v>
      </c>
      <c r="AA804" t="s">
        <v>173</v>
      </c>
    </row>
    <row r="805" spans="1:27" x14ac:dyDescent="0.3">
      <c r="A805">
        <v>804</v>
      </c>
      <c r="B805" t="s">
        <v>169</v>
      </c>
      <c r="C805">
        <v>99019875</v>
      </c>
      <c r="D805" s="7" t="s">
        <v>62</v>
      </c>
      <c r="E805" t="s">
        <v>63</v>
      </c>
      <c r="F805" t="s">
        <v>170</v>
      </c>
      <c r="G805" t="s">
        <v>177</v>
      </c>
      <c r="H805" s="133">
        <v>1000</v>
      </c>
      <c r="I805">
        <v>0</v>
      </c>
      <c r="J805">
        <v>169</v>
      </c>
      <c r="K805" s="133">
        <v>34140</v>
      </c>
      <c r="L805" s="133">
        <v>34140</v>
      </c>
      <c r="M805" s="150">
        <v>0.60425925925925927</v>
      </c>
      <c r="N805" s="150">
        <v>0.60427083333333331</v>
      </c>
      <c r="O805" t="s">
        <v>172</v>
      </c>
      <c r="Q805">
        <v>2445669</v>
      </c>
      <c r="R805">
        <v>2445669</v>
      </c>
      <c r="S805">
        <v>2445650</v>
      </c>
      <c r="T805">
        <v>831</v>
      </c>
      <c r="U805" t="s">
        <v>173</v>
      </c>
      <c r="V805">
        <v>0</v>
      </c>
      <c r="W805" t="s">
        <v>174</v>
      </c>
      <c r="X805">
        <v>2445650</v>
      </c>
      <c r="Z805" t="s">
        <v>175</v>
      </c>
      <c r="AA805" t="s">
        <v>173</v>
      </c>
    </row>
    <row r="806" spans="1:27" x14ac:dyDescent="0.3">
      <c r="A806">
        <v>805</v>
      </c>
      <c r="B806" t="s">
        <v>169</v>
      </c>
      <c r="C806">
        <v>99019875</v>
      </c>
      <c r="D806" s="7" t="s">
        <v>114</v>
      </c>
      <c r="E806" t="s">
        <v>115</v>
      </c>
      <c r="F806" t="s">
        <v>170</v>
      </c>
      <c r="G806" t="s">
        <v>177</v>
      </c>
      <c r="H806" s="133">
        <v>1000</v>
      </c>
      <c r="I806">
        <v>0</v>
      </c>
      <c r="J806">
        <v>10</v>
      </c>
      <c r="K806" s="133">
        <v>53955</v>
      </c>
      <c r="L806" s="133">
        <v>53955</v>
      </c>
      <c r="M806" s="150">
        <v>0.60488425925925926</v>
      </c>
      <c r="N806" s="150">
        <v>0.6048958333333333</v>
      </c>
      <c r="O806" t="s">
        <v>172</v>
      </c>
      <c r="Q806">
        <v>2452569</v>
      </c>
      <c r="R806">
        <v>2452569</v>
      </c>
      <c r="S806">
        <v>2452562</v>
      </c>
      <c r="T806">
        <v>990</v>
      </c>
      <c r="U806" t="s">
        <v>173</v>
      </c>
      <c r="V806">
        <v>0</v>
      </c>
      <c r="W806" t="s">
        <v>174</v>
      </c>
      <c r="X806">
        <v>2452562</v>
      </c>
      <c r="Z806" t="s">
        <v>175</v>
      </c>
      <c r="AA806" t="s">
        <v>173</v>
      </c>
    </row>
    <row r="807" spans="1:27" x14ac:dyDescent="0.3">
      <c r="A807">
        <v>806</v>
      </c>
      <c r="B807" t="s">
        <v>169</v>
      </c>
      <c r="C807">
        <v>99019875</v>
      </c>
      <c r="D807" s="7" t="s">
        <v>87</v>
      </c>
      <c r="E807" t="s">
        <v>88</v>
      </c>
      <c r="F807" t="s">
        <v>176</v>
      </c>
      <c r="G807" t="s">
        <v>177</v>
      </c>
      <c r="H807" s="133">
        <v>1000</v>
      </c>
      <c r="I807">
        <v>0</v>
      </c>
      <c r="J807">
        <v>2</v>
      </c>
      <c r="K807" s="133">
        <v>12205</v>
      </c>
      <c r="L807" s="133">
        <v>12205</v>
      </c>
      <c r="M807" s="150">
        <v>0.6053587962962963</v>
      </c>
      <c r="N807" s="150">
        <v>0.60540509259259256</v>
      </c>
      <c r="O807" t="s">
        <v>172</v>
      </c>
      <c r="Q807">
        <v>2457223</v>
      </c>
      <c r="R807">
        <v>2457223</v>
      </c>
      <c r="S807">
        <v>2456849</v>
      </c>
      <c r="T807">
        <v>998</v>
      </c>
      <c r="U807" t="s">
        <v>173</v>
      </c>
      <c r="V807">
        <v>0</v>
      </c>
      <c r="W807" t="s">
        <v>174</v>
      </c>
      <c r="X807">
        <v>2456849</v>
      </c>
      <c r="Z807" t="s">
        <v>175</v>
      </c>
      <c r="AA807" t="s">
        <v>173</v>
      </c>
    </row>
    <row r="808" spans="1:27" x14ac:dyDescent="0.3">
      <c r="A808">
        <v>807</v>
      </c>
      <c r="B808" t="s">
        <v>169</v>
      </c>
      <c r="C808">
        <v>99019875</v>
      </c>
      <c r="D808" s="7" t="s">
        <v>114</v>
      </c>
      <c r="E808" t="s">
        <v>115</v>
      </c>
      <c r="F808" t="s">
        <v>170</v>
      </c>
      <c r="G808" t="s">
        <v>177</v>
      </c>
      <c r="H808" s="133">
        <v>1000</v>
      </c>
      <c r="I808">
        <v>0</v>
      </c>
      <c r="J808">
        <v>435</v>
      </c>
      <c r="K808" s="133">
        <v>53975</v>
      </c>
      <c r="L808" s="133">
        <v>53975</v>
      </c>
      <c r="M808" s="150">
        <v>0.6053587962962963</v>
      </c>
      <c r="N808" s="150">
        <v>0.60537037037037034</v>
      </c>
      <c r="O808" t="s">
        <v>172</v>
      </c>
      <c r="Q808">
        <v>2457248</v>
      </c>
      <c r="R808">
        <v>2457248</v>
      </c>
      <c r="S808">
        <v>2457193</v>
      </c>
      <c r="T808">
        <v>565</v>
      </c>
      <c r="U808" t="s">
        <v>173</v>
      </c>
      <c r="V808">
        <v>0</v>
      </c>
      <c r="W808" t="s">
        <v>174</v>
      </c>
      <c r="X808">
        <v>2457193</v>
      </c>
      <c r="Z808" t="s">
        <v>175</v>
      </c>
      <c r="AA808" t="s">
        <v>173</v>
      </c>
    </row>
    <row r="809" spans="1:27" x14ac:dyDescent="0.3">
      <c r="A809">
        <v>808</v>
      </c>
      <c r="B809" t="s">
        <v>169</v>
      </c>
      <c r="C809">
        <v>99019875</v>
      </c>
      <c r="D809" s="7" t="s">
        <v>62</v>
      </c>
      <c r="E809" t="s">
        <v>63</v>
      </c>
      <c r="F809" t="s">
        <v>170</v>
      </c>
      <c r="G809" t="s">
        <v>177</v>
      </c>
      <c r="H809" s="133">
        <v>1000</v>
      </c>
      <c r="I809">
        <v>0</v>
      </c>
      <c r="J809">
        <v>819</v>
      </c>
      <c r="K809" s="133">
        <v>34145</v>
      </c>
      <c r="L809" s="133">
        <v>34145</v>
      </c>
      <c r="M809" s="150">
        <v>0.6055208333333334</v>
      </c>
      <c r="N809" s="150">
        <v>0.60553240740740744</v>
      </c>
      <c r="O809" t="s">
        <v>172</v>
      </c>
      <c r="Q809">
        <v>2458899</v>
      </c>
      <c r="R809">
        <v>2458899</v>
      </c>
      <c r="S809">
        <v>2458846</v>
      </c>
      <c r="T809">
        <v>181</v>
      </c>
      <c r="U809" t="s">
        <v>173</v>
      </c>
      <c r="V809">
        <v>0</v>
      </c>
      <c r="W809" t="s">
        <v>174</v>
      </c>
      <c r="X809">
        <v>2458846</v>
      </c>
      <c r="Z809" t="s">
        <v>175</v>
      </c>
      <c r="AA809" t="s">
        <v>173</v>
      </c>
    </row>
    <row r="810" spans="1:27" x14ac:dyDescent="0.3">
      <c r="A810">
        <v>809</v>
      </c>
      <c r="B810" t="s">
        <v>169</v>
      </c>
      <c r="C810">
        <v>99019875</v>
      </c>
      <c r="D810" s="7" t="s">
        <v>81</v>
      </c>
      <c r="E810" t="s">
        <v>82</v>
      </c>
      <c r="F810" t="s">
        <v>170</v>
      </c>
      <c r="G810" t="s">
        <v>177</v>
      </c>
      <c r="H810" s="133">
        <v>1000</v>
      </c>
      <c r="I810">
        <v>0</v>
      </c>
      <c r="J810">
        <v>997</v>
      </c>
      <c r="K810" s="133">
        <v>36500</v>
      </c>
      <c r="L810" s="133">
        <v>36500</v>
      </c>
      <c r="M810" s="150">
        <v>0.60553240740740744</v>
      </c>
      <c r="N810" s="150">
        <v>0.60554398148148147</v>
      </c>
      <c r="O810" t="s">
        <v>172</v>
      </c>
      <c r="Q810">
        <v>2459062</v>
      </c>
      <c r="R810">
        <v>2459062</v>
      </c>
      <c r="S810">
        <v>2459024</v>
      </c>
      <c r="T810">
        <v>3</v>
      </c>
      <c r="U810" t="s">
        <v>173</v>
      </c>
      <c r="V810">
        <v>0</v>
      </c>
      <c r="W810" t="s">
        <v>174</v>
      </c>
      <c r="X810">
        <v>2459024</v>
      </c>
      <c r="Z810" t="s">
        <v>175</v>
      </c>
      <c r="AA810" t="s">
        <v>173</v>
      </c>
    </row>
    <row r="811" spans="1:27" x14ac:dyDescent="0.3">
      <c r="A811">
        <v>810</v>
      </c>
      <c r="B811" t="s">
        <v>169</v>
      </c>
      <c r="C811">
        <v>99019875</v>
      </c>
      <c r="D811" s="7" t="s">
        <v>140</v>
      </c>
      <c r="E811" t="s">
        <v>178</v>
      </c>
      <c r="F811" t="s">
        <v>170</v>
      </c>
      <c r="G811" t="s">
        <v>177</v>
      </c>
      <c r="H811" s="133">
        <v>1000</v>
      </c>
      <c r="I811">
        <v>0</v>
      </c>
      <c r="J811">
        <v>147</v>
      </c>
      <c r="K811" s="133">
        <v>8655</v>
      </c>
      <c r="L811" s="133">
        <v>8655</v>
      </c>
      <c r="M811" s="150">
        <v>0.60579861111111111</v>
      </c>
      <c r="N811" s="150">
        <v>0.60579861111111111</v>
      </c>
      <c r="O811" t="s">
        <v>172</v>
      </c>
      <c r="Q811">
        <v>2461188</v>
      </c>
      <c r="R811">
        <v>2461188</v>
      </c>
      <c r="S811">
        <v>2459406</v>
      </c>
      <c r="T811">
        <v>853</v>
      </c>
      <c r="U811" t="s">
        <v>173</v>
      </c>
      <c r="V811">
        <v>0</v>
      </c>
      <c r="W811" t="s">
        <v>174</v>
      </c>
      <c r="X811">
        <v>2459406</v>
      </c>
      <c r="Z811" t="s">
        <v>175</v>
      </c>
      <c r="AA811" t="s">
        <v>173</v>
      </c>
    </row>
    <row r="812" spans="1:27" x14ac:dyDescent="0.3">
      <c r="A812">
        <v>811</v>
      </c>
      <c r="B812" t="s">
        <v>169</v>
      </c>
      <c r="C812">
        <v>99019875</v>
      </c>
      <c r="D812" s="7" t="s">
        <v>114</v>
      </c>
      <c r="E812" t="s">
        <v>115</v>
      </c>
      <c r="F812" t="s">
        <v>170</v>
      </c>
      <c r="G812" t="s">
        <v>177</v>
      </c>
      <c r="H812" s="133">
        <v>1000</v>
      </c>
      <c r="I812">
        <v>0</v>
      </c>
      <c r="J812" s="133">
        <v>1000</v>
      </c>
      <c r="K812" s="133">
        <v>53910</v>
      </c>
      <c r="L812" s="133">
        <v>53910</v>
      </c>
      <c r="M812" s="150">
        <v>0.60613425925925923</v>
      </c>
      <c r="N812" s="150">
        <v>0.60615740740740742</v>
      </c>
      <c r="O812" t="s">
        <v>172</v>
      </c>
      <c r="Q812">
        <v>2464635</v>
      </c>
      <c r="R812">
        <v>2464635</v>
      </c>
      <c r="S812">
        <v>2464630</v>
      </c>
      <c r="T812">
        <v>0</v>
      </c>
      <c r="U812" t="s">
        <v>173</v>
      </c>
      <c r="V812">
        <v>0</v>
      </c>
      <c r="W812" t="s">
        <v>174</v>
      </c>
      <c r="X812">
        <v>2464630</v>
      </c>
      <c r="Z812" t="s">
        <v>175</v>
      </c>
      <c r="AA812" t="s">
        <v>173</v>
      </c>
    </row>
    <row r="813" spans="1:27" x14ac:dyDescent="0.3">
      <c r="A813">
        <v>812</v>
      </c>
      <c r="B813" t="s">
        <v>169</v>
      </c>
      <c r="C813">
        <v>99019875</v>
      </c>
      <c r="D813" s="7" t="s">
        <v>140</v>
      </c>
      <c r="E813" t="s">
        <v>178</v>
      </c>
      <c r="F813" t="s">
        <v>170</v>
      </c>
      <c r="G813" t="s">
        <v>177</v>
      </c>
      <c r="H813" s="133">
        <v>1000</v>
      </c>
      <c r="I813">
        <v>0</v>
      </c>
      <c r="J813" s="133">
        <v>1000</v>
      </c>
      <c r="K813" s="133">
        <v>8635</v>
      </c>
      <c r="L813" s="133">
        <v>8635</v>
      </c>
      <c r="M813" s="150">
        <v>0.60743055555555558</v>
      </c>
      <c r="N813" s="150">
        <v>0.60744212962962962</v>
      </c>
      <c r="O813" t="s">
        <v>172</v>
      </c>
      <c r="Q813">
        <v>2477887</v>
      </c>
      <c r="R813">
        <v>2477887</v>
      </c>
      <c r="S813">
        <v>2474923</v>
      </c>
      <c r="T813">
        <v>0</v>
      </c>
      <c r="U813" t="s">
        <v>173</v>
      </c>
      <c r="V813">
        <v>0</v>
      </c>
      <c r="W813" t="s">
        <v>174</v>
      </c>
      <c r="X813">
        <v>2474923</v>
      </c>
      <c r="Z813" t="s">
        <v>175</v>
      </c>
      <c r="AA813" t="s">
        <v>173</v>
      </c>
    </row>
    <row r="814" spans="1:27" x14ac:dyDescent="0.3">
      <c r="A814">
        <v>813</v>
      </c>
      <c r="B814" t="s">
        <v>169</v>
      </c>
      <c r="C814">
        <v>99019875</v>
      </c>
      <c r="D814" s="7" t="s">
        <v>87</v>
      </c>
      <c r="E814" t="s">
        <v>88</v>
      </c>
      <c r="F814" t="s">
        <v>176</v>
      </c>
      <c r="G814" t="s">
        <v>177</v>
      </c>
      <c r="H814" s="133">
        <v>1000</v>
      </c>
      <c r="I814">
        <v>0</v>
      </c>
      <c r="J814">
        <v>285</v>
      </c>
      <c r="K814" s="133">
        <v>12190</v>
      </c>
      <c r="L814" s="133">
        <v>12190</v>
      </c>
      <c r="M814" s="150">
        <v>0.60787037037037039</v>
      </c>
      <c r="N814" s="150">
        <v>0.60788194444444443</v>
      </c>
      <c r="O814" t="s">
        <v>172</v>
      </c>
      <c r="Q814">
        <v>2482526</v>
      </c>
      <c r="R814">
        <v>2482526</v>
      </c>
      <c r="S814">
        <v>2482361</v>
      </c>
      <c r="T814">
        <v>715</v>
      </c>
      <c r="U814" t="s">
        <v>173</v>
      </c>
      <c r="V814">
        <v>0</v>
      </c>
      <c r="W814" t="s">
        <v>174</v>
      </c>
      <c r="X814">
        <v>2482361</v>
      </c>
      <c r="Z814" t="s">
        <v>175</v>
      </c>
      <c r="AA814" t="s">
        <v>173</v>
      </c>
    </row>
    <row r="815" spans="1:27" x14ac:dyDescent="0.3">
      <c r="A815">
        <v>814</v>
      </c>
      <c r="B815" t="s">
        <v>169</v>
      </c>
      <c r="C815">
        <v>99019875</v>
      </c>
      <c r="D815" s="7" t="s">
        <v>62</v>
      </c>
      <c r="E815" t="s">
        <v>63</v>
      </c>
      <c r="F815" t="s">
        <v>170</v>
      </c>
      <c r="G815" t="s">
        <v>177</v>
      </c>
      <c r="H815" s="133">
        <v>1000</v>
      </c>
      <c r="I815">
        <v>0</v>
      </c>
      <c r="J815" s="133">
        <v>1000</v>
      </c>
      <c r="K815" s="133">
        <v>34020</v>
      </c>
      <c r="L815" s="133">
        <v>34020</v>
      </c>
      <c r="M815" s="150">
        <v>0.60893518518518519</v>
      </c>
      <c r="N815" s="150">
        <v>0.60894675925925923</v>
      </c>
      <c r="O815" t="s">
        <v>172</v>
      </c>
      <c r="Q815">
        <v>2493567</v>
      </c>
      <c r="R815">
        <v>2493567</v>
      </c>
      <c r="S815">
        <v>2493546</v>
      </c>
      <c r="T815">
        <v>0</v>
      </c>
      <c r="U815" t="s">
        <v>173</v>
      </c>
      <c r="V815">
        <v>0</v>
      </c>
      <c r="W815" t="s">
        <v>174</v>
      </c>
      <c r="X815">
        <v>2493546</v>
      </c>
      <c r="Z815" t="s">
        <v>175</v>
      </c>
      <c r="AA815" t="s">
        <v>173</v>
      </c>
    </row>
    <row r="816" spans="1:27" x14ac:dyDescent="0.3">
      <c r="A816">
        <v>815</v>
      </c>
      <c r="B816" t="s">
        <v>169</v>
      </c>
      <c r="C816">
        <v>99019875</v>
      </c>
      <c r="D816" s="7" t="s">
        <v>85</v>
      </c>
      <c r="E816" t="s">
        <v>86</v>
      </c>
      <c r="F816" t="s">
        <v>170</v>
      </c>
      <c r="G816" t="s">
        <v>171</v>
      </c>
      <c r="H816">
        <v>1</v>
      </c>
      <c r="I816">
        <v>0</v>
      </c>
      <c r="J816">
        <v>1</v>
      </c>
      <c r="K816" s="133">
        <v>4720</v>
      </c>
      <c r="L816" s="133">
        <v>4720</v>
      </c>
      <c r="M816" s="150">
        <v>0.61052083333333329</v>
      </c>
      <c r="N816" s="150">
        <v>0.62395833333333328</v>
      </c>
      <c r="O816" t="s">
        <v>172</v>
      </c>
      <c r="Q816">
        <v>2499391</v>
      </c>
      <c r="R816">
        <v>2499391</v>
      </c>
      <c r="S816">
        <v>0</v>
      </c>
      <c r="T816">
        <v>0</v>
      </c>
      <c r="U816" t="s">
        <v>173</v>
      </c>
      <c r="V816">
        <v>0</v>
      </c>
      <c r="W816" t="s">
        <v>174</v>
      </c>
      <c r="X816">
        <v>0</v>
      </c>
      <c r="Z816" t="s">
        <v>173</v>
      </c>
      <c r="AA816" t="s">
        <v>173</v>
      </c>
    </row>
    <row r="817" spans="1:27" x14ac:dyDescent="0.3">
      <c r="A817">
        <v>816</v>
      </c>
      <c r="B817" t="s">
        <v>169</v>
      </c>
      <c r="C817">
        <v>99019875</v>
      </c>
      <c r="D817" s="7" t="s">
        <v>73</v>
      </c>
      <c r="E817" t="s">
        <v>74</v>
      </c>
      <c r="F817" t="s">
        <v>170</v>
      </c>
      <c r="G817" t="s">
        <v>171</v>
      </c>
      <c r="H817">
        <v>1</v>
      </c>
      <c r="I817">
        <v>0</v>
      </c>
      <c r="J817">
        <v>1</v>
      </c>
      <c r="K817" s="133">
        <v>18575</v>
      </c>
      <c r="L817" s="133">
        <v>18575</v>
      </c>
      <c r="M817" s="150">
        <v>0.61052083333333329</v>
      </c>
      <c r="N817" s="150">
        <v>0.61063657407407412</v>
      </c>
      <c r="O817" t="s">
        <v>172</v>
      </c>
      <c r="Q817">
        <v>2499392</v>
      </c>
      <c r="R817">
        <v>2499392</v>
      </c>
      <c r="S817">
        <v>0</v>
      </c>
      <c r="T817">
        <v>0</v>
      </c>
      <c r="U817" t="s">
        <v>173</v>
      </c>
      <c r="V817">
        <v>0</v>
      </c>
      <c r="W817" t="s">
        <v>174</v>
      </c>
      <c r="X817">
        <v>0</v>
      </c>
      <c r="Z817" t="s">
        <v>173</v>
      </c>
      <c r="AA817" t="s">
        <v>173</v>
      </c>
    </row>
    <row r="818" spans="1:27" x14ac:dyDescent="0.3">
      <c r="A818">
        <v>817</v>
      </c>
      <c r="B818" t="s">
        <v>169</v>
      </c>
      <c r="C818">
        <v>99019875</v>
      </c>
      <c r="D818" s="7" t="s">
        <v>106</v>
      </c>
      <c r="E818" t="s">
        <v>107</v>
      </c>
      <c r="F818" t="s">
        <v>170</v>
      </c>
      <c r="G818" t="s">
        <v>171</v>
      </c>
      <c r="H818">
        <v>1</v>
      </c>
      <c r="I818">
        <v>0</v>
      </c>
      <c r="J818">
        <v>1</v>
      </c>
      <c r="K818" s="133">
        <v>3515</v>
      </c>
      <c r="L818" s="133">
        <v>3515</v>
      </c>
      <c r="M818" s="150">
        <v>0.61052083333333329</v>
      </c>
      <c r="N818" s="150">
        <v>0.61274305555555553</v>
      </c>
      <c r="O818" t="s">
        <v>172</v>
      </c>
      <c r="Q818">
        <v>2499394</v>
      </c>
      <c r="R818">
        <v>2499394</v>
      </c>
      <c r="S818">
        <v>0</v>
      </c>
      <c r="T818">
        <v>0</v>
      </c>
      <c r="U818" t="s">
        <v>173</v>
      </c>
      <c r="V818">
        <v>0</v>
      </c>
      <c r="W818" t="s">
        <v>174</v>
      </c>
      <c r="X818">
        <v>0</v>
      </c>
      <c r="Z818" t="s">
        <v>173</v>
      </c>
      <c r="AA818" t="s">
        <v>173</v>
      </c>
    </row>
    <row r="819" spans="1:27" x14ac:dyDescent="0.3">
      <c r="A819">
        <v>818</v>
      </c>
      <c r="B819" t="s">
        <v>169</v>
      </c>
      <c r="C819">
        <v>99019875</v>
      </c>
      <c r="D819" s="7" t="s">
        <v>120</v>
      </c>
      <c r="E819" t="s">
        <v>121</v>
      </c>
      <c r="F819" t="s">
        <v>176</v>
      </c>
      <c r="G819" t="s">
        <v>171</v>
      </c>
      <c r="H819">
        <v>1</v>
      </c>
      <c r="I819">
        <v>0</v>
      </c>
      <c r="J819">
        <v>1</v>
      </c>
      <c r="K819" s="133">
        <v>22840</v>
      </c>
      <c r="L819" s="133">
        <v>22840</v>
      </c>
      <c r="M819" s="150">
        <v>0.61052083333333329</v>
      </c>
      <c r="N819" s="150">
        <v>0.61170138888888892</v>
      </c>
      <c r="O819" t="s">
        <v>172</v>
      </c>
      <c r="Q819">
        <v>2499395</v>
      </c>
      <c r="R819">
        <v>2499395</v>
      </c>
      <c r="S819">
        <v>0</v>
      </c>
      <c r="T819">
        <v>0</v>
      </c>
      <c r="U819" t="s">
        <v>173</v>
      </c>
      <c r="V819">
        <v>0</v>
      </c>
      <c r="W819" t="s">
        <v>174</v>
      </c>
      <c r="X819">
        <v>0</v>
      </c>
      <c r="Z819" t="s">
        <v>173</v>
      </c>
      <c r="AA819" t="s">
        <v>173</v>
      </c>
    </row>
    <row r="820" spans="1:27" x14ac:dyDescent="0.3">
      <c r="A820">
        <v>819</v>
      </c>
      <c r="B820" t="s">
        <v>169</v>
      </c>
      <c r="C820">
        <v>99019875</v>
      </c>
      <c r="D820" s="7" t="s">
        <v>124</v>
      </c>
      <c r="E820" t="s">
        <v>125</v>
      </c>
      <c r="F820" t="s">
        <v>176</v>
      </c>
      <c r="G820" t="s">
        <v>171</v>
      </c>
      <c r="H820">
        <v>1</v>
      </c>
      <c r="I820">
        <v>0</v>
      </c>
      <c r="J820">
        <v>1</v>
      </c>
      <c r="K820" s="133">
        <v>17525</v>
      </c>
      <c r="L820" s="133">
        <v>17525</v>
      </c>
      <c r="M820" s="150">
        <v>0.61052083333333329</v>
      </c>
      <c r="N820" s="150">
        <v>0.61533564814814812</v>
      </c>
      <c r="O820" t="s">
        <v>172</v>
      </c>
      <c r="Q820">
        <v>2499398</v>
      </c>
      <c r="R820">
        <v>2499398</v>
      </c>
      <c r="S820">
        <v>0</v>
      </c>
      <c r="T820">
        <v>0</v>
      </c>
      <c r="U820" t="s">
        <v>173</v>
      </c>
      <c r="V820">
        <v>0</v>
      </c>
      <c r="W820" t="s">
        <v>174</v>
      </c>
      <c r="X820">
        <v>0</v>
      </c>
      <c r="Z820" t="s">
        <v>173</v>
      </c>
      <c r="AA820" t="s">
        <v>173</v>
      </c>
    </row>
    <row r="821" spans="1:27" x14ac:dyDescent="0.3">
      <c r="A821">
        <v>820</v>
      </c>
      <c r="B821" t="s">
        <v>169</v>
      </c>
      <c r="C821">
        <v>99019875</v>
      </c>
      <c r="D821" s="7" t="s">
        <v>102</v>
      </c>
      <c r="E821" t="s">
        <v>103</v>
      </c>
      <c r="F821" t="s">
        <v>170</v>
      </c>
      <c r="G821" t="s">
        <v>171</v>
      </c>
      <c r="H821">
        <v>53</v>
      </c>
      <c r="I821">
        <v>0</v>
      </c>
      <c r="J821">
        <v>53</v>
      </c>
      <c r="K821" s="133">
        <v>26890</v>
      </c>
      <c r="L821" s="133">
        <v>26890</v>
      </c>
      <c r="M821" s="150">
        <v>0.61053240740740744</v>
      </c>
      <c r="N821" s="150">
        <v>0.61089120370370364</v>
      </c>
      <c r="O821" t="s">
        <v>172</v>
      </c>
      <c r="Q821">
        <v>2499426</v>
      </c>
      <c r="R821">
        <v>2499426</v>
      </c>
      <c r="S821">
        <v>0</v>
      </c>
      <c r="T821">
        <v>0</v>
      </c>
      <c r="U821" t="s">
        <v>173</v>
      </c>
      <c r="V821">
        <v>0</v>
      </c>
      <c r="W821" t="s">
        <v>174</v>
      </c>
      <c r="X821">
        <v>0</v>
      </c>
      <c r="Z821" t="s">
        <v>173</v>
      </c>
      <c r="AA821" t="s">
        <v>173</v>
      </c>
    </row>
    <row r="822" spans="1:27" x14ac:dyDescent="0.3">
      <c r="A822">
        <v>821</v>
      </c>
      <c r="B822" t="s">
        <v>169</v>
      </c>
      <c r="C822">
        <v>99019875</v>
      </c>
      <c r="D822" s="7" t="s">
        <v>75</v>
      </c>
      <c r="E822" t="s">
        <v>76</v>
      </c>
      <c r="F822" t="s">
        <v>170</v>
      </c>
      <c r="G822" t="s">
        <v>171</v>
      </c>
      <c r="H822">
        <v>82</v>
      </c>
      <c r="I822">
        <v>0</v>
      </c>
      <c r="J822">
        <v>82</v>
      </c>
      <c r="K822" s="133">
        <v>20760</v>
      </c>
      <c r="L822" s="133">
        <v>20760</v>
      </c>
      <c r="M822" s="150">
        <v>0.61053240740740744</v>
      </c>
      <c r="N822" s="150">
        <v>0.61085648148148153</v>
      </c>
      <c r="O822" t="s">
        <v>172</v>
      </c>
      <c r="Q822">
        <v>2499427</v>
      </c>
      <c r="R822">
        <v>2499427</v>
      </c>
      <c r="S822">
        <v>0</v>
      </c>
      <c r="T822">
        <v>0</v>
      </c>
      <c r="U822" t="s">
        <v>173</v>
      </c>
      <c r="V822">
        <v>0</v>
      </c>
      <c r="W822" t="s">
        <v>174</v>
      </c>
      <c r="X822">
        <v>0</v>
      </c>
      <c r="Z822" t="s">
        <v>173</v>
      </c>
      <c r="AA822" t="s">
        <v>173</v>
      </c>
    </row>
    <row r="823" spans="1:27" x14ac:dyDescent="0.3">
      <c r="A823">
        <v>822</v>
      </c>
      <c r="B823" t="s">
        <v>169</v>
      </c>
      <c r="C823">
        <v>99019875</v>
      </c>
      <c r="D823" s="7" t="s">
        <v>108</v>
      </c>
      <c r="E823" t="s">
        <v>109</v>
      </c>
      <c r="F823" t="s">
        <v>170</v>
      </c>
      <c r="G823" t="s">
        <v>171</v>
      </c>
      <c r="H823">
        <v>23</v>
      </c>
      <c r="I823">
        <v>0</v>
      </c>
      <c r="J823">
        <v>23</v>
      </c>
      <c r="K823" s="133">
        <v>2715</v>
      </c>
      <c r="L823" s="133">
        <v>2715</v>
      </c>
      <c r="M823" s="150">
        <v>0.61053240740740744</v>
      </c>
      <c r="N823" s="150">
        <v>0.62351851851851847</v>
      </c>
      <c r="O823" t="s">
        <v>172</v>
      </c>
      <c r="Q823">
        <v>2499433</v>
      </c>
      <c r="R823">
        <v>2499433</v>
      </c>
      <c r="S823">
        <v>0</v>
      </c>
      <c r="T823">
        <v>0</v>
      </c>
      <c r="U823" t="s">
        <v>173</v>
      </c>
      <c r="V823">
        <v>0</v>
      </c>
      <c r="W823" t="s">
        <v>174</v>
      </c>
      <c r="X823">
        <v>0</v>
      </c>
      <c r="Z823" t="s">
        <v>173</v>
      </c>
      <c r="AA823" t="s">
        <v>173</v>
      </c>
    </row>
    <row r="824" spans="1:27" x14ac:dyDescent="0.3">
      <c r="A824">
        <v>823</v>
      </c>
      <c r="B824" t="s">
        <v>169</v>
      </c>
      <c r="C824">
        <v>99019875</v>
      </c>
      <c r="D824" s="7" t="s">
        <v>100</v>
      </c>
      <c r="E824" t="s">
        <v>101</v>
      </c>
      <c r="F824" t="s">
        <v>170</v>
      </c>
      <c r="G824" t="s">
        <v>171</v>
      </c>
      <c r="H824">
        <v>4</v>
      </c>
      <c r="I824">
        <v>0</v>
      </c>
      <c r="J824">
        <v>4</v>
      </c>
      <c r="K824" s="133">
        <v>15535</v>
      </c>
      <c r="L824" s="133">
        <v>15535</v>
      </c>
      <c r="M824" s="150">
        <v>0.61053240740740744</v>
      </c>
      <c r="N824" s="150">
        <v>0.6106597222222222</v>
      </c>
      <c r="O824" t="s">
        <v>172</v>
      </c>
      <c r="Q824">
        <v>2499435</v>
      </c>
      <c r="R824">
        <v>2499435</v>
      </c>
      <c r="S824">
        <v>0</v>
      </c>
      <c r="T824">
        <v>0</v>
      </c>
      <c r="U824" t="s">
        <v>173</v>
      </c>
      <c r="V824">
        <v>0</v>
      </c>
      <c r="W824" t="s">
        <v>174</v>
      </c>
      <c r="X824">
        <v>0</v>
      </c>
      <c r="Z824" t="s">
        <v>173</v>
      </c>
      <c r="AA824" t="s">
        <v>173</v>
      </c>
    </row>
    <row r="825" spans="1:27" x14ac:dyDescent="0.3">
      <c r="A825">
        <v>824</v>
      </c>
      <c r="B825" t="s">
        <v>169</v>
      </c>
      <c r="C825">
        <v>99019875</v>
      </c>
      <c r="D825" s="7" t="s">
        <v>110</v>
      </c>
      <c r="E825" t="s">
        <v>179</v>
      </c>
      <c r="F825" t="s">
        <v>170</v>
      </c>
      <c r="G825" t="s">
        <v>171</v>
      </c>
      <c r="H825">
        <v>3</v>
      </c>
      <c r="I825">
        <v>0</v>
      </c>
      <c r="J825">
        <v>3</v>
      </c>
      <c r="K825" s="133">
        <v>48450</v>
      </c>
      <c r="L825" s="133">
        <v>48450</v>
      </c>
      <c r="M825" s="150">
        <v>0.61053240740740744</v>
      </c>
      <c r="N825" s="150">
        <v>0.61067129629629624</v>
      </c>
      <c r="O825" t="s">
        <v>172</v>
      </c>
      <c r="Q825">
        <v>2499437</v>
      </c>
      <c r="R825">
        <v>2499437</v>
      </c>
      <c r="S825">
        <v>0</v>
      </c>
      <c r="T825">
        <v>0</v>
      </c>
      <c r="U825" t="s">
        <v>173</v>
      </c>
      <c r="V825">
        <v>0</v>
      </c>
      <c r="W825" t="s">
        <v>174</v>
      </c>
      <c r="X825">
        <v>0</v>
      </c>
      <c r="Z825" t="s">
        <v>173</v>
      </c>
      <c r="AA825" t="s">
        <v>173</v>
      </c>
    </row>
    <row r="826" spans="1:27" x14ac:dyDescent="0.3">
      <c r="A826">
        <v>825</v>
      </c>
      <c r="B826" t="s">
        <v>169</v>
      </c>
      <c r="C826">
        <v>99019875</v>
      </c>
      <c r="D826" s="7" t="s">
        <v>67</v>
      </c>
      <c r="E826" t="s">
        <v>68</v>
      </c>
      <c r="F826" t="s">
        <v>170</v>
      </c>
      <c r="G826" t="s">
        <v>171</v>
      </c>
      <c r="H826">
        <v>35</v>
      </c>
      <c r="I826">
        <v>0</v>
      </c>
      <c r="J826">
        <v>35</v>
      </c>
      <c r="K826" s="133">
        <v>4805</v>
      </c>
      <c r="L826" s="133">
        <v>4805</v>
      </c>
      <c r="M826" s="150">
        <v>0.61053240740740744</v>
      </c>
      <c r="N826" s="150">
        <v>0.61054398148148148</v>
      </c>
      <c r="O826" t="s">
        <v>172</v>
      </c>
      <c r="Q826">
        <v>2499438</v>
      </c>
      <c r="R826">
        <v>2499438</v>
      </c>
      <c r="S826">
        <v>0</v>
      </c>
      <c r="T826">
        <v>0</v>
      </c>
      <c r="U826" t="s">
        <v>173</v>
      </c>
      <c r="V826">
        <v>0</v>
      </c>
      <c r="W826" t="s">
        <v>174</v>
      </c>
      <c r="X826">
        <v>0</v>
      </c>
      <c r="Z826" t="s">
        <v>173</v>
      </c>
      <c r="AA826" t="s">
        <v>173</v>
      </c>
    </row>
    <row r="827" spans="1:27" x14ac:dyDescent="0.3">
      <c r="A827">
        <v>826</v>
      </c>
      <c r="B827" t="s">
        <v>169</v>
      </c>
      <c r="C827">
        <v>99019875</v>
      </c>
      <c r="D827" s="7" t="s">
        <v>69</v>
      </c>
      <c r="E827" t="s">
        <v>70</v>
      </c>
      <c r="F827" t="s">
        <v>170</v>
      </c>
      <c r="G827" t="s">
        <v>171</v>
      </c>
      <c r="H827">
        <v>16</v>
      </c>
      <c r="I827">
        <v>0</v>
      </c>
      <c r="J827">
        <v>16</v>
      </c>
      <c r="K827" s="133">
        <v>10260</v>
      </c>
      <c r="L827" s="133">
        <v>10260</v>
      </c>
      <c r="M827" s="150">
        <v>0.61053240740740744</v>
      </c>
      <c r="N827" s="150">
        <v>0.61070601851851858</v>
      </c>
      <c r="O827" t="s">
        <v>172</v>
      </c>
      <c r="Q827">
        <v>2499439</v>
      </c>
      <c r="R827">
        <v>2499439</v>
      </c>
      <c r="S827">
        <v>0</v>
      </c>
      <c r="T827">
        <v>0</v>
      </c>
      <c r="U827" t="s">
        <v>173</v>
      </c>
      <c r="V827">
        <v>0</v>
      </c>
      <c r="W827" t="s">
        <v>174</v>
      </c>
      <c r="X827">
        <v>0</v>
      </c>
      <c r="Z827" t="s">
        <v>173</v>
      </c>
      <c r="AA827" t="s">
        <v>173</v>
      </c>
    </row>
    <row r="828" spans="1:27" x14ac:dyDescent="0.3">
      <c r="A828">
        <v>827</v>
      </c>
      <c r="B828" t="s">
        <v>169</v>
      </c>
      <c r="C828">
        <v>99019875</v>
      </c>
      <c r="D828" s="7" t="s">
        <v>140</v>
      </c>
      <c r="E828" t="s">
        <v>178</v>
      </c>
      <c r="F828" t="s">
        <v>170</v>
      </c>
      <c r="G828" t="s">
        <v>171</v>
      </c>
      <c r="H828">
        <v>19</v>
      </c>
      <c r="I828">
        <v>0</v>
      </c>
      <c r="J828">
        <v>19</v>
      </c>
      <c r="K828" s="133">
        <v>8615</v>
      </c>
      <c r="L828" s="133">
        <v>8615</v>
      </c>
      <c r="M828" s="150">
        <v>0.61053240740740744</v>
      </c>
      <c r="N828" s="150">
        <v>0.61067129629629624</v>
      </c>
      <c r="O828" t="s">
        <v>172</v>
      </c>
      <c r="Q828">
        <v>2499440</v>
      </c>
      <c r="R828">
        <v>2499440</v>
      </c>
      <c r="S828">
        <v>0</v>
      </c>
      <c r="T828">
        <v>0</v>
      </c>
      <c r="U828" t="s">
        <v>173</v>
      </c>
      <c r="V828">
        <v>0</v>
      </c>
      <c r="W828" t="s">
        <v>174</v>
      </c>
      <c r="X828">
        <v>0</v>
      </c>
      <c r="Z828" t="s">
        <v>173</v>
      </c>
      <c r="AA828" t="s">
        <v>173</v>
      </c>
    </row>
    <row r="829" spans="1:27" x14ac:dyDescent="0.3">
      <c r="A829">
        <v>828</v>
      </c>
      <c r="B829" t="s">
        <v>169</v>
      </c>
      <c r="C829">
        <v>99019875</v>
      </c>
      <c r="D829" s="7" t="s">
        <v>65</v>
      </c>
      <c r="E829" t="s">
        <v>66</v>
      </c>
      <c r="F829" t="s">
        <v>176</v>
      </c>
      <c r="G829" t="s">
        <v>171</v>
      </c>
      <c r="H829">
        <v>57</v>
      </c>
      <c r="I829">
        <v>0</v>
      </c>
      <c r="J829">
        <v>57</v>
      </c>
      <c r="K829" s="133">
        <v>4755</v>
      </c>
      <c r="L829" s="133">
        <v>4755</v>
      </c>
      <c r="M829" s="150">
        <v>0.61053240740740744</v>
      </c>
      <c r="N829" s="150">
        <v>0.61277777777777775</v>
      </c>
      <c r="O829" t="s">
        <v>172</v>
      </c>
      <c r="Q829">
        <v>2499443</v>
      </c>
      <c r="R829">
        <v>2499443</v>
      </c>
      <c r="S829">
        <v>0</v>
      </c>
      <c r="T829">
        <v>0</v>
      </c>
      <c r="U829" t="s">
        <v>173</v>
      </c>
      <c r="V829">
        <v>0</v>
      </c>
      <c r="W829" t="s">
        <v>174</v>
      </c>
      <c r="X829">
        <v>0</v>
      </c>
      <c r="Z829" t="s">
        <v>173</v>
      </c>
      <c r="AA829" t="s">
        <v>173</v>
      </c>
    </row>
    <row r="830" spans="1:27" x14ac:dyDescent="0.3">
      <c r="A830">
        <v>829</v>
      </c>
      <c r="B830" t="s">
        <v>169</v>
      </c>
      <c r="C830">
        <v>99019875</v>
      </c>
      <c r="D830" s="7" t="s">
        <v>71</v>
      </c>
      <c r="E830" t="s">
        <v>72</v>
      </c>
      <c r="F830" t="s">
        <v>176</v>
      </c>
      <c r="G830" t="s">
        <v>171</v>
      </c>
      <c r="H830">
        <v>18</v>
      </c>
      <c r="I830">
        <v>0</v>
      </c>
      <c r="J830">
        <v>18</v>
      </c>
      <c r="K830" s="133">
        <v>18005</v>
      </c>
      <c r="L830" s="133">
        <v>18005</v>
      </c>
      <c r="M830" s="150">
        <v>0.61053240740740744</v>
      </c>
      <c r="N830" s="150">
        <v>0.61094907407407406</v>
      </c>
      <c r="O830" t="s">
        <v>172</v>
      </c>
      <c r="Q830">
        <v>2499444</v>
      </c>
      <c r="R830">
        <v>2499444</v>
      </c>
      <c r="S830">
        <v>0</v>
      </c>
      <c r="T830">
        <v>0</v>
      </c>
      <c r="U830" t="s">
        <v>173</v>
      </c>
      <c r="V830">
        <v>0</v>
      </c>
      <c r="W830" t="s">
        <v>174</v>
      </c>
      <c r="X830">
        <v>0</v>
      </c>
      <c r="Z830" t="s">
        <v>173</v>
      </c>
      <c r="AA830" t="s">
        <v>173</v>
      </c>
    </row>
    <row r="831" spans="1:27" x14ac:dyDescent="0.3">
      <c r="A831">
        <v>830</v>
      </c>
      <c r="B831" t="s">
        <v>169</v>
      </c>
      <c r="C831">
        <v>99019875</v>
      </c>
      <c r="D831" s="7" t="s">
        <v>62</v>
      </c>
      <c r="E831" t="s">
        <v>63</v>
      </c>
      <c r="F831" t="s">
        <v>176</v>
      </c>
      <c r="G831" t="s">
        <v>177</v>
      </c>
      <c r="H831">
        <v>88</v>
      </c>
      <c r="I831">
        <v>0</v>
      </c>
      <c r="J831">
        <v>88</v>
      </c>
      <c r="K831" s="133">
        <v>33985</v>
      </c>
      <c r="L831" s="133">
        <v>33985</v>
      </c>
      <c r="M831" s="150">
        <v>0.61061342592592593</v>
      </c>
      <c r="N831" s="150">
        <v>0.61070601851851858</v>
      </c>
      <c r="O831" t="s">
        <v>172</v>
      </c>
      <c r="Q831">
        <v>2499621</v>
      </c>
      <c r="R831">
        <v>2499621</v>
      </c>
      <c r="S831">
        <v>2499431</v>
      </c>
      <c r="T831">
        <v>0</v>
      </c>
      <c r="U831" t="s">
        <v>173</v>
      </c>
      <c r="V831">
        <v>0</v>
      </c>
      <c r="W831" t="s">
        <v>174</v>
      </c>
      <c r="X831">
        <v>2499431</v>
      </c>
      <c r="Z831" t="s">
        <v>173</v>
      </c>
      <c r="AA831" t="s">
        <v>173</v>
      </c>
    </row>
    <row r="832" spans="1:27" x14ac:dyDescent="0.3">
      <c r="A832">
        <v>831</v>
      </c>
      <c r="B832" t="s">
        <v>169</v>
      </c>
      <c r="C832">
        <v>99019875</v>
      </c>
      <c r="D832" s="7" t="s">
        <v>126</v>
      </c>
      <c r="E832" t="s">
        <v>127</v>
      </c>
      <c r="F832" t="s">
        <v>176</v>
      </c>
      <c r="G832" t="s">
        <v>177</v>
      </c>
      <c r="H832">
        <v>1</v>
      </c>
      <c r="I832">
        <v>0</v>
      </c>
      <c r="J832">
        <v>1</v>
      </c>
      <c r="K832" s="133">
        <v>12325</v>
      </c>
      <c r="L832" s="133">
        <v>12325</v>
      </c>
      <c r="M832" s="150">
        <v>0.61063657407407412</v>
      </c>
      <c r="N832" s="150">
        <v>0.61089120370370364</v>
      </c>
      <c r="O832" t="s">
        <v>172</v>
      </c>
      <c r="Q832">
        <v>2499689</v>
      </c>
      <c r="R832">
        <v>2499689</v>
      </c>
      <c r="S832">
        <v>2499399</v>
      </c>
      <c r="T832">
        <v>0</v>
      </c>
      <c r="U832" t="s">
        <v>173</v>
      </c>
      <c r="V832">
        <v>0</v>
      </c>
      <c r="W832" t="s">
        <v>174</v>
      </c>
      <c r="X832">
        <v>2499399</v>
      </c>
      <c r="Z832" t="s">
        <v>173</v>
      </c>
      <c r="AA832" t="s">
        <v>173</v>
      </c>
    </row>
    <row r="833" spans="1:27" x14ac:dyDescent="0.3">
      <c r="A833">
        <v>832</v>
      </c>
      <c r="B833" t="s">
        <v>169</v>
      </c>
      <c r="C833">
        <v>99019875</v>
      </c>
      <c r="D833" s="7" t="s">
        <v>118</v>
      </c>
      <c r="E833" t="s">
        <v>119</v>
      </c>
      <c r="F833" t="s">
        <v>176</v>
      </c>
      <c r="G833" t="s">
        <v>177</v>
      </c>
      <c r="H833">
        <v>19</v>
      </c>
      <c r="I833">
        <v>0</v>
      </c>
      <c r="J833">
        <v>19</v>
      </c>
      <c r="K833" s="133">
        <v>12415</v>
      </c>
      <c r="L833" s="133">
        <v>12415</v>
      </c>
      <c r="M833" s="150">
        <v>0.61064814814814816</v>
      </c>
      <c r="N833" s="150">
        <v>0.61119212962962965</v>
      </c>
      <c r="O833" t="s">
        <v>172</v>
      </c>
      <c r="Q833">
        <v>2499711</v>
      </c>
      <c r="R833">
        <v>2499711</v>
      </c>
      <c r="S833">
        <v>2499442</v>
      </c>
      <c r="T833">
        <v>0</v>
      </c>
      <c r="U833" t="s">
        <v>173</v>
      </c>
      <c r="V833">
        <v>0</v>
      </c>
      <c r="W833" t="s">
        <v>174</v>
      </c>
      <c r="X833">
        <v>2499442</v>
      </c>
      <c r="Z833" t="s">
        <v>173</v>
      </c>
      <c r="AA833" t="s">
        <v>173</v>
      </c>
    </row>
    <row r="834" spans="1:27" x14ac:dyDescent="0.3">
      <c r="A834">
        <v>833</v>
      </c>
      <c r="B834" t="s">
        <v>169</v>
      </c>
      <c r="C834">
        <v>99019875</v>
      </c>
      <c r="D834" s="7" t="s">
        <v>89</v>
      </c>
      <c r="E834" t="s">
        <v>90</v>
      </c>
      <c r="F834" t="s">
        <v>176</v>
      </c>
      <c r="G834" t="s">
        <v>177</v>
      </c>
      <c r="H834">
        <v>30</v>
      </c>
      <c r="I834">
        <v>0</v>
      </c>
      <c r="J834">
        <v>30</v>
      </c>
      <c r="K834" s="133">
        <v>3095</v>
      </c>
      <c r="L834" s="133">
        <v>3095</v>
      </c>
      <c r="M834" s="150">
        <v>0.61064814814814816</v>
      </c>
      <c r="N834" s="150">
        <v>0.61099537037037044</v>
      </c>
      <c r="O834" t="s">
        <v>172</v>
      </c>
      <c r="Q834">
        <v>2499714</v>
      </c>
      <c r="R834">
        <v>2499714</v>
      </c>
      <c r="S834">
        <v>2499436</v>
      </c>
      <c r="T834">
        <v>0</v>
      </c>
      <c r="U834" t="s">
        <v>173</v>
      </c>
      <c r="V834">
        <v>0</v>
      </c>
      <c r="W834" t="s">
        <v>174</v>
      </c>
      <c r="X834">
        <v>2499436</v>
      </c>
      <c r="Z834" t="s">
        <v>173</v>
      </c>
      <c r="AA834" t="s">
        <v>173</v>
      </c>
    </row>
    <row r="835" spans="1:27" x14ac:dyDescent="0.3">
      <c r="A835">
        <v>834</v>
      </c>
      <c r="B835" t="s">
        <v>169</v>
      </c>
      <c r="C835">
        <v>99019875</v>
      </c>
      <c r="D835" s="7" t="s">
        <v>81</v>
      </c>
      <c r="E835" t="s">
        <v>82</v>
      </c>
      <c r="F835" t="s">
        <v>176</v>
      </c>
      <c r="G835" t="s">
        <v>177</v>
      </c>
      <c r="H835">
        <v>75</v>
      </c>
      <c r="I835">
        <v>0</v>
      </c>
      <c r="J835">
        <v>75</v>
      </c>
      <c r="K835" s="133">
        <v>36385</v>
      </c>
      <c r="L835" s="133">
        <v>36385</v>
      </c>
      <c r="M835" s="150">
        <v>0.61081018518518515</v>
      </c>
      <c r="N835" s="150">
        <v>0.61100694444444448</v>
      </c>
      <c r="O835" t="s">
        <v>172</v>
      </c>
      <c r="Q835">
        <v>2500078</v>
      </c>
      <c r="R835">
        <v>2500078</v>
      </c>
      <c r="S835">
        <v>2499653</v>
      </c>
      <c r="T835">
        <v>0</v>
      </c>
      <c r="U835" t="s">
        <v>173</v>
      </c>
      <c r="V835">
        <v>0</v>
      </c>
      <c r="W835" t="s">
        <v>174</v>
      </c>
      <c r="X835">
        <v>2499653</v>
      </c>
      <c r="Z835" t="s">
        <v>173</v>
      </c>
      <c r="AA835" t="s">
        <v>173</v>
      </c>
    </row>
    <row r="836" spans="1:27" x14ac:dyDescent="0.3">
      <c r="A836">
        <v>835</v>
      </c>
      <c r="B836" t="s">
        <v>169</v>
      </c>
      <c r="C836">
        <v>99019875</v>
      </c>
      <c r="D836" s="7" t="s">
        <v>126</v>
      </c>
      <c r="E836" t="s">
        <v>127</v>
      </c>
      <c r="F836" t="s">
        <v>176</v>
      </c>
      <c r="G836" t="s">
        <v>171</v>
      </c>
      <c r="H836">
        <v>2</v>
      </c>
      <c r="I836">
        <v>0</v>
      </c>
      <c r="J836">
        <v>2</v>
      </c>
      <c r="K836" s="133">
        <v>12325</v>
      </c>
      <c r="L836" s="133">
        <v>12325</v>
      </c>
      <c r="M836" s="150">
        <v>0.61082175925925919</v>
      </c>
      <c r="N836" s="150">
        <v>0.61089120370370364</v>
      </c>
      <c r="O836" t="s">
        <v>172</v>
      </c>
      <c r="Q836">
        <v>2500085</v>
      </c>
      <c r="R836">
        <v>2500085</v>
      </c>
      <c r="S836">
        <v>0</v>
      </c>
      <c r="T836">
        <v>0</v>
      </c>
      <c r="U836" t="s">
        <v>173</v>
      </c>
      <c r="V836">
        <v>0</v>
      </c>
      <c r="W836" t="s">
        <v>174</v>
      </c>
      <c r="X836">
        <v>0</v>
      </c>
      <c r="Z836" t="s">
        <v>173</v>
      </c>
      <c r="AA836" t="s">
        <v>173</v>
      </c>
    </row>
    <row r="837" spans="1:27" x14ac:dyDescent="0.3">
      <c r="A837">
        <v>836</v>
      </c>
      <c r="B837" t="s">
        <v>169</v>
      </c>
      <c r="C837">
        <v>99019875</v>
      </c>
      <c r="D837" s="7" t="s">
        <v>62</v>
      </c>
      <c r="E837" t="s">
        <v>63</v>
      </c>
      <c r="F837" t="s">
        <v>176</v>
      </c>
      <c r="G837" t="s">
        <v>171</v>
      </c>
      <c r="H837">
        <v>89</v>
      </c>
      <c r="I837">
        <v>0</v>
      </c>
      <c r="J837">
        <v>1</v>
      </c>
      <c r="K837" s="133">
        <v>33980</v>
      </c>
      <c r="L837" s="133">
        <v>33980</v>
      </c>
      <c r="M837" s="150">
        <v>0.61083333333333334</v>
      </c>
      <c r="N837" s="150">
        <v>0.61083333333333334</v>
      </c>
      <c r="O837" t="s">
        <v>172</v>
      </c>
      <c r="Q837">
        <v>2500117</v>
      </c>
      <c r="R837">
        <v>2500117</v>
      </c>
      <c r="S837">
        <v>0</v>
      </c>
      <c r="T837">
        <v>88</v>
      </c>
      <c r="U837" t="s">
        <v>173</v>
      </c>
      <c r="V837">
        <v>0</v>
      </c>
      <c r="W837" t="s">
        <v>174</v>
      </c>
      <c r="X837">
        <v>0</v>
      </c>
      <c r="Z837" t="s">
        <v>173</v>
      </c>
      <c r="AA837" t="s">
        <v>173</v>
      </c>
    </row>
    <row r="838" spans="1:27" x14ac:dyDescent="0.3">
      <c r="A838">
        <v>837</v>
      </c>
      <c r="B838" t="s">
        <v>169</v>
      </c>
      <c r="C838">
        <v>99019875</v>
      </c>
      <c r="D838" s="7" t="s">
        <v>81</v>
      </c>
      <c r="E838" t="s">
        <v>82</v>
      </c>
      <c r="F838" t="s">
        <v>176</v>
      </c>
      <c r="G838" t="s">
        <v>171</v>
      </c>
      <c r="H838">
        <v>75</v>
      </c>
      <c r="I838">
        <v>0</v>
      </c>
      <c r="J838">
        <v>75</v>
      </c>
      <c r="K838" s="133">
        <v>36385</v>
      </c>
      <c r="L838" s="133">
        <v>36385</v>
      </c>
      <c r="M838" s="150">
        <v>0.61083333333333334</v>
      </c>
      <c r="N838" s="150">
        <v>0.61100694444444448</v>
      </c>
      <c r="O838" t="s">
        <v>172</v>
      </c>
      <c r="Q838">
        <v>2500120</v>
      </c>
      <c r="R838">
        <v>2500120</v>
      </c>
      <c r="S838">
        <v>0</v>
      </c>
      <c r="T838">
        <v>0</v>
      </c>
      <c r="U838" t="s">
        <v>173</v>
      </c>
      <c r="V838">
        <v>0</v>
      </c>
      <c r="W838" t="s">
        <v>174</v>
      </c>
      <c r="X838">
        <v>0</v>
      </c>
      <c r="Z838" t="s">
        <v>173</v>
      </c>
      <c r="AA838" t="s">
        <v>173</v>
      </c>
    </row>
    <row r="839" spans="1:27" x14ac:dyDescent="0.3">
      <c r="A839">
        <v>838</v>
      </c>
      <c r="B839" t="s">
        <v>169</v>
      </c>
      <c r="C839">
        <v>99019875</v>
      </c>
      <c r="D839" s="7" t="s">
        <v>75</v>
      </c>
      <c r="E839" t="s">
        <v>76</v>
      </c>
      <c r="F839" t="s">
        <v>170</v>
      </c>
      <c r="G839" t="s">
        <v>171</v>
      </c>
      <c r="H839">
        <v>83</v>
      </c>
      <c r="I839">
        <v>0</v>
      </c>
      <c r="J839">
        <v>83</v>
      </c>
      <c r="K839" s="133">
        <v>20760</v>
      </c>
      <c r="L839" s="133">
        <v>20760</v>
      </c>
      <c r="M839" s="150">
        <v>0.61083333333333334</v>
      </c>
      <c r="N839" s="150">
        <v>0.61085648148148153</v>
      </c>
      <c r="O839" t="s">
        <v>172</v>
      </c>
      <c r="Q839">
        <v>2500122</v>
      </c>
      <c r="R839">
        <v>2500122</v>
      </c>
      <c r="S839">
        <v>0</v>
      </c>
      <c r="T839">
        <v>0</v>
      </c>
      <c r="U839" t="s">
        <v>173</v>
      </c>
      <c r="V839">
        <v>0</v>
      </c>
      <c r="W839" t="s">
        <v>174</v>
      </c>
      <c r="X839">
        <v>0</v>
      </c>
      <c r="Z839" t="s">
        <v>173</v>
      </c>
      <c r="AA839" t="s">
        <v>173</v>
      </c>
    </row>
    <row r="840" spans="1:27" x14ac:dyDescent="0.3">
      <c r="A840">
        <v>839</v>
      </c>
      <c r="B840" t="s">
        <v>169</v>
      </c>
      <c r="C840">
        <v>99019875</v>
      </c>
      <c r="D840" s="7" t="s">
        <v>102</v>
      </c>
      <c r="E840" t="s">
        <v>103</v>
      </c>
      <c r="F840" t="s">
        <v>170</v>
      </c>
      <c r="G840" t="s">
        <v>171</v>
      </c>
      <c r="H840">
        <v>53</v>
      </c>
      <c r="I840">
        <v>0</v>
      </c>
      <c r="J840">
        <v>53</v>
      </c>
      <c r="K840" s="133">
        <v>26890</v>
      </c>
      <c r="L840" s="133">
        <v>26890</v>
      </c>
      <c r="M840" s="150">
        <v>0.61083333333333334</v>
      </c>
      <c r="N840" s="150">
        <v>0.61089120370370364</v>
      </c>
      <c r="O840" t="s">
        <v>172</v>
      </c>
      <c r="Q840">
        <v>2500123</v>
      </c>
      <c r="R840">
        <v>2500123</v>
      </c>
      <c r="S840">
        <v>0</v>
      </c>
      <c r="T840">
        <v>0</v>
      </c>
      <c r="U840" t="s">
        <v>173</v>
      </c>
      <c r="V840">
        <v>0</v>
      </c>
      <c r="W840" t="s">
        <v>174</v>
      </c>
      <c r="X840">
        <v>0</v>
      </c>
      <c r="Z840" t="s">
        <v>173</v>
      </c>
      <c r="AA840" t="s">
        <v>173</v>
      </c>
    </row>
    <row r="841" spans="1:27" x14ac:dyDescent="0.3">
      <c r="A841">
        <v>840</v>
      </c>
      <c r="B841" t="s">
        <v>169</v>
      </c>
      <c r="C841">
        <v>99019875</v>
      </c>
      <c r="D841" s="7" t="s">
        <v>89</v>
      </c>
      <c r="E841" t="s">
        <v>90</v>
      </c>
      <c r="F841" t="s">
        <v>176</v>
      </c>
      <c r="G841" t="s">
        <v>171</v>
      </c>
      <c r="H841">
        <v>31</v>
      </c>
      <c r="I841">
        <v>0</v>
      </c>
      <c r="J841">
        <v>31</v>
      </c>
      <c r="K841" s="133">
        <v>3095</v>
      </c>
      <c r="L841" s="133">
        <v>3095</v>
      </c>
      <c r="M841" s="150">
        <v>0.61083333333333334</v>
      </c>
      <c r="N841" s="150">
        <v>0.61204861111111108</v>
      </c>
      <c r="O841" t="s">
        <v>172</v>
      </c>
      <c r="Q841">
        <v>2500126</v>
      </c>
      <c r="R841">
        <v>2500126</v>
      </c>
      <c r="S841">
        <v>0</v>
      </c>
      <c r="T841">
        <v>0</v>
      </c>
      <c r="U841" t="s">
        <v>173</v>
      </c>
      <c r="V841">
        <v>0</v>
      </c>
      <c r="W841" t="s">
        <v>174</v>
      </c>
      <c r="X841">
        <v>0</v>
      </c>
      <c r="Z841" t="s">
        <v>173</v>
      </c>
      <c r="AA841" t="s">
        <v>173</v>
      </c>
    </row>
    <row r="842" spans="1:27" x14ac:dyDescent="0.3">
      <c r="A842">
        <v>841</v>
      </c>
      <c r="B842" t="s">
        <v>169</v>
      </c>
      <c r="C842">
        <v>99019875</v>
      </c>
      <c r="D842" s="7" t="s">
        <v>108</v>
      </c>
      <c r="E842" t="s">
        <v>109</v>
      </c>
      <c r="F842" t="s">
        <v>170</v>
      </c>
      <c r="G842" t="s">
        <v>171</v>
      </c>
      <c r="H842">
        <v>24</v>
      </c>
      <c r="I842">
        <v>0</v>
      </c>
      <c r="J842">
        <v>24</v>
      </c>
      <c r="K842" s="133">
        <v>2715</v>
      </c>
      <c r="L842" s="133">
        <v>2715</v>
      </c>
      <c r="M842" s="150">
        <v>0.61083333333333334</v>
      </c>
      <c r="N842" s="150">
        <v>0.62351851851851847</v>
      </c>
      <c r="O842" t="s">
        <v>172</v>
      </c>
      <c r="Q842">
        <v>2500130</v>
      </c>
      <c r="R842">
        <v>2500130</v>
      </c>
      <c r="S842">
        <v>0</v>
      </c>
      <c r="T842">
        <v>0</v>
      </c>
      <c r="U842" t="s">
        <v>173</v>
      </c>
      <c r="V842">
        <v>0</v>
      </c>
      <c r="W842" t="s">
        <v>174</v>
      </c>
      <c r="X842">
        <v>0</v>
      </c>
      <c r="Z842" t="s">
        <v>173</v>
      </c>
      <c r="AA842" t="s">
        <v>173</v>
      </c>
    </row>
    <row r="843" spans="1:27" x14ac:dyDescent="0.3">
      <c r="A843">
        <v>842</v>
      </c>
      <c r="B843" t="s">
        <v>169</v>
      </c>
      <c r="C843">
        <v>99019875</v>
      </c>
      <c r="D843" s="7" t="s">
        <v>71</v>
      </c>
      <c r="E843" t="s">
        <v>72</v>
      </c>
      <c r="F843" t="s">
        <v>176</v>
      </c>
      <c r="G843" t="s">
        <v>171</v>
      </c>
      <c r="H843">
        <v>18</v>
      </c>
      <c r="I843">
        <v>0</v>
      </c>
      <c r="J843">
        <v>18</v>
      </c>
      <c r="K843" s="133">
        <v>18005</v>
      </c>
      <c r="L843" s="133">
        <v>18005</v>
      </c>
      <c r="M843" s="150">
        <v>0.61083333333333334</v>
      </c>
      <c r="N843" s="150">
        <v>0.61094907407407406</v>
      </c>
      <c r="O843" t="s">
        <v>172</v>
      </c>
      <c r="Q843">
        <v>2500148</v>
      </c>
      <c r="R843">
        <v>2500148</v>
      </c>
      <c r="S843">
        <v>0</v>
      </c>
      <c r="T843">
        <v>0</v>
      </c>
      <c r="U843" t="s">
        <v>173</v>
      </c>
      <c r="V843">
        <v>0</v>
      </c>
      <c r="W843" t="s">
        <v>174</v>
      </c>
      <c r="X843">
        <v>0</v>
      </c>
      <c r="Z843" t="s">
        <v>173</v>
      </c>
      <c r="AA843" t="s">
        <v>173</v>
      </c>
    </row>
    <row r="844" spans="1:27" x14ac:dyDescent="0.3">
      <c r="A844">
        <v>843</v>
      </c>
      <c r="B844" t="s">
        <v>169</v>
      </c>
      <c r="C844">
        <v>99019875</v>
      </c>
      <c r="D844" s="7" t="s">
        <v>65</v>
      </c>
      <c r="E844" t="s">
        <v>66</v>
      </c>
      <c r="F844" t="s">
        <v>176</v>
      </c>
      <c r="G844" t="s">
        <v>171</v>
      </c>
      <c r="H844">
        <v>57</v>
      </c>
      <c r="I844">
        <v>0</v>
      </c>
      <c r="J844">
        <v>57</v>
      </c>
      <c r="K844" s="133">
        <v>4755</v>
      </c>
      <c r="L844" s="133">
        <v>4755</v>
      </c>
      <c r="M844" s="150">
        <v>0.61083333333333334</v>
      </c>
      <c r="N844" s="150">
        <v>0.61277777777777775</v>
      </c>
      <c r="O844" t="s">
        <v>172</v>
      </c>
      <c r="Q844">
        <v>2500149</v>
      </c>
      <c r="R844">
        <v>2500149</v>
      </c>
      <c r="S844">
        <v>0</v>
      </c>
      <c r="T844">
        <v>0</v>
      </c>
      <c r="U844" t="s">
        <v>173</v>
      </c>
      <c r="V844">
        <v>0</v>
      </c>
      <c r="W844" t="s">
        <v>174</v>
      </c>
      <c r="X844">
        <v>0</v>
      </c>
      <c r="Z844" t="s">
        <v>173</v>
      </c>
      <c r="AA844" t="s">
        <v>173</v>
      </c>
    </row>
    <row r="845" spans="1:27" x14ac:dyDescent="0.3">
      <c r="A845">
        <v>844</v>
      </c>
      <c r="B845" t="s">
        <v>169</v>
      </c>
      <c r="C845">
        <v>99019875</v>
      </c>
      <c r="D845" s="7" t="s">
        <v>118</v>
      </c>
      <c r="E845" t="s">
        <v>119</v>
      </c>
      <c r="F845" t="s">
        <v>176</v>
      </c>
      <c r="G845" t="s">
        <v>171</v>
      </c>
      <c r="H845">
        <v>20</v>
      </c>
      <c r="I845">
        <v>0</v>
      </c>
      <c r="J845">
        <v>20</v>
      </c>
      <c r="K845" s="133">
        <v>12415</v>
      </c>
      <c r="L845" s="133">
        <v>12415</v>
      </c>
      <c r="M845" s="150">
        <v>0.61083333333333334</v>
      </c>
      <c r="N845" s="150">
        <v>0.61119212962962965</v>
      </c>
      <c r="O845" t="s">
        <v>172</v>
      </c>
      <c r="Q845">
        <v>2500150</v>
      </c>
      <c r="R845">
        <v>2500150</v>
      </c>
      <c r="S845">
        <v>0</v>
      </c>
      <c r="T845">
        <v>0</v>
      </c>
      <c r="U845" t="s">
        <v>173</v>
      </c>
      <c r="V845">
        <v>0</v>
      </c>
      <c r="W845" t="s">
        <v>174</v>
      </c>
      <c r="X845">
        <v>0</v>
      </c>
      <c r="Z845" t="s">
        <v>173</v>
      </c>
      <c r="AA845" t="s">
        <v>173</v>
      </c>
    </row>
    <row r="846" spans="1:27" x14ac:dyDescent="0.3">
      <c r="A846">
        <v>845</v>
      </c>
      <c r="B846" t="s">
        <v>169</v>
      </c>
      <c r="C846">
        <v>99019875</v>
      </c>
      <c r="D846" s="7" t="s">
        <v>62</v>
      </c>
      <c r="E846" t="s">
        <v>63</v>
      </c>
      <c r="F846" t="s">
        <v>176</v>
      </c>
      <c r="G846" t="s">
        <v>177</v>
      </c>
      <c r="H846">
        <v>88</v>
      </c>
      <c r="I846">
        <v>0</v>
      </c>
      <c r="J846">
        <v>88</v>
      </c>
      <c r="K846" s="133">
        <v>33975</v>
      </c>
      <c r="L846" s="133">
        <v>33975</v>
      </c>
      <c r="M846" s="150">
        <v>0.61085648148148153</v>
      </c>
      <c r="N846" s="150">
        <v>0.61086805555555557</v>
      </c>
      <c r="O846" t="s">
        <v>172</v>
      </c>
      <c r="Q846">
        <v>2500210</v>
      </c>
      <c r="R846">
        <v>2500210</v>
      </c>
      <c r="S846">
        <v>2500117</v>
      </c>
      <c r="T846">
        <v>0</v>
      </c>
      <c r="U846" t="s">
        <v>173</v>
      </c>
      <c r="V846">
        <v>0</v>
      </c>
      <c r="W846" t="s">
        <v>174</v>
      </c>
      <c r="X846">
        <v>2500117</v>
      </c>
      <c r="Z846" t="s">
        <v>173</v>
      </c>
      <c r="AA846" t="s">
        <v>173</v>
      </c>
    </row>
    <row r="847" spans="1:27" x14ac:dyDescent="0.3">
      <c r="A847">
        <v>846</v>
      </c>
      <c r="B847" t="s">
        <v>169</v>
      </c>
      <c r="C847">
        <v>99019875</v>
      </c>
      <c r="D847" s="7" t="s">
        <v>114</v>
      </c>
      <c r="E847" t="s">
        <v>115</v>
      </c>
      <c r="F847" t="s">
        <v>176</v>
      </c>
      <c r="G847" t="s">
        <v>177</v>
      </c>
      <c r="H847">
        <v>65</v>
      </c>
      <c r="I847">
        <v>0</v>
      </c>
      <c r="J847">
        <v>65</v>
      </c>
      <c r="K847" s="133">
        <v>53700</v>
      </c>
      <c r="L847" s="133">
        <v>53700</v>
      </c>
      <c r="M847" s="150">
        <v>0.61085648148148153</v>
      </c>
      <c r="N847" s="150">
        <v>0.61086805555555557</v>
      </c>
      <c r="O847" t="s">
        <v>172</v>
      </c>
      <c r="Q847">
        <v>2500216</v>
      </c>
      <c r="R847">
        <v>2500216</v>
      </c>
      <c r="S847">
        <v>2500092</v>
      </c>
      <c r="T847">
        <v>0</v>
      </c>
      <c r="U847" t="s">
        <v>173</v>
      </c>
      <c r="V847">
        <v>0</v>
      </c>
      <c r="W847" t="s">
        <v>174</v>
      </c>
      <c r="X847">
        <v>2500092</v>
      </c>
      <c r="Z847" t="s">
        <v>173</v>
      </c>
      <c r="AA847" t="s">
        <v>173</v>
      </c>
    </row>
    <row r="848" spans="1:27" x14ac:dyDescent="0.3">
      <c r="A848">
        <v>847</v>
      </c>
      <c r="B848" t="s">
        <v>169</v>
      </c>
      <c r="C848">
        <v>99019875</v>
      </c>
      <c r="D848" s="7" t="s">
        <v>114</v>
      </c>
      <c r="E848" t="s">
        <v>115</v>
      </c>
      <c r="F848" t="s">
        <v>176</v>
      </c>
      <c r="G848" t="s">
        <v>177</v>
      </c>
      <c r="H848">
        <v>65</v>
      </c>
      <c r="I848">
        <v>0</v>
      </c>
      <c r="J848">
        <v>65</v>
      </c>
      <c r="K848" s="133">
        <v>53700</v>
      </c>
      <c r="L848" s="133">
        <v>53700</v>
      </c>
      <c r="M848" s="150">
        <v>0.61085648148148153</v>
      </c>
      <c r="N848" s="150">
        <v>0.61086805555555557</v>
      </c>
      <c r="O848" t="s">
        <v>172</v>
      </c>
      <c r="Q848">
        <v>2500217</v>
      </c>
      <c r="R848">
        <v>2500217</v>
      </c>
      <c r="S848">
        <v>2500114</v>
      </c>
      <c r="T848">
        <v>0</v>
      </c>
      <c r="U848" t="s">
        <v>173</v>
      </c>
      <c r="V848">
        <v>0</v>
      </c>
      <c r="W848" t="s">
        <v>174</v>
      </c>
      <c r="X848">
        <v>2500114</v>
      </c>
      <c r="Z848" t="s">
        <v>173</v>
      </c>
      <c r="AA848" t="s">
        <v>173</v>
      </c>
    </row>
    <row r="849" spans="1:27" x14ac:dyDescent="0.3">
      <c r="A849">
        <v>848</v>
      </c>
      <c r="B849" t="s">
        <v>169</v>
      </c>
      <c r="C849">
        <v>99019875</v>
      </c>
      <c r="D849" s="7" t="s">
        <v>140</v>
      </c>
      <c r="E849" t="s">
        <v>178</v>
      </c>
      <c r="F849" t="s">
        <v>170</v>
      </c>
      <c r="G849" t="s">
        <v>177</v>
      </c>
      <c r="H849">
        <v>20</v>
      </c>
      <c r="I849">
        <v>0</v>
      </c>
      <c r="J849">
        <v>20</v>
      </c>
      <c r="K849" s="133">
        <v>8610</v>
      </c>
      <c r="L849" s="133">
        <v>8610</v>
      </c>
      <c r="M849" s="150">
        <v>0.61086805555555557</v>
      </c>
      <c r="N849" s="150">
        <v>0.61119212962962965</v>
      </c>
      <c r="O849" t="s">
        <v>172</v>
      </c>
      <c r="Q849">
        <v>2500220</v>
      </c>
      <c r="R849">
        <v>2500220</v>
      </c>
      <c r="S849">
        <v>2500152</v>
      </c>
      <c r="T849">
        <v>0</v>
      </c>
      <c r="U849" t="s">
        <v>173</v>
      </c>
      <c r="V849">
        <v>0</v>
      </c>
      <c r="W849" t="s">
        <v>174</v>
      </c>
      <c r="X849">
        <v>2500152</v>
      </c>
      <c r="Z849" t="s">
        <v>173</v>
      </c>
      <c r="AA849" t="s">
        <v>173</v>
      </c>
    </row>
    <row r="850" spans="1:27" x14ac:dyDescent="0.3">
      <c r="A850">
        <v>849</v>
      </c>
      <c r="B850" t="s">
        <v>169</v>
      </c>
      <c r="C850">
        <v>99019875</v>
      </c>
      <c r="D850" s="7" t="s">
        <v>69</v>
      </c>
      <c r="E850" t="s">
        <v>70</v>
      </c>
      <c r="F850" t="s">
        <v>170</v>
      </c>
      <c r="G850" t="s">
        <v>177</v>
      </c>
      <c r="H850">
        <v>17</v>
      </c>
      <c r="I850">
        <v>0</v>
      </c>
      <c r="J850">
        <v>17</v>
      </c>
      <c r="K850" s="133">
        <v>10265</v>
      </c>
      <c r="L850" s="133">
        <v>10265</v>
      </c>
      <c r="M850" s="150">
        <v>0.61089120370370364</v>
      </c>
      <c r="N850" s="150">
        <v>0.61093750000000002</v>
      </c>
      <c r="O850" t="s">
        <v>172</v>
      </c>
      <c r="Q850">
        <v>2500267</v>
      </c>
      <c r="R850">
        <v>2500267</v>
      </c>
      <c r="S850">
        <v>2500212</v>
      </c>
      <c r="T850">
        <v>0</v>
      </c>
      <c r="U850" t="s">
        <v>173</v>
      </c>
      <c r="V850">
        <v>0</v>
      </c>
      <c r="W850" t="s">
        <v>174</v>
      </c>
      <c r="X850">
        <v>2500212</v>
      </c>
      <c r="Z850" t="s">
        <v>173</v>
      </c>
      <c r="AA850" t="s">
        <v>173</v>
      </c>
    </row>
    <row r="851" spans="1:27" x14ac:dyDescent="0.3">
      <c r="A851">
        <v>850</v>
      </c>
      <c r="B851" t="s">
        <v>169</v>
      </c>
      <c r="C851">
        <v>99019875</v>
      </c>
      <c r="D851" s="7" t="s">
        <v>106</v>
      </c>
      <c r="E851" t="s">
        <v>107</v>
      </c>
      <c r="F851" t="s">
        <v>170</v>
      </c>
      <c r="G851" t="s">
        <v>171</v>
      </c>
      <c r="H851">
        <v>1</v>
      </c>
      <c r="I851">
        <v>0</v>
      </c>
      <c r="J851">
        <v>1</v>
      </c>
      <c r="K851" s="133">
        <v>3515</v>
      </c>
      <c r="L851" s="133">
        <v>3515</v>
      </c>
      <c r="M851" s="150">
        <v>0.61101851851851852</v>
      </c>
      <c r="N851" s="150">
        <v>0.61274305555555553</v>
      </c>
      <c r="O851" t="s">
        <v>172</v>
      </c>
      <c r="Q851">
        <v>2500601</v>
      </c>
      <c r="R851">
        <v>2500601</v>
      </c>
      <c r="S851">
        <v>0</v>
      </c>
      <c r="T851">
        <v>0</v>
      </c>
      <c r="U851" t="s">
        <v>173</v>
      </c>
      <c r="V851">
        <v>0</v>
      </c>
      <c r="W851" t="s">
        <v>174</v>
      </c>
      <c r="X851">
        <v>0</v>
      </c>
      <c r="Z851" t="s">
        <v>173</v>
      </c>
      <c r="AA851" t="s">
        <v>173</v>
      </c>
    </row>
    <row r="852" spans="1:27" x14ac:dyDescent="0.3">
      <c r="A852">
        <v>851</v>
      </c>
      <c r="B852" t="s">
        <v>169</v>
      </c>
      <c r="C852">
        <v>99019875</v>
      </c>
      <c r="D852" s="7" t="s">
        <v>98</v>
      </c>
      <c r="E852" t="s">
        <v>99</v>
      </c>
      <c r="F852" t="s">
        <v>170</v>
      </c>
      <c r="G852" t="s">
        <v>177</v>
      </c>
      <c r="H852">
        <v>38</v>
      </c>
      <c r="I852">
        <v>0</v>
      </c>
      <c r="J852">
        <v>38</v>
      </c>
      <c r="K852" s="133">
        <v>14265</v>
      </c>
      <c r="L852" s="133">
        <v>14265</v>
      </c>
      <c r="M852" s="150">
        <v>0.61105324074074074</v>
      </c>
      <c r="N852" s="150">
        <v>0.61108796296296297</v>
      </c>
      <c r="O852" t="s">
        <v>172</v>
      </c>
      <c r="Q852">
        <v>2500657</v>
      </c>
      <c r="R852">
        <v>2500657</v>
      </c>
      <c r="S852">
        <v>2499648</v>
      </c>
      <c r="T852">
        <v>0</v>
      </c>
      <c r="U852" t="s">
        <v>173</v>
      </c>
      <c r="V852">
        <v>0</v>
      </c>
      <c r="W852" t="s">
        <v>174</v>
      </c>
      <c r="X852">
        <v>2499648</v>
      </c>
      <c r="Z852" t="s">
        <v>173</v>
      </c>
      <c r="AA852" t="s">
        <v>173</v>
      </c>
    </row>
    <row r="853" spans="1:27" x14ac:dyDescent="0.3">
      <c r="A853">
        <v>852</v>
      </c>
      <c r="B853" t="s">
        <v>169</v>
      </c>
      <c r="C853">
        <v>99019875</v>
      </c>
      <c r="D853" s="7" t="s">
        <v>98</v>
      </c>
      <c r="E853" t="s">
        <v>99</v>
      </c>
      <c r="F853" t="s">
        <v>170</v>
      </c>
      <c r="G853" t="s">
        <v>177</v>
      </c>
      <c r="H853">
        <v>38</v>
      </c>
      <c r="I853">
        <v>0</v>
      </c>
      <c r="J853">
        <v>38</v>
      </c>
      <c r="K853" s="133">
        <v>14265</v>
      </c>
      <c r="L853" s="133">
        <v>14265</v>
      </c>
      <c r="M853" s="150">
        <v>0.61105324074074074</v>
      </c>
      <c r="N853" s="150">
        <v>0.61108796296296297</v>
      </c>
      <c r="O853" t="s">
        <v>172</v>
      </c>
      <c r="Q853">
        <v>2500658</v>
      </c>
      <c r="R853">
        <v>2500658</v>
      </c>
      <c r="S853">
        <v>2500146</v>
      </c>
      <c r="T853">
        <v>0</v>
      </c>
      <c r="U853" t="s">
        <v>173</v>
      </c>
      <c r="V853">
        <v>0</v>
      </c>
      <c r="W853" t="s">
        <v>174</v>
      </c>
      <c r="X853">
        <v>2500146</v>
      </c>
      <c r="Z853" t="s">
        <v>173</v>
      </c>
      <c r="AA853" t="s">
        <v>173</v>
      </c>
    </row>
    <row r="854" spans="1:27" x14ac:dyDescent="0.3">
      <c r="A854">
        <v>853</v>
      </c>
      <c r="B854" t="s">
        <v>169</v>
      </c>
      <c r="C854">
        <v>99019875</v>
      </c>
      <c r="D854" s="7" t="s">
        <v>124</v>
      </c>
      <c r="E854" t="s">
        <v>125</v>
      </c>
      <c r="F854" t="s">
        <v>176</v>
      </c>
      <c r="G854" t="s">
        <v>171</v>
      </c>
      <c r="H854">
        <v>1</v>
      </c>
      <c r="I854">
        <v>0</v>
      </c>
      <c r="J854">
        <v>1</v>
      </c>
      <c r="K854" s="133">
        <v>17525</v>
      </c>
      <c r="L854" s="133">
        <v>17525</v>
      </c>
      <c r="M854" s="150">
        <v>0.61105324074074074</v>
      </c>
      <c r="N854" s="150">
        <v>0.61533564814814812</v>
      </c>
      <c r="O854" t="s">
        <v>172</v>
      </c>
      <c r="Q854">
        <v>2500664</v>
      </c>
      <c r="R854">
        <v>2500664</v>
      </c>
      <c r="S854">
        <v>0</v>
      </c>
      <c r="T854">
        <v>0</v>
      </c>
      <c r="U854" t="s">
        <v>173</v>
      </c>
      <c r="V854">
        <v>0</v>
      </c>
      <c r="W854" t="s">
        <v>174</v>
      </c>
      <c r="X854">
        <v>0</v>
      </c>
      <c r="Z854" t="s">
        <v>173</v>
      </c>
      <c r="AA854" t="s">
        <v>173</v>
      </c>
    </row>
    <row r="855" spans="1:27" x14ac:dyDescent="0.3">
      <c r="A855">
        <v>854</v>
      </c>
      <c r="B855" t="s">
        <v>169</v>
      </c>
      <c r="C855">
        <v>99019875</v>
      </c>
      <c r="D855" s="7" t="s">
        <v>112</v>
      </c>
      <c r="E855" t="s">
        <v>113</v>
      </c>
      <c r="F855" t="s">
        <v>170</v>
      </c>
      <c r="G855" t="s">
        <v>177</v>
      </c>
      <c r="H855">
        <v>1</v>
      </c>
      <c r="I855">
        <v>0</v>
      </c>
      <c r="J855">
        <v>1</v>
      </c>
      <c r="K855" s="133">
        <v>23360</v>
      </c>
      <c r="L855" s="133">
        <v>23360</v>
      </c>
      <c r="M855" s="150">
        <v>0.61106481481481478</v>
      </c>
      <c r="N855" s="150">
        <v>0.61114583333333339</v>
      </c>
      <c r="O855" t="s">
        <v>172</v>
      </c>
      <c r="Q855">
        <v>2500681</v>
      </c>
      <c r="R855">
        <v>2500681</v>
      </c>
      <c r="S855">
        <v>2499814</v>
      </c>
      <c r="T855">
        <v>0</v>
      </c>
      <c r="U855" t="s">
        <v>173</v>
      </c>
      <c r="V855">
        <v>0</v>
      </c>
      <c r="W855" t="s">
        <v>174</v>
      </c>
      <c r="X855">
        <v>2499814</v>
      </c>
      <c r="Z855" t="s">
        <v>173</v>
      </c>
      <c r="AA855" t="s">
        <v>173</v>
      </c>
    </row>
    <row r="856" spans="1:27" x14ac:dyDescent="0.3">
      <c r="A856">
        <v>855</v>
      </c>
      <c r="B856" t="s">
        <v>169</v>
      </c>
      <c r="C856">
        <v>99019875</v>
      </c>
      <c r="D856" s="7" t="s">
        <v>126</v>
      </c>
      <c r="E856" t="s">
        <v>127</v>
      </c>
      <c r="F856" t="s">
        <v>176</v>
      </c>
      <c r="G856" t="s">
        <v>171</v>
      </c>
      <c r="H856">
        <v>1</v>
      </c>
      <c r="I856">
        <v>0</v>
      </c>
      <c r="J856">
        <v>1</v>
      </c>
      <c r="K856" s="133">
        <v>12335</v>
      </c>
      <c r="L856" s="133">
        <v>12335</v>
      </c>
      <c r="M856" s="150">
        <v>0.61111111111111105</v>
      </c>
      <c r="N856" s="150">
        <v>0.61254629629629631</v>
      </c>
      <c r="O856" t="s">
        <v>172</v>
      </c>
      <c r="Q856">
        <v>2500772</v>
      </c>
      <c r="R856">
        <v>2500772</v>
      </c>
      <c r="S856">
        <v>0</v>
      </c>
      <c r="T856">
        <v>0</v>
      </c>
      <c r="U856" t="s">
        <v>173</v>
      </c>
      <c r="V856">
        <v>0</v>
      </c>
      <c r="W856" t="s">
        <v>174</v>
      </c>
      <c r="X856">
        <v>0</v>
      </c>
      <c r="Z856" t="s">
        <v>173</v>
      </c>
      <c r="AA856" t="s">
        <v>173</v>
      </c>
    </row>
    <row r="857" spans="1:27" x14ac:dyDescent="0.3">
      <c r="A857">
        <v>856</v>
      </c>
      <c r="B857" t="s">
        <v>169</v>
      </c>
      <c r="C857">
        <v>99019875</v>
      </c>
      <c r="D857" s="7" t="s">
        <v>110</v>
      </c>
      <c r="E857" t="s">
        <v>179</v>
      </c>
      <c r="F857" t="s">
        <v>170</v>
      </c>
      <c r="G857" t="s">
        <v>177</v>
      </c>
      <c r="H857">
        <v>3</v>
      </c>
      <c r="I857">
        <v>0</v>
      </c>
      <c r="J857">
        <v>3</v>
      </c>
      <c r="K857" s="133">
        <v>48460</v>
      </c>
      <c r="L857" s="133">
        <v>48460</v>
      </c>
      <c r="M857" s="150">
        <v>0.61111111111111105</v>
      </c>
      <c r="N857" s="150">
        <v>0.61128472222222219</v>
      </c>
      <c r="O857" t="s">
        <v>172</v>
      </c>
      <c r="Q857">
        <v>2500780</v>
      </c>
      <c r="R857">
        <v>2500780</v>
      </c>
      <c r="S857">
        <v>2500760</v>
      </c>
      <c r="T857">
        <v>0</v>
      </c>
      <c r="U857" t="s">
        <v>173</v>
      </c>
      <c r="V857">
        <v>0</v>
      </c>
      <c r="W857" t="s">
        <v>174</v>
      </c>
      <c r="X857">
        <v>2500760</v>
      </c>
      <c r="Z857" t="s">
        <v>173</v>
      </c>
      <c r="AA857" t="s">
        <v>173</v>
      </c>
    </row>
    <row r="858" spans="1:27" x14ac:dyDescent="0.3">
      <c r="A858">
        <v>857</v>
      </c>
      <c r="B858" t="s">
        <v>169</v>
      </c>
      <c r="C858">
        <v>99019875</v>
      </c>
      <c r="D858" s="7" t="s">
        <v>114</v>
      </c>
      <c r="E858" t="s">
        <v>115</v>
      </c>
      <c r="F858" t="s">
        <v>176</v>
      </c>
      <c r="G858" t="s">
        <v>171</v>
      </c>
      <c r="H858">
        <v>66</v>
      </c>
      <c r="I858">
        <v>0</v>
      </c>
      <c r="J858">
        <v>66</v>
      </c>
      <c r="K858" s="133">
        <v>53745</v>
      </c>
      <c r="L858" s="133">
        <v>53745</v>
      </c>
      <c r="M858" s="150">
        <v>0.6111226851851852</v>
      </c>
      <c r="N858" s="150">
        <v>0.61119212962962965</v>
      </c>
      <c r="O858" t="s">
        <v>172</v>
      </c>
      <c r="Q858">
        <v>2500804</v>
      </c>
      <c r="R858">
        <v>2500804</v>
      </c>
      <c r="S858">
        <v>0</v>
      </c>
      <c r="T858">
        <v>0</v>
      </c>
      <c r="U858" t="s">
        <v>173</v>
      </c>
      <c r="V858">
        <v>0</v>
      </c>
      <c r="W858" t="s">
        <v>174</v>
      </c>
      <c r="X858">
        <v>0</v>
      </c>
      <c r="Z858" t="s">
        <v>173</v>
      </c>
      <c r="AA858" t="s">
        <v>173</v>
      </c>
    </row>
    <row r="859" spans="1:27" x14ac:dyDescent="0.3">
      <c r="A859">
        <v>858</v>
      </c>
      <c r="B859" t="s">
        <v>169</v>
      </c>
      <c r="C859">
        <v>99019875</v>
      </c>
      <c r="D859" s="7" t="s">
        <v>62</v>
      </c>
      <c r="E859" t="s">
        <v>63</v>
      </c>
      <c r="F859" t="s">
        <v>176</v>
      </c>
      <c r="G859" t="s">
        <v>171</v>
      </c>
      <c r="H859">
        <v>89</v>
      </c>
      <c r="I859">
        <v>0</v>
      </c>
      <c r="J859">
        <v>89</v>
      </c>
      <c r="K859" s="133">
        <v>33995</v>
      </c>
      <c r="L859" s="133">
        <v>33995</v>
      </c>
      <c r="M859" s="150">
        <v>0.6111226851851852</v>
      </c>
      <c r="N859" s="150">
        <v>0.61119212962962965</v>
      </c>
      <c r="O859" t="s">
        <v>172</v>
      </c>
      <c r="Q859">
        <v>2500805</v>
      </c>
      <c r="R859">
        <v>2500805</v>
      </c>
      <c r="S859">
        <v>0</v>
      </c>
      <c r="T859">
        <v>0</v>
      </c>
      <c r="U859" t="s">
        <v>173</v>
      </c>
      <c r="V859">
        <v>0</v>
      </c>
      <c r="W859" t="s">
        <v>174</v>
      </c>
      <c r="X859">
        <v>0</v>
      </c>
      <c r="Z859" t="s">
        <v>173</v>
      </c>
      <c r="AA859" t="s">
        <v>173</v>
      </c>
    </row>
    <row r="860" spans="1:27" x14ac:dyDescent="0.3">
      <c r="A860">
        <v>859</v>
      </c>
      <c r="B860" t="s">
        <v>169</v>
      </c>
      <c r="C860">
        <v>99019875</v>
      </c>
      <c r="D860" s="7" t="s">
        <v>75</v>
      </c>
      <c r="E860" t="s">
        <v>76</v>
      </c>
      <c r="F860" t="s">
        <v>170</v>
      </c>
      <c r="G860" t="s">
        <v>171</v>
      </c>
      <c r="H860">
        <v>83</v>
      </c>
      <c r="I860">
        <v>0</v>
      </c>
      <c r="J860">
        <v>83</v>
      </c>
      <c r="K860" s="133">
        <v>20755</v>
      </c>
      <c r="L860" s="133">
        <v>20755</v>
      </c>
      <c r="M860" s="150">
        <v>0.6111226851851852</v>
      </c>
      <c r="N860" s="150">
        <v>0.61119212962962965</v>
      </c>
      <c r="O860" t="s">
        <v>172</v>
      </c>
      <c r="Q860">
        <v>2500807</v>
      </c>
      <c r="R860">
        <v>2500807</v>
      </c>
      <c r="S860">
        <v>0</v>
      </c>
      <c r="T860">
        <v>0</v>
      </c>
      <c r="U860" t="s">
        <v>173</v>
      </c>
      <c r="V860">
        <v>0</v>
      </c>
      <c r="W860" t="s">
        <v>174</v>
      </c>
      <c r="X860">
        <v>0</v>
      </c>
      <c r="Z860" t="s">
        <v>173</v>
      </c>
      <c r="AA860" t="s">
        <v>173</v>
      </c>
    </row>
    <row r="861" spans="1:27" x14ac:dyDescent="0.3">
      <c r="A861">
        <v>860</v>
      </c>
      <c r="B861" t="s">
        <v>169</v>
      </c>
      <c r="C861">
        <v>99019875</v>
      </c>
      <c r="D861" s="7" t="s">
        <v>102</v>
      </c>
      <c r="E861" t="s">
        <v>103</v>
      </c>
      <c r="F861" t="s">
        <v>170</v>
      </c>
      <c r="G861" t="s">
        <v>171</v>
      </c>
      <c r="H861">
        <v>54</v>
      </c>
      <c r="I861">
        <v>0</v>
      </c>
      <c r="J861">
        <v>54</v>
      </c>
      <c r="K861" s="133">
        <v>26890</v>
      </c>
      <c r="L861" s="133">
        <v>26890</v>
      </c>
      <c r="M861" s="150">
        <v>0.6111226851851852</v>
      </c>
      <c r="N861" s="150">
        <v>0.61122685185185188</v>
      </c>
      <c r="O861" t="s">
        <v>172</v>
      </c>
      <c r="Q861">
        <v>2500808</v>
      </c>
      <c r="R861">
        <v>2500808</v>
      </c>
      <c r="S861">
        <v>0</v>
      </c>
      <c r="T861">
        <v>0</v>
      </c>
      <c r="U861" t="s">
        <v>173</v>
      </c>
      <c r="V861">
        <v>0</v>
      </c>
      <c r="W861" t="s">
        <v>174</v>
      </c>
      <c r="X861">
        <v>0</v>
      </c>
      <c r="Z861" t="s">
        <v>173</v>
      </c>
      <c r="AA861" t="s">
        <v>173</v>
      </c>
    </row>
    <row r="862" spans="1:27" x14ac:dyDescent="0.3">
      <c r="A862">
        <v>861</v>
      </c>
      <c r="B862" t="s">
        <v>169</v>
      </c>
      <c r="C862">
        <v>99019875</v>
      </c>
      <c r="D862" s="7" t="s">
        <v>110</v>
      </c>
      <c r="E862" t="s">
        <v>179</v>
      </c>
      <c r="F862" t="s">
        <v>170</v>
      </c>
      <c r="G862" t="s">
        <v>171</v>
      </c>
      <c r="H862">
        <v>3</v>
      </c>
      <c r="I862">
        <v>0</v>
      </c>
      <c r="J862">
        <v>3</v>
      </c>
      <c r="K862" s="133">
        <v>48460</v>
      </c>
      <c r="L862" s="133">
        <v>48460</v>
      </c>
      <c r="M862" s="150">
        <v>0.6111226851851852</v>
      </c>
      <c r="N862" s="150">
        <v>0.61128472222222219</v>
      </c>
      <c r="O862" t="s">
        <v>172</v>
      </c>
      <c r="Q862">
        <v>2500811</v>
      </c>
      <c r="R862">
        <v>2500811</v>
      </c>
      <c r="S862">
        <v>0</v>
      </c>
      <c r="T862">
        <v>0</v>
      </c>
      <c r="U862" t="s">
        <v>173</v>
      </c>
      <c r="V862">
        <v>0</v>
      </c>
      <c r="W862" t="s">
        <v>174</v>
      </c>
      <c r="X862">
        <v>0</v>
      </c>
      <c r="Z862" t="s">
        <v>173</v>
      </c>
      <c r="AA862" t="s">
        <v>173</v>
      </c>
    </row>
    <row r="863" spans="1:27" x14ac:dyDescent="0.3">
      <c r="A863">
        <v>862</v>
      </c>
      <c r="B863" t="s">
        <v>169</v>
      </c>
      <c r="C863">
        <v>99019875</v>
      </c>
      <c r="D863" s="7" t="s">
        <v>89</v>
      </c>
      <c r="E863" t="s">
        <v>90</v>
      </c>
      <c r="F863" t="s">
        <v>176</v>
      </c>
      <c r="G863" t="s">
        <v>171</v>
      </c>
      <c r="H863">
        <v>30</v>
      </c>
      <c r="I863">
        <v>0</v>
      </c>
      <c r="J863">
        <v>30</v>
      </c>
      <c r="K863" s="133">
        <v>3095</v>
      </c>
      <c r="L863" s="133">
        <v>3095</v>
      </c>
      <c r="M863" s="150">
        <v>0.6111226851851852</v>
      </c>
      <c r="N863" s="150">
        <v>0.61204861111111108</v>
      </c>
      <c r="O863" t="s">
        <v>172</v>
      </c>
      <c r="Q863">
        <v>2500812</v>
      </c>
      <c r="R863">
        <v>2500812</v>
      </c>
      <c r="S863">
        <v>0</v>
      </c>
      <c r="T863">
        <v>0</v>
      </c>
      <c r="U863" t="s">
        <v>173</v>
      </c>
      <c r="V863">
        <v>0</v>
      </c>
      <c r="W863" t="s">
        <v>174</v>
      </c>
      <c r="X863">
        <v>0</v>
      </c>
      <c r="Z863" t="s">
        <v>173</v>
      </c>
      <c r="AA863" t="s">
        <v>173</v>
      </c>
    </row>
    <row r="864" spans="1:27" x14ac:dyDescent="0.3">
      <c r="A864">
        <v>863</v>
      </c>
      <c r="B864" t="s">
        <v>169</v>
      </c>
      <c r="C864">
        <v>99019875</v>
      </c>
      <c r="D864" s="7" t="s">
        <v>108</v>
      </c>
      <c r="E864" t="s">
        <v>109</v>
      </c>
      <c r="F864" t="s">
        <v>170</v>
      </c>
      <c r="G864" t="s">
        <v>171</v>
      </c>
      <c r="H864">
        <v>23</v>
      </c>
      <c r="I864">
        <v>0</v>
      </c>
      <c r="J864">
        <v>23</v>
      </c>
      <c r="K864" s="133">
        <v>2715</v>
      </c>
      <c r="L864" s="133">
        <v>2715</v>
      </c>
      <c r="M864" s="150">
        <v>0.6111226851851852</v>
      </c>
      <c r="N864" s="150">
        <v>0.62351851851851847</v>
      </c>
      <c r="O864" t="s">
        <v>172</v>
      </c>
      <c r="Q864">
        <v>2500815</v>
      </c>
      <c r="R864">
        <v>2500815</v>
      </c>
      <c r="S864">
        <v>0</v>
      </c>
      <c r="T864">
        <v>0</v>
      </c>
      <c r="U864" t="s">
        <v>173</v>
      </c>
      <c r="V864">
        <v>0</v>
      </c>
      <c r="W864" t="s">
        <v>174</v>
      </c>
      <c r="X864">
        <v>0</v>
      </c>
      <c r="Z864" t="s">
        <v>173</v>
      </c>
      <c r="AA864" t="s">
        <v>173</v>
      </c>
    </row>
    <row r="865" spans="1:27" x14ac:dyDescent="0.3">
      <c r="A865">
        <v>864</v>
      </c>
      <c r="B865" t="s">
        <v>169</v>
      </c>
      <c r="C865">
        <v>99019875</v>
      </c>
      <c r="D865" s="7" t="s">
        <v>65</v>
      </c>
      <c r="E865" t="s">
        <v>66</v>
      </c>
      <c r="F865" t="s">
        <v>176</v>
      </c>
      <c r="G865" t="s">
        <v>171</v>
      </c>
      <c r="H865">
        <v>58</v>
      </c>
      <c r="I865">
        <v>0</v>
      </c>
      <c r="J865">
        <v>58</v>
      </c>
      <c r="K865" s="133">
        <v>4755</v>
      </c>
      <c r="L865" s="133">
        <v>4755</v>
      </c>
      <c r="M865" s="150">
        <v>0.6111226851851852</v>
      </c>
      <c r="N865" s="150">
        <v>0.61278935185185179</v>
      </c>
      <c r="O865" t="s">
        <v>172</v>
      </c>
      <c r="Q865">
        <v>2500820</v>
      </c>
      <c r="R865">
        <v>2500820</v>
      </c>
      <c r="S865">
        <v>0</v>
      </c>
      <c r="T865">
        <v>0</v>
      </c>
      <c r="U865" t="s">
        <v>173</v>
      </c>
      <c r="V865">
        <v>0</v>
      </c>
      <c r="W865" t="s">
        <v>174</v>
      </c>
      <c r="X865">
        <v>0</v>
      </c>
      <c r="Z865" t="s">
        <v>173</v>
      </c>
      <c r="AA865" t="s">
        <v>173</v>
      </c>
    </row>
    <row r="866" spans="1:27" x14ac:dyDescent="0.3">
      <c r="A866">
        <v>865</v>
      </c>
      <c r="B866" t="s">
        <v>169</v>
      </c>
      <c r="C866">
        <v>99019875</v>
      </c>
      <c r="D866" s="7" t="s">
        <v>118</v>
      </c>
      <c r="E866" t="s">
        <v>119</v>
      </c>
      <c r="F866" t="s">
        <v>176</v>
      </c>
      <c r="G866" t="s">
        <v>171</v>
      </c>
      <c r="H866">
        <v>20</v>
      </c>
      <c r="I866">
        <v>0</v>
      </c>
      <c r="J866">
        <v>20</v>
      </c>
      <c r="K866" s="133">
        <v>12415</v>
      </c>
      <c r="L866" s="133">
        <v>12415</v>
      </c>
      <c r="M866" s="150">
        <v>0.6111226851851852</v>
      </c>
      <c r="N866" s="150">
        <v>0.61119212962962965</v>
      </c>
      <c r="O866" t="s">
        <v>172</v>
      </c>
      <c r="Q866">
        <v>2500821</v>
      </c>
      <c r="R866">
        <v>2500821</v>
      </c>
      <c r="S866">
        <v>0</v>
      </c>
      <c r="T866">
        <v>0</v>
      </c>
      <c r="U866" t="s">
        <v>173</v>
      </c>
      <c r="V866">
        <v>0</v>
      </c>
      <c r="W866" t="s">
        <v>174</v>
      </c>
      <c r="X866">
        <v>0</v>
      </c>
      <c r="Z866" t="s">
        <v>173</v>
      </c>
      <c r="AA866" t="s">
        <v>173</v>
      </c>
    </row>
    <row r="867" spans="1:27" x14ac:dyDescent="0.3">
      <c r="A867">
        <v>866</v>
      </c>
      <c r="B867" t="s">
        <v>169</v>
      </c>
      <c r="C867">
        <v>99019875</v>
      </c>
      <c r="D867" s="7" t="s">
        <v>140</v>
      </c>
      <c r="E867" t="s">
        <v>178</v>
      </c>
      <c r="F867" t="s">
        <v>170</v>
      </c>
      <c r="G867" t="s">
        <v>171</v>
      </c>
      <c r="H867">
        <v>20</v>
      </c>
      <c r="I867">
        <v>0</v>
      </c>
      <c r="J867">
        <v>20</v>
      </c>
      <c r="K867" s="133">
        <v>8610</v>
      </c>
      <c r="L867" s="133">
        <v>8610</v>
      </c>
      <c r="M867" s="150">
        <v>0.6111226851851852</v>
      </c>
      <c r="N867" s="150">
        <v>0.61119212962962965</v>
      </c>
      <c r="O867" t="s">
        <v>172</v>
      </c>
      <c r="Q867">
        <v>2500824</v>
      </c>
      <c r="R867">
        <v>2500824</v>
      </c>
      <c r="S867">
        <v>0</v>
      </c>
      <c r="T867">
        <v>0</v>
      </c>
      <c r="U867" t="s">
        <v>173</v>
      </c>
      <c r="V867">
        <v>0</v>
      </c>
      <c r="W867" t="s">
        <v>174</v>
      </c>
      <c r="X867">
        <v>0</v>
      </c>
      <c r="Z867" t="s">
        <v>173</v>
      </c>
      <c r="AA867" t="s">
        <v>173</v>
      </c>
    </row>
    <row r="868" spans="1:27" x14ac:dyDescent="0.3">
      <c r="A868">
        <v>867</v>
      </c>
      <c r="B868" t="s">
        <v>169</v>
      </c>
      <c r="C868">
        <v>99019875</v>
      </c>
      <c r="D868" s="7" t="s">
        <v>100</v>
      </c>
      <c r="E868" t="s">
        <v>101</v>
      </c>
      <c r="F868" t="s">
        <v>170</v>
      </c>
      <c r="G868" t="s">
        <v>177</v>
      </c>
      <c r="H868">
        <v>5</v>
      </c>
      <c r="I868">
        <v>0</v>
      </c>
      <c r="J868">
        <v>5</v>
      </c>
      <c r="K868" s="133">
        <v>15535</v>
      </c>
      <c r="L868" s="133">
        <v>15535</v>
      </c>
      <c r="M868" s="150">
        <v>0.61115740740740743</v>
      </c>
      <c r="N868" s="150">
        <v>0.61127314814814815</v>
      </c>
      <c r="O868" t="s">
        <v>172</v>
      </c>
      <c r="Q868">
        <v>2500909</v>
      </c>
      <c r="R868">
        <v>2500909</v>
      </c>
      <c r="S868">
        <v>2500127</v>
      </c>
      <c r="T868">
        <v>0</v>
      </c>
      <c r="U868" t="s">
        <v>173</v>
      </c>
      <c r="V868">
        <v>0</v>
      </c>
      <c r="W868" t="s">
        <v>174</v>
      </c>
      <c r="X868">
        <v>2500127</v>
      </c>
      <c r="Z868" t="s">
        <v>173</v>
      </c>
      <c r="AA868" t="s">
        <v>173</v>
      </c>
    </row>
    <row r="869" spans="1:27" x14ac:dyDescent="0.3">
      <c r="A869">
        <v>868</v>
      </c>
      <c r="B869" t="s">
        <v>169</v>
      </c>
      <c r="C869">
        <v>99019875</v>
      </c>
      <c r="D869" s="7" t="s">
        <v>100</v>
      </c>
      <c r="E869" t="s">
        <v>101</v>
      </c>
      <c r="F869" t="s">
        <v>170</v>
      </c>
      <c r="G869" t="s">
        <v>177</v>
      </c>
      <c r="H869">
        <v>4</v>
      </c>
      <c r="I869">
        <v>0</v>
      </c>
      <c r="J869">
        <v>4</v>
      </c>
      <c r="K869" s="133">
        <v>15535</v>
      </c>
      <c r="L869" s="133">
        <v>15535</v>
      </c>
      <c r="M869" s="150">
        <v>0.61115740740740743</v>
      </c>
      <c r="N869" s="150">
        <v>0.61127314814814815</v>
      </c>
      <c r="O869" t="s">
        <v>172</v>
      </c>
      <c r="Q869">
        <v>2500910</v>
      </c>
      <c r="R869">
        <v>2500910</v>
      </c>
      <c r="S869">
        <v>2500813</v>
      </c>
      <c r="T869">
        <v>0</v>
      </c>
      <c r="U869" t="s">
        <v>173</v>
      </c>
      <c r="V869">
        <v>0</v>
      </c>
      <c r="W869" t="s">
        <v>174</v>
      </c>
      <c r="X869">
        <v>2500813</v>
      </c>
      <c r="Z869" t="s">
        <v>173</v>
      </c>
      <c r="AA869" t="s">
        <v>173</v>
      </c>
    </row>
    <row r="870" spans="1:27" x14ac:dyDescent="0.3">
      <c r="A870">
        <v>869</v>
      </c>
      <c r="B870" t="s">
        <v>169</v>
      </c>
      <c r="C870">
        <v>99019875</v>
      </c>
      <c r="D870" s="7" t="s">
        <v>69</v>
      </c>
      <c r="E870" t="s">
        <v>70</v>
      </c>
      <c r="F870" t="s">
        <v>170</v>
      </c>
      <c r="G870" t="s">
        <v>177</v>
      </c>
      <c r="H870">
        <v>17</v>
      </c>
      <c r="I870">
        <v>0</v>
      </c>
      <c r="J870">
        <v>17</v>
      </c>
      <c r="K870" s="133">
        <v>10275</v>
      </c>
      <c r="L870" s="133">
        <v>10275</v>
      </c>
      <c r="M870" s="150">
        <v>0.6111805555555555</v>
      </c>
      <c r="N870" s="150">
        <v>0.61119212962962965</v>
      </c>
      <c r="O870" t="s">
        <v>172</v>
      </c>
      <c r="Q870">
        <v>2501018</v>
      </c>
      <c r="R870">
        <v>2501018</v>
      </c>
      <c r="S870">
        <v>2500826</v>
      </c>
      <c r="T870">
        <v>0</v>
      </c>
      <c r="U870" t="s">
        <v>173</v>
      </c>
      <c r="V870">
        <v>0</v>
      </c>
      <c r="W870" t="s">
        <v>174</v>
      </c>
      <c r="X870">
        <v>2500826</v>
      </c>
      <c r="Z870" t="s">
        <v>173</v>
      </c>
      <c r="AA870" t="s">
        <v>173</v>
      </c>
    </row>
    <row r="871" spans="1:27" x14ac:dyDescent="0.3">
      <c r="A871">
        <v>870</v>
      </c>
      <c r="B871" t="s">
        <v>169</v>
      </c>
      <c r="C871">
        <v>99019875</v>
      </c>
      <c r="D871" s="7" t="s">
        <v>77</v>
      </c>
      <c r="E871" t="s">
        <v>78</v>
      </c>
      <c r="F871" t="s">
        <v>170</v>
      </c>
      <c r="G871" t="s">
        <v>177</v>
      </c>
      <c r="H871">
        <v>73</v>
      </c>
      <c r="I871">
        <v>0</v>
      </c>
      <c r="J871">
        <v>50</v>
      </c>
      <c r="K871" s="133">
        <v>7345</v>
      </c>
      <c r="L871" s="133">
        <v>7345</v>
      </c>
      <c r="M871" s="150">
        <v>0.61120370370370369</v>
      </c>
      <c r="N871" s="150">
        <v>0.61160879629629628</v>
      </c>
      <c r="O871" t="s">
        <v>172</v>
      </c>
      <c r="Q871">
        <v>2501057</v>
      </c>
      <c r="R871">
        <v>2501057</v>
      </c>
      <c r="S871">
        <v>2499445</v>
      </c>
      <c r="T871">
        <v>23</v>
      </c>
      <c r="U871" t="s">
        <v>173</v>
      </c>
      <c r="V871">
        <v>0</v>
      </c>
      <c r="W871" t="s">
        <v>174</v>
      </c>
      <c r="X871">
        <v>2499445</v>
      </c>
      <c r="Z871" t="s">
        <v>173</v>
      </c>
      <c r="AA871" t="s">
        <v>173</v>
      </c>
    </row>
    <row r="872" spans="1:27" x14ac:dyDescent="0.3">
      <c r="A872">
        <v>871</v>
      </c>
      <c r="B872" t="s">
        <v>169</v>
      </c>
      <c r="C872">
        <v>99019875</v>
      </c>
      <c r="D872" s="7" t="s">
        <v>71</v>
      </c>
      <c r="E872" t="s">
        <v>72</v>
      </c>
      <c r="F872" t="s">
        <v>176</v>
      </c>
      <c r="G872" t="s">
        <v>177</v>
      </c>
      <c r="H872">
        <v>18</v>
      </c>
      <c r="I872">
        <v>0</v>
      </c>
      <c r="J872">
        <v>18</v>
      </c>
      <c r="K872" s="133">
        <v>18010</v>
      </c>
      <c r="L872" s="133">
        <v>18010</v>
      </c>
      <c r="M872" s="150">
        <v>0.61129629629629634</v>
      </c>
      <c r="N872" s="150">
        <v>0.61146990740740736</v>
      </c>
      <c r="O872" t="s">
        <v>172</v>
      </c>
      <c r="Q872">
        <v>2501347</v>
      </c>
      <c r="R872">
        <v>2501347</v>
      </c>
      <c r="S872">
        <v>2500946</v>
      </c>
      <c r="T872">
        <v>0</v>
      </c>
      <c r="U872" t="s">
        <v>173</v>
      </c>
      <c r="V872">
        <v>0</v>
      </c>
      <c r="W872" t="s">
        <v>174</v>
      </c>
      <c r="X872">
        <v>2500946</v>
      </c>
      <c r="Z872" t="s">
        <v>173</v>
      </c>
      <c r="AA872" t="s">
        <v>173</v>
      </c>
    </row>
    <row r="873" spans="1:27" x14ac:dyDescent="0.3">
      <c r="A873">
        <v>872</v>
      </c>
      <c r="B873" t="s">
        <v>169</v>
      </c>
      <c r="C873">
        <v>99019875</v>
      </c>
      <c r="D873" s="7" t="s">
        <v>81</v>
      </c>
      <c r="E873" t="s">
        <v>82</v>
      </c>
      <c r="F873" t="s">
        <v>176</v>
      </c>
      <c r="G873" t="s">
        <v>177</v>
      </c>
      <c r="H873">
        <v>75</v>
      </c>
      <c r="I873">
        <v>0</v>
      </c>
      <c r="J873">
        <v>75</v>
      </c>
      <c r="K873" s="133">
        <v>36390</v>
      </c>
      <c r="L873" s="133">
        <v>36390</v>
      </c>
      <c r="M873" s="150">
        <v>0.61133101851851845</v>
      </c>
      <c r="N873" s="150">
        <v>0.61141203703703706</v>
      </c>
      <c r="O873" t="s">
        <v>172</v>
      </c>
      <c r="Q873">
        <v>2501446</v>
      </c>
      <c r="R873">
        <v>2501446</v>
      </c>
      <c r="S873">
        <v>2501367</v>
      </c>
      <c r="T873">
        <v>0</v>
      </c>
      <c r="U873" t="s">
        <v>173</v>
      </c>
      <c r="V873">
        <v>0</v>
      </c>
      <c r="W873" t="s">
        <v>174</v>
      </c>
      <c r="X873">
        <v>2501367</v>
      </c>
      <c r="Z873" t="s">
        <v>173</v>
      </c>
      <c r="AA873" t="s">
        <v>173</v>
      </c>
    </row>
    <row r="874" spans="1:27" x14ac:dyDescent="0.3">
      <c r="A874">
        <v>873</v>
      </c>
      <c r="B874" t="s">
        <v>169</v>
      </c>
      <c r="C874">
        <v>99019875</v>
      </c>
      <c r="D874" s="7" t="s">
        <v>126</v>
      </c>
      <c r="E874" t="s">
        <v>127</v>
      </c>
      <c r="F874" t="s">
        <v>176</v>
      </c>
      <c r="G874" t="s">
        <v>171</v>
      </c>
      <c r="H874">
        <v>2</v>
      </c>
      <c r="I874">
        <v>0</v>
      </c>
      <c r="J874">
        <v>2</v>
      </c>
      <c r="K874" s="133">
        <v>12335</v>
      </c>
      <c r="L874" s="133">
        <v>12335</v>
      </c>
      <c r="M874" s="150">
        <v>0.61141203703703706</v>
      </c>
      <c r="N874" s="150">
        <v>0.61254629629629631</v>
      </c>
      <c r="O874" t="s">
        <v>172</v>
      </c>
      <c r="Q874">
        <v>2503143</v>
      </c>
      <c r="R874">
        <v>2503143</v>
      </c>
      <c r="S874">
        <v>0</v>
      </c>
      <c r="T874">
        <v>0</v>
      </c>
      <c r="U874" t="s">
        <v>173</v>
      </c>
      <c r="V874">
        <v>0</v>
      </c>
      <c r="W874" t="s">
        <v>174</v>
      </c>
      <c r="X874">
        <v>0</v>
      </c>
      <c r="Z874" t="s">
        <v>173</v>
      </c>
      <c r="AA874" t="s">
        <v>173</v>
      </c>
    </row>
    <row r="875" spans="1:27" x14ac:dyDescent="0.3">
      <c r="A875">
        <v>874</v>
      </c>
      <c r="B875" t="s">
        <v>169</v>
      </c>
      <c r="C875">
        <v>99019875</v>
      </c>
      <c r="D875" s="7" t="s">
        <v>114</v>
      </c>
      <c r="E875" t="s">
        <v>115</v>
      </c>
      <c r="F875" t="s">
        <v>176</v>
      </c>
      <c r="G875" t="s">
        <v>171</v>
      </c>
      <c r="H875">
        <v>65</v>
      </c>
      <c r="I875">
        <v>0</v>
      </c>
      <c r="J875">
        <v>65</v>
      </c>
      <c r="K875" s="133">
        <v>53770</v>
      </c>
      <c r="L875" s="133">
        <v>53770</v>
      </c>
      <c r="M875" s="150">
        <v>0.61141203703703706</v>
      </c>
      <c r="N875" s="150">
        <v>0.61145833333333333</v>
      </c>
      <c r="O875" t="s">
        <v>172</v>
      </c>
      <c r="Q875">
        <v>2503200</v>
      </c>
      <c r="R875">
        <v>2503200</v>
      </c>
      <c r="S875">
        <v>0</v>
      </c>
      <c r="T875">
        <v>0</v>
      </c>
      <c r="U875" t="s">
        <v>173</v>
      </c>
      <c r="V875">
        <v>0</v>
      </c>
      <c r="W875" t="s">
        <v>174</v>
      </c>
      <c r="X875">
        <v>0</v>
      </c>
      <c r="Z875" t="s">
        <v>173</v>
      </c>
      <c r="AA875" t="s">
        <v>173</v>
      </c>
    </row>
    <row r="876" spans="1:27" x14ac:dyDescent="0.3">
      <c r="A876">
        <v>875</v>
      </c>
      <c r="B876" t="s">
        <v>169</v>
      </c>
      <c r="C876">
        <v>99019875</v>
      </c>
      <c r="D876" s="7" t="s">
        <v>62</v>
      </c>
      <c r="E876" t="s">
        <v>63</v>
      </c>
      <c r="F876" t="s">
        <v>176</v>
      </c>
      <c r="G876" t="s">
        <v>171</v>
      </c>
      <c r="H876">
        <v>89</v>
      </c>
      <c r="I876">
        <v>0</v>
      </c>
      <c r="J876">
        <v>89</v>
      </c>
      <c r="K876" s="133">
        <v>34005</v>
      </c>
      <c r="L876" s="133">
        <v>34005</v>
      </c>
      <c r="M876" s="150">
        <v>0.61141203703703706</v>
      </c>
      <c r="N876" s="150">
        <v>0.61145833333333333</v>
      </c>
      <c r="O876" t="s">
        <v>172</v>
      </c>
      <c r="Q876">
        <v>2503201</v>
      </c>
      <c r="R876">
        <v>2503201</v>
      </c>
      <c r="S876">
        <v>0</v>
      </c>
      <c r="T876">
        <v>0</v>
      </c>
      <c r="U876" t="s">
        <v>173</v>
      </c>
      <c r="V876">
        <v>0</v>
      </c>
      <c r="W876" t="s">
        <v>174</v>
      </c>
      <c r="X876">
        <v>0</v>
      </c>
      <c r="Z876" t="s">
        <v>173</v>
      </c>
      <c r="AA876" t="s">
        <v>173</v>
      </c>
    </row>
    <row r="877" spans="1:27" x14ac:dyDescent="0.3">
      <c r="A877">
        <v>876</v>
      </c>
      <c r="B877" t="s">
        <v>169</v>
      </c>
      <c r="C877">
        <v>99019875</v>
      </c>
      <c r="D877" s="7" t="s">
        <v>81</v>
      </c>
      <c r="E877" t="s">
        <v>82</v>
      </c>
      <c r="F877" t="s">
        <v>176</v>
      </c>
      <c r="G877" t="s">
        <v>171</v>
      </c>
      <c r="H877">
        <v>75</v>
      </c>
      <c r="I877">
        <v>0</v>
      </c>
      <c r="J877">
        <v>75</v>
      </c>
      <c r="K877" s="133">
        <v>36395</v>
      </c>
      <c r="L877" s="133">
        <v>36395</v>
      </c>
      <c r="M877" s="150">
        <v>0.61141203703703706</v>
      </c>
      <c r="N877" s="150">
        <v>0.61145833333333333</v>
      </c>
      <c r="O877" t="s">
        <v>172</v>
      </c>
      <c r="Q877">
        <v>2503202</v>
      </c>
      <c r="R877">
        <v>2503202</v>
      </c>
      <c r="S877">
        <v>0</v>
      </c>
      <c r="T877">
        <v>0</v>
      </c>
      <c r="U877" t="s">
        <v>173</v>
      </c>
      <c r="V877">
        <v>0</v>
      </c>
      <c r="W877" t="s">
        <v>174</v>
      </c>
      <c r="X877">
        <v>0</v>
      </c>
      <c r="Z877" t="s">
        <v>173</v>
      </c>
      <c r="AA877" t="s">
        <v>173</v>
      </c>
    </row>
    <row r="878" spans="1:27" x14ac:dyDescent="0.3">
      <c r="A878">
        <v>877</v>
      </c>
      <c r="B878" t="s">
        <v>169</v>
      </c>
      <c r="C878">
        <v>99019875</v>
      </c>
      <c r="D878" s="7" t="s">
        <v>75</v>
      </c>
      <c r="E878" t="s">
        <v>76</v>
      </c>
      <c r="F878" t="s">
        <v>170</v>
      </c>
      <c r="G878" t="s">
        <v>171</v>
      </c>
      <c r="H878">
        <v>83</v>
      </c>
      <c r="I878">
        <v>0</v>
      </c>
      <c r="J878">
        <v>83</v>
      </c>
      <c r="K878" s="133">
        <v>20750</v>
      </c>
      <c r="L878" s="133">
        <v>20750</v>
      </c>
      <c r="M878" s="150">
        <v>0.61141203703703706</v>
      </c>
      <c r="N878" s="150">
        <v>0.6116435185185185</v>
      </c>
      <c r="O878" t="s">
        <v>172</v>
      </c>
      <c r="Q878">
        <v>2503203</v>
      </c>
      <c r="R878">
        <v>2503203</v>
      </c>
      <c r="S878">
        <v>0</v>
      </c>
      <c r="T878">
        <v>0</v>
      </c>
      <c r="U878" t="s">
        <v>173</v>
      </c>
      <c r="V878">
        <v>0</v>
      </c>
      <c r="W878" t="s">
        <v>174</v>
      </c>
      <c r="X878">
        <v>0</v>
      </c>
      <c r="Z878" t="s">
        <v>173</v>
      </c>
      <c r="AA878" t="s">
        <v>173</v>
      </c>
    </row>
    <row r="879" spans="1:27" x14ac:dyDescent="0.3">
      <c r="A879">
        <v>878</v>
      </c>
      <c r="B879" t="s">
        <v>169</v>
      </c>
      <c r="C879">
        <v>99019875</v>
      </c>
      <c r="D879" s="7" t="s">
        <v>89</v>
      </c>
      <c r="E879" t="s">
        <v>90</v>
      </c>
      <c r="F879" t="s">
        <v>176</v>
      </c>
      <c r="G879" t="s">
        <v>171</v>
      </c>
      <c r="H879">
        <v>31</v>
      </c>
      <c r="I879">
        <v>0</v>
      </c>
      <c r="J879">
        <v>31</v>
      </c>
      <c r="K879" s="133">
        <v>3095</v>
      </c>
      <c r="L879" s="133">
        <v>3095</v>
      </c>
      <c r="M879" s="150">
        <v>0.6114236111111111</v>
      </c>
      <c r="N879" s="150">
        <v>0.61204861111111108</v>
      </c>
      <c r="O879" t="s">
        <v>172</v>
      </c>
      <c r="Q879">
        <v>2503209</v>
      </c>
      <c r="R879">
        <v>2503209</v>
      </c>
      <c r="S879">
        <v>0</v>
      </c>
      <c r="T879">
        <v>0</v>
      </c>
      <c r="U879" t="s">
        <v>173</v>
      </c>
      <c r="V879">
        <v>0</v>
      </c>
      <c r="W879" t="s">
        <v>174</v>
      </c>
      <c r="X879">
        <v>0</v>
      </c>
      <c r="Z879" t="s">
        <v>173</v>
      </c>
      <c r="AA879" t="s">
        <v>173</v>
      </c>
    </row>
    <row r="880" spans="1:27" x14ac:dyDescent="0.3">
      <c r="A880">
        <v>879</v>
      </c>
      <c r="B880" t="s">
        <v>169</v>
      </c>
      <c r="C880">
        <v>99019875</v>
      </c>
      <c r="D880" s="7" t="s">
        <v>108</v>
      </c>
      <c r="E880" t="s">
        <v>109</v>
      </c>
      <c r="F880" t="s">
        <v>170</v>
      </c>
      <c r="G880" t="s">
        <v>171</v>
      </c>
      <c r="H880">
        <v>24</v>
      </c>
      <c r="I880">
        <v>0</v>
      </c>
      <c r="J880">
        <v>24</v>
      </c>
      <c r="K880" s="133">
        <v>2715</v>
      </c>
      <c r="L880" s="133">
        <v>2715</v>
      </c>
      <c r="M880" s="150">
        <v>0.6114236111111111</v>
      </c>
      <c r="N880" s="150">
        <v>0.62351851851851847</v>
      </c>
      <c r="O880" t="s">
        <v>172</v>
      </c>
      <c r="Q880">
        <v>2503212</v>
      </c>
      <c r="R880">
        <v>2503212</v>
      </c>
      <c r="S880">
        <v>0</v>
      </c>
      <c r="T880">
        <v>0</v>
      </c>
      <c r="U880" t="s">
        <v>173</v>
      </c>
      <c r="V880">
        <v>0</v>
      </c>
      <c r="W880" t="s">
        <v>174</v>
      </c>
      <c r="X880">
        <v>0</v>
      </c>
      <c r="Z880" t="s">
        <v>173</v>
      </c>
      <c r="AA880" t="s">
        <v>173</v>
      </c>
    </row>
    <row r="881" spans="1:27" x14ac:dyDescent="0.3">
      <c r="A881">
        <v>880</v>
      </c>
      <c r="B881" t="s">
        <v>169</v>
      </c>
      <c r="C881">
        <v>99019875</v>
      </c>
      <c r="D881" s="7" t="s">
        <v>71</v>
      </c>
      <c r="E881" t="s">
        <v>72</v>
      </c>
      <c r="F881" t="s">
        <v>176</v>
      </c>
      <c r="G881" t="s">
        <v>171</v>
      </c>
      <c r="H881">
        <v>19</v>
      </c>
      <c r="I881">
        <v>0</v>
      </c>
      <c r="J881">
        <v>19</v>
      </c>
      <c r="K881" s="133">
        <v>18010</v>
      </c>
      <c r="L881" s="133">
        <v>18010</v>
      </c>
      <c r="M881" s="150">
        <v>0.6114236111111111</v>
      </c>
      <c r="N881" s="150">
        <v>0.61152777777777778</v>
      </c>
      <c r="O881" t="s">
        <v>172</v>
      </c>
      <c r="Q881">
        <v>2503223</v>
      </c>
      <c r="R881">
        <v>2503223</v>
      </c>
      <c r="S881">
        <v>0</v>
      </c>
      <c r="T881">
        <v>0</v>
      </c>
      <c r="U881" t="s">
        <v>173</v>
      </c>
      <c r="V881">
        <v>0</v>
      </c>
      <c r="W881" t="s">
        <v>174</v>
      </c>
      <c r="X881">
        <v>0</v>
      </c>
      <c r="Z881" t="s">
        <v>173</v>
      </c>
      <c r="AA881" t="s">
        <v>173</v>
      </c>
    </row>
    <row r="882" spans="1:27" x14ac:dyDescent="0.3">
      <c r="A882">
        <v>881</v>
      </c>
      <c r="B882" t="s">
        <v>169</v>
      </c>
      <c r="C882">
        <v>99019875</v>
      </c>
      <c r="D882" s="7" t="s">
        <v>65</v>
      </c>
      <c r="E882" t="s">
        <v>66</v>
      </c>
      <c r="F882" t="s">
        <v>176</v>
      </c>
      <c r="G882" t="s">
        <v>171</v>
      </c>
      <c r="H882">
        <v>57</v>
      </c>
      <c r="I882">
        <v>0</v>
      </c>
      <c r="J882">
        <v>57</v>
      </c>
      <c r="K882" s="133">
        <v>4755</v>
      </c>
      <c r="L882" s="133">
        <v>4755</v>
      </c>
      <c r="M882" s="150">
        <v>0.6114236111111111</v>
      </c>
      <c r="N882" s="150">
        <v>0.61278935185185179</v>
      </c>
      <c r="O882" t="s">
        <v>172</v>
      </c>
      <c r="Q882">
        <v>2503224</v>
      </c>
      <c r="R882">
        <v>2503224</v>
      </c>
      <c r="S882">
        <v>0</v>
      </c>
      <c r="T882">
        <v>0</v>
      </c>
      <c r="U882" t="s">
        <v>173</v>
      </c>
      <c r="V882">
        <v>0</v>
      </c>
      <c r="W882" t="s">
        <v>174</v>
      </c>
      <c r="X882">
        <v>0</v>
      </c>
      <c r="Z882" t="s">
        <v>173</v>
      </c>
      <c r="AA882" t="s">
        <v>173</v>
      </c>
    </row>
    <row r="883" spans="1:27" x14ac:dyDescent="0.3">
      <c r="A883">
        <v>882</v>
      </c>
      <c r="B883" t="s">
        <v>169</v>
      </c>
      <c r="C883">
        <v>99019875</v>
      </c>
      <c r="D883" s="7" t="s">
        <v>140</v>
      </c>
      <c r="E883" t="s">
        <v>178</v>
      </c>
      <c r="F883" t="s">
        <v>170</v>
      </c>
      <c r="G883" t="s">
        <v>171</v>
      </c>
      <c r="H883">
        <v>20</v>
      </c>
      <c r="I883">
        <v>0</v>
      </c>
      <c r="J883">
        <v>20</v>
      </c>
      <c r="K883" s="133">
        <v>8610</v>
      </c>
      <c r="L883" s="133">
        <v>8610</v>
      </c>
      <c r="M883" s="150">
        <v>0.6114236111111111</v>
      </c>
      <c r="N883" s="150">
        <v>0.61156250000000001</v>
      </c>
      <c r="O883" t="s">
        <v>172</v>
      </c>
      <c r="Q883">
        <v>2503231</v>
      </c>
      <c r="R883">
        <v>2503231</v>
      </c>
      <c r="S883">
        <v>0</v>
      </c>
      <c r="T883">
        <v>0</v>
      </c>
      <c r="U883" t="s">
        <v>173</v>
      </c>
      <c r="V883">
        <v>0</v>
      </c>
      <c r="W883" t="s">
        <v>174</v>
      </c>
      <c r="X883">
        <v>0</v>
      </c>
      <c r="Z883" t="s">
        <v>173</v>
      </c>
      <c r="AA883" t="s">
        <v>173</v>
      </c>
    </row>
    <row r="884" spans="1:27" x14ac:dyDescent="0.3">
      <c r="A884">
        <v>883</v>
      </c>
      <c r="B884" t="s">
        <v>169</v>
      </c>
      <c r="C884">
        <v>99019875</v>
      </c>
      <c r="D884" s="7" t="s">
        <v>102</v>
      </c>
      <c r="E884" t="s">
        <v>103</v>
      </c>
      <c r="F884" t="s">
        <v>170</v>
      </c>
      <c r="G884" t="s">
        <v>177</v>
      </c>
      <c r="H884">
        <v>53</v>
      </c>
      <c r="I884">
        <v>0</v>
      </c>
      <c r="J884">
        <v>53</v>
      </c>
      <c r="K884" s="133">
        <v>26890</v>
      </c>
      <c r="L884" s="133">
        <v>26890</v>
      </c>
      <c r="M884" s="150">
        <v>0.6115046296296297</v>
      </c>
      <c r="N884" s="150">
        <v>0.61159722222222224</v>
      </c>
      <c r="O884" t="s">
        <v>172</v>
      </c>
      <c r="Q884">
        <v>2503540</v>
      </c>
      <c r="R884">
        <v>2503540</v>
      </c>
      <c r="S884">
        <v>2503205</v>
      </c>
      <c r="T884">
        <v>0</v>
      </c>
      <c r="U884" t="s">
        <v>173</v>
      </c>
      <c r="V884">
        <v>0</v>
      </c>
      <c r="W884" t="s">
        <v>174</v>
      </c>
      <c r="X884">
        <v>2503205</v>
      </c>
      <c r="Z884" t="s">
        <v>173</v>
      </c>
      <c r="AA884" t="s">
        <v>173</v>
      </c>
    </row>
    <row r="885" spans="1:27" x14ac:dyDescent="0.3">
      <c r="A885">
        <v>884</v>
      </c>
      <c r="B885" t="s">
        <v>169</v>
      </c>
      <c r="C885">
        <v>99019875</v>
      </c>
      <c r="D885" s="7" t="s">
        <v>106</v>
      </c>
      <c r="E885" t="s">
        <v>107</v>
      </c>
      <c r="F885" t="s">
        <v>170</v>
      </c>
      <c r="G885" t="s">
        <v>171</v>
      </c>
      <c r="H885">
        <v>1</v>
      </c>
      <c r="I885">
        <v>0</v>
      </c>
      <c r="J885">
        <v>1</v>
      </c>
      <c r="K885" s="133">
        <v>3515</v>
      </c>
      <c r="L885" s="133">
        <v>3515</v>
      </c>
      <c r="M885" s="150">
        <v>0.61151620370370374</v>
      </c>
      <c r="N885" s="150">
        <v>0.61274305555555553</v>
      </c>
      <c r="O885" t="s">
        <v>172</v>
      </c>
      <c r="Q885">
        <v>2503579</v>
      </c>
      <c r="R885">
        <v>2503579</v>
      </c>
      <c r="S885">
        <v>0</v>
      </c>
      <c r="T885">
        <v>0</v>
      </c>
      <c r="U885" t="s">
        <v>173</v>
      </c>
      <c r="V885">
        <v>0</v>
      </c>
      <c r="W885" t="s">
        <v>174</v>
      </c>
      <c r="X885">
        <v>0</v>
      </c>
      <c r="Z885" t="s">
        <v>173</v>
      </c>
      <c r="AA885" t="s">
        <v>173</v>
      </c>
    </row>
    <row r="886" spans="1:27" x14ac:dyDescent="0.3">
      <c r="A886">
        <v>885</v>
      </c>
      <c r="B886" t="s">
        <v>169</v>
      </c>
      <c r="C886">
        <v>99019875</v>
      </c>
      <c r="D886" s="7" t="s">
        <v>124</v>
      </c>
      <c r="E886" t="s">
        <v>125</v>
      </c>
      <c r="F886" t="s">
        <v>176</v>
      </c>
      <c r="G886" t="s">
        <v>171</v>
      </c>
      <c r="H886">
        <v>1</v>
      </c>
      <c r="I886">
        <v>0</v>
      </c>
      <c r="J886">
        <v>1</v>
      </c>
      <c r="K886" s="133">
        <v>17525</v>
      </c>
      <c r="L886" s="133">
        <v>17525</v>
      </c>
      <c r="M886" s="150">
        <v>0.61159722222222224</v>
      </c>
      <c r="N886" s="150">
        <v>0.61533564814814812</v>
      </c>
      <c r="O886" t="s">
        <v>172</v>
      </c>
      <c r="Q886">
        <v>2503824</v>
      </c>
      <c r="R886">
        <v>2503824</v>
      </c>
      <c r="S886">
        <v>0</v>
      </c>
      <c r="T886">
        <v>0</v>
      </c>
      <c r="U886" t="s">
        <v>173</v>
      </c>
      <c r="V886">
        <v>0</v>
      </c>
      <c r="W886" t="s">
        <v>174</v>
      </c>
      <c r="X886">
        <v>0</v>
      </c>
      <c r="Z886" t="s">
        <v>173</v>
      </c>
      <c r="AA886" t="s">
        <v>173</v>
      </c>
    </row>
    <row r="887" spans="1:27" x14ac:dyDescent="0.3">
      <c r="A887">
        <v>886</v>
      </c>
      <c r="B887" t="s">
        <v>169</v>
      </c>
      <c r="C887">
        <v>99019875</v>
      </c>
      <c r="D887" s="7" t="s">
        <v>87</v>
      </c>
      <c r="E887" t="s">
        <v>88</v>
      </c>
      <c r="F887" t="s">
        <v>170</v>
      </c>
      <c r="G887" t="s">
        <v>177</v>
      </c>
      <c r="H887">
        <v>5</v>
      </c>
      <c r="I887">
        <v>0</v>
      </c>
      <c r="J887">
        <v>5</v>
      </c>
      <c r="K887" s="133">
        <v>12160</v>
      </c>
      <c r="L887" s="133">
        <v>12160</v>
      </c>
      <c r="M887" s="150">
        <v>0.61170138888888892</v>
      </c>
      <c r="N887" s="150">
        <v>0.61209490740740746</v>
      </c>
      <c r="O887" t="s">
        <v>172</v>
      </c>
      <c r="Q887">
        <v>2504233</v>
      </c>
      <c r="R887">
        <v>2504233</v>
      </c>
      <c r="S887">
        <v>2501013</v>
      </c>
      <c r="T887">
        <v>0</v>
      </c>
      <c r="U887" t="s">
        <v>173</v>
      </c>
      <c r="V887">
        <v>0</v>
      </c>
      <c r="W887" t="s">
        <v>174</v>
      </c>
      <c r="X887">
        <v>2501013</v>
      </c>
      <c r="Z887" t="s">
        <v>173</v>
      </c>
      <c r="AA887" t="s">
        <v>173</v>
      </c>
    </row>
    <row r="888" spans="1:27" x14ac:dyDescent="0.3">
      <c r="A888">
        <v>887</v>
      </c>
      <c r="B888" t="s">
        <v>169</v>
      </c>
      <c r="C888">
        <v>99019875</v>
      </c>
      <c r="D888" s="7" t="s">
        <v>87</v>
      </c>
      <c r="E888" t="s">
        <v>88</v>
      </c>
      <c r="F888" t="s">
        <v>170</v>
      </c>
      <c r="G888" t="s">
        <v>177</v>
      </c>
      <c r="H888">
        <v>6</v>
      </c>
      <c r="I888">
        <v>0</v>
      </c>
      <c r="J888">
        <v>6</v>
      </c>
      <c r="K888" s="133">
        <v>12160</v>
      </c>
      <c r="L888" s="133">
        <v>12160</v>
      </c>
      <c r="M888" s="150">
        <v>0.61170138888888892</v>
      </c>
      <c r="N888" s="150">
        <v>0.61209490740740746</v>
      </c>
      <c r="O888" t="s">
        <v>172</v>
      </c>
      <c r="Q888">
        <v>2504234</v>
      </c>
      <c r="R888">
        <v>2504234</v>
      </c>
      <c r="S888">
        <v>2501014</v>
      </c>
      <c r="T888">
        <v>0</v>
      </c>
      <c r="U888" t="s">
        <v>173</v>
      </c>
      <c r="V888">
        <v>0</v>
      </c>
      <c r="W888" t="s">
        <v>174</v>
      </c>
      <c r="X888">
        <v>2501014</v>
      </c>
      <c r="Z888" t="s">
        <v>173</v>
      </c>
      <c r="AA888" t="s">
        <v>173</v>
      </c>
    </row>
    <row r="889" spans="1:27" x14ac:dyDescent="0.3">
      <c r="A889">
        <v>888</v>
      </c>
      <c r="B889" t="s">
        <v>169</v>
      </c>
      <c r="C889">
        <v>99019875</v>
      </c>
      <c r="D889" s="7" t="s">
        <v>87</v>
      </c>
      <c r="E889" t="s">
        <v>88</v>
      </c>
      <c r="F889" t="s">
        <v>170</v>
      </c>
      <c r="G889" t="s">
        <v>177</v>
      </c>
      <c r="H889">
        <v>6</v>
      </c>
      <c r="I889">
        <v>0</v>
      </c>
      <c r="J889">
        <v>6</v>
      </c>
      <c r="K889" s="133">
        <v>12160</v>
      </c>
      <c r="L889" s="133">
        <v>12160</v>
      </c>
      <c r="M889" s="150">
        <v>0.61170138888888892</v>
      </c>
      <c r="N889" s="150">
        <v>0.61222222222222222</v>
      </c>
      <c r="O889" t="s">
        <v>172</v>
      </c>
      <c r="Q889">
        <v>2504235</v>
      </c>
      <c r="R889">
        <v>2504235</v>
      </c>
      <c r="S889">
        <v>2501015</v>
      </c>
      <c r="T889">
        <v>0</v>
      </c>
      <c r="U889" t="s">
        <v>173</v>
      </c>
      <c r="V889">
        <v>0</v>
      </c>
      <c r="W889" t="s">
        <v>174</v>
      </c>
      <c r="X889">
        <v>2501015</v>
      </c>
      <c r="Z889" t="s">
        <v>173</v>
      </c>
      <c r="AA889" t="s">
        <v>173</v>
      </c>
    </row>
    <row r="890" spans="1:27" x14ac:dyDescent="0.3">
      <c r="A890">
        <v>889</v>
      </c>
      <c r="B890" t="s">
        <v>169</v>
      </c>
      <c r="C890">
        <v>99019875</v>
      </c>
      <c r="D890" s="7" t="s">
        <v>87</v>
      </c>
      <c r="E890" t="s">
        <v>88</v>
      </c>
      <c r="F890" t="s">
        <v>170</v>
      </c>
      <c r="G890" t="s">
        <v>177</v>
      </c>
      <c r="H890">
        <v>6</v>
      </c>
      <c r="I890">
        <v>0</v>
      </c>
      <c r="J890">
        <v>6</v>
      </c>
      <c r="K890" s="133">
        <v>12160</v>
      </c>
      <c r="L890" s="133">
        <v>12160</v>
      </c>
      <c r="M890" s="150">
        <v>0.61170138888888892</v>
      </c>
      <c r="N890" s="150">
        <v>0.61222222222222222</v>
      </c>
      <c r="O890" t="s">
        <v>172</v>
      </c>
      <c r="Q890">
        <v>2504236</v>
      </c>
      <c r="R890">
        <v>2504236</v>
      </c>
      <c r="S890">
        <v>2503211</v>
      </c>
      <c r="T890">
        <v>0</v>
      </c>
      <c r="U890" t="s">
        <v>173</v>
      </c>
      <c r="V890">
        <v>0</v>
      </c>
      <c r="W890" t="s">
        <v>174</v>
      </c>
      <c r="X890">
        <v>2503211</v>
      </c>
      <c r="Z890" t="s">
        <v>173</v>
      </c>
      <c r="AA890" t="s">
        <v>173</v>
      </c>
    </row>
    <row r="891" spans="1:27" x14ac:dyDescent="0.3">
      <c r="A891">
        <v>890</v>
      </c>
      <c r="B891" t="s">
        <v>169</v>
      </c>
      <c r="C891">
        <v>99019875</v>
      </c>
      <c r="D891" s="7" t="s">
        <v>100</v>
      </c>
      <c r="E891" t="s">
        <v>101</v>
      </c>
      <c r="F891" t="s">
        <v>170</v>
      </c>
      <c r="G891" t="s">
        <v>177</v>
      </c>
      <c r="H891">
        <v>5</v>
      </c>
      <c r="I891">
        <v>0</v>
      </c>
      <c r="J891">
        <v>5</v>
      </c>
      <c r="K891" s="133">
        <v>15535</v>
      </c>
      <c r="L891" s="133">
        <v>15535</v>
      </c>
      <c r="M891" s="150">
        <v>0.61170138888888892</v>
      </c>
      <c r="N891" s="150">
        <v>0.61179398148148145</v>
      </c>
      <c r="O891" t="s">
        <v>172</v>
      </c>
      <c r="Q891">
        <v>2504249</v>
      </c>
      <c r="R891">
        <v>2504249</v>
      </c>
      <c r="S891">
        <v>2503210</v>
      </c>
      <c r="T891">
        <v>0</v>
      </c>
      <c r="U891" t="s">
        <v>173</v>
      </c>
      <c r="V891">
        <v>0</v>
      </c>
      <c r="W891" t="s">
        <v>174</v>
      </c>
      <c r="X891">
        <v>2503210</v>
      </c>
      <c r="Z891" t="s">
        <v>173</v>
      </c>
      <c r="AA891" t="s">
        <v>173</v>
      </c>
    </row>
    <row r="892" spans="1:27" x14ac:dyDescent="0.3">
      <c r="A892">
        <v>891</v>
      </c>
      <c r="B892" t="s">
        <v>169</v>
      </c>
      <c r="C892">
        <v>99019875</v>
      </c>
      <c r="D892" s="7" t="s">
        <v>126</v>
      </c>
      <c r="E892" t="s">
        <v>127</v>
      </c>
      <c r="F892" t="s">
        <v>176</v>
      </c>
      <c r="G892" t="s">
        <v>171</v>
      </c>
      <c r="H892">
        <v>1</v>
      </c>
      <c r="I892">
        <v>0</v>
      </c>
      <c r="J892">
        <v>1</v>
      </c>
      <c r="K892" s="133">
        <v>12335</v>
      </c>
      <c r="L892" s="133">
        <v>12335</v>
      </c>
      <c r="M892" s="150">
        <v>0.61170138888888892</v>
      </c>
      <c r="N892" s="150">
        <v>0.61254629629629631</v>
      </c>
      <c r="O892" t="s">
        <v>172</v>
      </c>
      <c r="Q892">
        <v>2504255</v>
      </c>
      <c r="R892">
        <v>2504255</v>
      </c>
      <c r="S892">
        <v>0</v>
      </c>
      <c r="T892">
        <v>0</v>
      </c>
      <c r="U892" t="s">
        <v>173</v>
      </c>
      <c r="V892">
        <v>0</v>
      </c>
      <c r="W892" t="s">
        <v>174</v>
      </c>
      <c r="X892">
        <v>0</v>
      </c>
      <c r="Z892" t="s">
        <v>173</v>
      </c>
      <c r="AA892" t="s">
        <v>173</v>
      </c>
    </row>
    <row r="893" spans="1:27" x14ac:dyDescent="0.3">
      <c r="A893">
        <v>892</v>
      </c>
      <c r="B893" t="s">
        <v>169</v>
      </c>
      <c r="C893">
        <v>99019875</v>
      </c>
      <c r="D893" s="7" t="s">
        <v>69</v>
      </c>
      <c r="E893" t="s">
        <v>70</v>
      </c>
      <c r="F893" t="s">
        <v>170</v>
      </c>
      <c r="G893" t="s">
        <v>177</v>
      </c>
      <c r="H893">
        <v>17</v>
      </c>
      <c r="I893">
        <v>0</v>
      </c>
      <c r="J893">
        <v>17</v>
      </c>
      <c r="K893" s="133">
        <v>10290</v>
      </c>
      <c r="L893" s="133">
        <v>10290</v>
      </c>
      <c r="M893" s="150">
        <v>0.61170138888888892</v>
      </c>
      <c r="N893" s="150">
        <v>0.61173611111111115</v>
      </c>
      <c r="O893" t="s">
        <v>172</v>
      </c>
      <c r="Q893">
        <v>2504279</v>
      </c>
      <c r="R893">
        <v>2504279</v>
      </c>
      <c r="S893">
        <v>2504191</v>
      </c>
      <c r="T893">
        <v>0</v>
      </c>
      <c r="U893" t="s">
        <v>173</v>
      </c>
      <c r="V893">
        <v>0</v>
      </c>
      <c r="W893" t="s">
        <v>174</v>
      </c>
      <c r="X893">
        <v>2504191</v>
      </c>
      <c r="Z893" t="s">
        <v>173</v>
      </c>
      <c r="AA893" t="s">
        <v>173</v>
      </c>
    </row>
    <row r="894" spans="1:27" x14ac:dyDescent="0.3">
      <c r="A894">
        <v>893</v>
      </c>
      <c r="B894" t="s">
        <v>169</v>
      </c>
      <c r="C894">
        <v>99019875</v>
      </c>
      <c r="D894" s="7" t="s">
        <v>128</v>
      </c>
      <c r="E894" t="s">
        <v>129</v>
      </c>
      <c r="F894" t="s">
        <v>170</v>
      </c>
      <c r="G894" t="s">
        <v>177</v>
      </c>
      <c r="H894">
        <v>1</v>
      </c>
      <c r="I894">
        <v>0</v>
      </c>
      <c r="J894">
        <v>1</v>
      </c>
      <c r="K894" s="133">
        <v>6505</v>
      </c>
      <c r="L894" s="133">
        <v>6505</v>
      </c>
      <c r="M894" s="150">
        <v>0.61171296296296296</v>
      </c>
      <c r="N894" s="150">
        <v>0.61204861111111108</v>
      </c>
      <c r="O894" t="s">
        <v>172</v>
      </c>
      <c r="Q894">
        <v>2504282</v>
      </c>
      <c r="R894">
        <v>2504282</v>
      </c>
      <c r="S894">
        <v>2501026</v>
      </c>
      <c r="T894">
        <v>0</v>
      </c>
      <c r="U894" t="s">
        <v>173</v>
      </c>
      <c r="V894">
        <v>0</v>
      </c>
      <c r="W894" t="s">
        <v>174</v>
      </c>
      <c r="X894">
        <v>2501026</v>
      </c>
      <c r="Z894" t="s">
        <v>173</v>
      </c>
      <c r="AA894" t="s">
        <v>173</v>
      </c>
    </row>
    <row r="895" spans="1:27" x14ac:dyDescent="0.3">
      <c r="A895">
        <v>894</v>
      </c>
      <c r="B895" t="s">
        <v>169</v>
      </c>
      <c r="C895">
        <v>99019875</v>
      </c>
      <c r="D895" s="7" t="s">
        <v>128</v>
      </c>
      <c r="E895" t="s">
        <v>129</v>
      </c>
      <c r="F895" t="s">
        <v>170</v>
      </c>
      <c r="G895" t="s">
        <v>177</v>
      </c>
      <c r="H895">
        <v>1</v>
      </c>
      <c r="I895">
        <v>0</v>
      </c>
      <c r="J895">
        <v>1</v>
      </c>
      <c r="K895" s="133">
        <v>6505</v>
      </c>
      <c r="L895" s="133">
        <v>6505</v>
      </c>
      <c r="M895" s="150">
        <v>0.61171296296296296</v>
      </c>
      <c r="N895" s="150">
        <v>0.61204861111111108</v>
      </c>
      <c r="O895" t="s">
        <v>172</v>
      </c>
      <c r="Q895">
        <v>2504283</v>
      </c>
      <c r="R895">
        <v>2504283</v>
      </c>
      <c r="S895">
        <v>2501027</v>
      </c>
      <c r="T895">
        <v>0</v>
      </c>
      <c r="U895" t="s">
        <v>173</v>
      </c>
      <c r="V895">
        <v>0</v>
      </c>
      <c r="W895" t="s">
        <v>174</v>
      </c>
      <c r="X895">
        <v>2501027</v>
      </c>
      <c r="Z895" t="s">
        <v>173</v>
      </c>
      <c r="AA895" t="s">
        <v>173</v>
      </c>
    </row>
    <row r="896" spans="1:27" x14ac:dyDescent="0.3">
      <c r="A896">
        <v>895</v>
      </c>
      <c r="B896" t="s">
        <v>169</v>
      </c>
      <c r="C896">
        <v>99019875</v>
      </c>
      <c r="D896" s="7" t="s">
        <v>128</v>
      </c>
      <c r="E896" t="s">
        <v>129</v>
      </c>
      <c r="F896" t="s">
        <v>170</v>
      </c>
      <c r="G896" t="s">
        <v>177</v>
      </c>
      <c r="H896">
        <v>1</v>
      </c>
      <c r="I896">
        <v>0</v>
      </c>
      <c r="J896">
        <v>1</v>
      </c>
      <c r="K896" s="133">
        <v>6505</v>
      </c>
      <c r="L896" s="133">
        <v>6505</v>
      </c>
      <c r="M896" s="150">
        <v>0.61171296296296296</v>
      </c>
      <c r="N896" s="150">
        <v>0.61204861111111108</v>
      </c>
      <c r="O896" t="s">
        <v>172</v>
      </c>
      <c r="Q896">
        <v>2504284</v>
      </c>
      <c r="R896">
        <v>2504284</v>
      </c>
      <c r="S896">
        <v>2501405</v>
      </c>
      <c r="T896">
        <v>0</v>
      </c>
      <c r="U896" t="s">
        <v>173</v>
      </c>
      <c r="V896">
        <v>0</v>
      </c>
      <c r="W896" t="s">
        <v>174</v>
      </c>
      <c r="X896">
        <v>2501405</v>
      </c>
      <c r="Z896" t="s">
        <v>173</v>
      </c>
      <c r="AA896" t="s">
        <v>173</v>
      </c>
    </row>
    <row r="897" spans="1:27" x14ac:dyDescent="0.3">
      <c r="A897">
        <v>896</v>
      </c>
      <c r="B897" t="s">
        <v>169</v>
      </c>
      <c r="C897">
        <v>99019875</v>
      </c>
      <c r="D897" s="7" t="s">
        <v>114</v>
      </c>
      <c r="E897" t="s">
        <v>115</v>
      </c>
      <c r="F897" t="s">
        <v>176</v>
      </c>
      <c r="G897" t="s">
        <v>171</v>
      </c>
      <c r="H897">
        <v>66</v>
      </c>
      <c r="I897">
        <v>0</v>
      </c>
      <c r="J897">
        <v>66</v>
      </c>
      <c r="K897" s="133">
        <v>53840</v>
      </c>
      <c r="L897" s="133">
        <v>53840</v>
      </c>
      <c r="M897" s="150">
        <v>0.61171296296296296</v>
      </c>
      <c r="N897" s="150">
        <v>0.61175925925925922</v>
      </c>
      <c r="O897" t="s">
        <v>172</v>
      </c>
      <c r="Q897">
        <v>2504294</v>
      </c>
      <c r="R897">
        <v>2504294</v>
      </c>
      <c r="S897">
        <v>0</v>
      </c>
      <c r="T897">
        <v>0</v>
      </c>
      <c r="U897" t="s">
        <v>173</v>
      </c>
      <c r="V897">
        <v>0</v>
      </c>
      <c r="W897" t="s">
        <v>174</v>
      </c>
      <c r="X897">
        <v>0</v>
      </c>
      <c r="Z897" t="s">
        <v>173</v>
      </c>
      <c r="AA897" t="s">
        <v>173</v>
      </c>
    </row>
    <row r="898" spans="1:27" x14ac:dyDescent="0.3">
      <c r="A898">
        <v>897</v>
      </c>
      <c r="B898" t="s">
        <v>169</v>
      </c>
      <c r="C898">
        <v>99019875</v>
      </c>
      <c r="D898" s="7" t="s">
        <v>62</v>
      </c>
      <c r="E898" t="s">
        <v>63</v>
      </c>
      <c r="F898" t="s">
        <v>176</v>
      </c>
      <c r="G898" t="s">
        <v>171</v>
      </c>
      <c r="H898">
        <v>89</v>
      </c>
      <c r="I898">
        <v>0</v>
      </c>
      <c r="J898">
        <v>89</v>
      </c>
      <c r="K898" s="133">
        <v>34055</v>
      </c>
      <c r="L898" s="133">
        <v>34055</v>
      </c>
      <c r="M898" s="150">
        <v>0.61171296296296296</v>
      </c>
      <c r="N898" s="150">
        <v>0.61175925925925922</v>
      </c>
      <c r="O898" t="s">
        <v>172</v>
      </c>
      <c r="Q898">
        <v>2504295</v>
      </c>
      <c r="R898">
        <v>2504295</v>
      </c>
      <c r="S898">
        <v>0</v>
      </c>
      <c r="T898">
        <v>0</v>
      </c>
      <c r="U898" t="s">
        <v>173</v>
      </c>
      <c r="V898">
        <v>0</v>
      </c>
      <c r="W898" t="s">
        <v>174</v>
      </c>
      <c r="X898">
        <v>0</v>
      </c>
      <c r="Z898" t="s">
        <v>173</v>
      </c>
      <c r="AA898" t="s">
        <v>173</v>
      </c>
    </row>
    <row r="899" spans="1:27" x14ac:dyDescent="0.3">
      <c r="A899">
        <v>898</v>
      </c>
      <c r="B899" t="s">
        <v>169</v>
      </c>
      <c r="C899">
        <v>99019875</v>
      </c>
      <c r="D899" s="7" t="s">
        <v>81</v>
      </c>
      <c r="E899" t="s">
        <v>82</v>
      </c>
      <c r="F899" t="s">
        <v>176</v>
      </c>
      <c r="G899" t="s">
        <v>171</v>
      </c>
      <c r="H899">
        <v>75</v>
      </c>
      <c r="I899">
        <v>0</v>
      </c>
      <c r="J899">
        <v>75</v>
      </c>
      <c r="K899" s="133">
        <v>36450</v>
      </c>
      <c r="L899" s="133">
        <v>36450</v>
      </c>
      <c r="M899" s="150">
        <v>0.61171296296296296</v>
      </c>
      <c r="N899" s="150">
        <v>0.61178240740740741</v>
      </c>
      <c r="O899" t="s">
        <v>172</v>
      </c>
      <c r="Q899">
        <v>2504296</v>
      </c>
      <c r="R899">
        <v>2504296</v>
      </c>
      <c r="S899">
        <v>0</v>
      </c>
      <c r="T899">
        <v>0</v>
      </c>
      <c r="U899" t="s">
        <v>173</v>
      </c>
      <c r="V899">
        <v>0</v>
      </c>
      <c r="W899" t="s">
        <v>174</v>
      </c>
      <c r="X899">
        <v>0</v>
      </c>
      <c r="Z899" t="s">
        <v>173</v>
      </c>
      <c r="AA899" t="s">
        <v>173</v>
      </c>
    </row>
    <row r="900" spans="1:27" x14ac:dyDescent="0.3">
      <c r="A900">
        <v>899</v>
      </c>
      <c r="B900" t="s">
        <v>169</v>
      </c>
      <c r="C900">
        <v>99019875</v>
      </c>
      <c r="D900" s="7" t="s">
        <v>75</v>
      </c>
      <c r="E900" t="s">
        <v>76</v>
      </c>
      <c r="F900" t="s">
        <v>170</v>
      </c>
      <c r="G900" t="s">
        <v>171</v>
      </c>
      <c r="H900">
        <v>83</v>
      </c>
      <c r="I900">
        <v>0</v>
      </c>
      <c r="J900">
        <v>83</v>
      </c>
      <c r="K900" s="133">
        <v>20745</v>
      </c>
      <c r="L900" s="133">
        <v>20745</v>
      </c>
      <c r="M900" s="150">
        <v>0.61171296296296296</v>
      </c>
      <c r="N900" s="150">
        <v>0.6118865740740741</v>
      </c>
      <c r="O900" t="s">
        <v>172</v>
      </c>
      <c r="Q900">
        <v>2504298</v>
      </c>
      <c r="R900">
        <v>2504298</v>
      </c>
      <c r="S900">
        <v>0</v>
      </c>
      <c r="T900">
        <v>0</v>
      </c>
      <c r="U900" t="s">
        <v>173</v>
      </c>
      <c r="V900">
        <v>0</v>
      </c>
      <c r="W900" t="s">
        <v>174</v>
      </c>
      <c r="X900">
        <v>0</v>
      </c>
      <c r="Z900" t="s">
        <v>173</v>
      </c>
      <c r="AA900" t="s">
        <v>173</v>
      </c>
    </row>
    <row r="901" spans="1:27" x14ac:dyDescent="0.3">
      <c r="A901">
        <v>900</v>
      </c>
      <c r="B901" t="s">
        <v>169</v>
      </c>
      <c r="C901">
        <v>99019875</v>
      </c>
      <c r="D901" s="7" t="s">
        <v>102</v>
      </c>
      <c r="E901" t="s">
        <v>103</v>
      </c>
      <c r="F901" t="s">
        <v>170</v>
      </c>
      <c r="G901" t="s">
        <v>171</v>
      </c>
      <c r="H901">
        <v>54</v>
      </c>
      <c r="I901">
        <v>0</v>
      </c>
      <c r="J901">
        <v>54</v>
      </c>
      <c r="K901" s="133">
        <v>26885</v>
      </c>
      <c r="L901" s="133">
        <v>26885</v>
      </c>
      <c r="M901" s="150">
        <v>0.61171296296296296</v>
      </c>
      <c r="N901" s="150">
        <v>0.61182870370370368</v>
      </c>
      <c r="O901" t="s">
        <v>172</v>
      </c>
      <c r="Q901">
        <v>2504301</v>
      </c>
      <c r="R901">
        <v>2504301</v>
      </c>
      <c r="S901">
        <v>0</v>
      </c>
      <c r="T901">
        <v>0</v>
      </c>
      <c r="U901" t="s">
        <v>173</v>
      </c>
      <c r="V901">
        <v>0</v>
      </c>
      <c r="W901" t="s">
        <v>174</v>
      </c>
      <c r="X901">
        <v>0</v>
      </c>
      <c r="Z901" t="s">
        <v>173</v>
      </c>
      <c r="AA901" t="s">
        <v>173</v>
      </c>
    </row>
    <row r="902" spans="1:27" x14ac:dyDescent="0.3">
      <c r="A902">
        <v>901</v>
      </c>
      <c r="B902" t="s">
        <v>169</v>
      </c>
      <c r="C902">
        <v>99019875</v>
      </c>
      <c r="D902" s="7" t="s">
        <v>89</v>
      </c>
      <c r="E902" t="s">
        <v>90</v>
      </c>
      <c r="F902" t="s">
        <v>176</v>
      </c>
      <c r="G902" t="s">
        <v>171</v>
      </c>
      <c r="H902">
        <v>30</v>
      </c>
      <c r="I902">
        <v>0</v>
      </c>
      <c r="J902">
        <v>30</v>
      </c>
      <c r="K902" s="133">
        <v>3095</v>
      </c>
      <c r="L902" s="133">
        <v>3095</v>
      </c>
      <c r="M902" s="150">
        <v>0.61171296296296296</v>
      </c>
      <c r="N902" s="150">
        <v>0.61204861111111108</v>
      </c>
      <c r="O902" t="s">
        <v>172</v>
      </c>
      <c r="Q902">
        <v>2504307</v>
      </c>
      <c r="R902">
        <v>2504307</v>
      </c>
      <c r="S902">
        <v>0</v>
      </c>
      <c r="T902">
        <v>0</v>
      </c>
      <c r="U902" t="s">
        <v>173</v>
      </c>
      <c r="V902">
        <v>0</v>
      </c>
      <c r="W902" t="s">
        <v>174</v>
      </c>
      <c r="X902">
        <v>0</v>
      </c>
      <c r="Z902" t="s">
        <v>173</v>
      </c>
      <c r="AA902" t="s">
        <v>173</v>
      </c>
    </row>
    <row r="903" spans="1:27" x14ac:dyDescent="0.3">
      <c r="A903">
        <v>902</v>
      </c>
      <c r="B903" t="s">
        <v>169</v>
      </c>
      <c r="C903">
        <v>99019875</v>
      </c>
      <c r="D903" s="7" t="s">
        <v>100</v>
      </c>
      <c r="E903" t="s">
        <v>101</v>
      </c>
      <c r="F903" t="s">
        <v>170</v>
      </c>
      <c r="G903" t="s">
        <v>171</v>
      </c>
      <c r="H903">
        <v>5</v>
      </c>
      <c r="I903">
        <v>0</v>
      </c>
      <c r="J903">
        <v>5</v>
      </c>
      <c r="K903" s="133">
        <v>15535</v>
      </c>
      <c r="L903" s="133">
        <v>15535</v>
      </c>
      <c r="M903" s="150">
        <v>0.61171296296296296</v>
      </c>
      <c r="N903" s="150">
        <v>0.61179398148148145</v>
      </c>
      <c r="O903" t="s">
        <v>172</v>
      </c>
      <c r="Q903">
        <v>2504310</v>
      </c>
      <c r="R903">
        <v>2504310</v>
      </c>
      <c r="S903">
        <v>0</v>
      </c>
      <c r="T903">
        <v>0</v>
      </c>
      <c r="U903" t="s">
        <v>173</v>
      </c>
      <c r="V903">
        <v>0</v>
      </c>
      <c r="W903" t="s">
        <v>174</v>
      </c>
      <c r="X903">
        <v>0</v>
      </c>
      <c r="Z903" t="s">
        <v>173</v>
      </c>
      <c r="AA903" t="s">
        <v>173</v>
      </c>
    </row>
    <row r="904" spans="1:27" x14ac:dyDescent="0.3">
      <c r="A904">
        <v>903</v>
      </c>
      <c r="B904" t="s">
        <v>169</v>
      </c>
      <c r="C904">
        <v>99019875</v>
      </c>
      <c r="D904" s="7" t="s">
        <v>87</v>
      </c>
      <c r="E904" t="s">
        <v>88</v>
      </c>
      <c r="F904" t="s">
        <v>170</v>
      </c>
      <c r="G904" t="s">
        <v>171</v>
      </c>
      <c r="H904">
        <v>5</v>
      </c>
      <c r="I904">
        <v>0</v>
      </c>
      <c r="J904">
        <v>5</v>
      </c>
      <c r="K904" s="133">
        <v>12160</v>
      </c>
      <c r="L904" s="133">
        <v>12160</v>
      </c>
      <c r="M904" s="150">
        <v>0.61171296296296296</v>
      </c>
      <c r="N904" s="150">
        <v>0.61222222222222222</v>
      </c>
      <c r="O904" t="s">
        <v>172</v>
      </c>
      <c r="Q904">
        <v>2504311</v>
      </c>
      <c r="R904">
        <v>2504311</v>
      </c>
      <c r="S904">
        <v>0</v>
      </c>
      <c r="T904">
        <v>0</v>
      </c>
      <c r="U904" t="s">
        <v>173</v>
      </c>
      <c r="V904">
        <v>0</v>
      </c>
      <c r="W904" t="s">
        <v>174</v>
      </c>
      <c r="X904">
        <v>0</v>
      </c>
      <c r="Z904" t="s">
        <v>173</v>
      </c>
      <c r="AA904" t="s">
        <v>173</v>
      </c>
    </row>
    <row r="905" spans="1:27" x14ac:dyDescent="0.3">
      <c r="A905">
        <v>904</v>
      </c>
      <c r="B905" t="s">
        <v>169</v>
      </c>
      <c r="C905">
        <v>99019875</v>
      </c>
      <c r="D905" s="7" t="s">
        <v>108</v>
      </c>
      <c r="E905" t="s">
        <v>109</v>
      </c>
      <c r="F905" t="s">
        <v>170</v>
      </c>
      <c r="G905" t="s">
        <v>171</v>
      </c>
      <c r="H905">
        <v>23</v>
      </c>
      <c r="I905">
        <v>0</v>
      </c>
      <c r="J905">
        <v>23</v>
      </c>
      <c r="K905" s="133">
        <v>2715</v>
      </c>
      <c r="L905" s="133">
        <v>2715</v>
      </c>
      <c r="M905" s="150">
        <v>0.61171296296296296</v>
      </c>
      <c r="N905" s="150">
        <v>0.62351851851851847</v>
      </c>
      <c r="O905" t="s">
        <v>172</v>
      </c>
      <c r="Q905">
        <v>2504312</v>
      </c>
      <c r="R905">
        <v>2504312</v>
      </c>
      <c r="S905">
        <v>0</v>
      </c>
      <c r="T905">
        <v>0</v>
      </c>
      <c r="U905" t="s">
        <v>173</v>
      </c>
      <c r="V905">
        <v>0</v>
      </c>
      <c r="W905" t="s">
        <v>174</v>
      </c>
      <c r="X905">
        <v>0</v>
      </c>
      <c r="Z905" t="s">
        <v>173</v>
      </c>
      <c r="AA905" t="s">
        <v>173</v>
      </c>
    </row>
    <row r="906" spans="1:27" x14ac:dyDescent="0.3">
      <c r="A906">
        <v>905</v>
      </c>
      <c r="B906" t="s">
        <v>169</v>
      </c>
      <c r="C906">
        <v>99019875</v>
      </c>
      <c r="D906" s="7" t="s">
        <v>65</v>
      </c>
      <c r="E906" t="s">
        <v>66</v>
      </c>
      <c r="F906" t="s">
        <v>176</v>
      </c>
      <c r="G906" t="s">
        <v>171</v>
      </c>
      <c r="H906">
        <v>58</v>
      </c>
      <c r="I906">
        <v>0</v>
      </c>
      <c r="J906">
        <v>58</v>
      </c>
      <c r="K906" s="133">
        <v>4755</v>
      </c>
      <c r="L906" s="133">
        <v>4755</v>
      </c>
      <c r="M906" s="150">
        <v>0.61171296296296296</v>
      </c>
      <c r="N906" s="150">
        <v>0.61278935185185179</v>
      </c>
      <c r="O906" t="s">
        <v>172</v>
      </c>
      <c r="Q906">
        <v>2504321</v>
      </c>
      <c r="R906">
        <v>2504321</v>
      </c>
      <c r="S906">
        <v>0</v>
      </c>
      <c r="T906">
        <v>0</v>
      </c>
      <c r="U906" t="s">
        <v>173</v>
      </c>
      <c r="V906">
        <v>0</v>
      </c>
      <c r="W906" t="s">
        <v>174</v>
      </c>
      <c r="X906">
        <v>0</v>
      </c>
      <c r="Z906" t="s">
        <v>173</v>
      </c>
      <c r="AA906" t="s">
        <v>173</v>
      </c>
    </row>
    <row r="907" spans="1:27" x14ac:dyDescent="0.3">
      <c r="A907">
        <v>906</v>
      </c>
      <c r="B907" t="s">
        <v>169</v>
      </c>
      <c r="C907">
        <v>99019875</v>
      </c>
      <c r="D907" s="7" t="s">
        <v>140</v>
      </c>
      <c r="E907" t="s">
        <v>178</v>
      </c>
      <c r="F907" t="s">
        <v>170</v>
      </c>
      <c r="G907" t="s">
        <v>171</v>
      </c>
      <c r="H907">
        <v>20</v>
      </c>
      <c r="I907">
        <v>0</v>
      </c>
      <c r="J907">
        <v>20</v>
      </c>
      <c r="K907" s="133">
        <v>8620</v>
      </c>
      <c r="L907" s="133">
        <v>8620</v>
      </c>
      <c r="M907" s="150">
        <v>0.61171296296296296</v>
      </c>
      <c r="N907" s="150">
        <v>0.61249999999999993</v>
      </c>
      <c r="O907" t="s">
        <v>172</v>
      </c>
      <c r="Q907">
        <v>2504332</v>
      </c>
      <c r="R907">
        <v>2504332</v>
      </c>
      <c r="S907">
        <v>0</v>
      </c>
      <c r="T907">
        <v>0</v>
      </c>
      <c r="U907" t="s">
        <v>173</v>
      </c>
      <c r="V907">
        <v>0</v>
      </c>
      <c r="W907" t="s">
        <v>174</v>
      </c>
      <c r="X907">
        <v>0</v>
      </c>
      <c r="Z907" t="s">
        <v>173</v>
      </c>
      <c r="AA907" t="s">
        <v>173</v>
      </c>
    </row>
    <row r="908" spans="1:27" x14ac:dyDescent="0.3">
      <c r="A908">
        <v>907</v>
      </c>
      <c r="B908" t="s">
        <v>169</v>
      </c>
      <c r="C908">
        <v>99019875</v>
      </c>
      <c r="D908" s="7" t="s">
        <v>69</v>
      </c>
      <c r="E908" t="s">
        <v>70</v>
      </c>
      <c r="F908" t="s">
        <v>170</v>
      </c>
      <c r="G908" t="s">
        <v>171</v>
      </c>
      <c r="H908">
        <v>16</v>
      </c>
      <c r="I908">
        <v>0</v>
      </c>
      <c r="J908">
        <v>16</v>
      </c>
      <c r="K908" s="133">
        <v>10290</v>
      </c>
      <c r="L908" s="133">
        <v>10290</v>
      </c>
      <c r="M908" s="150">
        <v>0.61171296296296296</v>
      </c>
      <c r="N908" s="150">
        <v>0.61173611111111115</v>
      </c>
      <c r="O908" t="s">
        <v>172</v>
      </c>
      <c r="Q908">
        <v>2504333</v>
      </c>
      <c r="R908">
        <v>2504333</v>
      </c>
      <c r="S908">
        <v>0</v>
      </c>
      <c r="T908">
        <v>0</v>
      </c>
      <c r="U908" t="s">
        <v>173</v>
      </c>
      <c r="V908">
        <v>0</v>
      </c>
      <c r="W908" t="s">
        <v>174</v>
      </c>
      <c r="X908">
        <v>0</v>
      </c>
      <c r="Z908" t="s">
        <v>173</v>
      </c>
      <c r="AA908" t="s">
        <v>173</v>
      </c>
    </row>
    <row r="909" spans="1:27" x14ac:dyDescent="0.3">
      <c r="A909">
        <v>908</v>
      </c>
      <c r="B909" t="s">
        <v>169</v>
      </c>
      <c r="C909">
        <v>99019875</v>
      </c>
      <c r="D909" s="7" t="s">
        <v>128</v>
      </c>
      <c r="E909" t="s">
        <v>129</v>
      </c>
      <c r="F909" t="s">
        <v>170</v>
      </c>
      <c r="G909" t="s">
        <v>171</v>
      </c>
      <c r="H909">
        <v>1</v>
      </c>
      <c r="I909">
        <v>0</v>
      </c>
      <c r="J909">
        <v>1</v>
      </c>
      <c r="K909" s="133">
        <v>6505</v>
      </c>
      <c r="L909" s="133">
        <v>6505</v>
      </c>
      <c r="M909" s="150">
        <v>0.61172453703703711</v>
      </c>
      <c r="N909" s="150">
        <v>0.61204861111111108</v>
      </c>
      <c r="O909" t="s">
        <v>172</v>
      </c>
      <c r="Q909">
        <v>2504338</v>
      </c>
      <c r="R909">
        <v>2504338</v>
      </c>
      <c r="S909">
        <v>0</v>
      </c>
      <c r="T909">
        <v>0</v>
      </c>
      <c r="U909" t="s">
        <v>173</v>
      </c>
      <c r="V909">
        <v>0</v>
      </c>
      <c r="W909" t="s">
        <v>174</v>
      </c>
      <c r="X909">
        <v>0</v>
      </c>
      <c r="Z909" t="s">
        <v>173</v>
      </c>
      <c r="AA909" t="s">
        <v>173</v>
      </c>
    </row>
    <row r="910" spans="1:27" x14ac:dyDescent="0.3">
      <c r="A910">
        <v>909</v>
      </c>
      <c r="B910" t="s">
        <v>169</v>
      </c>
      <c r="C910">
        <v>99019875</v>
      </c>
      <c r="D910" s="7" t="s">
        <v>71</v>
      </c>
      <c r="E910" t="s">
        <v>72</v>
      </c>
      <c r="F910" t="s">
        <v>176</v>
      </c>
      <c r="G910" t="s">
        <v>177</v>
      </c>
      <c r="H910">
        <v>18</v>
      </c>
      <c r="I910">
        <v>0</v>
      </c>
      <c r="J910">
        <v>18</v>
      </c>
      <c r="K910" s="133">
        <v>18015</v>
      </c>
      <c r="L910" s="133">
        <v>18015</v>
      </c>
      <c r="M910" s="150">
        <v>0.61175925925925922</v>
      </c>
      <c r="N910" s="150">
        <v>0.61196759259259259</v>
      </c>
      <c r="O910" t="s">
        <v>172</v>
      </c>
      <c r="Q910">
        <v>2504432</v>
      </c>
      <c r="R910">
        <v>2504432</v>
      </c>
      <c r="S910">
        <v>2504320</v>
      </c>
      <c r="T910">
        <v>0</v>
      </c>
      <c r="U910" t="s">
        <v>173</v>
      </c>
      <c r="V910">
        <v>0</v>
      </c>
      <c r="W910" t="s">
        <v>174</v>
      </c>
      <c r="X910">
        <v>2504320</v>
      </c>
      <c r="Z910" t="s">
        <v>173</v>
      </c>
      <c r="AA910" t="s">
        <v>173</v>
      </c>
    </row>
    <row r="911" spans="1:27" x14ac:dyDescent="0.3">
      <c r="A911">
        <v>910</v>
      </c>
      <c r="B911" t="s">
        <v>169</v>
      </c>
      <c r="C911">
        <v>99019875</v>
      </c>
      <c r="D911" s="7" t="s">
        <v>67</v>
      </c>
      <c r="E911" t="s">
        <v>68</v>
      </c>
      <c r="F911" t="s">
        <v>170</v>
      </c>
      <c r="G911" t="s">
        <v>177</v>
      </c>
      <c r="H911">
        <v>35</v>
      </c>
      <c r="I911">
        <v>0</v>
      </c>
      <c r="J911">
        <v>35</v>
      </c>
      <c r="K911" s="133">
        <v>4810</v>
      </c>
      <c r="L911" s="133">
        <v>4810</v>
      </c>
      <c r="M911" s="150">
        <v>0.61177083333333326</v>
      </c>
      <c r="N911" s="150">
        <v>0.61187500000000006</v>
      </c>
      <c r="O911" t="s">
        <v>172</v>
      </c>
      <c r="Q911">
        <v>2504496</v>
      </c>
      <c r="R911">
        <v>2504496</v>
      </c>
      <c r="S911">
        <v>2500861</v>
      </c>
      <c r="T911">
        <v>0</v>
      </c>
      <c r="U911" t="s">
        <v>173</v>
      </c>
      <c r="V911">
        <v>0</v>
      </c>
      <c r="W911" t="s">
        <v>174</v>
      </c>
      <c r="X911">
        <v>2500861</v>
      </c>
      <c r="Z911" t="s">
        <v>173</v>
      </c>
      <c r="AA911" t="s">
        <v>173</v>
      </c>
    </row>
    <row r="912" spans="1:27" x14ac:dyDescent="0.3">
      <c r="A912">
        <v>911</v>
      </c>
      <c r="B912" t="s">
        <v>169</v>
      </c>
      <c r="C912">
        <v>99019875</v>
      </c>
      <c r="D912" s="7" t="s">
        <v>67</v>
      </c>
      <c r="E912" t="s">
        <v>68</v>
      </c>
      <c r="F912" t="s">
        <v>170</v>
      </c>
      <c r="G912" t="s">
        <v>177</v>
      </c>
      <c r="H912">
        <v>36</v>
      </c>
      <c r="I912">
        <v>0</v>
      </c>
      <c r="J912">
        <v>36</v>
      </c>
      <c r="K912" s="133">
        <v>4810</v>
      </c>
      <c r="L912" s="133">
        <v>4810</v>
      </c>
      <c r="M912" s="150">
        <v>0.61177083333333326</v>
      </c>
      <c r="N912" s="150">
        <v>0.61187500000000006</v>
      </c>
      <c r="O912" t="s">
        <v>172</v>
      </c>
      <c r="Q912">
        <v>2504497</v>
      </c>
      <c r="R912">
        <v>2504497</v>
      </c>
      <c r="S912">
        <v>2500862</v>
      </c>
      <c r="T912">
        <v>0</v>
      </c>
      <c r="U912" t="s">
        <v>173</v>
      </c>
      <c r="V912">
        <v>0</v>
      </c>
      <c r="W912" t="s">
        <v>174</v>
      </c>
      <c r="X912">
        <v>2500862</v>
      </c>
      <c r="Z912" t="s">
        <v>173</v>
      </c>
      <c r="AA912" t="s">
        <v>173</v>
      </c>
    </row>
    <row r="913" spans="1:27" x14ac:dyDescent="0.3">
      <c r="A913">
        <v>912</v>
      </c>
      <c r="B913" t="s">
        <v>169</v>
      </c>
      <c r="C913">
        <v>99019875</v>
      </c>
      <c r="D913" s="7" t="s">
        <v>67</v>
      </c>
      <c r="E913" t="s">
        <v>68</v>
      </c>
      <c r="F913" t="s">
        <v>170</v>
      </c>
      <c r="G913" t="s">
        <v>177</v>
      </c>
      <c r="H913">
        <v>35</v>
      </c>
      <c r="I913">
        <v>0</v>
      </c>
      <c r="J913">
        <v>35</v>
      </c>
      <c r="K913" s="133">
        <v>4810</v>
      </c>
      <c r="L913" s="133">
        <v>4810</v>
      </c>
      <c r="M913" s="150">
        <v>0.61177083333333326</v>
      </c>
      <c r="N913" s="150">
        <v>0.61187500000000006</v>
      </c>
      <c r="O913" t="s">
        <v>172</v>
      </c>
      <c r="Q913">
        <v>2504498</v>
      </c>
      <c r="R913">
        <v>2504498</v>
      </c>
      <c r="S913">
        <v>2503206</v>
      </c>
      <c r="T913">
        <v>0</v>
      </c>
      <c r="U913" t="s">
        <v>173</v>
      </c>
      <c r="V913">
        <v>0</v>
      </c>
      <c r="W913" t="s">
        <v>174</v>
      </c>
      <c r="X913">
        <v>2503206</v>
      </c>
      <c r="Z913" t="s">
        <v>173</v>
      </c>
      <c r="AA913" t="s">
        <v>173</v>
      </c>
    </row>
    <row r="914" spans="1:27" x14ac:dyDescent="0.3">
      <c r="A914">
        <v>913</v>
      </c>
      <c r="B914" t="s">
        <v>169</v>
      </c>
      <c r="C914">
        <v>99019875</v>
      </c>
      <c r="D914" s="7" t="s">
        <v>67</v>
      </c>
      <c r="E914" t="s">
        <v>68</v>
      </c>
      <c r="F914" t="s">
        <v>170</v>
      </c>
      <c r="G914" t="s">
        <v>177</v>
      </c>
      <c r="H914">
        <v>35</v>
      </c>
      <c r="I914">
        <v>0</v>
      </c>
      <c r="J914">
        <v>35</v>
      </c>
      <c r="K914" s="133">
        <v>4810</v>
      </c>
      <c r="L914" s="133">
        <v>4810</v>
      </c>
      <c r="M914" s="150">
        <v>0.61177083333333326</v>
      </c>
      <c r="N914" s="150">
        <v>0.61187500000000006</v>
      </c>
      <c r="O914" t="s">
        <v>172</v>
      </c>
      <c r="Q914">
        <v>2504499</v>
      </c>
      <c r="R914">
        <v>2504499</v>
      </c>
      <c r="S914">
        <v>2504304</v>
      </c>
      <c r="T914">
        <v>0</v>
      </c>
      <c r="U914" t="s">
        <v>173</v>
      </c>
      <c r="V914">
        <v>0</v>
      </c>
      <c r="W914" t="s">
        <v>174</v>
      </c>
      <c r="X914">
        <v>2504304</v>
      </c>
      <c r="Z914" t="s">
        <v>173</v>
      </c>
      <c r="AA914" t="s">
        <v>173</v>
      </c>
    </row>
    <row r="915" spans="1:27" x14ac:dyDescent="0.3">
      <c r="A915">
        <v>914</v>
      </c>
      <c r="B915" t="s">
        <v>169</v>
      </c>
      <c r="C915">
        <v>99019875</v>
      </c>
      <c r="D915" s="7" t="s">
        <v>126</v>
      </c>
      <c r="E915" t="s">
        <v>127</v>
      </c>
      <c r="F915" t="s">
        <v>176</v>
      </c>
      <c r="G915" t="s">
        <v>171</v>
      </c>
      <c r="H915">
        <v>2</v>
      </c>
      <c r="I915">
        <v>0</v>
      </c>
      <c r="J915">
        <v>2</v>
      </c>
      <c r="K915" s="133">
        <v>12335</v>
      </c>
      <c r="L915" s="133">
        <v>12335</v>
      </c>
      <c r="M915" s="150">
        <v>0.61200231481481482</v>
      </c>
      <c r="N915" s="150">
        <v>0.61254629629629631</v>
      </c>
      <c r="O915" t="s">
        <v>172</v>
      </c>
      <c r="Q915">
        <v>2505109</v>
      </c>
      <c r="R915">
        <v>2505109</v>
      </c>
      <c r="S915">
        <v>0</v>
      </c>
      <c r="T915">
        <v>0</v>
      </c>
      <c r="U915" t="s">
        <v>173</v>
      </c>
      <c r="V915">
        <v>0</v>
      </c>
      <c r="W915" t="s">
        <v>174</v>
      </c>
      <c r="X915">
        <v>0</v>
      </c>
      <c r="Z915" t="s">
        <v>173</v>
      </c>
      <c r="AA915" t="s">
        <v>173</v>
      </c>
    </row>
    <row r="916" spans="1:27" x14ac:dyDescent="0.3">
      <c r="A916">
        <v>915</v>
      </c>
      <c r="B916" t="s">
        <v>169</v>
      </c>
      <c r="C916">
        <v>99019875</v>
      </c>
      <c r="D916" s="7" t="s">
        <v>114</v>
      </c>
      <c r="E916" t="s">
        <v>115</v>
      </c>
      <c r="F916" t="s">
        <v>176</v>
      </c>
      <c r="G916" t="s">
        <v>171</v>
      </c>
      <c r="H916">
        <v>65</v>
      </c>
      <c r="I916">
        <v>0</v>
      </c>
      <c r="J916">
        <v>65</v>
      </c>
      <c r="K916" s="133">
        <v>53840</v>
      </c>
      <c r="L916" s="133">
        <v>53840</v>
      </c>
      <c r="M916" s="150">
        <v>0.61200231481481482</v>
      </c>
      <c r="N916" s="150">
        <v>0.61206018518518512</v>
      </c>
      <c r="O916" t="s">
        <v>172</v>
      </c>
      <c r="Q916">
        <v>2505120</v>
      </c>
      <c r="R916">
        <v>2505120</v>
      </c>
      <c r="S916">
        <v>0</v>
      </c>
      <c r="T916">
        <v>0</v>
      </c>
      <c r="U916" t="s">
        <v>173</v>
      </c>
      <c r="V916">
        <v>0</v>
      </c>
      <c r="W916" t="s">
        <v>174</v>
      </c>
      <c r="X916">
        <v>0</v>
      </c>
      <c r="Z916" t="s">
        <v>173</v>
      </c>
      <c r="AA916" t="s">
        <v>173</v>
      </c>
    </row>
    <row r="917" spans="1:27" x14ac:dyDescent="0.3">
      <c r="A917">
        <v>916</v>
      </c>
      <c r="B917" t="s">
        <v>169</v>
      </c>
      <c r="C917">
        <v>99019875</v>
      </c>
      <c r="D917" s="7" t="s">
        <v>89</v>
      </c>
      <c r="E917" t="s">
        <v>90</v>
      </c>
      <c r="F917" t="s">
        <v>176</v>
      </c>
      <c r="G917" t="s">
        <v>171</v>
      </c>
      <c r="H917">
        <v>31</v>
      </c>
      <c r="I917">
        <v>0</v>
      </c>
      <c r="J917">
        <v>31</v>
      </c>
      <c r="K917" s="133">
        <v>3095</v>
      </c>
      <c r="L917" s="133">
        <v>3095</v>
      </c>
      <c r="M917" s="150">
        <v>0.61200231481481482</v>
      </c>
      <c r="N917" s="150">
        <v>0.61204861111111108</v>
      </c>
      <c r="O917" t="s">
        <v>172</v>
      </c>
      <c r="Q917">
        <v>2505130</v>
      </c>
      <c r="R917">
        <v>2505130</v>
      </c>
      <c r="S917">
        <v>0</v>
      </c>
      <c r="T917">
        <v>0</v>
      </c>
      <c r="U917" t="s">
        <v>173</v>
      </c>
      <c r="V917">
        <v>0</v>
      </c>
      <c r="W917" t="s">
        <v>174</v>
      </c>
      <c r="X917">
        <v>0</v>
      </c>
      <c r="Z917" t="s">
        <v>173</v>
      </c>
      <c r="AA917" t="s">
        <v>173</v>
      </c>
    </row>
    <row r="918" spans="1:27" x14ac:dyDescent="0.3">
      <c r="A918">
        <v>917</v>
      </c>
      <c r="B918" t="s">
        <v>169</v>
      </c>
      <c r="C918">
        <v>99019875</v>
      </c>
      <c r="D918" s="7" t="s">
        <v>100</v>
      </c>
      <c r="E918" t="s">
        <v>101</v>
      </c>
      <c r="F918" t="s">
        <v>170</v>
      </c>
      <c r="G918" t="s">
        <v>171</v>
      </c>
      <c r="H918">
        <v>4</v>
      </c>
      <c r="I918">
        <v>0</v>
      </c>
      <c r="J918">
        <v>4</v>
      </c>
      <c r="K918" s="133">
        <v>15530</v>
      </c>
      <c r="L918" s="133">
        <v>15530</v>
      </c>
      <c r="M918" s="150">
        <v>0.61201388888888886</v>
      </c>
      <c r="N918" s="150">
        <v>0.61203703703703705</v>
      </c>
      <c r="O918" t="s">
        <v>172</v>
      </c>
      <c r="Q918">
        <v>2505131</v>
      </c>
      <c r="R918">
        <v>2505131</v>
      </c>
      <c r="S918">
        <v>0</v>
      </c>
      <c r="T918">
        <v>0</v>
      </c>
      <c r="U918" t="s">
        <v>173</v>
      </c>
      <c r="V918">
        <v>0</v>
      </c>
      <c r="W918" t="s">
        <v>174</v>
      </c>
      <c r="X918">
        <v>0</v>
      </c>
      <c r="Z918" t="s">
        <v>173</v>
      </c>
      <c r="AA918" t="s">
        <v>173</v>
      </c>
    </row>
    <row r="919" spans="1:27" x14ac:dyDescent="0.3">
      <c r="A919">
        <v>918</v>
      </c>
      <c r="B919" t="s">
        <v>169</v>
      </c>
      <c r="C919">
        <v>99019875</v>
      </c>
      <c r="D919" s="7" t="s">
        <v>87</v>
      </c>
      <c r="E919" t="s">
        <v>88</v>
      </c>
      <c r="F919" t="s">
        <v>170</v>
      </c>
      <c r="G919" t="s">
        <v>171</v>
      </c>
      <c r="H919">
        <v>6</v>
      </c>
      <c r="I919">
        <v>0</v>
      </c>
      <c r="J919">
        <v>6</v>
      </c>
      <c r="K919" s="133">
        <v>12160</v>
      </c>
      <c r="L919" s="133">
        <v>12160</v>
      </c>
      <c r="M919" s="150">
        <v>0.61201388888888886</v>
      </c>
      <c r="N919" s="150">
        <v>0.61222222222222222</v>
      </c>
      <c r="O919" t="s">
        <v>172</v>
      </c>
      <c r="Q919">
        <v>2505132</v>
      </c>
      <c r="R919">
        <v>2505132</v>
      </c>
      <c r="S919">
        <v>0</v>
      </c>
      <c r="T919">
        <v>0</v>
      </c>
      <c r="U919" t="s">
        <v>173</v>
      </c>
      <c r="V919">
        <v>0</v>
      </c>
      <c r="W919" t="s">
        <v>174</v>
      </c>
      <c r="X919">
        <v>0</v>
      </c>
      <c r="Z919" t="s">
        <v>173</v>
      </c>
      <c r="AA919" t="s">
        <v>173</v>
      </c>
    </row>
    <row r="920" spans="1:27" x14ac:dyDescent="0.3">
      <c r="A920">
        <v>919</v>
      </c>
      <c r="B920" t="s">
        <v>169</v>
      </c>
      <c r="C920">
        <v>99019875</v>
      </c>
      <c r="D920" s="7" t="s">
        <v>108</v>
      </c>
      <c r="E920" t="s">
        <v>109</v>
      </c>
      <c r="F920" t="s">
        <v>170</v>
      </c>
      <c r="G920" t="s">
        <v>171</v>
      </c>
      <c r="H920">
        <v>24</v>
      </c>
      <c r="I920">
        <v>0</v>
      </c>
      <c r="J920">
        <v>24</v>
      </c>
      <c r="K920" s="133">
        <v>2715</v>
      </c>
      <c r="L920" s="133">
        <v>2715</v>
      </c>
      <c r="M920" s="150">
        <v>0.61201388888888886</v>
      </c>
      <c r="N920" s="150">
        <v>0.62351851851851847</v>
      </c>
      <c r="O920" t="s">
        <v>172</v>
      </c>
      <c r="Q920">
        <v>2505134</v>
      </c>
      <c r="R920">
        <v>2505134</v>
      </c>
      <c r="S920">
        <v>0</v>
      </c>
      <c r="T920">
        <v>0</v>
      </c>
      <c r="U920" t="s">
        <v>173</v>
      </c>
      <c r="V920">
        <v>0</v>
      </c>
      <c r="W920" t="s">
        <v>174</v>
      </c>
      <c r="X920">
        <v>0</v>
      </c>
      <c r="Z920" t="s">
        <v>173</v>
      </c>
      <c r="AA920" t="s">
        <v>173</v>
      </c>
    </row>
    <row r="921" spans="1:27" x14ac:dyDescent="0.3">
      <c r="A921">
        <v>920</v>
      </c>
      <c r="B921" t="s">
        <v>169</v>
      </c>
      <c r="C921">
        <v>99019875</v>
      </c>
      <c r="D921" s="7" t="s">
        <v>65</v>
      </c>
      <c r="E921" t="s">
        <v>66</v>
      </c>
      <c r="F921" t="s">
        <v>176</v>
      </c>
      <c r="G921" t="s">
        <v>171</v>
      </c>
      <c r="H921">
        <v>57</v>
      </c>
      <c r="I921">
        <v>0</v>
      </c>
      <c r="J921">
        <v>57</v>
      </c>
      <c r="K921" s="133">
        <v>4755</v>
      </c>
      <c r="L921" s="133">
        <v>4755</v>
      </c>
      <c r="M921" s="150">
        <v>0.61201388888888886</v>
      </c>
      <c r="N921" s="150">
        <v>0.61278935185185179</v>
      </c>
      <c r="O921" t="s">
        <v>172</v>
      </c>
      <c r="Q921">
        <v>2505153</v>
      </c>
      <c r="R921">
        <v>2505153</v>
      </c>
      <c r="S921">
        <v>0</v>
      </c>
      <c r="T921">
        <v>0</v>
      </c>
      <c r="U921" t="s">
        <v>173</v>
      </c>
      <c r="V921">
        <v>0</v>
      </c>
      <c r="W921" t="s">
        <v>174</v>
      </c>
      <c r="X921">
        <v>0</v>
      </c>
      <c r="Z921" t="s">
        <v>173</v>
      </c>
      <c r="AA921" t="s">
        <v>173</v>
      </c>
    </row>
    <row r="922" spans="1:27" x14ac:dyDescent="0.3">
      <c r="A922">
        <v>921</v>
      </c>
      <c r="B922" t="s">
        <v>169</v>
      </c>
      <c r="C922">
        <v>99019875</v>
      </c>
      <c r="D922" s="7" t="s">
        <v>140</v>
      </c>
      <c r="E922" t="s">
        <v>178</v>
      </c>
      <c r="F922" t="s">
        <v>170</v>
      </c>
      <c r="G922" t="s">
        <v>171</v>
      </c>
      <c r="H922">
        <v>20</v>
      </c>
      <c r="I922">
        <v>0</v>
      </c>
      <c r="J922">
        <v>20</v>
      </c>
      <c r="K922" s="133">
        <v>8620</v>
      </c>
      <c r="L922" s="133">
        <v>8620</v>
      </c>
      <c r="M922" s="150">
        <v>0.61201388888888886</v>
      </c>
      <c r="N922" s="150">
        <v>0.61249999999999993</v>
      </c>
      <c r="O922" t="s">
        <v>172</v>
      </c>
      <c r="Q922">
        <v>2505162</v>
      </c>
      <c r="R922">
        <v>2505162</v>
      </c>
      <c r="S922">
        <v>0</v>
      </c>
      <c r="T922">
        <v>0</v>
      </c>
      <c r="U922" t="s">
        <v>173</v>
      </c>
      <c r="V922">
        <v>0</v>
      </c>
      <c r="W922" t="s">
        <v>174</v>
      </c>
      <c r="X922">
        <v>0</v>
      </c>
      <c r="Z922" t="s">
        <v>173</v>
      </c>
      <c r="AA922" t="s">
        <v>173</v>
      </c>
    </row>
    <row r="923" spans="1:27" x14ac:dyDescent="0.3">
      <c r="A923">
        <v>922</v>
      </c>
      <c r="B923" t="s">
        <v>169</v>
      </c>
      <c r="C923">
        <v>99019875</v>
      </c>
      <c r="D923" s="7" t="s">
        <v>69</v>
      </c>
      <c r="E923" t="s">
        <v>70</v>
      </c>
      <c r="F923" t="s">
        <v>170</v>
      </c>
      <c r="G923" t="s">
        <v>171</v>
      </c>
      <c r="H923">
        <v>17</v>
      </c>
      <c r="I923">
        <v>0</v>
      </c>
      <c r="J923">
        <v>17</v>
      </c>
      <c r="K923" s="133">
        <v>10280</v>
      </c>
      <c r="L923" s="133">
        <v>10280</v>
      </c>
      <c r="M923" s="150">
        <v>0.61201388888888886</v>
      </c>
      <c r="N923" s="150">
        <v>0.61225694444444445</v>
      </c>
      <c r="O923" t="s">
        <v>172</v>
      </c>
      <c r="Q923">
        <v>2505163</v>
      </c>
      <c r="R923">
        <v>2505163</v>
      </c>
      <c r="S923">
        <v>0</v>
      </c>
      <c r="T923">
        <v>0</v>
      </c>
      <c r="U923" t="s">
        <v>173</v>
      </c>
      <c r="V923">
        <v>0</v>
      </c>
      <c r="W923" t="s">
        <v>174</v>
      </c>
      <c r="X923">
        <v>0</v>
      </c>
      <c r="Z923" t="s">
        <v>173</v>
      </c>
      <c r="AA923" t="s">
        <v>173</v>
      </c>
    </row>
    <row r="924" spans="1:27" x14ac:dyDescent="0.3">
      <c r="A924">
        <v>923</v>
      </c>
      <c r="B924" t="s">
        <v>169</v>
      </c>
      <c r="C924">
        <v>99019875</v>
      </c>
      <c r="D924" s="7" t="s">
        <v>106</v>
      </c>
      <c r="E924" t="s">
        <v>107</v>
      </c>
      <c r="F924" t="s">
        <v>170</v>
      </c>
      <c r="G924" t="s">
        <v>171</v>
      </c>
      <c r="H924">
        <v>1</v>
      </c>
      <c r="I924">
        <v>0</v>
      </c>
      <c r="J924">
        <v>1</v>
      </c>
      <c r="K924" s="133">
        <v>3515</v>
      </c>
      <c r="L924" s="133">
        <v>3515</v>
      </c>
      <c r="M924" s="150">
        <v>0.61201388888888886</v>
      </c>
      <c r="N924" s="150">
        <v>0.61274305555555553</v>
      </c>
      <c r="O924" t="s">
        <v>172</v>
      </c>
      <c r="Q924">
        <v>2505178</v>
      </c>
      <c r="R924">
        <v>2505178</v>
      </c>
      <c r="S924">
        <v>0</v>
      </c>
      <c r="T924">
        <v>0</v>
      </c>
      <c r="U924" t="s">
        <v>173</v>
      </c>
      <c r="V924">
        <v>0</v>
      </c>
      <c r="W924" t="s">
        <v>174</v>
      </c>
      <c r="X924">
        <v>0</v>
      </c>
      <c r="Z924" t="s">
        <v>173</v>
      </c>
      <c r="AA924" t="s">
        <v>173</v>
      </c>
    </row>
    <row r="925" spans="1:27" x14ac:dyDescent="0.3">
      <c r="A925">
        <v>924</v>
      </c>
      <c r="B925" t="s">
        <v>169</v>
      </c>
      <c r="C925">
        <v>99019875</v>
      </c>
      <c r="D925" s="7" t="s">
        <v>62</v>
      </c>
      <c r="E925" t="s">
        <v>63</v>
      </c>
      <c r="F925" t="s">
        <v>176</v>
      </c>
      <c r="G925" t="s">
        <v>177</v>
      </c>
      <c r="H925">
        <v>89</v>
      </c>
      <c r="I925">
        <v>0</v>
      </c>
      <c r="J925">
        <v>89</v>
      </c>
      <c r="K925" s="133">
        <v>34040</v>
      </c>
      <c r="L925" s="133">
        <v>34040</v>
      </c>
      <c r="M925" s="150">
        <v>0.61202546296296301</v>
      </c>
      <c r="N925" s="150">
        <v>0.61204861111111108</v>
      </c>
      <c r="O925" t="s">
        <v>172</v>
      </c>
      <c r="Q925">
        <v>2505190</v>
      </c>
      <c r="R925">
        <v>2505190</v>
      </c>
      <c r="S925">
        <v>2505122</v>
      </c>
      <c r="T925">
        <v>0</v>
      </c>
      <c r="U925" t="s">
        <v>173</v>
      </c>
      <c r="V925">
        <v>0</v>
      </c>
      <c r="W925" t="s">
        <v>174</v>
      </c>
      <c r="X925">
        <v>2505122</v>
      </c>
      <c r="Z925" t="s">
        <v>173</v>
      </c>
      <c r="AA925" t="s">
        <v>173</v>
      </c>
    </row>
    <row r="926" spans="1:27" x14ac:dyDescent="0.3">
      <c r="A926">
        <v>925</v>
      </c>
      <c r="B926" t="s">
        <v>169</v>
      </c>
      <c r="C926">
        <v>99019875</v>
      </c>
      <c r="D926" s="7" t="s">
        <v>75</v>
      </c>
      <c r="E926" t="s">
        <v>76</v>
      </c>
      <c r="F926" t="s">
        <v>170</v>
      </c>
      <c r="G926" t="s">
        <v>177</v>
      </c>
      <c r="H926">
        <v>83</v>
      </c>
      <c r="I926">
        <v>0</v>
      </c>
      <c r="J926">
        <v>82</v>
      </c>
      <c r="K926" s="133">
        <v>20765</v>
      </c>
      <c r="L926" s="133">
        <v>20765</v>
      </c>
      <c r="M926" s="150">
        <v>0.61209490740740746</v>
      </c>
      <c r="N926" s="150">
        <v>0.6121064814814815</v>
      </c>
      <c r="O926" t="s">
        <v>172</v>
      </c>
      <c r="Q926">
        <v>2505370</v>
      </c>
      <c r="R926">
        <v>2505370</v>
      </c>
      <c r="S926">
        <v>2505124</v>
      </c>
      <c r="T926">
        <v>1</v>
      </c>
      <c r="U926" t="s">
        <v>173</v>
      </c>
      <c r="V926">
        <v>0</v>
      </c>
      <c r="W926" t="s">
        <v>174</v>
      </c>
      <c r="X926">
        <v>2505124</v>
      </c>
      <c r="Z926" t="s">
        <v>173</v>
      </c>
      <c r="AA926" t="s">
        <v>173</v>
      </c>
    </row>
    <row r="927" spans="1:27" x14ac:dyDescent="0.3">
      <c r="A927">
        <v>926</v>
      </c>
      <c r="B927" t="s">
        <v>169</v>
      </c>
      <c r="C927">
        <v>99019875</v>
      </c>
      <c r="D927" s="7" t="s">
        <v>124</v>
      </c>
      <c r="E927" t="s">
        <v>125</v>
      </c>
      <c r="F927" t="s">
        <v>176</v>
      </c>
      <c r="G927" t="s">
        <v>171</v>
      </c>
      <c r="H927">
        <v>1</v>
      </c>
      <c r="I927">
        <v>0</v>
      </c>
      <c r="J927">
        <v>1</v>
      </c>
      <c r="K927" s="133">
        <v>17525</v>
      </c>
      <c r="L927" s="133">
        <v>17525</v>
      </c>
      <c r="M927" s="150">
        <v>0.61212962962962958</v>
      </c>
      <c r="N927" s="150">
        <v>0.61533564814814812</v>
      </c>
      <c r="O927" t="s">
        <v>172</v>
      </c>
      <c r="Q927">
        <v>2505418</v>
      </c>
      <c r="R927">
        <v>2505418</v>
      </c>
      <c r="S927">
        <v>0</v>
      </c>
      <c r="T927">
        <v>0</v>
      </c>
      <c r="U927" t="s">
        <v>173</v>
      </c>
      <c r="V927">
        <v>0</v>
      </c>
      <c r="W927" t="s">
        <v>174</v>
      </c>
      <c r="X927">
        <v>0</v>
      </c>
      <c r="Z927" t="s">
        <v>173</v>
      </c>
      <c r="AA927" t="s">
        <v>173</v>
      </c>
    </row>
    <row r="928" spans="1:27" x14ac:dyDescent="0.3">
      <c r="A928">
        <v>927</v>
      </c>
      <c r="B928" t="s">
        <v>169</v>
      </c>
      <c r="C928">
        <v>99019875</v>
      </c>
      <c r="D928" s="7" t="s">
        <v>67</v>
      </c>
      <c r="E928" t="s">
        <v>68</v>
      </c>
      <c r="F928" t="s">
        <v>170</v>
      </c>
      <c r="G928" t="s">
        <v>177</v>
      </c>
      <c r="H928">
        <v>36</v>
      </c>
      <c r="I928">
        <v>0</v>
      </c>
      <c r="J928">
        <v>36</v>
      </c>
      <c r="K928" s="133">
        <v>4815</v>
      </c>
      <c r="L928" s="133">
        <v>4815</v>
      </c>
      <c r="M928" s="150">
        <v>0.61216435185185192</v>
      </c>
      <c r="N928" s="150">
        <v>0.61221064814814818</v>
      </c>
      <c r="O928" t="s">
        <v>172</v>
      </c>
      <c r="Q928">
        <v>2505548</v>
      </c>
      <c r="R928">
        <v>2505548</v>
      </c>
      <c r="S928">
        <v>2505128</v>
      </c>
      <c r="T928">
        <v>0</v>
      </c>
      <c r="U928" t="s">
        <v>173</v>
      </c>
      <c r="V928">
        <v>0</v>
      </c>
      <c r="W928" t="s">
        <v>174</v>
      </c>
      <c r="X928">
        <v>2505128</v>
      </c>
      <c r="Z928" t="s">
        <v>173</v>
      </c>
      <c r="AA928" t="s">
        <v>173</v>
      </c>
    </row>
    <row r="929" spans="1:27" x14ac:dyDescent="0.3">
      <c r="A929">
        <v>928</v>
      </c>
      <c r="B929" t="s">
        <v>169</v>
      </c>
      <c r="C929">
        <v>99019875</v>
      </c>
      <c r="D929" s="7" t="s">
        <v>94</v>
      </c>
      <c r="E929" t="s">
        <v>95</v>
      </c>
      <c r="F929" t="s">
        <v>170</v>
      </c>
      <c r="G929" t="s">
        <v>177</v>
      </c>
      <c r="H929">
        <v>1</v>
      </c>
      <c r="I929">
        <v>0</v>
      </c>
      <c r="J929">
        <v>1</v>
      </c>
      <c r="K929" s="133">
        <v>21965</v>
      </c>
      <c r="L929" s="133">
        <v>21965</v>
      </c>
      <c r="M929" s="150">
        <v>0.61217592592592596</v>
      </c>
      <c r="N929" s="150">
        <v>0.61223379629629626</v>
      </c>
      <c r="O929" t="s">
        <v>172</v>
      </c>
      <c r="Q929">
        <v>2505594</v>
      </c>
      <c r="R929">
        <v>2505594</v>
      </c>
      <c r="S929">
        <v>2503963</v>
      </c>
      <c r="T929">
        <v>0</v>
      </c>
      <c r="U929" t="s">
        <v>173</v>
      </c>
      <c r="V929">
        <v>0</v>
      </c>
      <c r="W929" t="s">
        <v>174</v>
      </c>
      <c r="X929">
        <v>2503963</v>
      </c>
      <c r="Z929" t="s">
        <v>173</v>
      </c>
      <c r="AA929" t="s">
        <v>173</v>
      </c>
    </row>
    <row r="930" spans="1:27" x14ac:dyDescent="0.3">
      <c r="A930">
        <v>929</v>
      </c>
      <c r="B930" t="s">
        <v>169</v>
      </c>
      <c r="C930">
        <v>99019875</v>
      </c>
      <c r="D930" s="7" t="s">
        <v>94</v>
      </c>
      <c r="E930" t="s">
        <v>95</v>
      </c>
      <c r="F930" t="s">
        <v>170</v>
      </c>
      <c r="G930" t="s">
        <v>177</v>
      </c>
      <c r="H930">
        <v>1</v>
      </c>
      <c r="I930">
        <v>0</v>
      </c>
      <c r="J930">
        <v>1</v>
      </c>
      <c r="K930" s="133">
        <v>21965</v>
      </c>
      <c r="L930" s="133">
        <v>21965</v>
      </c>
      <c r="M930" s="150">
        <v>0.61217592592592596</v>
      </c>
      <c r="N930" s="150">
        <v>0.61223379629629626</v>
      </c>
      <c r="O930" t="s">
        <v>172</v>
      </c>
      <c r="Q930">
        <v>2505595</v>
      </c>
      <c r="R930">
        <v>2505595</v>
      </c>
      <c r="S930">
        <v>2503964</v>
      </c>
      <c r="T930">
        <v>0</v>
      </c>
      <c r="U930" t="s">
        <v>173</v>
      </c>
      <c r="V930">
        <v>0</v>
      </c>
      <c r="W930" t="s">
        <v>174</v>
      </c>
      <c r="X930">
        <v>2503964</v>
      </c>
      <c r="Z930" t="s">
        <v>173</v>
      </c>
      <c r="AA930" t="s">
        <v>173</v>
      </c>
    </row>
    <row r="931" spans="1:27" x14ac:dyDescent="0.3">
      <c r="A931">
        <v>930</v>
      </c>
      <c r="B931" t="s">
        <v>169</v>
      </c>
      <c r="C931">
        <v>99019875</v>
      </c>
      <c r="D931" s="7" t="s">
        <v>102</v>
      </c>
      <c r="E931" t="s">
        <v>103</v>
      </c>
      <c r="F931" t="s">
        <v>170</v>
      </c>
      <c r="G931" t="s">
        <v>177</v>
      </c>
      <c r="H931">
        <v>53</v>
      </c>
      <c r="I931">
        <v>0</v>
      </c>
      <c r="J931">
        <v>53</v>
      </c>
      <c r="K931" s="133">
        <v>26880</v>
      </c>
      <c r="L931" s="133">
        <v>26880</v>
      </c>
      <c r="M931" s="150">
        <v>0.61217592592592596</v>
      </c>
      <c r="N931" s="150">
        <v>0.61223379629629626</v>
      </c>
      <c r="O931" t="s">
        <v>172</v>
      </c>
      <c r="Q931">
        <v>2505606</v>
      </c>
      <c r="R931">
        <v>2505606</v>
      </c>
      <c r="S931">
        <v>2505125</v>
      </c>
      <c r="T931">
        <v>0</v>
      </c>
      <c r="U931" t="s">
        <v>173</v>
      </c>
      <c r="V931">
        <v>0</v>
      </c>
      <c r="W931" t="s">
        <v>174</v>
      </c>
      <c r="X931">
        <v>2505125</v>
      </c>
      <c r="Z931" t="s">
        <v>173</v>
      </c>
      <c r="AA931" t="s">
        <v>173</v>
      </c>
    </row>
    <row r="932" spans="1:27" x14ac:dyDescent="0.3">
      <c r="A932">
        <v>931</v>
      </c>
      <c r="B932" t="s">
        <v>169</v>
      </c>
      <c r="C932">
        <v>99019875</v>
      </c>
      <c r="D932" s="7" t="s">
        <v>128</v>
      </c>
      <c r="E932" t="s">
        <v>129</v>
      </c>
      <c r="F932" t="s">
        <v>170</v>
      </c>
      <c r="G932" t="s">
        <v>177</v>
      </c>
      <c r="H932">
        <v>1</v>
      </c>
      <c r="I932">
        <v>0</v>
      </c>
      <c r="J932">
        <v>1</v>
      </c>
      <c r="K932" s="133">
        <v>6505</v>
      </c>
      <c r="L932" s="133">
        <v>6505</v>
      </c>
      <c r="M932" s="150">
        <v>0.61219907407407403</v>
      </c>
      <c r="N932" s="150">
        <v>0.61319444444444449</v>
      </c>
      <c r="O932" t="s">
        <v>172</v>
      </c>
      <c r="Q932">
        <v>2505675</v>
      </c>
      <c r="R932">
        <v>2505675</v>
      </c>
      <c r="S932">
        <v>2505420</v>
      </c>
      <c r="T932">
        <v>0</v>
      </c>
      <c r="U932" t="s">
        <v>173</v>
      </c>
      <c r="V932">
        <v>0</v>
      </c>
      <c r="W932" t="s">
        <v>174</v>
      </c>
      <c r="X932">
        <v>2505420</v>
      </c>
      <c r="Z932" t="s">
        <v>173</v>
      </c>
      <c r="AA932" t="s">
        <v>173</v>
      </c>
    </row>
    <row r="933" spans="1:27" x14ac:dyDescent="0.3">
      <c r="A933">
        <v>932</v>
      </c>
      <c r="B933" t="s">
        <v>169</v>
      </c>
      <c r="C933">
        <v>99019875</v>
      </c>
      <c r="D933" s="7" t="s">
        <v>81</v>
      </c>
      <c r="E933" t="s">
        <v>82</v>
      </c>
      <c r="F933" t="s">
        <v>176</v>
      </c>
      <c r="G933" t="s">
        <v>177</v>
      </c>
      <c r="H933">
        <v>75</v>
      </c>
      <c r="I933">
        <v>0</v>
      </c>
      <c r="J933">
        <v>75</v>
      </c>
      <c r="K933" s="133">
        <v>36420</v>
      </c>
      <c r="L933" s="133">
        <v>36420</v>
      </c>
      <c r="M933" s="150">
        <v>0.61222222222222222</v>
      </c>
      <c r="N933" s="150">
        <v>0.61245370370370367</v>
      </c>
      <c r="O933" t="s">
        <v>172</v>
      </c>
      <c r="Q933">
        <v>2505751</v>
      </c>
      <c r="R933">
        <v>2505751</v>
      </c>
      <c r="S933">
        <v>2505674</v>
      </c>
      <c r="T933">
        <v>0</v>
      </c>
      <c r="U933" t="s">
        <v>173</v>
      </c>
      <c r="V933">
        <v>0</v>
      </c>
      <c r="W933" t="s">
        <v>174</v>
      </c>
      <c r="X933">
        <v>2505674</v>
      </c>
      <c r="Z933" t="s">
        <v>173</v>
      </c>
      <c r="AA933" t="s">
        <v>173</v>
      </c>
    </row>
    <row r="934" spans="1:27" x14ac:dyDescent="0.3">
      <c r="A934">
        <v>933</v>
      </c>
      <c r="B934" t="s">
        <v>169</v>
      </c>
      <c r="C934">
        <v>99019875</v>
      </c>
      <c r="D934" s="7" t="s">
        <v>126</v>
      </c>
      <c r="E934" t="s">
        <v>127</v>
      </c>
      <c r="F934" t="s">
        <v>176</v>
      </c>
      <c r="G934" t="s">
        <v>171</v>
      </c>
      <c r="H934">
        <v>1</v>
      </c>
      <c r="I934">
        <v>0</v>
      </c>
      <c r="J934">
        <v>1</v>
      </c>
      <c r="K934" s="133">
        <v>12335</v>
      </c>
      <c r="L934" s="133">
        <v>12335</v>
      </c>
      <c r="M934" s="150">
        <v>0.61229166666666668</v>
      </c>
      <c r="N934" s="150">
        <v>0.61254629629629631</v>
      </c>
      <c r="O934" t="s">
        <v>172</v>
      </c>
      <c r="Q934">
        <v>2505928</v>
      </c>
      <c r="R934">
        <v>2505928</v>
      </c>
      <c r="S934">
        <v>0</v>
      </c>
      <c r="T934">
        <v>0</v>
      </c>
      <c r="U934" t="s">
        <v>173</v>
      </c>
      <c r="V934">
        <v>0</v>
      </c>
      <c r="W934" t="s">
        <v>174</v>
      </c>
      <c r="X934">
        <v>0</v>
      </c>
      <c r="Z934" t="s">
        <v>173</v>
      </c>
      <c r="AA934" t="s">
        <v>173</v>
      </c>
    </row>
    <row r="935" spans="1:27" x14ac:dyDescent="0.3">
      <c r="A935">
        <v>934</v>
      </c>
      <c r="B935" t="s">
        <v>169</v>
      </c>
      <c r="C935">
        <v>99019875</v>
      </c>
      <c r="D935" s="7" t="s">
        <v>62</v>
      </c>
      <c r="E935" t="s">
        <v>63</v>
      </c>
      <c r="F935" t="s">
        <v>176</v>
      </c>
      <c r="G935" t="s">
        <v>171</v>
      </c>
      <c r="H935">
        <v>89</v>
      </c>
      <c r="I935">
        <v>0</v>
      </c>
      <c r="J935">
        <v>89</v>
      </c>
      <c r="K935" s="133">
        <v>34030</v>
      </c>
      <c r="L935" s="133">
        <v>34030</v>
      </c>
      <c r="M935" s="150">
        <v>0.61230324074074072</v>
      </c>
      <c r="N935" s="150">
        <v>0.61236111111111113</v>
      </c>
      <c r="O935" t="s">
        <v>172</v>
      </c>
      <c r="Q935">
        <v>2505946</v>
      </c>
      <c r="R935">
        <v>2505946</v>
      </c>
      <c r="S935">
        <v>0</v>
      </c>
      <c r="T935">
        <v>0</v>
      </c>
      <c r="U935" t="s">
        <v>173</v>
      </c>
      <c r="V935">
        <v>0</v>
      </c>
      <c r="W935" t="s">
        <v>174</v>
      </c>
      <c r="X935">
        <v>0</v>
      </c>
      <c r="Z935" t="s">
        <v>173</v>
      </c>
      <c r="AA935" t="s">
        <v>173</v>
      </c>
    </row>
    <row r="936" spans="1:27" x14ac:dyDescent="0.3">
      <c r="A936">
        <v>935</v>
      </c>
      <c r="B936" t="s">
        <v>169</v>
      </c>
      <c r="C936">
        <v>99019875</v>
      </c>
      <c r="D936" s="7" t="s">
        <v>81</v>
      </c>
      <c r="E936" t="s">
        <v>82</v>
      </c>
      <c r="F936" t="s">
        <v>176</v>
      </c>
      <c r="G936" t="s">
        <v>171</v>
      </c>
      <c r="H936">
        <v>75</v>
      </c>
      <c r="I936">
        <v>0</v>
      </c>
      <c r="J936">
        <v>75</v>
      </c>
      <c r="K936" s="133">
        <v>36420</v>
      </c>
      <c r="L936" s="133">
        <v>36420</v>
      </c>
      <c r="M936" s="150">
        <v>0.61230324074074072</v>
      </c>
      <c r="N936" s="150">
        <v>0.61245370370370367</v>
      </c>
      <c r="O936" t="s">
        <v>172</v>
      </c>
      <c r="Q936">
        <v>2505949</v>
      </c>
      <c r="R936">
        <v>2505949</v>
      </c>
      <c r="S936">
        <v>0</v>
      </c>
      <c r="T936">
        <v>0</v>
      </c>
      <c r="U936" t="s">
        <v>173</v>
      </c>
      <c r="V936">
        <v>0</v>
      </c>
      <c r="W936" t="s">
        <v>174</v>
      </c>
      <c r="X936">
        <v>0</v>
      </c>
      <c r="Z936" t="s">
        <v>173</v>
      </c>
      <c r="AA936" t="s">
        <v>173</v>
      </c>
    </row>
    <row r="937" spans="1:27" x14ac:dyDescent="0.3">
      <c r="A937">
        <v>936</v>
      </c>
      <c r="B937" t="s">
        <v>169</v>
      </c>
      <c r="C937">
        <v>99019875</v>
      </c>
      <c r="D937" s="7" t="s">
        <v>100</v>
      </c>
      <c r="E937" t="s">
        <v>101</v>
      </c>
      <c r="F937" t="s">
        <v>170</v>
      </c>
      <c r="G937" t="s">
        <v>171</v>
      </c>
      <c r="H937">
        <v>5</v>
      </c>
      <c r="I937">
        <v>0</v>
      </c>
      <c r="J937">
        <v>5</v>
      </c>
      <c r="K937" s="133">
        <v>15525</v>
      </c>
      <c r="L937" s="133">
        <v>15525</v>
      </c>
      <c r="M937" s="150">
        <v>0.61230324074074072</v>
      </c>
      <c r="N937" s="150">
        <v>0.61313657407407407</v>
      </c>
      <c r="O937" t="s">
        <v>172</v>
      </c>
      <c r="Q937">
        <v>2505962</v>
      </c>
      <c r="R937">
        <v>2505962</v>
      </c>
      <c r="S937">
        <v>0</v>
      </c>
      <c r="T937">
        <v>0</v>
      </c>
      <c r="U937" t="s">
        <v>173</v>
      </c>
      <c r="V937">
        <v>0</v>
      </c>
      <c r="W937" t="s">
        <v>174</v>
      </c>
      <c r="X937">
        <v>0</v>
      </c>
      <c r="Z937" t="s">
        <v>173</v>
      </c>
      <c r="AA937" t="s">
        <v>173</v>
      </c>
    </row>
    <row r="938" spans="1:27" x14ac:dyDescent="0.3">
      <c r="A938">
        <v>937</v>
      </c>
      <c r="B938" t="s">
        <v>169</v>
      </c>
      <c r="C938">
        <v>99019875</v>
      </c>
      <c r="D938" s="7" t="s">
        <v>108</v>
      </c>
      <c r="E938" t="s">
        <v>109</v>
      </c>
      <c r="F938" t="s">
        <v>170</v>
      </c>
      <c r="G938" t="s">
        <v>171</v>
      </c>
      <c r="H938">
        <v>23</v>
      </c>
      <c r="I938">
        <v>0</v>
      </c>
      <c r="J938">
        <v>23</v>
      </c>
      <c r="K938" s="133">
        <v>2715</v>
      </c>
      <c r="L938" s="133">
        <v>2715</v>
      </c>
      <c r="M938" s="150">
        <v>0.61230324074074072</v>
      </c>
      <c r="N938" s="150">
        <v>0.62351851851851847</v>
      </c>
      <c r="O938" t="s">
        <v>172</v>
      </c>
      <c r="Q938">
        <v>2505965</v>
      </c>
      <c r="R938">
        <v>2505965</v>
      </c>
      <c r="S938">
        <v>0</v>
      </c>
      <c r="T938">
        <v>0</v>
      </c>
      <c r="U938" t="s">
        <v>173</v>
      </c>
      <c r="V938">
        <v>0</v>
      </c>
      <c r="W938" t="s">
        <v>174</v>
      </c>
      <c r="X938">
        <v>0</v>
      </c>
      <c r="Z938" t="s">
        <v>173</v>
      </c>
      <c r="AA938" t="s">
        <v>173</v>
      </c>
    </row>
    <row r="939" spans="1:27" x14ac:dyDescent="0.3">
      <c r="A939">
        <v>938</v>
      </c>
      <c r="B939" t="s">
        <v>169</v>
      </c>
      <c r="C939">
        <v>99019875</v>
      </c>
      <c r="D939" s="7" t="s">
        <v>102</v>
      </c>
      <c r="E939" t="s">
        <v>103</v>
      </c>
      <c r="F939" t="s">
        <v>170</v>
      </c>
      <c r="G939" t="s">
        <v>177</v>
      </c>
      <c r="H939">
        <v>53</v>
      </c>
      <c r="I939">
        <v>0</v>
      </c>
      <c r="J939">
        <v>53</v>
      </c>
      <c r="K939" s="133">
        <v>26870</v>
      </c>
      <c r="L939" s="133">
        <v>26870</v>
      </c>
      <c r="M939" s="150">
        <v>0.61230324074074072</v>
      </c>
      <c r="N939" s="150">
        <v>0.61232638888888891</v>
      </c>
      <c r="O939" t="s">
        <v>172</v>
      </c>
      <c r="Q939">
        <v>2505972</v>
      </c>
      <c r="R939">
        <v>2505972</v>
      </c>
      <c r="S939">
        <v>2505953</v>
      </c>
      <c r="T939">
        <v>0</v>
      </c>
      <c r="U939" t="s">
        <v>173</v>
      </c>
      <c r="V939">
        <v>0</v>
      </c>
      <c r="W939" t="s">
        <v>174</v>
      </c>
      <c r="X939">
        <v>2505953</v>
      </c>
      <c r="Z939" t="s">
        <v>173</v>
      </c>
      <c r="AA939" t="s">
        <v>173</v>
      </c>
    </row>
    <row r="940" spans="1:27" x14ac:dyDescent="0.3">
      <c r="A940">
        <v>939</v>
      </c>
      <c r="B940" t="s">
        <v>169</v>
      </c>
      <c r="C940">
        <v>99019875</v>
      </c>
      <c r="D940" s="7" t="s">
        <v>65</v>
      </c>
      <c r="E940" t="s">
        <v>66</v>
      </c>
      <c r="F940" t="s">
        <v>176</v>
      </c>
      <c r="G940" t="s">
        <v>171</v>
      </c>
      <c r="H940">
        <v>57</v>
      </c>
      <c r="I940">
        <v>0</v>
      </c>
      <c r="J940">
        <v>57</v>
      </c>
      <c r="K940" s="133">
        <v>4755</v>
      </c>
      <c r="L940" s="133">
        <v>4755</v>
      </c>
      <c r="M940" s="150">
        <v>0.61230324074074072</v>
      </c>
      <c r="N940" s="150">
        <v>0.61278935185185179</v>
      </c>
      <c r="O940" t="s">
        <v>172</v>
      </c>
      <c r="Q940">
        <v>2505976</v>
      </c>
      <c r="R940">
        <v>2505976</v>
      </c>
      <c r="S940">
        <v>0</v>
      </c>
      <c r="T940">
        <v>0</v>
      </c>
      <c r="U940" t="s">
        <v>173</v>
      </c>
      <c r="V940">
        <v>0</v>
      </c>
      <c r="W940" t="s">
        <v>174</v>
      </c>
      <c r="X940">
        <v>0</v>
      </c>
      <c r="Z940" t="s">
        <v>173</v>
      </c>
      <c r="AA940" t="s">
        <v>173</v>
      </c>
    </row>
    <row r="941" spans="1:27" x14ac:dyDescent="0.3">
      <c r="A941">
        <v>940</v>
      </c>
      <c r="B941" t="s">
        <v>169</v>
      </c>
      <c r="C941">
        <v>99019875</v>
      </c>
      <c r="D941" s="7" t="s">
        <v>140</v>
      </c>
      <c r="E941" t="s">
        <v>178</v>
      </c>
      <c r="F941" t="s">
        <v>170</v>
      </c>
      <c r="G941" t="s">
        <v>171</v>
      </c>
      <c r="H941">
        <v>20</v>
      </c>
      <c r="I941">
        <v>0</v>
      </c>
      <c r="J941">
        <v>20</v>
      </c>
      <c r="K941" s="133">
        <v>8620</v>
      </c>
      <c r="L941" s="133">
        <v>8620</v>
      </c>
      <c r="M941" s="150">
        <v>0.61230324074074072</v>
      </c>
      <c r="N941" s="150">
        <v>0.61249999999999993</v>
      </c>
      <c r="O941" t="s">
        <v>172</v>
      </c>
      <c r="Q941">
        <v>2505980</v>
      </c>
      <c r="R941">
        <v>2505980</v>
      </c>
      <c r="S941">
        <v>0</v>
      </c>
      <c r="T941">
        <v>0</v>
      </c>
      <c r="U941" t="s">
        <v>173</v>
      </c>
      <c r="V941">
        <v>0</v>
      </c>
      <c r="W941" t="s">
        <v>174</v>
      </c>
      <c r="X941">
        <v>0</v>
      </c>
      <c r="Z941" t="s">
        <v>173</v>
      </c>
      <c r="AA941" t="s">
        <v>173</v>
      </c>
    </row>
    <row r="942" spans="1:27" x14ac:dyDescent="0.3">
      <c r="A942">
        <v>941</v>
      </c>
      <c r="B942" t="s">
        <v>169</v>
      </c>
      <c r="C942">
        <v>99019875</v>
      </c>
      <c r="D942" s="7" t="s">
        <v>69</v>
      </c>
      <c r="E942" t="s">
        <v>70</v>
      </c>
      <c r="F942" t="s">
        <v>170</v>
      </c>
      <c r="G942" t="s">
        <v>171</v>
      </c>
      <c r="H942">
        <v>17</v>
      </c>
      <c r="I942">
        <v>0</v>
      </c>
      <c r="J942">
        <v>17</v>
      </c>
      <c r="K942" s="133">
        <v>10280</v>
      </c>
      <c r="L942" s="133">
        <v>10280</v>
      </c>
      <c r="M942" s="150">
        <v>0.61230324074074072</v>
      </c>
      <c r="N942" s="150">
        <v>0.61231481481481487</v>
      </c>
      <c r="O942" t="s">
        <v>172</v>
      </c>
      <c r="Q942">
        <v>2505981</v>
      </c>
      <c r="R942">
        <v>2505981</v>
      </c>
      <c r="S942">
        <v>0</v>
      </c>
      <c r="T942">
        <v>0</v>
      </c>
      <c r="U942" t="s">
        <v>173</v>
      </c>
      <c r="V942">
        <v>0</v>
      </c>
      <c r="W942" t="s">
        <v>174</v>
      </c>
      <c r="X942">
        <v>0</v>
      </c>
      <c r="Z942" t="s">
        <v>173</v>
      </c>
      <c r="AA942" t="s">
        <v>173</v>
      </c>
    </row>
    <row r="943" spans="1:27" x14ac:dyDescent="0.3">
      <c r="A943">
        <v>942</v>
      </c>
      <c r="B943" t="s">
        <v>169</v>
      </c>
      <c r="C943">
        <v>99019875</v>
      </c>
      <c r="D943" s="7" t="s">
        <v>114</v>
      </c>
      <c r="E943" t="s">
        <v>115</v>
      </c>
      <c r="F943" t="s">
        <v>176</v>
      </c>
      <c r="G943" t="s">
        <v>177</v>
      </c>
      <c r="H943">
        <v>66</v>
      </c>
      <c r="I943">
        <v>0</v>
      </c>
      <c r="J943">
        <v>66</v>
      </c>
      <c r="K943" s="133">
        <v>53805</v>
      </c>
      <c r="L943" s="133">
        <v>53805</v>
      </c>
      <c r="M943" s="150">
        <v>0.61233796296296295</v>
      </c>
      <c r="N943" s="150">
        <v>0.61241898148148144</v>
      </c>
      <c r="O943" t="s">
        <v>172</v>
      </c>
      <c r="Q943">
        <v>2506053</v>
      </c>
      <c r="R943">
        <v>2506053</v>
      </c>
      <c r="S943">
        <v>2505945</v>
      </c>
      <c r="T943">
        <v>0</v>
      </c>
      <c r="U943" t="s">
        <v>173</v>
      </c>
      <c r="V943">
        <v>0</v>
      </c>
      <c r="W943" t="s">
        <v>174</v>
      </c>
      <c r="X943">
        <v>2505945</v>
      </c>
      <c r="Z943" t="s">
        <v>173</v>
      </c>
      <c r="AA943" t="s">
        <v>173</v>
      </c>
    </row>
    <row r="944" spans="1:27" x14ac:dyDescent="0.3">
      <c r="A944">
        <v>943</v>
      </c>
      <c r="B944" t="s">
        <v>169</v>
      </c>
      <c r="C944">
        <v>99019875</v>
      </c>
      <c r="D944" s="7" t="s">
        <v>71</v>
      </c>
      <c r="E944" t="s">
        <v>72</v>
      </c>
      <c r="F944" t="s">
        <v>176</v>
      </c>
      <c r="G944" t="s">
        <v>177</v>
      </c>
      <c r="H944">
        <v>18</v>
      </c>
      <c r="I944">
        <v>0</v>
      </c>
      <c r="J944">
        <v>18</v>
      </c>
      <c r="K944" s="133">
        <v>18010</v>
      </c>
      <c r="L944" s="133">
        <v>18010</v>
      </c>
      <c r="M944" s="150">
        <v>0.61236111111111113</v>
      </c>
      <c r="N944" s="150">
        <v>0.61247685185185186</v>
      </c>
      <c r="O944" t="s">
        <v>172</v>
      </c>
      <c r="Q944">
        <v>2506106</v>
      </c>
      <c r="R944">
        <v>2506106</v>
      </c>
      <c r="S944">
        <v>2505617</v>
      </c>
      <c r="T944">
        <v>0</v>
      </c>
      <c r="U944" t="s">
        <v>173</v>
      </c>
      <c r="V944">
        <v>0</v>
      </c>
      <c r="W944" t="s">
        <v>174</v>
      </c>
      <c r="X944">
        <v>2505617</v>
      </c>
      <c r="Z944" t="s">
        <v>173</v>
      </c>
      <c r="AA944" t="s">
        <v>173</v>
      </c>
    </row>
    <row r="945" spans="1:27" x14ac:dyDescent="0.3">
      <c r="A945">
        <v>944</v>
      </c>
      <c r="B945" t="s">
        <v>169</v>
      </c>
      <c r="C945">
        <v>99019875</v>
      </c>
      <c r="D945" s="7" t="s">
        <v>71</v>
      </c>
      <c r="E945" t="s">
        <v>72</v>
      </c>
      <c r="F945" t="s">
        <v>176</v>
      </c>
      <c r="G945" t="s">
        <v>177</v>
      </c>
      <c r="H945">
        <v>19</v>
      </c>
      <c r="I945">
        <v>0</v>
      </c>
      <c r="J945">
        <v>19</v>
      </c>
      <c r="K945" s="133">
        <v>18010</v>
      </c>
      <c r="L945" s="133">
        <v>18010</v>
      </c>
      <c r="M945" s="150">
        <v>0.61236111111111113</v>
      </c>
      <c r="N945" s="150">
        <v>0.61247685185185186</v>
      </c>
      <c r="O945" t="s">
        <v>172</v>
      </c>
      <c r="Q945">
        <v>2506107</v>
      </c>
      <c r="R945">
        <v>2506107</v>
      </c>
      <c r="S945">
        <v>2505975</v>
      </c>
      <c r="T945">
        <v>0</v>
      </c>
      <c r="U945" t="s">
        <v>173</v>
      </c>
      <c r="V945">
        <v>0</v>
      </c>
      <c r="W945" t="s">
        <v>174</v>
      </c>
      <c r="X945">
        <v>2505975</v>
      </c>
      <c r="Z945" t="s">
        <v>173</v>
      </c>
      <c r="AA945" t="s">
        <v>173</v>
      </c>
    </row>
    <row r="946" spans="1:27" x14ac:dyDescent="0.3">
      <c r="A946">
        <v>945</v>
      </c>
      <c r="B946" t="s">
        <v>169</v>
      </c>
      <c r="C946">
        <v>99019875</v>
      </c>
      <c r="D946" s="7" t="s">
        <v>89</v>
      </c>
      <c r="E946" t="s">
        <v>90</v>
      </c>
      <c r="F946" t="s">
        <v>176</v>
      </c>
      <c r="G946" t="s">
        <v>177</v>
      </c>
      <c r="H946">
        <v>30</v>
      </c>
      <c r="I946">
        <v>0</v>
      </c>
      <c r="J946">
        <v>30</v>
      </c>
      <c r="K946" s="133">
        <v>3095</v>
      </c>
      <c r="L946" s="133">
        <v>3095</v>
      </c>
      <c r="M946" s="150">
        <v>0.61244212962962963</v>
      </c>
      <c r="N946" s="150">
        <v>0.61291666666666667</v>
      </c>
      <c r="O946" t="s">
        <v>172</v>
      </c>
      <c r="Q946">
        <v>2506305</v>
      </c>
      <c r="R946">
        <v>2506305</v>
      </c>
      <c r="S946">
        <v>2505958</v>
      </c>
      <c r="T946">
        <v>0</v>
      </c>
      <c r="U946" t="s">
        <v>173</v>
      </c>
      <c r="V946">
        <v>0</v>
      </c>
      <c r="W946" t="s">
        <v>174</v>
      </c>
      <c r="X946">
        <v>2505958</v>
      </c>
      <c r="Z946" t="s">
        <v>173</v>
      </c>
      <c r="AA946" t="s">
        <v>173</v>
      </c>
    </row>
    <row r="947" spans="1:27" x14ac:dyDescent="0.3">
      <c r="A947">
        <v>946</v>
      </c>
      <c r="B947" t="s">
        <v>169</v>
      </c>
      <c r="C947">
        <v>99019875</v>
      </c>
      <c r="D947" s="7" t="s">
        <v>118</v>
      </c>
      <c r="E947" t="s">
        <v>119</v>
      </c>
      <c r="F947" t="s">
        <v>176</v>
      </c>
      <c r="G947" t="s">
        <v>177</v>
      </c>
      <c r="H947">
        <v>19</v>
      </c>
      <c r="I947">
        <v>0</v>
      </c>
      <c r="J947">
        <v>19</v>
      </c>
      <c r="K947" s="133">
        <v>12420</v>
      </c>
      <c r="L947" s="133">
        <v>12420</v>
      </c>
      <c r="M947" s="150">
        <v>0.61244212962962963</v>
      </c>
      <c r="N947" s="150">
        <v>0.61244212962962963</v>
      </c>
      <c r="O947" t="s">
        <v>172</v>
      </c>
      <c r="Q947">
        <v>2506306</v>
      </c>
      <c r="R947">
        <v>2506306</v>
      </c>
      <c r="S947">
        <v>2505782</v>
      </c>
      <c r="T947">
        <v>0</v>
      </c>
      <c r="U947" t="s">
        <v>173</v>
      </c>
      <c r="V947">
        <v>0</v>
      </c>
      <c r="W947" t="s">
        <v>174</v>
      </c>
      <c r="X947">
        <v>2505782</v>
      </c>
      <c r="Z947" t="s">
        <v>173</v>
      </c>
      <c r="AA947" t="s">
        <v>173</v>
      </c>
    </row>
    <row r="948" spans="1:27" x14ac:dyDescent="0.3">
      <c r="A948">
        <v>947</v>
      </c>
      <c r="B948" t="s">
        <v>169</v>
      </c>
      <c r="C948">
        <v>99019875</v>
      </c>
      <c r="D948" s="7" t="s">
        <v>118</v>
      </c>
      <c r="E948" t="s">
        <v>119</v>
      </c>
      <c r="F948" t="s">
        <v>176</v>
      </c>
      <c r="G948" t="s">
        <v>177</v>
      </c>
      <c r="H948">
        <v>20</v>
      </c>
      <c r="I948">
        <v>0</v>
      </c>
      <c r="J948">
        <v>20</v>
      </c>
      <c r="K948" s="133">
        <v>12420</v>
      </c>
      <c r="L948" s="133">
        <v>12420</v>
      </c>
      <c r="M948" s="150">
        <v>0.61244212962962963</v>
      </c>
      <c r="N948" s="150">
        <v>0.61244212962962963</v>
      </c>
      <c r="O948" t="s">
        <v>172</v>
      </c>
      <c r="Q948">
        <v>2506307</v>
      </c>
      <c r="R948">
        <v>2506307</v>
      </c>
      <c r="S948">
        <v>2505783</v>
      </c>
      <c r="T948">
        <v>0</v>
      </c>
      <c r="U948" t="s">
        <v>173</v>
      </c>
      <c r="V948">
        <v>0</v>
      </c>
      <c r="W948" t="s">
        <v>174</v>
      </c>
      <c r="X948">
        <v>2505783</v>
      </c>
      <c r="Z948" t="s">
        <v>173</v>
      </c>
      <c r="AA948" t="s">
        <v>173</v>
      </c>
    </row>
    <row r="949" spans="1:27" x14ac:dyDescent="0.3">
      <c r="A949">
        <v>948</v>
      </c>
      <c r="B949" t="s">
        <v>169</v>
      </c>
      <c r="C949">
        <v>99019875</v>
      </c>
      <c r="D949" s="7" t="s">
        <v>118</v>
      </c>
      <c r="E949" t="s">
        <v>119</v>
      </c>
      <c r="F949" t="s">
        <v>176</v>
      </c>
      <c r="G949" t="s">
        <v>177</v>
      </c>
      <c r="H949">
        <v>20</v>
      </c>
      <c r="I949">
        <v>0</v>
      </c>
      <c r="J949">
        <v>20</v>
      </c>
      <c r="K949" s="133">
        <v>12420</v>
      </c>
      <c r="L949" s="133">
        <v>12420</v>
      </c>
      <c r="M949" s="150">
        <v>0.61244212962962963</v>
      </c>
      <c r="N949" s="150">
        <v>0.61244212962962963</v>
      </c>
      <c r="O949" t="s">
        <v>172</v>
      </c>
      <c r="Q949">
        <v>2506308</v>
      </c>
      <c r="R949">
        <v>2506308</v>
      </c>
      <c r="S949">
        <v>2505784</v>
      </c>
      <c r="T949">
        <v>0</v>
      </c>
      <c r="U949" t="s">
        <v>173</v>
      </c>
      <c r="V949">
        <v>0</v>
      </c>
      <c r="W949" t="s">
        <v>174</v>
      </c>
      <c r="X949">
        <v>2505784</v>
      </c>
      <c r="Z949" t="s">
        <v>173</v>
      </c>
      <c r="AA949" t="s">
        <v>173</v>
      </c>
    </row>
    <row r="950" spans="1:27" x14ac:dyDescent="0.3">
      <c r="A950">
        <v>949</v>
      </c>
      <c r="B950" t="s">
        <v>169</v>
      </c>
      <c r="C950">
        <v>99019875</v>
      </c>
      <c r="D950" s="7" t="s">
        <v>118</v>
      </c>
      <c r="E950" t="s">
        <v>119</v>
      </c>
      <c r="F950" t="s">
        <v>176</v>
      </c>
      <c r="G950" t="s">
        <v>177</v>
      </c>
      <c r="H950">
        <v>20</v>
      </c>
      <c r="I950">
        <v>0</v>
      </c>
      <c r="J950">
        <v>20</v>
      </c>
      <c r="K950" s="133">
        <v>12420</v>
      </c>
      <c r="L950" s="133">
        <v>12420</v>
      </c>
      <c r="M950" s="150">
        <v>0.61244212962962963</v>
      </c>
      <c r="N950" s="150">
        <v>0.61249999999999993</v>
      </c>
      <c r="O950" t="s">
        <v>172</v>
      </c>
      <c r="Q950">
        <v>2506309</v>
      </c>
      <c r="R950">
        <v>2506309</v>
      </c>
      <c r="S950">
        <v>2505977</v>
      </c>
      <c r="T950">
        <v>0</v>
      </c>
      <c r="U950" t="s">
        <v>173</v>
      </c>
      <c r="V950">
        <v>0</v>
      </c>
      <c r="W950" t="s">
        <v>174</v>
      </c>
      <c r="X950">
        <v>2505977</v>
      </c>
      <c r="Z950" t="s">
        <v>173</v>
      </c>
      <c r="AA950" t="s">
        <v>173</v>
      </c>
    </row>
    <row r="951" spans="1:27" x14ac:dyDescent="0.3">
      <c r="A951">
        <v>950</v>
      </c>
      <c r="B951" t="s">
        <v>169</v>
      </c>
      <c r="C951">
        <v>99019875</v>
      </c>
      <c r="D951" s="7" t="s">
        <v>128</v>
      </c>
      <c r="E951" t="s">
        <v>129</v>
      </c>
      <c r="F951" t="s">
        <v>170</v>
      </c>
      <c r="G951" t="s">
        <v>171</v>
      </c>
      <c r="H951">
        <v>1</v>
      </c>
      <c r="I951">
        <v>0</v>
      </c>
      <c r="J951">
        <v>1</v>
      </c>
      <c r="K951" s="133">
        <v>6505</v>
      </c>
      <c r="L951" s="133">
        <v>6505</v>
      </c>
      <c r="M951" s="150">
        <v>0.61252314814814812</v>
      </c>
      <c r="N951" s="150">
        <v>0.61319444444444449</v>
      </c>
      <c r="O951" t="s">
        <v>172</v>
      </c>
      <c r="Q951">
        <v>2506581</v>
      </c>
      <c r="R951">
        <v>2506581</v>
      </c>
      <c r="S951">
        <v>0</v>
      </c>
      <c r="T951">
        <v>0</v>
      </c>
      <c r="U951" t="s">
        <v>173</v>
      </c>
      <c r="V951">
        <v>0</v>
      </c>
      <c r="W951" t="s">
        <v>174</v>
      </c>
      <c r="X951">
        <v>0</v>
      </c>
      <c r="Z951" t="s">
        <v>173</v>
      </c>
      <c r="AA951" t="s">
        <v>173</v>
      </c>
    </row>
    <row r="952" spans="1:27" x14ac:dyDescent="0.3">
      <c r="A952">
        <v>951</v>
      </c>
      <c r="B952" t="s">
        <v>169</v>
      </c>
      <c r="C952">
        <v>99019875</v>
      </c>
      <c r="D952" s="7" t="s">
        <v>126</v>
      </c>
      <c r="E952" t="s">
        <v>127</v>
      </c>
      <c r="F952" t="s">
        <v>176</v>
      </c>
      <c r="G952" t="s">
        <v>171</v>
      </c>
      <c r="H952">
        <v>2</v>
      </c>
      <c r="I952">
        <v>0</v>
      </c>
      <c r="J952">
        <v>2</v>
      </c>
      <c r="K952" s="133">
        <v>12345</v>
      </c>
      <c r="L952" s="133">
        <v>12345</v>
      </c>
      <c r="M952" s="150">
        <v>0.61258101851851854</v>
      </c>
      <c r="N952" s="150">
        <v>0.61266203703703703</v>
      </c>
      <c r="O952" t="s">
        <v>172</v>
      </c>
      <c r="Q952">
        <v>2506704</v>
      </c>
      <c r="R952">
        <v>2506704</v>
      </c>
      <c r="S952">
        <v>0</v>
      </c>
      <c r="T952">
        <v>0</v>
      </c>
      <c r="U952" t="s">
        <v>173</v>
      </c>
      <c r="V952">
        <v>0</v>
      </c>
      <c r="W952" t="s">
        <v>174</v>
      </c>
      <c r="X952">
        <v>0</v>
      </c>
      <c r="Z952" t="s">
        <v>173</v>
      </c>
      <c r="AA952" t="s">
        <v>173</v>
      </c>
    </row>
    <row r="953" spans="1:27" x14ac:dyDescent="0.3">
      <c r="A953">
        <v>952</v>
      </c>
      <c r="B953" t="s">
        <v>169</v>
      </c>
      <c r="C953">
        <v>99019875</v>
      </c>
      <c r="D953" s="7" t="s">
        <v>62</v>
      </c>
      <c r="E953" t="s">
        <v>63</v>
      </c>
      <c r="F953" t="s">
        <v>176</v>
      </c>
      <c r="G953" t="s">
        <v>171</v>
      </c>
      <c r="H953">
        <v>89</v>
      </c>
      <c r="I953">
        <v>0</v>
      </c>
      <c r="J953">
        <v>89</v>
      </c>
      <c r="K953" s="133">
        <v>34075</v>
      </c>
      <c r="L953" s="133">
        <v>34075</v>
      </c>
      <c r="M953" s="150">
        <v>0.61259259259259258</v>
      </c>
      <c r="N953" s="150">
        <v>0.61261574074074077</v>
      </c>
      <c r="O953" t="s">
        <v>172</v>
      </c>
      <c r="Q953">
        <v>2506724</v>
      </c>
      <c r="R953">
        <v>2506724</v>
      </c>
      <c r="S953">
        <v>0</v>
      </c>
      <c r="T953">
        <v>0</v>
      </c>
      <c r="U953" t="s">
        <v>173</v>
      </c>
      <c r="V953">
        <v>0</v>
      </c>
      <c r="W953" t="s">
        <v>174</v>
      </c>
      <c r="X953">
        <v>0</v>
      </c>
      <c r="Z953" t="s">
        <v>173</v>
      </c>
      <c r="AA953" t="s">
        <v>173</v>
      </c>
    </row>
    <row r="954" spans="1:27" x14ac:dyDescent="0.3">
      <c r="A954">
        <v>953</v>
      </c>
      <c r="B954" t="s">
        <v>169</v>
      </c>
      <c r="C954">
        <v>99019875</v>
      </c>
      <c r="D954" s="7" t="s">
        <v>81</v>
      </c>
      <c r="E954" t="s">
        <v>82</v>
      </c>
      <c r="F954" t="s">
        <v>176</v>
      </c>
      <c r="G954" t="s">
        <v>171</v>
      </c>
      <c r="H954">
        <v>75</v>
      </c>
      <c r="I954">
        <v>0</v>
      </c>
      <c r="J954">
        <v>75</v>
      </c>
      <c r="K954" s="133">
        <v>36450</v>
      </c>
      <c r="L954" s="133">
        <v>36450</v>
      </c>
      <c r="M954" s="150">
        <v>0.61259259259259258</v>
      </c>
      <c r="N954" s="150">
        <v>0.61261574074074077</v>
      </c>
      <c r="O954" t="s">
        <v>172</v>
      </c>
      <c r="Q954">
        <v>2506727</v>
      </c>
      <c r="R954">
        <v>2506727</v>
      </c>
      <c r="S954">
        <v>0</v>
      </c>
      <c r="T954">
        <v>0</v>
      </c>
      <c r="U954" t="s">
        <v>173</v>
      </c>
      <c r="V954">
        <v>0</v>
      </c>
      <c r="W954" t="s">
        <v>174</v>
      </c>
      <c r="X954">
        <v>0</v>
      </c>
      <c r="Z954" t="s">
        <v>173</v>
      </c>
      <c r="AA954" t="s">
        <v>173</v>
      </c>
    </row>
    <row r="955" spans="1:27" x14ac:dyDescent="0.3">
      <c r="A955">
        <v>954</v>
      </c>
      <c r="B955" t="s">
        <v>169</v>
      </c>
      <c r="C955">
        <v>99019875</v>
      </c>
      <c r="D955" s="7" t="s">
        <v>102</v>
      </c>
      <c r="E955" t="s">
        <v>103</v>
      </c>
      <c r="F955" t="s">
        <v>170</v>
      </c>
      <c r="G955" t="s">
        <v>171</v>
      </c>
      <c r="H955">
        <v>54</v>
      </c>
      <c r="I955">
        <v>0</v>
      </c>
      <c r="J955">
        <v>54</v>
      </c>
      <c r="K955" s="133">
        <v>26865</v>
      </c>
      <c r="L955" s="133">
        <v>26865</v>
      </c>
      <c r="M955" s="150">
        <v>0.61259259259259258</v>
      </c>
      <c r="N955" s="150">
        <v>0.61260416666666673</v>
      </c>
      <c r="O955" t="s">
        <v>172</v>
      </c>
      <c r="Q955">
        <v>2506729</v>
      </c>
      <c r="R955">
        <v>2506729</v>
      </c>
      <c r="S955">
        <v>0</v>
      </c>
      <c r="T955">
        <v>0</v>
      </c>
      <c r="U955" t="s">
        <v>173</v>
      </c>
      <c r="V955">
        <v>0</v>
      </c>
      <c r="W955" t="s">
        <v>174</v>
      </c>
      <c r="X955">
        <v>0</v>
      </c>
      <c r="Z955" t="s">
        <v>173</v>
      </c>
      <c r="AA955" t="s">
        <v>173</v>
      </c>
    </row>
    <row r="956" spans="1:27" x14ac:dyDescent="0.3">
      <c r="A956">
        <v>955</v>
      </c>
      <c r="B956" t="s">
        <v>169</v>
      </c>
      <c r="C956">
        <v>99019875</v>
      </c>
      <c r="D956" s="7" t="s">
        <v>89</v>
      </c>
      <c r="E956" t="s">
        <v>90</v>
      </c>
      <c r="F956" t="s">
        <v>176</v>
      </c>
      <c r="G956" t="s">
        <v>171</v>
      </c>
      <c r="H956">
        <v>31</v>
      </c>
      <c r="I956">
        <v>0</v>
      </c>
      <c r="J956">
        <v>14</v>
      </c>
      <c r="K956" s="133">
        <v>3095</v>
      </c>
      <c r="L956" s="133">
        <v>3095</v>
      </c>
      <c r="M956" s="150">
        <v>0.61259259259259258</v>
      </c>
      <c r="N956" s="150">
        <v>0.61371527777777779</v>
      </c>
      <c r="O956" t="s">
        <v>172</v>
      </c>
      <c r="Q956">
        <v>2506737</v>
      </c>
      <c r="R956">
        <v>2506737</v>
      </c>
      <c r="S956">
        <v>0</v>
      </c>
      <c r="T956">
        <v>17</v>
      </c>
      <c r="U956" t="s">
        <v>173</v>
      </c>
      <c r="V956">
        <v>0</v>
      </c>
      <c r="W956" t="s">
        <v>174</v>
      </c>
      <c r="X956">
        <v>0</v>
      </c>
      <c r="Z956" t="s">
        <v>173</v>
      </c>
      <c r="AA956" t="s">
        <v>173</v>
      </c>
    </row>
    <row r="957" spans="1:27" x14ac:dyDescent="0.3">
      <c r="A957">
        <v>956</v>
      </c>
      <c r="B957" t="s">
        <v>169</v>
      </c>
      <c r="C957">
        <v>99019875</v>
      </c>
      <c r="D957" s="7" t="s">
        <v>100</v>
      </c>
      <c r="E957" t="s">
        <v>101</v>
      </c>
      <c r="F957" t="s">
        <v>170</v>
      </c>
      <c r="G957" t="s">
        <v>171</v>
      </c>
      <c r="H957">
        <v>5</v>
      </c>
      <c r="I957">
        <v>0</v>
      </c>
      <c r="J957">
        <v>5</v>
      </c>
      <c r="K957" s="133">
        <v>15525</v>
      </c>
      <c r="L957" s="133">
        <v>15525</v>
      </c>
      <c r="M957" s="150">
        <v>0.61259259259259258</v>
      </c>
      <c r="N957" s="150">
        <v>0.61313657407407407</v>
      </c>
      <c r="O957" t="s">
        <v>172</v>
      </c>
      <c r="Q957">
        <v>2506738</v>
      </c>
      <c r="R957">
        <v>2506738</v>
      </c>
      <c r="S957">
        <v>0</v>
      </c>
      <c r="T957">
        <v>0</v>
      </c>
      <c r="U957" t="s">
        <v>173</v>
      </c>
      <c r="V957">
        <v>0</v>
      </c>
      <c r="W957" t="s">
        <v>174</v>
      </c>
      <c r="X957">
        <v>0</v>
      </c>
      <c r="Z957" t="s">
        <v>173</v>
      </c>
      <c r="AA957" t="s">
        <v>173</v>
      </c>
    </row>
    <row r="958" spans="1:27" x14ac:dyDescent="0.3">
      <c r="A958">
        <v>957</v>
      </c>
      <c r="B958" t="s">
        <v>169</v>
      </c>
      <c r="C958">
        <v>99019875</v>
      </c>
      <c r="D958" s="7" t="s">
        <v>108</v>
      </c>
      <c r="E958" t="s">
        <v>109</v>
      </c>
      <c r="F958" t="s">
        <v>170</v>
      </c>
      <c r="G958" t="s">
        <v>171</v>
      </c>
      <c r="H958">
        <v>24</v>
      </c>
      <c r="I958">
        <v>0</v>
      </c>
      <c r="J958">
        <v>24</v>
      </c>
      <c r="K958" s="133">
        <v>2715</v>
      </c>
      <c r="L958" s="133">
        <v>2715</v>
      </c>
      <c r="M958" s="150">
        <v>0.61259259259259258</v>
      </c>
      <c r="N958" s="150">
        <v>0.62351851851851847</v>
      </c>
      <c r="O958" t="s">
        <v>172</v>
      </c>
      <c r="Q958">
        <v>2506741</v>
      </c>
      <c r="R958">
        <v>2506741</v>
      </c>
      <c r="S958">
        <v>0</v>
      </c>
      <c r="T958">
        <v>0</v>
      </c>
      <c r="U958" t="s">
        <v>173</v>
      </c>
      <c r="V958">
        <v>0</v>
      </c>
      <c r="W958" t="s">
        <v>174</v>
      </c>
      <c r="X958">
        <v>0</v>
      </c>
      <c r="Z958" t="s">
        <v>173</v>
      </c>
      <c r="AA958" t="s">
        <v>173</v>
      </c>
    </row>
    <row r="959" spans="1:27" x14ac:dyDescent="0.3">
      <c r="A959">
        <v>958</v>
      </c>
      <c r="B959" t="s">
        <v>169</v>
      </c>
      <c r="C959">
        <v>99019875</v>
      </c>
      <c r="D959" s="7" t="s">
        <v>71</v>
      </c>
      <c r="E959" t="s">
        <v>72</v>
      </c>
      <c r="F959" t="s">
        <v>176</v>
      </c>
      <c r="G959" t="s">
        <v>171</v>
      </c>
      <c r="H959">
        <v>18</v>
      </c>
      <c r="I959">
        <v>0</v>
      </c>
      <c r="J959">
        <v>18</v>
      </c>
      <c r="K959" s="133">
        <v>18035</v>
      </c>
      <c r="L959" s="133">
        <v>18035</v>
      </c>
      <c r="M959" s="150">
        <v>0.61260416666666673</v>
      </c>
      <c r="N959" s="150">
        <v>0.61269675925925926</v>
      </c>
      <c r="O959" t="s">
        <v>172</v>
      </c>
      <c r="Q959">
        <v>2506745</v>
      </c>
      <c r="R959">
        <v>2506745</v>
      </c>
      <c r="S959">
        <v>0</v>
      </c>
      <c r="T959">
        <v>0</v>
      </c>
      <c r="U959" t="s">
        <v>173</v>
      </c>
      <c r="V959">
        <v>0</v>
      </c>
      <c r="W959" t="s">
        <v>174</v>
      </c>
      <c r="X959">
        <v>0</v>
      </c>
      <c r="Z959" t="s">
        <v>173</v>
      </c>
      <c r="AA959" t="s">
        <v>173</v>
      </c>
    </row>
    <row r="960" spans="1:27" x14ac:dyDescent="0.3">
      <c r="A960">
        <v>959</v>
      </c>
      <c r="B960" t="s">
        <v>169</v>
      </c>
      <c r="C960">
        <v>99019875</v>
      </c>
      <c r="D960" s="7" t="s">
        <v>65</v>
      </c>
      <c r="E960" t="s">
        <v>66</v>
      </c>
      <c r="F960" t="s">
        <v>176</v>
      </c>
      <c r="G960" t="s">
        <v>171</v>
      </c>
      <c r="H960">
        <v>58</v>
      </c>
      <c r="I960">
        <v>0</v>
      </c>
      <c r="J960">
        <v>58</v>
      </c>
      <c r="K960" s="133">
        <v>4755</v>
      </c>
      <c r="L960" s="133">
        <v>4755</v>
      </c>
      <c r="M960" s="150">
        <v>0.61260416666666673</v>
      </c>
      <c r="N960" s="150">
        <v>0.61278935185185179</v>
      </c>
      <c r="O960" t="s">
        <v>172</v>
      </c>
      <c r="Q960">
        <v>2506746</v>
      </c>
      <c r="R960">
        <v>2506746</v>
      </c>
      <c r="S960">
        <v>0</v>
      </c>
      <c r="T960">
        <v>0</v>
      </c>
      <c r="U960" t="s">
        <v>173</v>
      </c>
      <c r="V960">
        <v>0</v>
      </c>
      <c r="W960" t="s">
        <v>174</v>
      </c>
      <c r="X960">
        <v>0</v>
      </c>
      <c r="Z960" t="s">
        <v>173</v>
      </c>
      <c r="AA960" t="s">
        <v>173</v>
      </c>
    </row>
    <row r="961" spans="1:27" x14ac:dyDescent="0.3">
      <c r="A961">
        <v>960</v>
      </c>
      <c r="B961" t="s">
        <v>169</v>
      </c>
      <c r="C961">
        <v>99019875</v>
      </c>
      <c r="D961" s="7" t="s">
        <v>75</v>
      </c>
      <c r="E961" t="s">
        <v>76</v>
      </c>
      <c r="F961" t="s">
        <v>170</v>
      </c>
      <c r="G961" t="s">
        <v>177</v>
      </c>
      <c r="H961">
        <v>1</v>
      </c>
      <c r="I961">
        <v>0</v>
      </c>
      <c r="J961">
        <v>1</v>
      </c>
      <c r="K961" s="133">
        <v>20775</v>
      </c>
      <c r="L961" s="133">
        <v>20775</v>
      </c>
      <c r="M961" s="150">
        <v>0.61262731481481481</v>
      </c>
      <c r="N961" s="150">
        <v>0.6127083333333333</v>
      </c>
      <c r="O961" t="s">
        <v>172</v>
      </c>
      <c r="Q961">
        <v>2506875</v>
      </c>
      <c r="R961">
        <v>2506875</v>
      </c>
      <c r="S961">
        <v>2505370</v>
      </c>
      <c r="T961">
        <v>0</v>
      </c>
      <c r="U961" t="s">
        <v>173</v>
      </c>
      <c r="V961">
        <v>0</v>
      </c>
      <c r="W961" t="s">
        <v>174</v>
      </c>
      <c r="X961">
        <v>2505370</v>
      </c>
      <c r="Z961" t="s">
        <v>173</v>
      </c>
      <c r="AA961" t="s">
        <v>173</v>
      </c>
    </row>
    <row r="962" spans="1:27" x14ac:dyDescent="0.3">
      <c r="A962">
        <v>961</v>
      </c>
      <c r="B962" t="s">
        <v>169</v>
      </c>
      <c r="C962">
        <v>99019875</v>
      </c>
      <c r="D962" s="7" t="s">
        <v>75</v>
      </c>
      <c r="E962" t="s">
        <v>76</v>
      </c>
      <c r="F962" t="s">
        <v>170</v>
      </c>
      <c r="G962" t="s">
        <v>177</v>
      </c>
      <c r="H962">
        <v>82</v>
      </c>
      <c r="I962">
        <v>0</v>
      </c>
      <c r="J962">
        <v>82</v>
      </c>
      <c r="K962" s="133">
        <v>20775</v>
      </c>
      <c r="L962" s="133">
        <v>20775</v>
      </c>
      <c r="M962" s="150">
        <v>0.61262731481481481</v>
      </c>
      <c r="N962" s="150">
        <v>0.6127083333333333</v>
      </c>
      <c r="O962" t="s">
        <v>172</v>
      </c>
      <c r="Q962">
        <v>2506876</v>
      </c>
      <c r="R962">
        <v>2506876</v>
      </c>
      <c r="S962">
        <v>2505952</v>
      </c>
      <c r="T962">
        <v>0</v>
      </c>
      <c r="U962" t="s">
        <v>173</v>
      </c>
      <c r="V962">
        <v>0</v>
      </c>
      <c r="W962" t="s">
        <v>174</v>
      </c>
      <c r="X962">
        <v>2505952</v>
      </c>
      <c r="Z962" t="s">
        <v>173</v>
      </c>
      <c r="AA962" t="s">
        <v>173</v>
      </c>
    </row>
    <row r="963" spans="1:27" x14ac:dyDescent="0.3">
      <c r="A963">
        <v>962</v>
      </c>
      <c r="B963" t="s">
        <v>169</v>
      </c>
      <c r="C963">
        <v>99019875</v>
      </c>
      <c r="D963" s="7" t="s">
        <v>75</v>
      </c>
      <c r="E963" t="s">
        <v>76</v>
      </c>
      <c r="F963" t="s">
        <v>170</v>
      </c>
      <c r="G963" t="s">
        <v>177</v>
      </c>
      <c r="H963">
        <v>83</v>
      </c>
      <c r="I963">
        <v>0</v>
      </c>
      <c r="J963">
        <v>83</v>
      </c>
      <c r="K963" s="133">
        <v>20775</v>
      </c>
      <c r="L963" s="133">
        <v>20775</v>
      </c>
      <c r="M963" s="150">
        <v>0.61262731481481481</v>
      </c>
      <c r="N963" s="150">
        <v>0.6127083333333333</v>
      </c>
      <c r="O963" t="s">
        <v>172</v>
      </c>
      <c r="Q963">
        <v>2506877</v>
      </c>
      <c r="R963">
        <v>2506877</v>
      </c>
      <c r="S963">
        <v>2506728</v>
      </c>
      <c r="T963">
        <v>0</v>
      </c>
      <c r="U963" t="s">
        <v>173</v>
      </c>
      <c r="V963">
        <v>0</v>
      </c>
      <c r="W963" t="s">
        <v>174</v>
      </c>
      <c r="X963">
        <v>2506728</v>
      </c>
      <c r="Z963" t="s">
        <v>173</v>
      </c>
      <c r="AA963" t="s">
        <v>173</v>
      </c>
    </row>
    <row r="964" spans="1:27" x14ac:dyDescent="0.3">
      <c r="A964">
        <v>963</v>
      </c>
      <c r="B964" t="s">
        <v>169</v>
      </c>
      <c r="C964">
        <v>99019875</v>
      </c>
      <c r="D964" s="7" t="s">
        <v>67</v>
      </c>
      <c r="E964" t="s">
        <v>68</v>
      </c>
      <c r="F964" t="s">
        <v>170</v>
      </c>
      <c r="G964" t="s">
        <v>177</v>
      </c>
      <c r="H964">
        <v>35</v>
      </c>
      <c r="I964">
        <v>0</v>
      </c>
      <c r="J964">
        <v>35</v>
      </c>
      <c r="K964" s="133">
        <v>4820</v>
      </c>
      <c r="L964" s="133">
        <v>4820</v>
      </c>
      <c r="M964" s="150">
        <v>0.61266203703703703</v>
      </c>
      <c r="N964" s="150">
        <v>0.61354166666666665</v>
      </c>
      <c r="O964" t="s">
        <v>172</v>
      </c>
      <c r="Q964">
        <v>2506967</v>
      </c>
      <c r="R964">
        <v>2506967</v>
      </c>
      <c r="S964">
        <v>2506605</v>
      </c>
      <c r="T964">
        <v>0</v>
      </c>
      <c r="U964" t="s">
        <v>173</v>
      </c>
      <c r="V964">
        <v>0</v>
      </c>
      <c r="W964" t="s">
        <v>174</v>
      </c>
      <c r="X964">
        <v>2506605</v>
      </c>
      <c r="Z964" t="s">
        <v>173</v>
      </c>
      <c r="AA964" t="s">
        <v>173</v>
      </c>
    </row>
    <row r="965" spans="1:27" x14ac:dyDescent="0.3">
      <c r="A965">
        <v>964</v>
      </c>
      <c r="B965" t="s">
        <v>169</v>
      </c>
      <c r="C965">
        <v>99019875</v>
      </c>
      <c r="D965" s="7" t="s">
        <v>67</v>
      </c>
      <c r="E965" t="s">
        <v>68</v>
      </c>
      <c r="F965" t="s">
        <v>170</v>
      </c>
      <c r="G965" t="s">
        <v>177</v>
      </c>
      <c r="H965">
        <v>35</v>
      </c>
      <c r="I965">
        <v>0</v>
      </c>
      <c r="J965">
        <v>35</v>
      </c>
      <c r="K965" s="133">
        <v>4820</v>
      </c>
      <c r="L965" s="133">
        <v>4820</v>
      </c>
      <c r="M965" s="150">
        <v>0.61266203703703703</v>
      </c>
      <c r="N965" s="150">
        <v>0.61354166666666665</v>
      </c>
      <c r="O965" t="s">
        <v>172</v>
      </c>
      <c r="Q965">
        <v>2506968</v>
      </c>
      <c r="R965">
        <v>2506968</v>
      </c>
      <c r="S965">
        <v>2506735</v>
      </c>
      <c r="T965">
        <v>0</v>
      </c>
      <c r="U965" t="s">
        <v>173</v>
      </c>
      <c r="V965">
        <v>0</v>
      </c>
      <c r="W965" t="s">
        <v>174</v>
      </c>
      <c r="X965">
        <v>2506735</v>
      </c>
      <c r="Z965" t="s">
        <v>173</v>
      </c>
      <c r="AA965" t="s">
        <v>173</v>
      </c>
    </row>
    <row r="966" spans="1:27" x14ac:dyDescent="0.3">
      <c r="A966">
        <v>965</v>
      </c>
      <c r="B966" t="s">
        <v>169</v>
      </c>
      <c r="C966">
        <v>99019875</v>
      </c>
      <c r="D966" s="7" t="s">
        <v>124</v>
      </c>
      <c r="E966" t="s">
        <v>125</v>
      </c>
      <c r="F966" t="s">
        <v>176</v>
      </c>
      <c r="G966" t="s">
        <v>171</v>
      </c>
      <c r="H966">
        <v>1</v>
      </c>
      <c r="I966">
        <v>0</v>
      </c>
      <c r="J966">
        <v>1</v>
      </c>
      <c r="K966" s="133">
        <v>17525</v>
      </c>
      <c r="L966" s="133">
        <v>17525</v>
      </c>
      <c r="M966" s="150">
        <v>0.61266203703703703</v>
      </c>
      <c r="N966" s="150">
        <v>0.61533564814814812</v>
      </c>
      <c r="O966" t="s">
        <v>172</v>
      </c>
      <c r="Q966">
        <v>2506973</v>
      </c>
      <c r="R966">
        <v>2506973</v>
      </c>
      <c r="S966">
        <v>0</v>
      </c>
      <c r="T966">
        <v>0</v>
      </c>
      <c r="U966" t="s">
        <v>173</v>
      </c>
      <c r="V966">
        <v>0</v>
      </c>
      <c r="W966" t="s">
        <v>174</v>
      </c>
      <c r="X966">
        <v>0</v>
      </c>
      <c r="Z966" t="s">
        <v>173</v>
      </c>
      <c r="AA966" t="s">
        <v>173</v>
      </c>
    </row>
    <row r="967" spans="1:27" x14ac:dyDescent="0.3">
      <c r="A967">
        <v>966</v>
      </c>
      <c r="B967" t="s">
        <v>169</v>
      </c>
      <c r="C967">
        <v>99019875</v>
      </c>
      <c r="D967" s="7" t="s">
        <v>87</v>
      </c>
      <c r="E967" t="s">
        <v>88</v>
      </c>
      <c r="F967" t="s">
        <v>170</v>
      </c>
      <c r="G967" t="s">
        <v>177</v>
      </c>
      <c r="H967">
        <v>6</v>
      </c>
      <c r="I967">
        <v>0</v>
      </c>
      <c r="J967">
        <v>6</v>
      </c>
      <c r="K967" s="133">
        <v>12165</v>
      </c>
      <c r="L967" s="133">
        <v>12165</v>
      </c>
      <c r="M967" s="150">
        <v>0.61266203703703703</v>
      </c>
      <c r="N967" s="150">
        <v>0.61346064814814816</v>
      </c>
      <c r="O967" t="s">
        <v>172</v>
      </c>
      <c r="Q967">
        <v>2506993</v>
      </c>
      <c r="R967">
        <v>2506993</v>
      </c>
      <c r="S967">
        <v>2506124</v>
      </c>
      <c r="T967">
        <v>0</v>
      </c>
      <c r="U967" t="s">
        <v>173</v>
      </c>
      <c r="V967">
        <v>0</v>
      </c>
      <c r="W967" t="s">
        <v>174</v>
      </c>
      <c r="X967">
        <v>2506124</v>
      </c>
      <c r="Z967" t="s">
        <v>173</v>
      </c>
      <c r="AA967" t="s">
        <v>173</v>
      </c>
    </row>
    <row r="968" spans="1:27" x14ac:dyDescent="0.3">
      <c r="A968">
        <v>967</v>
      </c>
      <c r="B968" t="s">
        <v>169</v>
      </c>
      <c r="C968">
        <v>99019875</v>
      </c>
      <c r="D968" s="7" t="s">
        <v>87</v>
      </c>
      <c r="E968" t="s">
        <v>88</v>
      </c>
      <c r="F968" t="s">
        <v>170</v>
      </c>
      <c r="G968" t="s">
        <v>177</v>
      </c>
      <c r="H968">
        <v>6</v>
      </c>
      <c r="I968">
        <v>0</v>
      </c>
      <c r="J968">
        <v>6</v>
      </c>
      <c r="K968" s="133">
        <v>12165</v>
      </c>
      <c r="L968" s="133">
        <v>12165</v>
      </c>
      <c r="M968" s="150">
        <v>0.61266203703703703</v>
      </c>
      <c r="N968" s="150">
        <v>0.61346064814814816</v>
      </c>
      <c r="O968" t="s">
        <v>172</v>
      </c>
      <c r="Q968">
        <v>2506994</v>
      </c>
      <c r="R968">
        <v>2506994</v>
      </c>
      <c r="S968">
        <v>2506740</v>
      </c>
      <c r="T968">
        <v>0</v>
      </c>
      <c r="U968" t="s">
        <v>173</v>
      </c>
      <c r="V968">
        <v>0</v>
      </c>
      <c r="W968" t="s">
        <v>174</v>
      </c>
      <c r="X968">
        <v>2506740</v>
      </c>
      <c r="Z968" t="s">
        <v>173</v>
      </c>
      <c r="AA968" t="s">
        <v>173</v>
      </c>
    </row>
    <row r="969" spans="1:27" x14ac:dyDescent="0.3">
      <c r="A969">
        <v>968</v>
      </c>
      <c r="B969" t="s">
        <v>169</v>
      </c>
      <c r="C969">
        <v>99019875</v>
      </c>
      <c r="D969" s="7" t="s">
        <v>69</v>
      </c>
      <c r="E969" t="s">
        <v>70</v>
      </c>
      <c r="F969" t="s">
        <v>170</v>
      </c>
      <c r="G969" t="s">
        <v>177</v>
      </c>
      <c r="H969">
        <v>17</v>
      </c>
      <c r="I969">
        <v>0</v>
      </c>
      <c r="J969">
        <v>17</v>
      </c>
      <c r="K969" s="133">
        <v>10310</v>
      </c>
      <c r="L969" s="133">
        <v>10310</v>
      </c>
      <c r="M969" s="150">
        <v>0.61267361111111118</v>
      </c>
      <c r="N969" s="150">
        <v>0.61267361111111118</v>
      </c>
      <c r="O969" t="s">
        <v>172</v>
      </c>
      <c r="Q969">
        <v>2507022</v>
      </c>
      <c r="R969">
        <v>2507022</v>
      </c>
      <c r="S969">
        <v>2507007</v>
      </c>
      <c r="T969">
        <v>0</v>
      </c>
      <c r="U969" t="s">
        <v>173</v>
      </c>
      <c r="V969">
        <v>0</v>
      </c>
      <c r="W969" t="s">
        <v>174</v>
      </c>
      <c r="X969">
        <v>2507007</v>
      </c>
      <c r="Z969" t="s">
        <v>173</v>
      </c>
      <c r="AA969" t="s">
        <v>173</v>
      </c>
    </row>
    <row r="970" spans="1:27" x14ac:dyDescent="0.3">
      <c r="A970">
        <v>969</v>
      </c>
      <c r="B970" t="s">
        <v>169</v>
      </c>
      <c r="C970">
        <v>99019875</v>
      </c>
      <c r="D970" s="7" t="s">
        <v>77</v>
      </c>
      <c r="E970" t="s">
        <v>78</v>
      </c>
      <c r="F970" t="s">
        <v>170</v>
      </c>
      <c r="G970" t="s">
        <v>177</v>
      </c>
      <c r="H970">
        <v>23</v>
      </c>
      <c r="I970">
        <v>0</v>
      </c>
      <c r="J970">
        <v>23</v>
      </c>
      <c r="K970" s="133">
        <v>7355</v>
      </c>
      <c r="L970" s="133">
        <v>7355</v>
      </c>
      <c r="M970" s="150">
        <v>0.61280092592592594</v>
      </c>
      <c r="N970" s="150">
        <v>0.61302083333333335</v>
      </c>
      <c r="O970" t="s">
        <v>172</v>
      </c>
      <c r="Q970">
        <v>2507343</v>
      </c>
      <c r="R970">
        <v>2507343</v>
      </c>
      <c r="S970">
        <v>2505154</v>
      </c>
      <c r="T970">
        <v>0</v>
      </c>
      <c r="U970" t="s">
        <v>173</v>
      </c>
      <c r="V970">
        <v>0</v>
      </c>
      <c r="W970" t="s">
        <v>174</v>
      </c>
      <c r="X970">
        <v>2505154</v>
      </c>
      <c r="Z970" t="s">
        <v>173</v>
      </c>
      <c r="AA970" t="s">
        <v>173</v>
      </c>
    </row>
    <row r="971" spans="1:27" x14ac:dyDescent="0.3">
      <c r="A971">
        <v>970</v>
      </c>
      <c r="B971" t="s">
        <v>169</v>
      </c>
      <c r="C971">
        <v>99019875</v>
      </c>
      <c r="D971" s="7" t="s">
        <v>77</v>
      </c>
      <c r="E971" t="s">
        <v>78</v>
      </c>
      <c r="F971" t="s">
        <v>170</v>
      </c>
      <c r="G971" t="s">
        <v>177</v>
      </c>
      <c r="H971">
        <v>73</v>
      </c>
      <c r="I971">
        <v>0</v>
      </c>
      <c r="J971">
        <v>73</v>
      </c>
      <c r="K971" s="133">
        <v>7355</v>
      </c>
      <c r="L971" s="133">
        <v>7355</v>
      </c>
      <c r="M971" s="150">
        <v>0.61280092592592594</v>
      </c>
      <c r="N971" s="150">
        <v>0.61337962962962966</v>
      </c>
      <c r="O971" t="s">
        <v>172</v>
      </c>
      <c r="Q971">
        <v>2507344</v>
      </c>
      <c r="R971">
        <v>2507344</v>
      </c>
      <c r="S971">
        <v>2505155</v>
      </c>
      <c r="T971">
        <v>0</v>
      </c>
      <c r="U971" t="s">
        <v>173</v>
      </c>
      <c r="V971">
        <v>0</v>
      </c>
      <c r="W971" t="s">
        <v>174</v>
      </c>
      <c r="X971">
        <v>2505155</v>
      </c>
      <c r="Z971" t="s">
        <v>173</v>
      </c>
      <c r="AA971" t="s">
        <v>173</v>
      </c>
    </row>
    <row r="972" spans="1:27" x14ac:dyDescent="0.3">
      <c r="A972">
        <v>971</v>
      </c>
      <c r="B972" t="s">
        <v>169</v>
      </c>
      <c r="C972">
        <v>99019875</v>
      </c>
      <c r="D972" s="7" t="s">
        <v>77</v>
      </c>
      <c r="E972" t="s">
        <v>78</v>
      </c>
      <c r="F972" t="s">
        <v>170</v>
      </c>
      <c r="G972" t="s">
        <v>177</v>
      </c>
      <c r="H972">
        <v>73</v>
      </c>
      <c r="I972">
        <v>0</v>
      </c>
      <c r="J972">
        <v>73</v>
      </c>
      <c r="K972" s="133">
        <v>7355</v>
      </c>
      <c r="L972" s="133">
        <v>7355</v>
      </c>
      <c r="M972" s="150">
        <v>0.61280092592592594</v>
      </c>
      <c r="N972" s="150">
        <v>0.61337962962962966</v>
      </c>
      <c r="O972" t="s">
        <v>172</v>
      </c>
      <c r="Q972">
        <v>2507345</v>
      </c>
      <c r="R972">
        <v>2507345</v>
      </c>
      <c r="S972">
        <v>2505156</v>
      </c>
      <c r="T972">
        <v>0</v>
      </c>
      <c r="U972" t="s">
        <v>173</v>
      </c>
      <c r="V972">
        <v>0</v>
      </c>
      <c r="W972" t="s">
        <v>174</v>
      </c>
      <c r="X972">
        <v>2505156</v>
      </c>
      <c r="Z972" t="s">
        <v>173</v>
      </c>
      <c r="AA972" t="s">
        <v>173</v>
      </c>
    </row>
    <row r="973" spans="1:27" x14ac:dyDescent="0.3">
      <c r="A973">
        <v>972</v>
      </c>
      <c r="B973" t="s">
        <v>169</v>
      </c>
      <c r="C973">
        <v>99019875</v>
      </c>
      <c r="D973" s="7" t="s">
        <v>77</v>
      </c>
      <c r="E973" t="s">
        <v>78</v>
      </c>
      <c r="F973" t="s">
        <v>170</v>
      </c>
      <c r="G973" t="s">
        <v>177</v>
      </c>
      <c r="H973">
        <v>74</v>
      </c>
      <c r="I973">
        <v>0</v>
      </c>
      <c r="J973">
        <v>74</v>
      </c>
      <c r="K973" s="133">
        <v>7355</v>
      </c>
      <c r="L973" s="133">
        <v>7355</v>
      </c>
      <c r="M973" s="150">
        <v>0.61280092592592594</v>
      </c>
      <c r="N973" s="150">
        <v>0.61337962962962966</v>
      </c>
      <c r="O973" t="s">
        <v>172</v>
      </c>
      <c r="Q973">
        <v>2507346</v>
      </c>
      <c r="R973">
        <v>2507346</v>
      </c>
      <c r="S973">
        <v>2505157</v>
      </c>
      <c r="T973">
        <v>0</v>
      </c>
      <c r="U973" t="s">
        <v>173</v>
      </c>
      <c r="V973">
        <v>0</v>
      </c>
      <c r="W973" t="s">
        <v>174</v>
      </c>
      <c r="X973">
        <v>2505157</v>
      </c>
      <c r="Z973" t="s">
        <v>173</v>
      </c>
      <c r="AA973" t="s">
        <v>173</v>
      </c>
    </row>
    <row r="974" spans="1:27" x14ac:dyDescent="0.3">
      <c r="A974">
        <v>973</v>
      </c>
      <c r="B974" t="s">
        <v>169</v>
      </c>
      <c r="C974">
        <v>99019875</v>
      </c>
      <c r="D974" s="7" t="s">
        <v>77</v>
      </c>
      <c r="E974" t="s">
        <v>78</v>
      </c>
      <c r="F974" t="s">
        <v>170</v>
      </c>
      <c r="G974" t="s">
        <v>177</v>
      </c>
      <c r="H974">
        <v>73</v>
      </c>
      <c r="I974">
        <v>0</v>
      </c>
      <c r="J974">
        <v>73</v>
      </c>
      <c r="K974" s="133">
        <v>7355</v>
      </c>
      <c r="L974" s="133">
        <v>7355</v>
      </c>
      <c r="M974" s="150">
        <v>0.61280092592592594</v>
      </c>
      <c r="N974" s="150">
        <v>0.61337962962962966</v>
      </c>
      <c r="O974" t="s">
        <v>172</v>
      </c>
      <c r="Q974">
        <v>2507347</v>
      </c>
      <c r="R974">
        <v>2507347</v>
      </c>
      <c r="S974">
        <v>2505158</v>
      </c>
      <c r="T974">
        <v>0</v>
      </c>
      <c r="U974" t="s">
        <v>173</v>
      </c>
      <c r="V974">
        <v>0</v>
      </c>
      <c r="W974" t="s">
        <v>174</v>
      </c>
      <c r="X974">
        <v>2505158</v>
      </c>
      <c r="Z974" t="s">
        <v>173</v>
      </c>
      <c r="AA974" t="s">
        <v>173</v>
      </c>
    </row>
    <row r="975" spans="1:27" x14ac:dyDescent="0.3">
      <c r="A975">
        <v>974</v>
      </c>
      <c r="B975" t="s">
        <v>169</v>
      </c>
      <c r="C975">
        <v>99019875</v>
      </c>
      <c r="D975" s="7" t="s">
        <v>77</v>
      </c>
      <c r="E975" t="s">
        <v>78</v>
      </c>
      <c r="F975" t="s">
        <v>170</v>
      </c>
      <c r="G975" t="s">
        <v>177</v>
      </c>
      <c r="H975">
        <v>73</v>
      </c>
      <c r="I975">
        <v>0</v>
      </c>
      <c r="J975">
        <v>73</v>
      </c>
      <c r="K975" s="133">
        <v>7355</v>
      </c>
      <c r="L975" s="133">
        <v>7355</v>
      </c>
      <c r="M975" s="150">
        <v>0.61280092592592594</v>
      </c>
      <c r="N975" s="150">
        <v>0.61337962962962966</v>
      </c>
      <c r="O975" t="s">
        <v>172</v>
      </c>
      <c r="Q975">
        <v>2507348</v>
      </c>
      <c r="R975">
        <v>2507348</v>
      </c>
      <c r="S975">
        <v>2505159</v>
      </c>
      <c r="T975">
        <v>0</v>
      </c>
      <c r="U975" t="s">
        <v>173</v>
      </c>
      <c r="V975">
        <v>0</v>
      </c>
      <c r="W975" t="s">
        <v>174</v>
      </c>
      <c r="X975">
        <v>2505159</v>
      </c>
      <c r="Z975" t="s">
        <v>173</v>
      </c>
      <c r="AA975" t="s">
        <v>173</v>
      </c>
    </row>
    <row r="976" spans="1:27" x14ac:dyDescent="0.3">
      <c r="A976">
        <v>975</v>
      </c>
      <c r="B976" t="s">
        <v>169</v>
      </c>
      <c r="C976">
        <v>99019875</v>
      </c>
      <c r="D976" s="7" t="s">
        <v>77</v>
      </c>
      <c r="E976" t="s">
        <v>78</v>
      </c>
      <c r="F976" t="s">
        <v>170</v>
      </c>
      <c r="G976" t="s">
        <v>177</v>
      </c>
      <c r="H976">
        <v>73</v>
      </c>
      <c r="I976">
        <v>0</v>
      </c>
      <c r="J976">
        <v>73</v>
      </c>
      <c r="K976" s="133">
        <v>7355</v>
      </c>
      <c r="L976" s="133">
        <v>7355</v>
      </c>
      <c r="M976" s="150">
        <v>0.61280092592592594</v>
      </c>
      <c r="N976" s="150">
        <v>0.61337962962962966</v>
      </c>
      <c r="O976" t="s">
        <v>172</v>
      </c>
      <c r="Q976">
        <v>2507349</v>
      </c>
      <c r="R976">
        <v>2507349</v>
      </c>
      <c r="S976">
        <v>2505971</v>
      </c>
      <c r="T976">
        <v>0</v>
      </c>
      <c r="U976" t="s">
        <v>173</v>
      </c>
      <c r="V976">
        <v>0</v>
      </c>
      <c r="W976" t="s">
        <v>174</v>
      </c>
      <c r="X976">
        <v>2505971</v>
      </c>
      <c r="Z976" t="s">
        <v>173</v>
      </c>
      <c r="AA976" t="s">
        <v>173</v>
      </c>
    </row>
    <row r="977" spans="1:27" x14ac:dyDescent="0.3">
      <c r="A977">
        <v>976</v>
      </c>
      <c r="B977" t="s">
        <v>169</v>
      </c>
      <c r="C977">
        <v>99019875</v>
      </c>
      <c r="D977" s="7" t="s">
        <v>77</v>
      </c>
      <c r="E977" t="s">
        <v>78</v>
      </c>
      <c r="F977" t="s">
        <v>170</v>
      </c>
      <c r="G977" t="s">
        <v>177</v>
      </c>
      <c r="H977">
        <v>74</v>
      </c>
      <c r="I977">
        <v>0</v>
      </c>
      <c r="J977">
        <v>74</v>
      </c>
      <c r="K977" s="133">
        <v>7355</v>
      </c>
      <c r="L977" s="133">
        <v>7355</v>
      </c>
      <c r="M977" s="150">
        <v>0.61280092592592594</v>
      </c>
      <c r="N977" s="150">
        <v>0.61337962962962966</v>
      </c>
      <c r="O977" t="s">
        <v>172</v>
      </c>
      <c r="Q977">
        <v>2507350</v>
      </c>
      <c r="R977">
        <v>2507350</v>
      </c>
      <c r="S977">
        <v>2506744</v>
      </c>
      <c r="T977">
        <v>0</v>
      </c>
      <c r="U977" t="s">
        <v>173</v>
      </c>
      <c r="V977">
        <v>0</v>
      </c>
      <c r="W977" t="s">
        <v>174</v>
      </c>
      <c r="X977">
        <v>2506744</v>
      </c>
      <c r="Z977" t="s">
        <v>173</v>
      </c>
      <c r="AA977" t="s">
        <v>173</v>
      </c>
    </row>
    <row r="978" spans="1:27" x14ac:dyDescent="0.3">
      <c r="A978">
        <v>977</v>
      </c>
      <c r="B978" t="s">
        <v>169</v>
      </c>
      <c r="C978">
        <v>99019875</v>
      </c>
      <c r="D978" s="7" t="s">
        <v>140</v>
      </c>
      <c r="E978" t="s">
        <v>178</v>
      </c>
      <c r="F978" t="s">
        <v>170</v>
      </c>
      <c r="G978" t="s">
        <v>177</v>
      </c>
      <c r="H978">
        <v>20</v>
      </c>
      <c r="I978">
        <v>0</v>
      </c>
      <c r="J978">
        <v>20</v>
      </c>
      <c r="K978" s="133">
        <v>8635</v>
      </c>
      <c r="L978" s="133">
        <v>8635</v>
      </c>
      <c r="M978" s="150">
        <v>0.61282407407407413</v>
      </c>
      <c r="N978" s="150">
        <v>0.6130092592592592</v>
      </c>
      <c r="O978" t="s">
        <v>172</v>
      </c>
      <c r="Q978">
        <v>2507415</v>
      </c>
      <c r="R978">
        <v>2507415</v>
      </c>
      <c r="S978">
        <v>2507278</v>
      </c>
      <c r="T978">
        <v>0</v>
      </c>
      <c r="U978" t="s">
        <v>173</v>
      </c>
      <c r="V978">
        <v>0</v>
      </c>
      <c r="W978" t="s">
        <v>174</v>
      </c>
      <c r="X978">
        <v>2507278</v>
      </c>
      <c r="Z978" t="s">
        <v>173</v>
      </c>
      <c r="AA978" t="s">
        <v>173</v>
      </c>
    </row>
    <row r="979" spans="1:27" x14ac:dyDescent="0.3">
      <c r="A979">
        <v>978</v>
      </c>
      <c r="B979" t="s">
        <v>169</v>
      </c>
      <c r="C979">
        <v>99019875</v>
      </c>
      <c r="D979" s="7" t="s">
        <v>96</v>
      </c>
      <c r="E979" t="s">
        <v>97</v>
      </c>
      <c r="F979" t="s">
        <v>170</v>
      </c>
      <c r="G979" t="s">
        <v>177</v>
      </c>
      <c r="H979">
        <v>27</v>
      </c>
      <c r="I979">
        <v>0</v>
      </c>
      <c r="J979">
        <v>27</v>
      </c>
      <c r="K979" s="133">
        <v>8305</v>
      </c>
      <c r="L979" s="133">
        <v>8305</v>
      </c>
      <c r="M979" s="150">
        <v>0.61284722222222221</v>
      </c>
      <c r="N979" s="150">
        <v>0.6136342592592593</v>
      </c>
      <c r="O979" t="s">
        <v>172</v>
      </c>
      <c r="Q979">
        <v>2507442</v>
      </c>
      <c r="R979">
        <v>2507442</v>
      </c>
      <c r="S979">
        <v>2499441</v>
      </c>
      <c r="T979">
        <v>0</v>
      </c>
      <c r="U979" t="s">
        <v>173</v>
      </c>
      <c r="V979">
        <v>0</v>
      </c>
      <c r="W979" t="s">
        <v>174</v>
      </c>
      <c r="X979">
        <v>2499441</v>
      </c>
      <c r="Z979" t="s">
        <v>173</v>
      </c>
      <c r="AA979" t="s">
        <v>173</v>
      </c>
    </row>
    <row r="980" spans="1:27" x14ac:dyDescent="0.3">
      <c r="A980">
        <v>979</v>
      </c>
      <c r="B980" t="s">
        <v>169</v>
      </c>
      <c r="C980">
        <v>99019875</v>
      </c>
      <c r="D980" s="7" t="s">
        <v>96</v>
      </c>
      <c r="E980" t="s">
        <v>97</v>
      </c>
      <c r="F980" t="s">
        <v>170</v>
      </c>
      <c r="G980" t="s">
        <v>177</v>
      </c>
      <c r="H980">
        <v>27</v>
      </c>
      <c r="I980">
        <v>0</v>
      </c>
      <c r="J980">
        <v>27</v>
      </c>
      <c r="K980" s="133">
        <v>8305</v>
      </c>
      <c r="L980" s="133">
        <v>8305</v>
      </c>
      <c r="M980" s="150">
        <v>0.61284722222222221</v>
      </c>
      <c r="N980" s="150">
        <v>0.6136342592592593</v>
      </c>
      <c r="O980" t="s">
        <v>172</v>
      </c>
      <c r="Q980">
        <v>2507443</v>
      </c>
      <c r="R980">
        <v>2507443</v>
      </c>
      <c r="S980">
        <v>2500151</v>
      </c>
      <c r="T980">
        <v>0</v>
      </c>
      <c r="U980" t="s">
        <v>173</v>
      </c>
      <c r="V980">
        <v>0</v>
      </c>
      <c r="W980" t="s">
        <v>174</v>
      </c>
      <c r="X980">
        <v>2500151</v>
      </c>
      <c r="Z980" t="s">
        <v>173</v>
      </c>
      <c r="AA980" t="s">
        <v>173</v>
      </c>
    </row>
    <row r="981" spans="1:27" x14ac:dyDescent="0.3">
      <c r="A981">
        <v>980</v>
      </c>
      <c r="B981" t="s">
        <v>169</v>
      </c>
      <c r="C981">
        <v>99019875</v>
      </c>
      <c r="D981" s="7" t="s">
        <v>96</v>
      </c>
      <c r="E981" t="s">
        <v>97</v>
      </c>
      <c r="F981" t="s">
        <v>170</v>
      </c>
      <c r="G981" t="s">
        <v>177</v>
      </c>
      <c r="H981">
        <v>27</v>
      </c>
      <c r="I981">
        <v>0</v>
      </c>
      <c r="J981">
        <v>27</v>
      </c>
      <c r="K981" s="133">
        <v>8305</v>
      </c>
      <c r="L981" s="133">
        <v>8305</v>
      </c>
      <c r="M981" s="150">
        <v>0.61284722222222221</v>
      </c>
      <c r="N981" s="150">
        <v>0.61424768518518513</v>
      </c>
      <c r="O981" t="s">
        <v>172</v>
      </c>
      <c r="Q981">
        <v>2507444</v>
      </c>
      <c r="R981">
        <v>2507444</v>
      </c>
      <c r="S981">
        <v>2500823</v>
      </c>
      <c r="T981">
        <v>0</v>
      </c>
      <c r="U981" t="s">
        <v>173</v>
      </c>
      <c r="V981">
        <v>0</v>
      </c>
      <c r="W981" t="s">
        <v>174</v>
      </c>
      <c r="X981">
        <v>2500823</v>
      </c>
      <c r="Z981" t="s">
        <v>173</v>
      </c>
      <c r="AA981" t="s">
        <v>173</v>
      </c>
    </row>
    <row r="982" spans="1:27" x14ac:dyDescent="0.3">
      <c r="A982">
        <v>981</v>
      </c>
      <c r="B982" t="s">
        <v>169</v>
      </c>
      <c r="C982">
        <v>99019875</v>
      </c>
      <c r="D982" s="7" t="s">
        <v>96</v>
      </c>
      <c r="E982" t="s">
        <v>97</v>
      </c>
      <c r="F982" t="s">
        <v>170</v>
      </c>
      <c r="G982" t="s">
        <v>177</v>
      </c>
      <c r="H982">
        <v>27</v>
      </c>
      <c r="I982">
        <v>0</v>
      </c>
      <c r="J982">
        <v>27</v>
      </c>
      <c r="K982" s="133">
        <v>8305</v>
      </c>
      <c r="L982" s="133">
        <v>8305</v>
      </c>
      <c r="M982" s="150">
        <v>0.61284722222222221</v>
      </c>
      <c r="N982" s="150">
        <v>0.61424768518518513</v>
      </c>
      <c r="O982" t="s">
        <v>172</v>
      </c>
      <c r="Q982">
        <v>2507445</v>
      </c>
      <c r="R982">
        <v>2507445</v>
      </c>
      <c r="S982">
        <v>2503226</v>
      </c>
      <c r="T982">
        <v>0</v>
      </c>
      <c r="U982" t="s">
        <v>173</v>
      </c>
      <c r="V982">
        <v>0</v>
      </c>
      <c r="W982" t="s">
        <v>174</v>
      </c>
      <c r="X982">
        <v>2503226</v>
      </c>
      <c r="Z982" t="s">
        <v>173</v>
      </c>
      <c r="AA982" t="s">
        <v>173</v>
      </c>
    </row>
    <row r="983" spans="1:27" x14ac:dyDescent="0.3">
      <c r="A983">
        <v>982</v>
      </c>
      <c r="B983" t="s">
        <v>169</v>
      </c>
      <c r="C983">
        <v>99019875</v>
      </c>
      <c r="D983" s="7" t="s">
        <v>96</v>
      </c>
      <c r="E983" t="s">
        <v>97</v>
      </c>
      <c r="F983" t="s">
        <v>170</v>
      </c>
      <c r="G983" t="s">
        <v>177</v>
      </c>
      <c r="H983">
        <v>27</v>
      </c>
      <c r="I983">
        <v>0</v>
      </c>
      <c r="J983">
        <v>12</v>
      </c>
      <c r="K983" s="133">
        <v>8305</v>
      </c>
      <c r="L983" s="133">
        <v>8305</v>
      </c>
      <c r="M983" s="150">
        <v>0.61284722222222221</v>
      </c>
      <c r="N983" s="150">
        <v>0.61424768518518513</v>
      </c>
      <c r="O983" t="s">
        <v>172</v>
      </c>
      <c r="Q983">
        <v>2507446</v>
      </c>
      <c r="R983">
        <v>2507446</v>
      </c>
      <c r="S983">
        <v>2504331</v>
      </c>
      <c r="T983">
        <v>15</v>
      </c>
      <c r="U983" t="s">
        <v>173</v>
      </c>
      <c r="V983">
        <v>0</v>
      </c>
      <c r="W983" t="s">
        <v>174</v>
      </c>
      <c r="X983">
        <v>2504331</v>
      </c>
      <c r="Z983" t="s">
        <v>173</v>
      </c>
      <c r="AA983" t="s">
        <v>173</v>
      </c>
    </row>
    <row r="984" spans="1:27" x14ac:dyDescent="0.3">
      <c r="A984">
        <v>983</v>
      </c>
      <c r="B984" t="s">
        <v>169</v>
      </c>
      <c r="C984">
        <v>99019875</v>
      </c>
      <c r="D984" s="7" t="s">
        <v>110</v>
      </c>
      <c r="E984" t="s">
        <v>179</v>
      </c>
      <c r="F984" t="s">
        <v>170</v>
      </c>
      <c r="G984" t="s">
        <v>177</v>
      </c>
      <c r="H984">
        <v>3</v>
      </c>
      <c r="I984">
        <v>0</v>
      </c>
      <c r="J984">
        <v>3</v>
      </c>
      <c r="K984" s="133">
        <v>48535</v>
      </c>
      <c r="L984" s="133">
        <v>48535</v>
      </c>
      <c r="M984" s="150">
        <v>0.61284722222222221</v>
      </c>
      <c r="N984" s="150">
        <v>0.61297453703703708</v>
      </c>
      <c r="O984" t="s">
        <v>172</v>
      </c>
      <c r="Q984">
        <v>2507464</v>
      </c>
      <c r="R984">
        <v>2507464</v>
      </c>
      <c r="S984">
        <v>2507142</v>
      </c>
      <c r="T984">
        <v>0</v>
      </c>
      <c r="U984" t="s">
        <v>173</v>
      </c>
      <c r="V984">
        <v>0</v>
      </c>
      <c r="W984" t="s">
        <v>174</v>
      </c>
      <c r="X984">
        <v>2507142</v>
      </c>
      <c r="Z984" t="s">
        <v>173</v>
      </c>
      <c r="AA984" t="s">
        <v>173</v>
      </c>
    </row>
    <row r="985" spans="1:27" x14ac:dyDescent="0.3">
      <c r="A985">
        <v>984</v>
      </c>
      <c r="B985" t="s">
        <v>169</v>
      </c>
      <c r="C985">
        <v>99019875</v>
      </c>
      <c r="D985" s="7" t="s">
        <v>110</v>
      </c>
      <c r="E985" t="s">
        <v>179</v>
      </c>
      <c r="F985" t="s">
        <v>170</v>
      </c>
      <c r="G985" t="s">
        <v>177</v>
      </c>
      <c r="H985">
        <v>3</v>
      </c>
      <c r="I985">
        <v>0</v>
      </c>
      <c r="J985">
        <v>3</v>
      </c>
      <c r="K985" s="133">
        <v>48535</v>
      </c>
      <c r="L985" s="133">
        <v>48535</v>
      </c>
      <c r="M985" s="150">
        <v>0.61284722222222221</v>
      </c>
      <c r="N985" s="150">
        <v>0.61297453703703708</v>
      </c>
      <c r="O985" t="s">
        <v>172</v>
      </c>
      <c r="Q985">
        <v>2507465</v>
      </c>
      <c r="R985">
        <v>2507465</v>
      </c>
      <c r="S985">
        <v>2507143</v>
      </c>
      <c r="T985">
        <v>0</v>
      </c>
      <c r="U985" t="s">
        <v>173</v>
      </c>
      <c r="V985">
        <v>0</v>
      </c>
      <c r="W985" t="s">
        <v>174</v>
      </c>
      <c r="X985">
        <v>2507143</v>
      </c>
      <c r="Z985" t="s">
        <v>173</v>
      </c>
      <c r="AA985" t="s">
        <v>173</v>
      </c>
    </row>
    <row r="986" spans="1:27" x14ac:dyDescent="0.3">
      <c r="A986">
        <v>985</v>
      </c>
      <c r="B986" t="s">
        <v>169</v>
      </c>
      <c r="C986">
        <v>99019875</v>
      </c>
      <c r="D986" s="7" t="s">
        <v>110</v>
      </c>
      <c r="E986" t="s">
        <v>179</v>
      </c>
      <c r="F986" t="s">
        <v>170</v>
      </c>
      <c r="G986" t="s">
        <v>177</v>
      </c>
      <c r="H986">
        <v>4</v>
      </c>
      <c r="I986">
        <v>0</v>
      </c>
      <c r="J986">
        <v>4</v>
      </c>
      <c r="K986" s="133">
        <v>48535</v>
      </c>
      <c r="L986" s="133">
        <v>48535</v>
      </c>
      <c r="M986" s="150">
        <v>0.61284722222222221</v>
      </c>
      <c r="N986" s="150">
        <v>0.61297453703703708</v>
      </c>
      <c r="O986" t="s">
        <v>172</v>
      </c>
      <c r="Q986">
        <v>2507466</v>
      </c>
      <c r="R986">
        <v>2507466</v>
      </c>
      <c r="S986">
        <v>2507144</v>
      </c>
      <c r="T986">
        <v>0</v>
      </c>
      <c r="U986" t="s">
        <v>173</v>
      </c>
      <c r="V986">
        <v>0</v>
      </c>
      <c r="W986" t="s">
        <v>174</v>
      </c>
      <c r="X986">
        <v>2507144</v>
      </c>
      <c r="Z986" t="s">
        <v>173</v>
      </c>
      <c r="AA986" t="s">
        <v>173</v>
      </c>
    </row>
    <row r="987" spans="1:27" x14ac:dyDescent="0.3">
      <c r="A987">
        <v>986</v>
      </c>
      <c r="B987" t="s">
        <v>169</v>
      </c>
      <c r="C987">
        <v>99019875</v>
      </c>
      <c r="D987" s="7" t="s">
        <v>110</v>
      </c>
      <c r="E987" t="s">
        <v>179</v>
      </c>
      <c r="F987" t="s">
        <v>170</v>
      </c>
      <c r="G987" t="s">
        <v>177</v>
      </c>
      <c r="H987">
        <v>3</v>
      </c>
      <c r="I987">
        <v>0</v>
      </c>
      <c r="J987">
        <v>3</v>
      </c>
      <c r="K987" s="133">
        <v>48535</v>
      </c>
      <c r="L987" s="133">
        <v>48535</v>
      </c>
      <c r="M987" s="150">
        <v>0.61284722222222221</v>
      </c>
      <c r="N987" s="150">
        <v>0.61297453703703708</v>
      </c>
      <c r="O987" t="s">
        <v>172</v>
      </c>
      <c r="Q987">
        <v>2507467</v>
      </c>
      <c r="R987">
        <v>2507467</v>
      </c>
      <c r="S987">
        <v>2507145</v>
      </c>
      <c r="T987">
        <v>0</v>
      </c>
      <c r="U987" t="s">
        <v>173</v>
      </c>
      <c r="V987">
        <v>0</v>
      </c>
      <c r="W987" t="s">
        <v>174</v>
      </c>
      <c r="X987">
        <v>2507145</v>
      </c>
      <c r="Z987" t="s">
        <v>173</v>
      </c>
      <c r="AA987" t="s">
        <v>173</v>
      </c>
    </row>
    <row r="988" spans="1:27" x14ac:dyDescent="0.3">
      <c r="A988">
        <v>987</v>
      </c>
      <c r="B988" t="s">
        <v>169</v>
      </c>
      <c r="C988">
        <v>99019875</v>
      </c>
      <c r="D988" s="7" t="s">
        <v>110</v>
      </c>
      <c r="E988" t="s">
        <v>179</v>
      </c>
      <c r="F988" t="s">
        <v>170</v>
      </c>
      <c r="G988" t="s">
        <v>177</v>
      </c>
      <c r="H988">
        <v>3</v>
      </c>
      <c r="I988">
        <v>0</v>
      </c>
      <c r="J988">
        <v>3</v>
      </c>
      <c r="K988" s="133">
        <v>48535</v>
      </c>
      <c r="L988" s="133">
        <v>48535</v>
      </c>
      <c r="M988" s="150">
        <v>0.61284722222222221</v>
      </c>
      <c r="N988" s="150">
        <v>0.61297453703703708</v>
      </c>
      <c r="O988" t="s">
        <v>172</v>
      </c>
      <c r="Q988">
        <v>2507468</v>
      </c>
      <c r="R988">
        <v>2507468</v>
      </c>
      <c r="S988">
        <v>2507146</v>
      </c>
      <c r="T988">
        <v>0</v>
      </c>
      <c r="U988" t="s">
        <v>173</v>
      </c>
      <c r="V988">
        <v>0</v>
      </c>
      <c r="W988" t="s">
        <v>174</v>
      </c>
      <c r="X988">
        <v>2507146</v>
      </c>
      <c r="Z988" t="s">
        <v>173</v>
      </c>
      <c r="AA988" t="s">
        <v>173</v>
      </c>
    </row>
    <row r="989" spans="1:27" x14ac:dyDescent="0.3">
      <c r="A989">
        <v>988</v>
      </c>
      <c r="B989" t="s">
        <v>169</v>
      </c>
      <c r="C989">
        <v>99019875</v>
      </c>
      <c r="D989" s="7" t="s">
        <v>98</v>
      </c>
      <c r="E989" t="s">
        <v>99</v>
      </c>
      <c r="F989" t="s">
        <v>170</v>
      </c>
      <c r="G989" t="s">
        <v>177</v>
      </c>
      <c r="H989">
        <v>39</v>
      </c>
      <c r="I989">
        <v>0</v>
      </c>
      <c r="J989">
        <v>39</v>
      </c>
      <c r="K989" s="133">
        <v>14290</v>
      </c>
      <c r="L989" s="133">
        <v>14290</v>
      </c>
      <c r="M989" s="150">
        <v>0.6128703703703704</v>
      </c>
      <c r="N989" s="150">
        <v>0.61350694444444442</v>
      </c>
      <c r="O989" t="s">
        <v>172</v>
      </c>
      <c r="Q989">
        <v>2507516</v>
      </c>
      <c r="R989">
        <v>2507516</v>
      </c>
      <c r="S989">
        <v>2506796</v>
      </c>
      <c r="T989">
        <v>0</v>
      </c>
      <c r="U989" t="s">
        <v>173</v>
      </c>
      <c r="V989">
        <v>0</v>
      </c>
      <c r="W989" t="s">
        <v>174</v>
      </c>
      <c r="X989">
        <v>2506796</v>
      </c>
      <c r="Z989" t="s">
        <v>173</v>
      </c>
      <c r="AA989" t="s">
        <v>173</v>
      </c>
    </row>
    <row r="990" spans="1:27" x14ac:dyDescent="0.3">
      <c r="A990">
        <v>989</v>
      </c>
      <c r="B990" t="s">
        <v>169</v>
      </c>
      <c r="C990">
        <v>99019875</v>
      </c>
      <c r="D990" s="7" t="s">
        <v>98</v>
      </c>
      <c r="E990" t="s">
        <v>99</v>
      </c>
      <c r="F990" t="s">
        <v>170</v>
      </c>
      <c r="G990" t="s">
        <v>177</v>
      </c>
      <c r="H990">
        <v>38</v>
      </c>
      <c r="I990">
        <v>0</v>
      </c>
      <c r="J990">
        <v>38</v>
      </c>
      <c r="K990" s="133">
        <v>14290</v>
      </c>
      <c r="L990" s="133">
        <v>14290</v>
      </c>
      <c r="M990" s="150">
        <v>0.6128703703703704</v>
      </c>
      <c r="N990" s="150">
        <v>0.61350694444444442</v>
      </c>
      <c r="O990" t="s">
        <v>172</v>
      </c>
      <c r="Q990">
        <v>2507517</v>
      </c>
      <c r="R990">
        <v>2507517</v>
      </c>
      <c r="S990">
        <v>2506797</v>
      </c>
      <c r="T990">
        <v>0</v>
      </c>
      <c r="U990" t="s">
        <v>173</v>
      </c>
      <c r="V990">
        <v>0</v>
      </c>
      <c r="W990" t="s">
        <v>174</v>
      </c>
      <c r="X990">
        <v>2506797</v>
      </c>
      <c r="Z990" t="s">
        <v>173</v>
      </c>
      <c r="AA990" t="s">
        <v>173</v>
      </c>
    </row>
    <row r="991" spans="1:27" x14ac:dyDescent="0.3">
      <c r="A991">
        <v>990</v>
      </c>
      <c r="B991" t="s">
        <v>169</v>
      </c>
      <c r="C991">
        <v>99019875</v>
      </c>
      <c r="D991" s="7" t="s">
        <v>98</v>
      </c>
      <c r="E991" t="s">
        <v>99</v>
      </c>
      <c r="F991" t="s">
        <v>170</v>
      </c>
      <c r="G991" t="s">
        <v>177</v>
      </c>
      <c r="H991">
        <v>39</v>
      </c>
      <c r="I991">
        <v>0</v>
      </c>
      <c r="J991">
        <v>39</v>
      </c>
      <c r="K991" s="133">
        <v>14290</v>
      </c>
      <c r="L991" s="133">
        <v>14290</v>
      </c>
      <c r="M991" s="150">
        <v>0.6128703703703704</v>
      </c>
      <c r="N991" s="150">
        <v>0.61350694444444442</v>
      </c>
      <c r="O991" t="s">
        <v>172</v>
      </c>
      <c r="Q991">
        <v>2507518</v>
      </c>
      <c r="R991">
        <v>2507518</v>
      </c>
      <c r="S991">
        <v>2506798</v>
      </c>
      <c r="T991">
        <v>0</v>
      </c>
      <c r="U991" t="s">
        <v>173</v>
      </c>
      <c r="V991">
        <v>0</v>
      </c>
      <c r="W991" t="s">
        <v>174</v>
      </c>
      <c r="X991">
        <v>2506798</v>
      </c>
      <c r="Z991" t="s">
        <v>173</v>
      </c>
      <c r="AA991" t="s">
        <v>173</v>
      </c>
    </row>
    <row r="992" spans="1:27" x14ac:dyDescent="0.3">
      <c r="A992">
        <v>991</v>
      </c>
      <c r="B992" t="s">
        <v>169</v>
      </c>
      <c r="C992">
        <v>99019875</v>
      </c>
      <c r="D992" s="7" t="s">
        <v>98</v>
      </c>
      <c r="E992" t="s">
        <v>99</v>
      </c>
      <c r="F992" t="s">
        <v>170</v>
      </c>
      <c r="G992" t="s">
        <v>177</v>
      </c>
      <c r="H992">
        <v>38</v>
      </c>
      <c r="I992">
        <v>0</v>
      </c>
      <c r="J992">
        <v>38</v>
      </c>
      <c r="K992" s="133">
        <v>14290</v>
      </c>
      <c r="L992" s="133">
        <v>14290</v>
      </c>
      <c r="M992" s="150">
        <v>0.6128703703703704</v>
      </c>
      <c r="N992" s="150">
        <v>0.61350694444444442</v>
      </c>
      <c r="O992" t="s">
        <v>172</v>
      </c>
      <c r="Q992">
        <v>2507519</v>
      </c>
      <c r="R992">
        <v>2507519</v>
      </c>
      <c r="S992">
        <v>2506799</v>
      </c>
      <c r="T992">
        <v>0</v>
      </c>
      <c r="U992" t="s">
        <v>173</v>
      </c>
      <c r="V992">
        <v>0</v>
      </c>
      <c r="W992" t="s">
        <v>174</v>
      </c>
      <c r="X992">
        <v>2506799</v>
      </c>
      <c r="Z992" t="s">
        <v>173</v>
      </c>
      <c r="AA992" t="s">
        <v>173</v>
      </c>
    </row>
    <row r="993" spans="1:27" x14ac:dyDescent="0.3">
      <c r="A993">
        <v>992</v>
      </c>
      <c r="B993" t="s">
        <v>169</v>
      </c>
      <c r="C993">
        <v>99019875</v>
      </c>
      <c r="D993" s="7" t="s">
        <v>98</v>
      </c>
      <c r="E993" t="s">
        <v>99</v>
      </c>
      <c r="F993" t="s">
        <v>170</v>
      </c>
      <c r="G993" t="s">
        <v>177</v>
      </c>
      <c r="H993">
        <v>38</v>
      </c>
      <c r="I993">
        <v>0</v>
      </c>
      <c r="J993">
        <v>38</v>
      </c>
      <c r="K993" s="133">
        <v>14290</v>
      </c>
      <c r="L993" s="133">
        <v>14290</v>
      </c>
      <c r="M993" s="150">
        <v>0.6128703703703704</v>
      </c>
      <c r="N993" s="150">
        <v>0.61350694444444442</v>
      </c>
      <c r="O993" t="s">
        <v>172</v>
      </c>
      <c r="Q993">
        <v>2507520</v>
      </c>
      <c r="R993">
        <v>2507520</v>
      </c>
      <c r="S993">
        <v>2506800</v>
      </c>
      <c r="T993">
        <v>0</v>
      </c>
      <c r="U993" t="s">
        <v>173</v>
      </c>
      <c r="V993">
        <v>0</v>
      </c>
      <c r="W993" t="s">
        <v>174</v>
      </c>
      <c r="X993">
        <v>2506800</v>
      </c>
      <c r="Z993" t="s">
        <v>173</v>
      </c>
      <c r="AA993" t="s">
        <v>173</v>
      </c>
    </row>
    <row r="994" spans="1:27" x14ac:dyDescent="0.3">
      <c r="A994">
        <v>993</v>
      </c>
      <c r="B994" t="s">
        <v>169</v>
      </c>
      <c r="C994">
        <v>99019875</v>
      </c>
      <c r="D994" s="7" t="s">
        <v>98</v>
      </c>
      <c r="E994" t="s">
        <v>99</v>
      </c>
      <c r="F994" t="s">
        <v>170</v>
      </c>
      <c r="G994" t="s">
        <v>177</v>
      </c>
      <c r="H994">
        <v>39</v>
      </c>
      <c r="I994">
        <v>0</v>
      </c>
      <c r="J994">
        <v>39</v>
      </c>
      <c r="K994" s="133">
        <v>14290</v>
      </c>
      <c r="L994" s="133">
        <v>14290</v>
      </c>
      <c r="M994" s="150">
        <v>0.6128703703703704</v>
      </c>
      <c r="N994" s="150">
        <v>0.61350694444444442</v>
      </c>
      <c r="O994" t="s">
        <v>172</v>
      </c>
      <c r="Q994">
        <v>2507521</v>
      </c>
      <c r="R994">
        <v>2507521</v>
      </c>
      <c r="S994">
        <v>2506801</v>
      </c>
      <c r="T994">
        <v>0</v>
      </c>
      <c r="U994" t="s">
        <v>173</v>
      </c>
      <c r="V994">
        <v>0</v>
      </c>
      <c r="W994" t="s">
        <v>174</v>
      </c>
      <c r="X994">
        <v>2506801</v>
      </c>
      <c r="Z994" t="s">
        <v>173</v>
      </c>
      <c r="AA994" t="s">
        <v>173</v>
      </c>
    </row>
    <row r="995" spans="1:27" x14ac:dyDescent="0.3">
      <c r="A995">
        <v>994</v>
      </c>
      <c r="B995" t="s">
        <v>169</v>
      </c>
      <c r="C995">
        <v>99019875</v>
      </c>
      <c r="D995" s="7" t="s">
        <v>62</v>
      </c>
      <c r="E995" t="s">
        <v>63</v>
      </c>
      <c r="F995" t="s">
        <v>176</v>
      </c>
      <c r="G995" t="s">
        <v>171</v>
      </c>
      <c r="H995">
        <v>89</v>
      </c>
      <c r="I995">
        <v>0</v>
      </c>
      <c r="J995">
        <v>89</v>
      </c>
      <c r="K995" s="133">
        <v>34085</v>
      </c>
      <c r="L995" s="133">
        <v>34085</v>
      </c>
      <c r="M995" s="150">
        <v>0.61289351851851859</v>
      </c>
      <c r="N995" s="150">
        <v>0.6129282407407407</v>
      </c>
      <c r="O995" t="s">
        <v>172</v>
      </c>
      <c r="Q995">
        <v>2507554</v>
      </c>
      <c r="R995">
        <v>2507554</v>
      </c>
      <c r="S995">
        <v>0</v>
      </c>
      <c r="T995">
        <v>0</v>
      </c>
      <c r="U995" t="s">
        <v>173</v>
      </c>
      <c r="V995">
        <v>0</v>
      </c>
      <c r="W995" t="s">
        <v>174</v>
      </c>
      <c r="X995">
        <v>0</v>
      </c>
      <c r="Z995" t="s">
        <v>173</v>
      </c>
      <c r="AA995" t="s">
        <v>173</v>
      </c>
    </row>
    <row r="996" spans="1:27" x14ac:dyDescent="0.3">
      <c r="A996">
        <v>995</v>
      </c>
      <c r="B996" t="s">
        <v>169</v>
      </c>
      <c r="C996">
        <v>99019875</v>
      </c>
      <c r="D996" s="7" t="s">
        <v>81</v>
      </c>
      <c r="E996" t="s">
        <v>82</v>
      </c>
      <c r="F996" t="s">
        <v>176</v>
      </c>
      <c r="G996" t="s">
        <v>171</v>
      </c>
      <c r="H996">
        <v>76</v>
      </c>
      <c r="I996">
        <v>0</v>
      </c>
      <c r="J996">
        <v>76</v>
      </c>
      <c r="K996" s="133">
        <v>36460</v>
      </c>
      <c r="L996" s="133">
        <v>36460</v>
      </c>
      <c r="M996" s="150">
        <v>0.61289351851851859</v>
      </c>
      <c r="N996" s="150">
        <v>0.6129282407407407</v>
      </c>
      <c r="O996" t="s">
        <v>172</v>
      </c>
      <c r="Q996">
        <v>2507555</v>
      </c>
      <c r="R996">
        <v>2507555</v>
      </c>
      <c r="S996">
        <v>0</v>
      </c>
      <c r="T996">
        <v>0</v>
      </c>
      <c r="U996" t="s">
        <v>173</v>
      </c>
      <c r="V996">
        <v>0</v>
      </c>
      <c r="W996" t="s">
        <v>174</v>
      </c>
      <c r="X996">
        <v>0</v>
      </c>
      <c r="Z996" t="s">
        <v>173</v>
      </c>
      <c r="AA996" t="s">
        <v>173</v>
      </c>
    </row>
    <row r="997" spans="1:27" x14ac:dyDescent="0.3">
      <c r="A997">
        <v>996</v>
      </c>
      <c r="B997" t="s">
        <v>169</v>
      </c>
      <c r="C997">
        <v>99019875</v>
      </c>
      <c r="D997" s="7" t="s">
        <v>102</v>
      </c>
      <c r="E997" t="s">
        <v>103</v>
      </c>
      <c r="F997" t="s">
        <v>170</v>
      </c>
      <c r="G997" t="s">
        <v>171</v>
      </c>
      <c r="H997">
        <v>53</v>
      </c>
      <c r="I997">
        <v>0</v>
      </c>
      <c r="J997">
        <v>53</v>
      </c>
      <c r="K997" s="133">
        <v>26860</v>
      </c>
      <c r="L997" s="133">
        <v>26860</v>
      </c>
      <c r="M997" s="150">
        <v>0.61289351851851859</v>
      </c>
      <c r="N997" s="150">
        <v>0.6130092592592592</v>
      </c>
      <c r="O997" t="s">
        <v>172</v>
      </c>
      <c r="Q997">
        <v>2507557</v>
      </c>
      <c r="R997">
        <v>2507557</v>
      </c>
      <c r="S997">
        <v>0</v>
      </c>
      <c r="T997">
        <v>0</v>
      </c>
      <c r="U997" t="s">
        <v>173</v>
      </c>
      <c r="V997">
        <v>0</v>
      </c>
      <c r="W997" t="s">
        <v>174</v>
      </c>
      <c r="X997">
        <v>0</v>
      </c>
      <c r="Z997" t="s">
        <v>173</v>
      </c>
      <c r="AA997" t="s">
        <v>173</v>
      </c>
    </row>
    <row r="998" spans="1:27" x14ac:dyDescent="0.3">
      <c r="A998">
        <v>997</v>
      </c>
      <c r="B998" t="s">
        <v>169</v>
      </c>
      <c r="C998">
        <v>99019875</v>
      </c>
      <c r="D998" s="7" t="s">
        <v>67</v>
      </c>
      <c r="E998" t="s">
        <v>68</v>
      </c>
      <c r="F998" t="s">
        <v>170</v>
      </c>
      <c r="G998" t="s">
        <v>171</v>
      </c>
      <c r="H998">
        <v>36</v>
      </c>
      <c r="I998">
        <v>0</v>
      </c>
      <c r="J998">
        <v>36</v>
      </c>
      <c r="K998" s="133">
        <v>4820</v>
      </c>
      <c r="L998" s="133">
        <v>4820</v>
      </c>
      <c r="M998" s="150">
        <v>0.61289351851851859</v>
      </c>
      <c r="N998" s="150">
        <v>0.61354166666666665</v>
      </c>
      <c r="O998" t="s">
        <v>172</v>
      </c>
      <c r="Q998">
        <v>2507558</v>
      </c>
      <c r="R998">
        <v>2507558</v>
      </c>
      <c r="S998">
        <v>0</v>
      </c>
      <c r="T998">
        <v>0</v>
      </c>
      <c r="U998" t="s">
        <v>173</v>
      </c>
      <c r="V998">
        <v>0</v>
      </c>
      <c r="W998" t="s">
        <v>174</v>
      </c>
      <c r="X998">
        <v>0</v>
      </c>
      <c r="Z998" t="s">
        <v>173</v>
      </c>
      <c r="AA998" t="s">
        <v>173</v>
      </c>
    </row>
    <row r="999" spans="1:27" x14ac:dyDescent="0.3">
      <c r="A999">
        <v>998</v>
      </c>
      <c r="B999" t="s">
        <v>169</v>
      </c>
      <c r="C999">
        <v>99019875</v>
      </c>
      <c r="D999" s="7" t="s">
        <v>110</v>
      </c>
      <c r="E999" t="s">
        <v>179</v>
      </c>
      <c r="F999" t="s">
        <v>170</v>
      </c>
      <c r="G999" t="s">
        <v>171</v>
      </c>
      <c r="H999">
        <v>3</v>
      </c>
      <c r="I999">
        <v>0</v>
      </c>
      <c r="J999">
        <v>3</v>
      </c>
      <c r="K999" s="133">
        <v>48535</v>
      </c>
      <c r="L999" s="133">
        <v>48535</v>
      </c>
      <c r="M999" s="150">
        <v>0.61289351851851859</v>
      </c>
      <c r="N999" s="150">
        <v>0.61297453703703708</v>
      </c>
      <c r="O999" t="s">
        <v>172</v>
      </c>
      <c r="Q999">
        <v>2507559</v>
      </c>
      <c r="R999">
        <v>2507559</v>
      </c>
      <c r="S999">
        <v>0</v>
      </c>
      <c r="T999">
        <v>0</v>
      </c>
      <c r="U999" t="s">
        <v>173</v>
      </c>
      <c r="V999">
        <v>0</v>
      </c>
      <c r="W999" t="s">
        <v>174</v>
      </c>
      <c r="X999">
        <v>0</v>
      </c>
      <c r="Z999" t="s">
        <v>173</v>
      </c>
      <c r="AA999" t="s">
        <v>173</v>
      </c>
    </row>
    <row r="1000" spans="1:27" x14ac:dyDescent="0.3">
      <c r="A1000">
        <v>999</v>
      </c>
      <c r="B1000" t="s">
        <v>169</v>
      </c>
      <c r="C1000">
        <v>99019875</v>
      </c>
      <c r="D1000" s="7" t="s">
        <v>100</v>
      </c>
      <c r="E1000" t="s">
        <v>101</v>
      </c>
      <c r="F1000" t="s">
        <v>170</v>
      </c>
      <c r="G1000" t="s">
        <v>171</v>
      </c>
      <c r="H1000">
        <v>4</v>
      </c>
      <c r="I1000">
        <v>0</v>
      </c>
      <c r="J1000">
        <v>4</v>
      </c>
      <c r="K1000" s="133">
        <v>15525</v>
      </c>
      <c r="L1000" s="133">
        <v>15525</v>
      </c>
      <c r="M1000" s="150">
        <v>0.61289351851851859</v>
      </c>
      <c r="N1000" s="150">
        <v>0.61313657407407407</v>
      </c>
      <c r="O1000" t="s">
        <v>172</v>
      </c>
      <c r="Q1000">
        <v>2507561</v>
      </c>
      <c r="R1000">
        <v>2507561</v>
      </c>
      <c r="S1000">
        <v>0</v>
      </c>
      <c r="T1000">
        <v>0</v>
      </c>
      <c r="U1000" t="s">
        <v>173</v>
      </c>
      <c r="V1000">
        <v>0</v>
      </c>
      <c r="W1000" t="s">
        <v>174</v>
      </c>
      <c r="X1000">
        <v>0</v>
      </c>
      <c r="Z1000" t="s">
        <v>173</v>
      </c>
      <c r="AA1000" t="s">
        <v>173</v>
      </c>
    </row>
    <row r="1001" spans="1:27" x14ac:dyDescent="0.3">
      <c r="A1001">
        <v>1000</v>
      </c>
      <c r="B1001" t="s">
        <v>169</v>
      </c>
      <c r="C1001">
        <v>99019875</v>
      </c>
      <c r="D1001" s="7" t="s">
        <v>87</v>
      </c>
      <c r="E1001" t="s">
        <v>88</v>
      </c>
      <c r="F1001" t="s">
        <v>170</v>
      </c>
      <c r="G1001" t="s">
        <v>171</v>
      </c>
      <c r="H1001">
        <v>5</v>
      </c>
      <c r="I1001">
        <v>0</v>
      </c>
      <c r="J1001">
        <v>5</v>
      </c>
      <c r="K1001" s="133">
        <v>12165</v>
      </c>
      <c r="L1001" s="133">
        <v>12165</v>
      </c>
      <c r="M1001" s="150">
        <v>0.61289351851851859</v>
      </c>
      <c r="N1001" s="150">
        <v>0.61346064814814816</v>
      </c>
      <c r="O1001" t="s">
        <v>172</v>
      </c>
      <c r="Q1001">
        <v>2507562</v>
      </c>
      <c r="R1001">
        <v>2507562</v>
      </c>
      <c r="S1001">
        <v>0</v>
      </c>
      <c r="T1001">
        <v>0</v>
      </c>
      <c r="U1001" t="s">
        <v>173</v>
      </c>
      <c r="V1001">
        <v>0</v>
      </c>
      <c r="W1001" t="s">
        <v>174</v>
      </c>
      <c r="X1001">
        <v>0</v>
      </c>
      <c r="Z1001" t="s">
        <v>173</v>
      </c>
      <c r="AA1001" t="s">
        <v>173</v>
      </c>
    </row>
    <row r="1002" spans="1:27" x14ac:dyDescent="0.3">
      <c r="A1002">
        <v>1001</v>
      </c>
      <c r="B1002" t="s">
        <v>169</v>
      </c>
      <c r="C1002">
        <v>99019875</v>
      </c>
      <c r="D1002" s="7" t="s">
        <v>108</v>
      </c>
      <c r="E1002" t="s">
        <v>109</v>
      </c>
      <c r="F1002" t="s">
        <v>170</v>
      </c>
      <c r="G1002" t="s">
        <v>171</v>
      </c>
      <c r="H1002">
        <v>23</v>
      </c>
      <c r="I1002">
        <v>0</v>
      </c>
      <c r="J1002">
        <v>23</v>
      </c>
      <c r="K1002" s="133">
        <v>2715</v>
      </c>
      <c r="L1002" s="133">
        <v>2715</v>
      </c>
      <c r="M1002" s="150">
        <v>0.61289351851851859</v>
      </c>
      <c r="N1002" s="150">
        <v>0.62351851851851847</v>
      </c>
      <c r="O1002" t="s">
        <v>172</v>
      </c>
      <c r="Q1002">
        <v>2507563</v>
      </c>
      <c r="R1002">
        <v>2507563</v>
      </c>
      <c r="S1002">
        <v>0</v>
      </c>
      <c r="T1002">
        <v>0</v>
      </c>
      <c r="U1002" t="s">
        <v>173</v>
      </c>
      <c r="V1002">
        <v>0</v>
      </c>
      <c r="W1002" t="s">
        <v>174</v>
      </c>
      <c r="X1002">
        <v>0</v>
      </c>
      <c r="Z1002" t="s">
        <v>173</v>
      </c>
      <c r="AA1002" t="s">
        <v>173</v>
      </c>
    </row>
    <row r="1003" spans="1:27" x14ac:dyDescent="0.3">
      <c r="A1003">
        <v>1002</v>
      </c>
      <c r="B1003" t="s">
        <v>169</v>
      </c>
      <c r="C1003">
        <v>99019875</v>
      </c>
      <c r="D1003" s="7" t="s">
        <v>98</v>
      </c>
      <c r="E1003" t="s">
        <v>99</v>
      </c>
      <c r="F1003" t="s">
        <v>170</v>
      </c>
      <c r="G1003" t="s">
        <v>171</v>
      </c>
      <c r="H1003">
        <v>38</v>
      </c>
      <c r="I1003">
        <v>0</v>
      </c>
      <c r="J1003">
        <v>38</v>
      </c>
      <c r="K1003" s="133">
        <v>14290</v>
      </c>
      <c r="L1003" s="133">
        <v>14290</v>
      </c>
      <c r="M1003" s="150">
        <v>0.61289351851851859</v>
      </c>
      <c r="N1003" s="150">
        <v>0.61350694444444442</v>
      </c>
      <c r="O1003" t="s">
        <v>172</v>
      </c>
      <c r="Q1003">
        <v>2507565</v>
      </c>
      <c r="R1003">
        <v>2507565</v>
      </c>
      <c r="S1003">
        <v>0</v>
      </c>
      <c r="T1003">
        <v>0</v>
      </c>
      <c r="U1003" t="s">
        <v>173</v>
      </c>
      <c r="V1003">
        <v>0</v>
      </c>
      <c r="W1003" t="s">
        <v>174</v>
      </c>
      <c r="X1003">
        <v>0</v>
      </c>
      <c r="Z1003" t="s">
        <v>173</v>
      </c>
      <c r="AA1003" t="s">
        <v>173</v>
      </c>
    </row>
    <row r="1004" spans="1:27" x14ac:dyDescent="0.3">
      <c r="A1004">
        <v>1003</v>
      </c>
      <c r="B1004" t="s">
        <v>169</v>
      </c>
      <c r="C1004">
        <v>99019875</v>
      </c>
      <c r="D1004" s="7" t="s">
        <v>77</v>
      </c>
      <c r="E1004" t="s">
        <v>78</v>
      </c>
      <c r="F1004" t="s">
        <v>170</v>
      </c>
      <c r="G1004" t="s">
        <v>171</v>
      </c>
      <c r="H1004">
        <v>73</v>
      </c>
      <c r="I1004">
        <v>0</v>
      </c>
      <c r="J1004">
        <v>73</v>
      </c>
      <c r="K1004" s="133">
        <v>7355</v>
      </c>
      <c r="L1004" s="133">
        <v>7355</v>
      </c>
      <c r="M1004" s="150">
        <v>0.61289351851851859</v>
      </c>
      <c r="N1004" s="150">
        <v>0.61337962962962966</v>
      </c>
      <c r="O1004" t="s">
        <v>172</v>
      </c>
      <c r="Q1004">
        <v>2507566</v>
      </c>
      <c r="R1004">
        <v>2507566</v>
      </c>
      <c r="S1004">
        <v>0</v>
      </c>
      <c r="T1004">
        <v>0</v>
      </c>
      <c r="U1004" t="s">
        <v>173</v>
      </c>
      <c r="V1004">
        <v>0</v>
      </c>
      <c r="W1004" t="s">
        <v>174</v>
      </c>
      <c r="X1004">
        <v>0</v>
      </c>
      <c r="Z1004" t="s">
        <v>173</v>
      </c>
      <c r="AA1004" t="s">
        <v>173</v>
      </c>
    </row>
    <row r="1005" spans="1:27" x14ac:dyDescent="0.3">
      <c r="A1005">
        <v>1004</v>
      </c>
      <c r="B1005" t="s">
        <v>169</v>
      </c>
      <c r="C1005">
        <v>99019875</v>
      </c>
      <c r="D1005" s="7" t="s">
        <v>140</v>
      </c>
      <c r="E1005" t="s">
        <v>178</v>
      </c>
      <c r="F1005" t="s">
        <v>170</v>
      </c>
      <c r="G1005" t="s">
        <v>171</v>
      </c>
      <c r="H1005">
        <v>20</v>
      </c>
      <c r="I1005">
        <v>0</v>
      </c>
      <c r="J1005">
        <v>20</v>
      </c>
      <c r="K1005" s="133">
        <v>8635</v>
      </c>
      <c r="L1005" s="133">
        <v>8635</v>
      </c>
      <c r="M1005" s="150">
        <v>0.61289351851851859</v>
      </c>
      <c r="N1005" s="150">
        <v>0.6130092592592592</v>
      </c>
      <c r="O1005" t="s">
        <v>172</v>
      </c>
      <c r="Q1005">
        <v>2507571</v>
      </c>
      <c r="R1005">
        <v>2507571</v>
      </c>
      <c r="S1005">
        <v>0</v>
      </c>
      <c r="T1005">
        <v>0</v>
      </c>
      <c r="U1005" t="s">
        <v>173</v>
      </c>
      <c r="V1005">
        <v>0</v>
      </c>
      <c r="W1005" t="s">
        <v>174</v>
      </c>
      <c r="X1005">
        <v>0</v>
      </c>
      <c r="Z1005" t="s">
        <v>173</v>
      </c>
      <c r="AA1005" t="s">
        <v>173</v>
      </c>
    </row>
    <row r="1006" spans="1:27" x14ac:dyDescent="0.3">
      <c r="A1006">
        <v>1005</v>
      </c>
      <c r="B1006" t="s">
        <v>169</v>
      </c>
      <c r="C1006">
        <v>99019875</v>
      </c>
      <c r="D1006" s="7" t="s">
        <v>69</v>
      </c>
      <c r="E1006" t="s">
        <v>70</v>
      </c>
      <c r="F1006" t="s">
        <v>170</v>
      </c>
      <c r="G1006" t="s">
        <v>171</v>
      </c>
      <c r="H1006">
        <v>16</v>
      </c>
      <c r="I1006">
        <v>0</v>
      </c>
      <c r="J1006">
        <v>16</v>
      </c>
      <c r="K1006" s="133">
        <v>10305</v>
      </c>
      <c r="L1006" s="133">
        <v>10305</v>
      </c>
      <c r="M1006" s="150">
        <v>0.61289351851851859</v>
      </c>
      <c r="N1006" s="150">
        <v>0.61297453703703708</v>
      </c>
      <c r="O1006" t="s">
        <v>172</v>
      </c>
      <c r="Q1006">
        <v>2507572</v>
      </c>
      <c r="R1006">
        <v>2507572</v>
      </c>
      <c r="S1006">
        <v>0</v>
      </c>
      <c r="T1006">
        <v>0</v>
      </c>
      <c r="U1006" t="s">
        <v>173</v>
      </c>
      <c r="V1006">
        <v>0</v>
      </c>
      <c r="W1006" t="s">
        <v>174</v>
      </c>
      <c r="X1006">
        <v>0</v>
      </c>
      <c r="Z1006" t="s">
        <v>173</v>
      </c>
      <c r="AA1006" t="s">
        <v>173</v>
      </c>
    </row>
    <row r="1007" spans="1:27" x14ac:dyDescent="0.3">
      <c r="A1007">
        <v>1006</v>
      </c>
      <c r="B1007" t="s">
        <v>169</v>
      </c>
      <c r="C1007">
        <v>99019875</v>
      </c>
      <c r="D1007" s="7" t="s">
        <v>71</v>
      </c>
      <c r="E1007" t="s">
        <v>72</v>
      </c>
      <c r="F1007" t="s">
        <v>176</v>
      </c>
      <c r="G1007" t="s">
        <v>177</v>
      </c>
      <c r="H1007">
        <v>18</v>
      </c>
      <c r="I1007">
        <v>0</v>
      </c>
      <c r="J1007">
        <v>18</v>
      </c>
      <c r="K1007" s="133">
        <v>18035</v>
      </c>
      <c r="L1007" s="133">
        <v>18035</v>
      </c>
      <c r="M1007" s="150">
        <v>0.6129282407407407</v>
      </c>
      <c r="N1007" s="150">
        <v>0.61293981481481474</v>
      </c>
      <c r="O1007" t="s">
        <v>172</v>
      </c>
      <c r="Q1007">
        <v>2507637</v>
      </c>
      <c r="R1007">
        <v>2507637</v>
      </c>
      <c r="S1007">
        <v>2507567</v>
      </c>
      <c r="T1007">
        <v>0</v>
      </c>
      <c r="U1007" t="s">
        <v>173</v>
      </c>
      <c r="V1007">
        <v>0</v>
      </c>
      <c r="W1007" t="s">
        <v>174</v>
      </c>
      <c r="X1007">
        <v>2507567</v>
      </c>
      <c r="Z1007" t="s">
        <v>173</v>
      </c>
      <c r="AA1007" t="s">
        <v>173</v>
      </c>
    </row>
    <row r="1008" spans="1:27" x14ac:dyDescent="0.3">
      <c r="A1008">
        <v>1007</v>
      </c>
      <c r="B1008" t="s">
        <v>169</v>
      </c>
      <c r="C1008">
        <v>99019875</v>
      </c>
      <c r="D1008" s="7" t="s">
        <v>128</v>
      </c>
      <c r="E1008" t="s">
        <v>129</v>
      </c>
      <c r="F1008" t="s">
        <v>170</v>
      </c>
      <c r="G1008" t="s">
        <v>171</v>
      </c>
      <c r="H1008">
        <v>1</v>
      </c>
      <c r="I1008">
        <v>0</v>
      </c>
      <c r="J1008">
        <v>1</v>
      </c>
      <c r="K1008" s="133">
        <v>6505</v>
      </c>
      <c r="L1008" s="133">
        <v>6505</v>
      </c>
      <c r="M1008" s="150">
        <v>0.6129282407407407</v>
      </c>
      <c r="N1008" s="150">
        <v>0.61432870370370374</v>
      </c>
      <c r="O1008" t="s">
        <v>172</v>
      </c>
      <c r="Q1008">
        <v>2507653</v>
      </c>
      <c r="R1008">
        <v>2507653</v>
      </c>
      <c r="S1008">
        <v>0</v>
      </c>
      <c r="T1008">
        <v>0</v>
      </c>
      <c r="U1008" t="s">
        <v>173</v>
      </c>
      <c r="V1008">
        <v>0</v>
      </c>
      <c r="W1008" t="s">
        <v>174</v>
      </c>
      <c r="X1008">
        <v>0</v>
      </c>
      <c r="Z1008" t="s">
        <v>173</v>
      </c>
      <c r="AA1008" t="s">
        <v>173</v>
      </c>
    </row>
    <row r="1009" spans="1:27" x14ac:dyDescent="0.3">
      <c r="A1009">
        <v>1008</v>
      </c>
      <c r="B1009" t="s">
        <v>169</v>
      </c>
      <c r="C1009">
        <v>99019875</v>
      </c>
      <c r="D1009" s="7" t="s">
        <v>114</v>
      </c>
      <c r="E1009" t="s">
        <v>115</v>
      </c>
      <c r="F1009" t="s">
        <v>176</v>
      </c>
      <c r="G1009" t="s">
        <v>177</v>
      </c>
      <c r="H1009">
        <v>65</v>
      </c>
      <c r="I1009">
        <v>0</v>
      </c>
      <c r="J1009">
        <v>65</v>
      </c>
      <c r="K1009" s="133">
        <v>53880</v>
      </c>
      <c r="L1009" s="133">
        <v>53880</v>
      </c>
      <c r="M1009" s="150">
        <v>0.61296296296296293</v>
      </c>
      <c r="N1009" s="150">
        <v>0.61298611111111112</v>
      </c>
      <c r="O1009" t="s">
        <v>172</v>
      </c>
      <c r="Q1009">
        <v>2507780</v>
      </c>
      <c r="R1009">
        <v>2507780</v>
      </c>
      <c r="S1009">
        <v>2507170</v>
      </c>
      <c r="T1009">
        <v>0</v>
      </c>
      <c r="U1009" t="s">
        <v>173</v>
      </c>
      <c r="V1009">
        <v>0</v>
      </c>
      <c r="W1009" t="s">
        <v>174</v>
      </c>
      <c r="X1009">
        <v>2507170</v>
      </c>
      <c r="Z1009" t="s">
        <v>173</v>
      </c>
      <c r="AA1009" t="s">
        <v>173</v>
      </c>
    </row>
    <row r="1010" spans="1:27" x14ac:dyDescent="0.3">
      <c r="A1010">
        <v>1009</v>
      </c>
      <c r="B1010" t="s">
        <v>169</v>
      </c>
      <c r="C1010">
        <v>99019875</v>
      </c>
      <c r="D1010" s="7" t="s">
        <v>114</v>
      </c>
      <c r="E1010" t="s">
        <v>115</v>
      </c>
      <c r="F1010" t="s">
        <v>176</v>
      </c>
      <c r="G1010" t="s">
        <v>177</v>
      </c>
      <c r="H1010">
        <v>66</v>
      </c>
      <c r="I1010">
        <v>0</v>
      </c>
      <c r="J1010">
        <v>66</v>
      </c>
      <c r="K1010" s="133">
        <v>53880</v>
      </c>
      <c r="L1010" s="133">
        <v>53880</v>
      </c>
      <c r="M1010" s="150">
        <v>0.61296296296296293</v>
      </c>
      <c r="N1010" s="150">
        <v>0.61298611111111112</v>
      </c>
      <c r="O1010" t="s">
        <v>172</v>
      </c>
      <c r="Q1010">
        <v>2507781</v>
      </c>
      <c r="R1010">
        <v>2507781</v>
      </c>
      <c r="S1010">
        <v>2507553</v>
      </c>
      <c r="T1010">
        <v>0</v>
      </c>
      <c r="U1010" t="s">
        <v>173</v>
      </c>
      <c r="V1010">
        <v>0</v>
      </c>
      <c r="W1010" t="s">
        <v>174</v>
      </c>
      <c r="X1010">
        <v>2507553</v>
      </c>
      <c r="Z1010" t="s">
        <v>173</v>
      </c>
      <c r="AA1010" t="s">
        <v>173</v>
      </c>
    </row>
    <row r="1011" spans="1:27" x14ac:dyDescent="0.3">
      <c r="A1011">
        <v>1010</v>
      </c>
      <c r="B1011" t="s">
        <v>169</v>
      </c>
      <c r="C1011">
        <v>99019875</v>
      </c>
      <c r="D1011" s="7" t="s">
        <v>118</v>
      </c>
      <c r="E1011" t="s">
        <v>119</v>
      </c>
      <c r="F1011" t="s">
        <v>176</v>
      </c>
      <c r="G1011" t="s">
        <v>177</v>
      </c>
      <c r="H1011">
        <v>19</v>
      </c>
      <c r="I1011">
        <v>0</v>
      </c>
      <c r="J1011">
        <v>10</v>
      </c>
      <c r="K1011" s="133">
        <v>12430</v>
      </c>
      <c r="L1011" s="133">
        <v>12430</v>
      </c>
      <c r="M1011" s="150">
        <v>0.61302083333333335</v>
      </c>
      <c r="N1011" s="150">
        <v>0.61395833333333327</v>
      </c>
      <c r="O1011" t="s">
        <v>172</v>
      </c>
      <c r="Q1011">
        <v>2507981</v>
      </c>
      <c r="R1011">
        <v>2507981</v>
      </c>
      <c r="S1011">
        <v>2506749</v>
      </c>
      <c r="T1011">
        <v>9</v>
      </c>
      <c r="U1011" t="s">
        <v>173</v>
      </c>
      <c r="V1011">
        <v>0</v>
      </c>
      <c r="W1011" t="s">
        <v>174</v>
      </c>
      <c r="X1011">
        <v>2506749</v>
      </c>
      <c r="Z1011" t="s">
        <v>173</v>
      </c>
      <c r="AA1011" t="s">
        <v>173</v>
      </c>
    </row>
    <row r="1012" spans="1:27" x14ac:dyDescent="0.3">
      <c r="A1012">
        <v>1011</v>
      </c>
      <c r="B1012" t="s">
        <v>169</v>
      </c>
      <c r="C1012">
        <v>99019875</v>
      </c>
      <c r="D1012" s="7" t="s">
        <v>75</v>
      </c>
      <c r="E1012" t="s">
        <v>76</v>
      </c>
      <c r="F1012" t="s">
        <v>170</v>
      </c>
      <c r="G1012" t="s">
        <v>177</v>
      </c>
      <c r="H1012">
        <v>83</v>
      </c>
      <c r="I1012">
        <v>0</v>
      </c>
      <c r="J1012">
        <v>83</v>
      </c>
      <c r="K1012" s="133">
        <v>20785</v>
      </c>
      <c r="L1012" s="133">
        <v>20785</v>
      </c>
      <c r="M1012" s="150">
        <v>0.61304398148148154</v>
      </c>
      <c r="N1012" s="150">
        <v>0.61305555555555558</v>
      </c>
      <c r="O1012" t="s">
        <v>172</v>
      </c>
      <c r="Q1012">
        <v>2508065</v>
      </c>
      <c r="R1012">
        <v>2508065</v>
      </c>
      <c r="S1012">
        <v>2507556</v>
      </c>
      <c r="T1012">
        <v>0</v>
      </c>
      <c r="U1012" t="s">
        <v>173</v>
      </c>
      <c r="V1012">
        <v>0</v>
      </c>
      <c r="W1012" t="s">
        <v>174</v>
      </c>
      <c r="X1012">
        <v>2507556</v>
      </c>
      <c r="Z1012" t="s">
        <v>173</v>
      </c>
      <c r="AA1012" t="s">
        <v>173</v>
      </c>
    </row>
    <row r="1013" spans="1:27" x14ac:dyDescent="0.3">
      <c r="A1013">
        <v>1012</v>
      </c>
      <c r="B1013" t="s">
        <v>169</v>
      </c>
      <c r="C1013">
        <v>99019875</v>
      </c>
      <c r="D1013" s="7" t="s">
        <v>65</v>
      </c>
      <c r="E1013" t="s">
        <v>66</v>
      </c>
      <c r="F1013" t="s">
        <v>176</v>
      </c>
      <c r="G1013" t="s">
        <v>177</v>
      </c>
      <c r="H1013">
        <v>57</v>
      </c>
      <c r="I1013">
        <v>0</v>
      </c>
      <c r="J1013">
        <v>57</v>
      </c>
      <c r="K1013" s="133">
        <v>4755</v>
      </c>
      <c r="L1013" s="133">
        <v>4755</v>
      </c>
      <c r="M1013" s="150">
        <v>0.61313657407407407</v>
      </c>
      <c r="N1013" s="150">
        <v>0.6131712962962963</v>
      </c>
      <c r="O1013" t="s">
        <v>172</v>
      </c>
      <c r="Q1013">
        <v>2508297</v>
      </c>
      <c r="R1013">
        <v>2508297</v>
      </c>
      <c r="S1013">
        <v>2507568</v>
      </c>
      <c r="T1013">
        <v>0</v>
      </c>
      <c r="U1013" t="s">
        <v>173</v>
      </c>
      <c r="V1013">
        <v>0</v>
      </c>
      <c r="W1013" t="s">
        <v>174</v>
      </c>
      <c r="X1013">
        <v>2507568</v>
      </c>
      <c r="Z1013" t="s">
        <v>173</v>
      </c>
      <c r="AA1013" t="s">
        <v>173</v>
      </c>
    </row>
    <row r="1014" spans="1:27" x14ac:dyDescent="0.3">
      <c r="A1014">
        <v>1013</v>
      </c>
      <c r="B1014" t="s">
        <v>169</v>
      </c>
      <c r="C1014">
        <v>99019875</v>
      </c>
      <c r="D1014" s="7" t="s">
        <v>126</v>
      </c>
      <c r="E1014" t="s">
        <v>127</v>
      </c>
      <c r="F1014" t="s">
        <v>176</v>
      </c>
      <c r="G1014" t="s">
        <v>177</v>
      </c>
      <c r="H1014">
        <v>1</v>
      </c>
      <c r="I1014">
        <v>0</v>
      </c>
      <c r="J1014">
        <v>1</v>
      </c>
      <c r="K1014" s="133">
        <v>12350</v>
      </c>
      <c r="L1014" s="133">
        <v>12350</v>
      </c>
      <c r="M1014" s="150">
        <v>0.6131712962962963</v>
      </c>
      <c r="N1014" s="150">
        <v>0.61391203703703701</v>
      </c>
      <c r="O1014" t="s">
        <v>172</v>
      </c>
      <c r="Q1014">
        <v>2508407</v>
      </c>
      <c r="R1014">
        <v>2508407</v>
      </c>
      <c r="S1014">
        <v>2507530</v>
      </c>
      <c r="T1014">
        <v>0</v>
      </c>
      <c r="U1014" t="s">
        <v>173</v>
      </c>
      <c r="V1014">
        <v>0</v>
      </c>
      <c r="W1014" t="s">
        <v>174</v>
      </c>
      <c r="X1014">
        <v>2507530</v>
      </c>
      <c r="Z1014" t="s">
        <v>173</v>
      </c>
      <c r="AA1014" t="s">
        <v>173</v>
      </c>
    </row>
    <row r="1015" spans="1:27" x14ac:dyDescent="0.3">
      <c r="A1015">
        <v>1014</v>
      </c>
      <c r="B1015" t="s">
        <v>169</v>
      </c>
      <c r="C1015">
        <v>99019875</v>
      </c>
      <c r="D1015" s="7" t="s">
        <v>126</v>
      </c>
      <c r="E1015" t="s">
        <v>127</v>
      </c>
      <c r="F1015" t="s">
        <v>176</v>
      </c>
      <c r="G1015" t="s">
        <v>177</v>
      </c>
      <c r="H1015">
        <v>2</v>
      </c>
      <c r="I1015">
        <v>0</v>
      </c>
      <c r="J1015">
        <v>2</v>
      </c>
      <c r="K1015" s="133">
        <v>12350</v>
      </c>
      <c r="L1015" s="133">
        <v>12350</v>
      </c>
      <c r="M1015" s="150">
        <v>0.6131712962962963</v>
      </c>
      <c r="N1015" s="150">
        <v>0.61391203703703701</v>
      </c>
      <c r="O1015" t="s">
        <v>172</v>
      </c>
      <c r="Q1015">
        <v>2508408</v>
      </c>
      <c r="R1015">
        <v>2508408</v>
      </c>
      <c r="S1015">
        <v>2508405</v>
      </c>
      <c r="T1015">
        <v>0</v>
      </c>
      <c r="U1015" t="s">
        <v>173</v>
      </c>
      <c r="V1015">
        <v>0</v>
      </c>
      <c r="W1015" t="s">
        <v>174</v>
      </c>
      <c r="X1015">
        <v>2508405</v>
      </c>
      <c r="Z1015" t="s">
        <v>173</v>
      </c>
      <c r="AA1015" t="s">
        <v>173</v>
      </c>
    </row>
    <row r="1016" spans="1:27" x14ac:dyDescent="0.3">
      <c r="A1016">
        <v>1015</v>
      </c>
      <c r="B1016" t="s">
        <v>169</v>
      </c>
      <c r="C1016">
        <v>99019875</v>
      </c>
      <c r="D1016" s="7" t="s">
        <v>67</v>
      </c>
      <c r="E1016" t="s">
        <v>68</v>
      </c>
      <c r="F1016" t="s">
        <v>170</v>
      </c>
      <c r="G1016" t="s">
        <v>171</v>
      </c>
      <c r="H1016">
        <v>35</v>
      </c>
      <c r="I1016">
        <v>0</v>
      </c>
      <c r="J1016">
        <v>35</v>
      </c>
      <c r="K1016" s="133">
        <v>4820</v>
      </c>
      <c r="L1016" s="133">
        <v>4820</v>
      </c>
      <c r="M1016" s="150">
        <v>0.61318287037037034</v>
      </c>
      <c r="N1016" s="150">
        <v>0.61354166666666665</v>
      </c>
      <c r="O1016" t="s">
        <v>172</v>
      </c>
      <c r="Q1016">
        <v>2508454</v>
      </c>
      <c r="R1016">
        <v>2508454</v>
      </c>
      <c r="S1016">
        <v>0</v>
      </c>
      <c r="T1016">
        <v>0</v>
      </c>
      <c r="U1016" t="s">
        <v>173</v>
      </c>
      <c r="V1016">
        <v>0</v>
      </c>
      <c r="W1016" t="s">
        <v>174</v>
      </c>
      <c r="X1016">
        <v>0</v>
      </c>
      <c r="Z1016" t="s">
        <v>173</v>
      </c>
      <c r="AA1016" t="s">
        <v>173</v>
      </c>
    </row>
    <row r="1017" spans="1:27" x14ac:dyDescent="0.3">
      <c r="A1017">
        <v>1016</v>
      </c>
      <c r="B1017" t="s">
        <v>169</v>
      </c>
      <c r="C1017">
        <v>99019875</v>
      </c>
      <c r="D1017" s="7" t="s">
        <v>100</v>
      </c>
      <c r="E1017" t="s">
        <v>101</v>
      </c>
      <c r="F1017" t="s">
        <v>170</v>
      </c>
      <c r="G1017" t="s">
        <v>171</v>
      </c>
      <c r="H1017">
        <v>5</v>
      </c>
      <c r="I1017">
        <v>0</v>
      </c>
      <c r="J1017">
        <v>5</v>
      </c>
      <c r="K1017" s="133">
        <v>15520</v>
      </c>
      <c r="L1017" s="133">
        <v>15520</v>
      </c>
      <c r="M1017" s="150">
        <v>0.61318287037037034</v>
      </c>
      <c r="N1017" s="150">
        <v>0.61493055555555554</v>
      </c>
      <c r="O1017" t="s">
        <v>172</v>
      </c>
      <c r="Q1017">
        <v>2508463</v>
      </c>
      <c r="R1017">
        <v>2508463</v>
      </c>
      <c r="S1017">
        <v>0</v>
      </c>
      <c r="T1017">
        <v>0</v>
      </c>
      <c r="U1017" t="s">
        <v>173</v>
      </c>
      <c r="V1017">
        <v>0</v>
      </c>
      <c r="W1017" t="s">
        <v>174</v>
      </c>
      <c r="X1017">
        <v>0</v>
      </c>
      <c r="Z1017" t="s">
        <v>173</v>
      </c>
      <c r="AA1017" t="s">
        <v>173</v>
      </c>
    </row>
    <row r="1018" spans="1:27" x14ac:dyDescent="0.3">
      <c r="A1018">
        <v>1017</v>
      </c>
      <c r="B1018" t="s">
        <v>169</v>
      </c>
      <c r="C1018">
        <v>99019875</v>
      </c>
      <c r="D1018" s="7" t="s">
        <v>87</v>
      </c>
      <c r="E1018" t="s">
        <v>88</v>
      </c>
      <c r="F1018" t="s">
        <v>170</v>
      </c>
      <c r="G1018" t="s">
        <v>171</v>
      </c>
      <c r="H1018">
        <v>6</v>
      </c>
      <c r="I1018">
        <v>0</v>
      </c>
      <c r="J1018">
        <v>6</v>
      </c>
      <c r="K1018" s="133">
        <v>12165</v>
      </c>
      <c r="L1018" s="133">
        <v>12165</v>
      </c>
      <c r="M1018" s="150">
        <v>0.61318287037037034</v>
      </c>
      <c r="N1018" s="150">
        <v>0.61346064814814816</v>
      </c>
      <c r="O1018" t="s">
        <v>172</v>
      </c>
      <c r="Q1018">
        <v>2508464</v>
      </c>
      <c r="R1018">
        <v>2508464</v>
      </c>
      <c r="S1018">
        <v>0</v>
      </c>
      <c r="T1018">
        <v>0</v>
      </c>
      <c r="U1018" t="s">
        <v>173</v>
      </c>
      <c r="V1018">
        <v>0</v>
      </c>
      <c r="W1018" t="s">
        <v>174</v>
      </c>
      <c r="X1018">
        <v>0</v>
      </c>
      <c r="Z1018" t="s">
        <v>173</v>
      </c>
      <c r="AA1018" t="s">
        <v>173</v>
      </c>
    </row>
    <row r="1019" spans="1:27" x14ac:dyDescent="0.3">
      <c r="A1019">
        <v>1018</v>
      </c>
      <c r="B1019" t="s">
        <v>169</v>
      </c>
      <c r="C1019">
        <v>99019875</v>
      </c>
      <c r="D1019" s="7" t="s">
        <v>108</v>
      </c>
      <c r="E1019" t="s">
        <v>109</v>
      </c>
      <c r="F1019" t="s">
        <v>170</v>
      </c>
      <c r="G1019" t="s">
        <v>171</v>
      </c>
      <c r="H1019">
        <v>24</v>
      </c>
      <c r="I1019">
        <v>0</v>
      </c>
      <c r="J1019">
        <v>24</v>
      </c>
      <c r="K1019" s="133">
        <v>2715</v>
      </c>
      <c r="L1019" s="133">
        <v>2715</v>
      </c>
      <c r="M1019" s="150">
        <v>0.61318287037037034</v>
      </c>
      <c r="N1019" s="150">
        <v>0.62351851851851847</v>
      </c>
      <c r="O1019" t="s">
        <v>172</v>
      </c>
      <c r="Q1019">
        <v>2508467</v>
      </c>
      <c r="R1019">
        <v>2508467</v>
      </c>
      <c r="S1019">
        <v>0</v>
      </c>
      <c r="T1019">
        <v>0</v>
      </c>
      <c r="U1019" t="s">
        <v>173</v>
      </c>
      <c r="V1019">
        <v>0</v>
      </c>
      <c r="W1019" t="s">
        <v>174</v>
      </c>
      <c r="X1019">
        <v>0</v>
      </c>
      <c r="Z1019" t="s">
        <v>173</v>
      </c>
      <c r="AA1019" t="s">
        <v>173</v>
      </c>
    </row>
    <row r="1020" spans="1:27" x14ac:dyDescent="0.3">
      <c r="A1020">
        <v>1019</v>
      </c>
      <c r="B1020" t="s">
        <v>169</v>
      </c>
      <c r="C1020">
        <v>99019875</v>
      </c>
      <c r="D1020" s="7" t="s">
        <v>98</v>
      </c>
      <c r="E1020" t="s">
        <v>99</v>
      </c>
      <c r="F1020" t="s">
        <v>170</v>
      </c>
      <c r="G1020" t="s">
        <v>171</v>
      </c>
      <c r="H1020">
        <v>39</v>
      </c>
      <c r="I1020">
        <v>0</v>
      </c>
      <c r="J1020">
        <v>39</v>
      </c>
      <c r="K1020" s="133">
        <v>14290</v>
      </c>
      <c r="L1020" s="133">
        <v>14290</v>
      </c>
      <c r="M1020" s="150">
        <v>0.61318287037037034</v>
      </c>
      <c r="N1020" s="150">
        <v>0.61350694444444442</v>
      </c>
      <c r="O1020" t="s">
        <v>172</v>
      </c>
      <c r="Q1020">
        <v>2508471</v>
      </c>
      <c r="R1020">
        <v>2508471</v>
      </c>
      <c r="S1020">
        <v>0</v>
      </c>
      <c r="T1020">
        <v>0</v>
      </c>
      <c r="U1020" t="s">
        <v>173</v>
      </c>
      <c r="V1020">
        <v>0</v>
      </c>
      <c r="W1020" t="s">
        <v>174</v>
      </c>
      <c r="X1020">
        <v>0</v>
      </c>
      <c r="Z1020" t="s">
        <v>173</v>
      </c>
      <c r="AA1020" t="s">
        <v>173</v>
      </c>
    </row>
    <row r="1021" spans="1:27" x14ac:dyDescent="0.3">
      <c r="A1021">
        <v>1020</v>
      </c>
      <c r="B1021" t="s">
        <v>169</v>
      </c>
      <c r="C1021">
        <v>99019875</v>
      </c>
      <c r="D1021" s="7" t="s">
        <v>77</v>
      </c>
      <c r="E1021" t="s">
        <v>78</v>
      </c>
      <c r="F1021" t="s">
        <v>170</v>
      </c>
      <c r="G1021" t="s">
        <v>171</v>
      </c>
      <c r="H1021">
        <v>73</v>
      </c>
      <c r="I1021">
        <v>0</v>
      </c>
      <c r="J1021">
        <v>73</v>
      </c>
      <c r="K1021" s="133">
        <v>7355</v>
      </c>
      <c r="L1021" s="133">
        <v>7355</v>
      </c>
      <c r="M1021" s="150">
        <v>0.61318287037037034</v>
      </c>
      <c r="N1021" s="150">
        <v>0.61337962962962966</v>
      </c>
      <c r="O1021" t="s">
        <v>172</v>
      </c>
      <c r="Q1021">
        <v>2508472</v>
      </c>
      <c r="R1021">
        <v>2508472</v>
      </c>
      <c r="S1021">
        <v>0</v>
      </c>
      <c r="T1021">
        <v>0</v>
      </c>
      <c r="U1021" t="s">
        <v>173</v>
      </c>
      <c r="V1021">
        <v>0</v>
      </c>
      <c r="W1021" t="s">
        <v>174</v>
      </c>
      <c r="X1021">
        <v>0</v>
      </c>
      <c r="Z1021" t="s">
        <v>173</v>
      </c>
      <c r="AA1021" t="s">
        <v>173</v>
      </c>
    </row>
    <row r="1022" spans="1:27" x14ac:dyDescent="0.3">
      <c r="A1022">
        <v>1021</v>
      </c>
      <c r="B1022" t="s">
        <v>169</v>
      </c>
      <c r="C1022">
        <v>99019875</v>
      </c>
      <c r="D1022" s="7" t="s">
        <v>140</v>
      </c>
      <c r="E1022" t="s">
        <v>178</v>
      </c>
      <c r="F1022" t="s">
        <v>170</v>
      </c>
      <c r="G1022" t="s">
        <v>171</v>
      </c>
      <c r="H1022">
        <v>20</v>
      </c>
      <c r="I1022">
        <v>0</v>
      </c>
      <c r="J1022">
        <v>20</v>
      </c>
      <c r="K1022" s="133">
        <v>8635</v>
      </c>
      <c r="L1022" s="133">
        <v>8635</v>
      </c>
      <c r="M1022" s="150">
        <v>0.61318287037037034</v>
      </c>
      <c r="N1022" s="150">
        <v>0.61321759259259256</v>
      </c>
      <c r="O1022" t="s">
        <v>172</v>
      </c>
      <c r="Q1022">
        <v>2508478</v>
      </c>
      <c r="R1022">
        <v>2508478</v>
      </c>
      <c r="S1022">
        <v>0</v>
      </c>
      <c r="T1022">
        <v>0</v>
      </c>
      <c r="U1022" t="s">
        <v>173</v>
      </c>
      <c r="V1022">
        <v>0</v>
      </c>
      <c r="W1022" t="s">
        <v>174</v>
      </c>
      <c r="X1022">
        <v>0</v>
      </c>
      <c r="Z1022" t="s">
        <v>173</v>
      </c>
      <c r="AA1022" t="s">
        <v>173</v>
      </c>
    </row>
    <row r="1023" spans="1:27" x14ac:dyDescent="0.3">
      <c r="A1023">
        <v>1022</v>
      </c>
      <c r="B1023" t="s">
        <v>169</v>
      </c>
      <c r="C1023">
        <v>99019875</v>
      </c>
      <c r="D1023" s="7" t="s">
        <v>124</v>
      </c>
      <c r="E1023" t="s">
        <v>125</v>
      </c>
      <c r="F1023" t="s">
        <v>176</v>
      </c>
      <c r="G1023" t="s">
        <v>171</v>
      </c>
      <c r="H1023">
        <v>1</v>
      </c>
      <c r="I1023">
        <v>0</v>
      </c>
      <c r="J1023">
        <v>1</v>
      </c>
      <c r="K1023" s="133">
        <v>17525</v>
      </c>
      <c r="L1023" s="133">
        <v>17525</v>
      </c>
      <c r="M1023" s="150">
        <v>0.61319444444444449</v>
      </c>
      <c r="N1023" s="150">
        <v>0.61533564814814812</v>
      </c>
      <c r="O1023" t="s">
        <v>172</v>
      </c>
      <c r="Q1023">
        <v>2508520</v>
      </c>
      <c r="R1023">
        <v>2508520</v>
      </c>
      <c r="S1023">
        <v>0</v>
      </c>
      <c r="T1023">
        <v>0</v>
      </c>
      <c r="U1023" t="s">
        <v>173</v>
      </c>
      <c r="V1023">
        <v>0</v>
      </c>
      <c r="W1023" t="s">
        <v>174</v>
      </c>
      <c r="X1023">
        <v>0</v>
      </c>
      <c r="Z1023" t="s">
        <v>173</v>
      </c>
      <c r="AA1023" t="s">
        <v>173</v>
      </c>
    </row>
    <row r="1024" spans="1:27" x14ac:dyDescent="0.3">
      <c r="A1024">
        <v>1023</v>
      </c>
      <c r="B1024" t="s">
        <v>169</v>
      </c>
      <c r="C1024">
        <v>99019875</v>
      </c>
      <c r="D1024" s="7" t="s">
        <v>102</v>
      </c>
      <c r="E1024" t="s">
        <v>103</v>
      </c>
      <c r="F1024" t="s">
        <v>170</v>
      </c>
      <c r="G1024" t="s">
        <v>177</v>
      </c>
      <c r="H1024">
        <v>54</v>
      </c>
      <c r="I1024">
        <v>0</v>
      </c>
      <c r="J1024">
        <v>54</v>
      </c>
      <c r="K1024" s="133">
        <v>26860</v>
      </c>
      <c r="L1024" s="133">
        <v>26860</v>
      </c>
      <c r="M1024" s="150">
        <v>0.61321759259259256</v>
      </c>
      <c r="N1024" s="150">
        <v>0.61380787037037032</v>
      </c>
      <c r="O1024" t="s">
        <v>172</v>
      </c>
      <c r="Q1024">
        <v>2508598</v>
      </c>
      <c r="R1024">
        <v>2508598</v>
      </c>
      <c r="S1024">
        <v>2508452</v>
      </c>
      <c r="T1024">
        <v>0</v>
      </c>
      <c r="U1024" t="s">
        <v>173</v>
      </c>
      <c r="V1024">
        <v>0</v>
      </c>
      <c r="W1024" t="s">
        <v>174</v>
      </c>
      <c r="X1024">
        <v>2508452</v>
      </c>
      <c r="Z1024" t="s">
        <v>173</v>
      </c>
      <c r="AA1024" t="s">
        <v>173</v>
      </c>
    </row>
    <row r="1025" spans="1:27" x14ac:dyDescent="0.3">
      <c r="A1025">
        <v>1024</v>
      </c>
      <c r="B1025" t="s">
        <v>169</v>
      </c>
      <c r="C1025">
        <v>99019875</v>
      </c>
      <c r="D1025" s="7" t="s">
        <v>62</v>
      </c>
      <c r="E1025" t="s">
        <v>63</v>
      </c>
      <c r="F1025" t="s">
        <v>176</v>
      </c>
      <c r="G1025" t="s">
        <v>177</v>
      </c>
      <c r="H1025">
        <v>89</v>
      </c>
      <c r="I1025">
        <v>0</v>
      </c>
      <c r="J1025">
        <v>89</v>
      </c>
      <c r="K1025" s="133">
        <v>34070</v>
      </c>
      <c r="L1025" s="133">
        <v>34070</v>
      </c>
      <c r="M1025" s="150">
        <v>0.61321759259259256</v>
      </c>
      <c r="N1025" s="150">
        <v>0.61325231481481479</v>
      </c>
      <c r="O1025" t="s">
        <v>172</v>
      </c>
      <c r="Q1025">
        <v>2508613</v>
      </c>
      <c r="R1025">
        <v>2508613</v>
      </c>
      <c r="S1025">
        <v>2508526</v>
      </c>
      <c r="T1025">
        <v>0</v>
      </c>
      <c r="U1025" t="s">
        <v>173</v>
      </c>
      <c r="V1025">
        <v>0</v>
      </c>
      <c r="W1025" t="s">
        <v>174</v>
      </c>
      <c r="X1025">
        <v>2508526</v>
      </c>
      <c r="Z1025" t="s">
        <v>173</v>
      </c>
      <c r="AA1025" t="s">
        <v>173</v>
      </c>
    </row>
    <row r="1026" spans="1:27" x14ac:dyDescent="0.3">
      <c r="A1026">
        <v>1025</v>
      </c>
      <c r="B1026" t="s">
        <v>169</v>
      </c>
      <c r="C1026">
        <v>99019875</v>
      </c>
      <c r="D1026" s="7" t="s">
        <v>75</v>
      </c>
      <c r="E1026" t="s">
        <v>76</v>
      </c>
      <c r="F1026" t="s">
        <v>170</v>
      </c>
      <c r="G1026" t="s">
        <v>177</v>
      </c>
      <c r="H1026">
        <v>83</v>
      </c>
      <c r="I1026">
        <v>0</v>
      </c>
      <c r="J1026">
        <v>83</v>
      </c>
      <c r="K1026" s="133">
        <v>20780</v>
      </c>
      <c r="L1026" s="133">
        <v>20780</v>
      </c>
      <c r="M1026" s="150">
        <v>0.61324074074074075</v>
      </c>
      <c r="N1026" s="150">
        <v>0.6133912037037037</v>
      </c>
      <c r="O1026" t="s">
        <v>172</v>
      </c>
      <c r="Q1026">
        <v>2508663</v>
      </c>
      <c r="R1026">
        <v>2508663</v>
      </c>
      <c r="S1026">
        <v>2508450</v>
      </c>
      <c r="T1026">
        <v>0</v>
      </c>
      <c r="U1026" t="s">
        <v>173</v>
      </c>
      <c r="V1026">
        <v>0</v>
      </c>
      <c r="W1026" t="s">
        <v>174</v>
      </c>
      <c r="X1026">
        <v>2508450</v>
      </c>
      <c r="Z1026" t="s">
        <v>173</v>
      </c>
      <c r="AA1026" t="s">
        <v>173</v>
      </c>
    </row>
    <row r="1027" spans="1:27" x14ac:dyDescent="0.3">
      <c r="A1027">
        <v>1026</v>
      </c>
      <c r="B1027" t="s">
        <v>169</v>
      </c>
      <c r="C1027">
        <v>99019875</v>
      </c>
      <c r="D1027" s="7" t="s">
        <v>110</v>
      </c>
      <c r="E1027" t="s">
        <v>179</v>
      </c>
      <c r="F1027" t="s">
        <v>170</v>
      </c>
      <c r="G1027" t="s">
        <v>177</v>
      </c>
      <c r="H1027">
        <v>3</v>
      </c>
      <c r="I1027">
        <v>0</v>
      </c>
      <c r="J1027">
        <v>3</v>
      </c>
      <c r="K1027" s="133">
        <v>48535</v>
      </c>
      <c r="L1027" s="133">
        <v>48535</v>
      </c>
      <c r="M1027" s="150">
        <v>0.61332175925925925</v>
      </c>
      <c r="N1027" s="150">
        <v>0.61336805555555551</v>
      </c>
      <c r="O1027" t="s">
        <v>172</v>
      </c>
      <c r="Q1027">
        <v>2508897</v>
      </c>
      <c r="R1027">
        <v>2508897</v>
      </c>
      <c r="S1027">
        <v>2508455</v>
      </c>
      <c r="T1027">
        <v>0</v>
      </c>
      <c r="U1027" t="s">
        <v>173</v>
      </c>
      <c r="V1027">
        <v>0</v>
      </c>
      <c r="W1027" t="s">
        <v>174</v>
      </c>
      <c r="X1027">
        <v>2508455</v>
      </c>
      <c r="Z1027" t="s">
        <v>173</v>
      </c>
      <c r="AA1027" t="s">
        <v>173</v>
      </c>
    </row>
    <row r="1028" spans="1:27" x14ac:dyDescent="0.3">
      <c r="A1028">
        <v>1027</v>
      </c>
      <c r="B1028" t="s">
        <v>169</v>
      </c>
      <c r="C1028">
        <v>99019875</v>
      </c>
      <c r="D1028" s="7" t="s">
        <v>128</v>
      </c>
      <c r="E1028" t="s">
        <v>129</v>
      </c>
      <c r="F1028" t="s">
        <v>170</v>
      </c>
      <c r="G1028" t="s">
        <v>171</v>
      </c>
      <c r="H1028">
        <v>1</v>
      </c>
      <c r="I1028">
        <v>0</v>
      </c>
      <c r="J1028">
        <v>1</v>
      </c>
      <c r="K1028" s="133">
        <v>6505</v>
      </c>
      <c r="L1028" s="133">
        <v>6505</v>
      </c>
      <c r="M1028" s="150">
        <v>0.6133333333333334</v>
      </c>
      <c r="N1028" s="150">
        <v>0.61432870370370374</v>
      </c>
      <c r="O1028" t="s">
        <v>172</v>
      </c>
      <c r="Q1028">
        <v>2508931</v>
      </c>
      <c r="R1028">
        <v>2508931</v>
      </c>
      <c r="S1028">
        <v>0</v>
      </c>
      <c r="T1028">
        <v>0</v>
      </c>
      <c r="U1028" t="s">
        <v>173</v>
      </c>
      <c r="V1028">
        <v>0</v>
      </c>
      <c r="W1028" t="s">
        <v>174</v>
      </c>
      <c r="X1028">
        <v>0</v>
      </c>
      <c r="Z1028" t="s">
        <v>173</v>
      </c>
      <c r="AA1028" t="s">
        <v>173</v>
      </c>
    </row>
    <row r="1029" spans="1:27" x14ac:dyDescent="0.3">
      <c r="A1029">
        <v>1028</v>
      </c>
      <c r="B1029" t="s">
        <v>169</v>
      </c>
      <c r="C1029">
        <v>99019875</v>
      </c>
      <c r="D1029" s="7" t="s">
        <v>94</v>
      </c>
      <c r="E1029" t="s">
        <v>95</v>
      </c>
      <c r="F1029" t="s">
        <v>170</v>
      </c>
      <c r="G1029" t="s">
        <v>177</v>
      </c>
      <c r="H1029">
        <v>1</v>
      </c>
      <c r="I1029">
        <v>0</v>
      </c>
      <c r="J1029">
        <v>1</v>
      </c>
      <c r="K1029" s="133">
        <v>21990</v>
      </c>
      <c r="L1029" s="133">
        <v>21990</v>
      </c>
      <c r="M1029" s="150">
        <v>0.61334490740740744</v>
      </c>
      <c r="N1029" s="150">
        <v>0.6134722222222222</v>
      </c>
      <c r="O1029" t="s">
        <v>172</v>
      </c>
      <c r="Q1029">
        <v>2508984</v>
      </c>
      <c r="R1029">
        <v>2508984</v>
      </c>
      <c r="S1029">
        <v>2507357</v>
      </c>
      <c r="T1029">
        <v>0</v>
      </c>
      <c r="U1029" t="s">
        <v>173</v>
      </c>
      <c r="V1029">
        <v>0</v>
      </c>
      <c r="W1029" t="s">
        <v>174</v>
      </c>
      <c r="X1029">
        <v>2507357</v>
      </c>
      <c r="Z1029" t="s">
        <v>173</v>
      </c>
      <c r="AA1029" t="s">
        <v>173</v>
      </c>
    </row>
    <row r="1030" spans="1:27" x14ac:dyDescent="0.3">
      <c r="A1030">
        <v>1029</v>
      </c>
      <c r="B1030" t="s">
        <v>169</v>
      </c>
      <c r="C1030">
        <v>99019875</v>
      </c>
      <c r="D1030" s="7" t="s">
        <v>71</v>
      </c>
      <c r="E1030" t="s">
        <v>72</v>
      </c>
      <c r="F1030" t="s">
        <v>176</v>
      </c>
      <c r="G1030" t="s">
        <v>177</v>
      </c>
      <c r="H1030">
        <v>19</v>
      </c>
      <c r="I1030">
        <v>0</v>
      </c>
      <c r="J1030">
        <v>19</v>
      </c>
      <c r="K1030" s="133">
        <v>18040</v>
      </c>
      <c r="L1030" s="133">
        <v>18040</v>
      </c>
      <c r="M1030" s="150">
        <v>0.61336805555555551</v>
      </c>
      <c r="N1030" s="150">
        <v>0.61354166666666665</v>
      </c>
      <c r="O1030" t="s">
        <v>172</v>
      </c>
      <c r="Q1030">
        <v>2509162</v>
      </c>
      <c r="R1030">
        <v>2509162</v>
      </c>
      <c r="S1030">
        <v>2509097</v>
      </c>
      <c r="T1030">
        <v>0</v>
      </c>
      <c r="U1030" t="s">
        <v>173</v>
      </c>
      <c r="V1030">
        <v>0</v>
      </c>
      <c r="W1030" t="s">
        <v>174</v>
      </c>
      <c r="X1030">
        <v>2509097</v>
      </c>
      <c r="Z1030" t="s">
        <v>173</v>
      </c>
      <c r="AA1030" t="s">
        <v>173</v>
      </c>
    </row>
    <row r="1031" spans="1:27" x14ac:dyDescent="0.3">
      <c r="A1031">
        <v>1030</v>
      </c>
      <c r="B1031" t="s">
        <v>169</v>
      </c>
      <c r="C1031">
        <v>99019875</v>
      </c>
      <c r="D1031" s="7" t="s">
        <v>65</v>
      </c>
      <c r="E1031" t="s">
        <v>66</v>
      </c>
      <c r="F1031" t="s">
        <v>176</v>
      </c>
      <c r="G1031" t="s">
        <v>177</v>
      </c>
      <c r="H1031">
        <v>58</v>
      </c>
      <c r="I1031">
        <v>0</v>
      </c>
      <c r="J1031">
        <v>58</v>
      </c>
      <c r="K1031" s="133">
        <v>4755</v>
      </c>
      <c r="L1031" s="133">
        <v>4755</v>
      </c>
      <c r="M1031" s="150">
        <v>0.61340277777777774</v>
      </c>
      <c r="N1031" s="150">
        <v>0.61349537037037039</v>
      </c>
      <c r="O1031" t="s">
        <v>172</v>
      </c>
      <c r="Q1031">
        <v>2509281</v>
      </c>
      <c r="R1031">
        <v>2509281</v>
      </c>
      <c r="S1031">
        <v>2508474</v>
      </c>
      <c r="T1031">
        <v>0</v>
      </c>
      <c r="U1031" t="s">
        <v>173</v>
      </c>
      <c r="V1031">
        <v>0</v>
      </c>
      <c r="W1031" t="s">
        <v>174</v>
      </c>
      <c r="X1031">
        <v>2508474</v>
      </c>
      <c r="Z1031" t="s">
        <v>173</v>
      </c>
      <c r="AA1031" t="s">
        <v>173</v>
      </c>
    </row>
    <row r="1032" spans="1:27" x14ac:dyDescent="0.3">
      <c r="A1032">
        <v>1031</v>
      </c>
      <c r="B1032" t="s">
        <v>169</v>
      </c>
      <c r="C1032">
        <v>99019875</v>
      </c>
      <c r="D1032" s="7" t="s">
        <v>120</v>
      </c>
      <c r="E1032" t="s">
        <v>121</v>
      </c>
      <c r="F1032" t="s">
        <v>176</v>
      </c>
      <c r="G1032" t="s">
        <v>171</v>
      </c>
      <c r="H1032">
        <v>1</v>
      </c>
      <c r="I1032">
        <v>0</v>
      </c>
      <c r="J1032">
        <v>1</v>
      </c>
      <c r="K1032" s="133">
        <v>22910</v>
      </c>
      <c r="L1032" s="133">
        <v>22910</v>
      </c>
      <c r="M1032" s="150">
        <v>0.61341435185185189</v>
      </c>
      <c r="N1032" s="150">
        <v>0.61422453703703705</v>
      </c>
      <c r="O1032" t="s">
        <v>172</v>
      </c>
      <c r="Q1032">
        <v>2509302</v>
      </c>
      <c r="R1032">
        <v>2509302</v>
      </c>
      <c r="S1032">
        <v>0</v>
      </c>
      <c r="T1032">
        <v>0</v>
      </c>
      <c r="U1032" t="s">
        <v>173</v>
      </c>
      <c r="V1032">
        <v>0</v>
      </c>
      <c r="W1032" t="s">
        <v>174</v>
      </c>
      <c r="X1032">
        <v>0</v>
      </c>
      <c r="Z1032" t="s">
        <v>173</v>
      </c>
      <c r="AA1032" t="s">
        <v>173</v>
      </c>
    </row>
    <row r="1033" spans="1:27" x14ac:dyDescent="0.3">
      <c r="A1033">
        <v>1032</v>
      </c>
      <c r="B1033" t="s">
        <v>169</v>
      </c>
      <c r="C1033">
        <v>99019875</v>
      </c>
      <c r="D1033" s="7" t="s">
        <v>94</v>
      </c>
      <c r="E1033" t="s">
        <v>95</v>
      </c>
      <c r="F1033" t="s">
        <v>170</v>
      </c>
      <c r="G1033" t="s">
        <v>171</v>
      </c>
      <c r="H1033">
        <v>1</v>
      </c>
      <c r="I1033">
        <v>0</v>
      </c>
      <c r="J1033">
        <v>1</v>
      </c>
      <c r="K1033" s="133">
        <v>21990</v>
      </c>
      <c r="L1033" s="133">
        <v>21990</v>
      </c>
      <c r="M1033" s="150">
        <v>0.61341435185185189</v>
      </c>
      <c r="N1033" s="150">
        <v>0.6134722222222222</v>
      </c>
      <c r="O1033" t="s">
        <v>172</v>
      </c>
      <c r="Q1033">
        <v>2509303</v>
      </c>
      <c r="R1033">
        <v>2509303</v>
      </c>
      <c r="S1033">
        <v>0</v>
      </c>
      <c r="T1033">
        <v>0</v>
      </c>
      <c r="U1033" t="s">
        <v>173</v>
      </c>
      <c r="V1033">
        <v>0</v>
      </c>
      <c r="W1033" t="s">
        <v>174</v>
      </c>
      <c r="X1033">
        <v>0</v>
      </c>
      <c r="Z1033" t="s">
        <v>173</v>
      </c>
      <c r="AA1033" t="s">
        <v>173</v>
      </c>
    </row>
    <row r="1034" spans="1:27" x14ac:dyDescent="0.3">
      <c r="A1034">
        <v>1033</v>
      </c>
      <c r="B1034" t="s">
        <v>169</v>
      </c>
      <c r="C1034">
        <v>99019875</v>
      </c>
      <c r="D1034" s="7" t="s">
        <v>126</v>
      </c>
      <c r="E1034" t="s">
        <v>127</v>
      </c>
      <c r="F1034" t="s">
        <v>176</v>
      </c>
      <c r="G1034" t="s">
        <v>171</v>
      </c>
      <c r="H1034">
        <v>1</v>
      </c>
      <c r="I1034">
        <v>0</v>
      </c>
      <c r="J1034">
        <v>1</v>
      </c>
      <c r="K1034" s="133">
        <v>12350</v>
      </c>
      <c r="L1034" s="133">
        <v>12350</v>
      </c>
      <c r="M1034" s="150">
        <v>0.6134722222222222</v>
      </c>
      <c r="N1034" s="150">
        <v>0.61391203703703701</v>
      </c>
      <c r="O1034" t="s">
        <v>172</v>
      </c>
      <c r="Q1034">
        <v>2509466</v>
      </c>
      <c r="R1034">
        <v>2509466</v>
      </c>
      <c r="S1034">
        <v>0</v>
      </c>
      <c r="T1034">
        <v>0</v>
      </c>
      <c r="U1034" t="s">
        <v>173</v>
      </c>
      <c r="V1034">
        <v>0</v>
      </c>
      <c r="W1034" t="s">
        <v>174</v>
      </c>
      <c r="X1034">
        <v>0</v>
      </c>
      <c r="Z1034" t="s">
        <v>173</v>
      </c>
      <c r="AA1034" t="s">
        <v>173</v>
      </c>
    </row>
    <row r="1035" spans="1:27" x14ac:dyDescent="0.3">
      <c r="A1035">
        <v>1034</v>
      </c>
      <c r="B1035" t="s">
        <v>169</v>
      </c>
      <c r="C1035">
        <v>99019875</v>
      </c>
      <c r="D1035" s="7" t="s">
        <v>62</v>
      </c>
      <c r="E1035" t="s">
        <v>63</v>
      </c>
      <c r="F1035" t="s">
        <v>176</v>
      </c>
      <c r="G1035" t="s">
        <v>171</v>
      </c>
      <c r="H1035">
        <v>89</v>
      </c>
      <c r="I1035">
        <v>0</v>
      </c>
      <c r="J1035">
        <v>89</v>
      </c>
      <c r="K1035" s="133">
        <v>34060</v>
      </c>
      <c r="L1035" s="133">
        <v>34060</v>
      </c>
      <c r="M1035" s="150">
        <v>0.61348379629629635</v>
      </c>
      <c r="N1035" s="150">
        <v>0.61350694444444442</v>
      </c>
      <c r="O1035" t="s">
        <v>172</v>
      </c>
      <c r="Q1035">
        <v>2509480</v>
      </c>
      <c r="R1035">
        <v>2509480</v>
      </c>
      <c r="S1035">
        <v>0</v>
      </c>
      <c r="T1035">
        <v>0</v>
      </c>
      <c r="U1035" t="s">
        <v>173</v>
      </c>
      <c r="V1035">
        <v>0</v>
      </c>
      <c r="W1035" t="s">
        <v>174</v>
      </c>
      <c r="X1035">
        <v>0</v>
      </c>
      <c r="Z1035" t="s">
        <v>173</v>
      </c>
      <c r="AA1035" t="s">
        <v>173</v>
      </c>
    </row>
    <row r="1036" spans="1:27" x14ac:dyDescent="0.3">
      <c r="A1036">
        <v>1035</v>
      </c>
      <c r="B1036" t="s">
        <v>169</v>
      </c>
      <c r="C1036">
        <v>99019875</v>
      </c>
      <c r="D1036" s="7" t="s">
        <v>75</v>
      </c>
      <c r="E1036" t="s">
        <v>76</v>
      </c>
      <c r="F1036" t="s">
        <v>170</v>
      </c>
      <c r="G1036" t="s">
        <v>171</v>
      </c>
      <c r="H1036">
        <v>83</v>
      </c>
      <c r="I1036">
        <v>0</v>
      </c>
      <c r="J1036">
        <v>83</v>
      </c>
      <c r="K1036" s="133">
        <v>20775</v>
      </c>
      <c r="L1036" s="133">
        <v>20775</v>
      </c>
      <c r="M1036" s="150">
        <v>0.61348379629629635</v>
      </c>
      <c r="N1036" s="150">
        <v>0.61349537037037039</v>
      </c>
      <c r="O1036" t="s">
        <v>172</v>
      </c>
      <c r="Q1036">
        <v>2509482</v>
      </c>
      <c r="R1036">
        <v>2509482</v>
      </c>
      <c r="S1036">
        <v>0</v>
      </c>
      <c r="T1036">
        <v>0</v>
      </c>
      <c r="U1036" t="s">
        <v>173</v>
      </c>
      <c r="V1036">
        <v>0</v>
      </c>
      <c r="W1036" t="s">
        <v>174</v>
      </c>
      <c r="X1036">
        <v>0</v>
      </c>
      <c r="Z1036" t="s">
        <v>173</v>
      </c>
      <c r="AA1036" t="s">
        <v>173</v>
      </c>
    </row>
    <row r="1037" spans="1:27" x14ac:dyDescent="0.3">
      <c r="A1037">
        <v>1036</v>
      </c>
      <c r="B1037" t="s">
        <v>169</v>
      </c>
      <c r="C1037">
        <v>99019875</v>
      </c>
      <c r="D1037" s="7" t="s">
        <v>102</v>
      </c>
      <c r="E1037" t="s">
        <v>103</v>
      </c>
      <c r="F1037" t="s">
        <v>170</v>
      </c>
      <c r="G1037" t="s">
        <v>171</v>
      </c>
      <c r="H1037">
        <v>53</v>
      </c>
      <c r="I1037">
        <v>0</v>
      </c>
      <c r="J1037">
        <v>53</v>
      </c>
      <c r="K1037" s="133">
        <v>26860</v>
      </c>
      <c r="L1037" s="133">
        <v>26860</v>
      </c>
      <c r="M1037" s="150">
        <v>0.61348379629629635</v>
      </c>
      <c r="N1037" s="150">
        <v>0.61380787037037032</v>
      </c>
      <c r="O1037" t="s">
        <v>172</v>
      </c>
      <c r="Q1037">
        <v>2509483</v>
      </c>
      <c r="R1037">
        <v>2509483</v>
      </c>
      <c r="S1037">
        <v>0</v>
      </c>
      <c r="T1037">
        <v>0</v>
      </c>
      <c r="U1037" t="s">
        <v>173</v>
      </c>
      <c r="V1037">
        <v>0</v>
      </c>
      <c r="W1037" t="s">
        <v>174</v>
      </c>
      <c r="X1037">
        <v>0</v>
      </c>
      <c r="Z1037" t="s">
        <v>173</v>
      </c>
      <c r="AA1037" t="s">
        <v>173</v>
      </c>
    </row>
    <row r="1038" spans="1:27" x14ac:dyDescent="0.3">
      <c r="A1038">
        <v>1037</v>
      </c>
      <c r="B1038" t="s">
        <v>169</v>
      </c>
      <c r="C1038">
        <v>99019875</v>
      </c>
      <c r="D1038" s="7" t="s">
        <v>67</v>
      </c>
      <c r="E1038" t="s">
        <v>68</v>
      </c>
      <c r="F1038" t="s">
        <v>170</v>
      </c>
      <c r="G1038" t="s">
        <v>171</v>
      </c>
      <c r="H1038">
        <v>35</v>
      </c>
      <c r="I1038">
        <v>0</v>
      </c>
      <c r="J1038">
        <v>35</v>
      </c>
      <c r="K1038" s="133">
        <v>4820</v>
      </c>
      <c r="L1038" s="133">
        <v>4820</v>
      </c>
      <c r="M1038" s="150">
        <v>0.61348379629629635</v>
      </c>
      <c r="N1038" s="150">
        <v>0.61354166666666665</v>
      </c>
      <c r="O1038" t="s">
        <v>172</v>
      </c>
      <c r="Q1038">
        <v>2509484</v>
      </c>
      <c r="R1038">
        <v>2509484</v>
      </c>
      <c r="S1038">
        <v>0</v>
      </c>
      <c r="T1038">
        <v>0</v>
      </c>
      <c r="U1038" t="s">
        <v>173</v>
      </c>
      <c r="V1038">
        <v>0</v>
      </c>
      <c r="W1038" t="s">
        <v>174</v>
      </c>
      <c r="X1038">
        <v>0</v>
      </c>
      <c r="Z1038" t="s">
        <v>173</v>
      </c>
      <c r="AA1038" t="s">
        <v>173</v>
      </c>
    </row>
    <row r="1039" spans="1:27" x14ac:dyDescent="0.3">
      <c r="A1039">
        <v>1038</v>
      </c>
      <c r="B1039" t="s">
        <v>169</v>
      </c>
      <c r="C1039">
        <v>99019875</v>
      </c>
      <c r="D1039" s="7" t="s">
        <v>100</v>
      </c>
      <c r="E1039" t="s">
        <v>101</v>
      </c>
      <c r="F1039" t="s">
        <v>170</v>
      </c>
      <c r="G1039" t="s">
        <v>171</v>
      </c>
      <c r="H1039">
        <v>5</v>
      </c>
      <c r="I1039">
        <v>0</v>
      </c>
      <c r="J1039">
        <v>5</v>
      </c>
      <c r="K1039" s="133">
        <v>15520</v>
      </c>
      <c r="L1039" s="133">
        <v>15520</v>
      </c>
      <c r="M1039" s="150">
        <v>0.61348379629629635</v>
      </c>
      <c r="N1039" s="150">
        <v>0.61493055555555554</v>
      </c>
      <c r="O1039" t="s">
        <v>172</v>
      </c>
      <c r="Q1039">
        <v>2509487</v>
      </c>
      <c r="R1039">
        <v>2509487</v>
      </c>
      <c r="S1039">
        <v>0</v>
      </c>
      <c r="T1039">
        <v>0</v>
      </c>
      <c r="U1039" t="s">
        <v>173</v>
      </c>
      <c r="V1039">
        <v>0</v>
      </c>
      <c r="W1039" t="s">
        <v>174</v>
      </c>
      <c r="X1039">
        <v>0</v>
      </c>
      <c r="Z1039" t="s">
        <v>173</v>
      </c>
      <c r="AA1039" t="s">
        <v>173</v>
      </c>
    </row>
    <row r="1040" spans="1:27" x14ac:dyDescent="0.3">
      <c r="A1040">
        <v>1039</v>
      </c>
      <c r="B1040" t="s">
        <v>169</v>
      </c>
      <c r="C1040">
        <v>99019875</v>
      </c>
      <c r="D1040" s="7" t="s">
        <v>108</v>
      </c>
      <c r="E1040" t="s">
        <v>109</v>
      </c>
      <c r="F1040" t="s">
        <v>170</v>
      </c>
      <c r="G1040" t="s">
        <v>171</v>
      </c>
      <c r="H1040">
        <v>23</v>
      </c>
      <c r="I1040">
        <v>0</v>
      </c>
      <c r="J1040">
        <v>23</v>
      </c>
      <c r="K1040" s="133">
        <v>2715</v>
      </c>
      <c r="L1040" s="133">
        <v>2715</v>
      </c>
      <c r="M1040" s="150">
        <v>0.61348379629629635</v>
      </c>
      <c r="N1040" s="150">
        <v>0.62351851851851847</v>
      </c>
      <c r="O1040" t="s">
        <v>172</v>
      </c>
      <c r="Q1040">
        <v>2509489</v>
      </c>
      <c r="R1040">
        <v>2509489</v>
      </c>
      <c r="S1040">
        <v>0</v>
      </c>
      <c r="T1040">
        <v>0</v>
      </c>
      <c r="U1040" t="s">
        <v>173</v>
      </c>
      <c r="V1040">
        <v>0</v>
      </c>
      <c r="W1040" t="s">
        <v>174</v>
      </c>
      <c r="X1040">
        <v>0</v>
      </c>
      <c r="Z1040" t="s">
        <v>173</v>
      </c>
      <c r="AA1040" t="s">
        <v>173</v>
      </c>
    </row>
    <row r="1041" spans="1:27" x14ac:dyDescent="0.3">
      <c r="A1041">
        <v>1040</v>
      </c>
      <c r="B1041" t="s">
        <v>169</v>
      </c>
      <c r="C1041">
        <v>99019875</v>
      </c>
      <c r="D1041" s="7" t="s">
        <v>98</v>
      </c>
      <c r="E1041" t="s">
        <v>99</v>
      </c>
      <c r="F1041" t="s">
        <v>170</v>
      </c>
      <c r="G1041" t="s">
        <v>171</v>
      </c>
      <c r="H1041">
        <v>38</v>
      </c>
      <c r="I1041">
        <v>0</v>
      </c>
      <c r="J1041">
        <v>38</v>
      </c>
      <c r="K1041" s="133">
        <v>14290</v>
      </c>
      <c r="L1041" s="133">
        <v>14290</v>
      </c>
      <c r="M1041" s="150">
        <v>0.61348379629629635</v>
      </c>
      <c r="N1041" s="150">
        <v>0.61350694444444442</v>
      </c>
      <c r="O1041" t="s">
        <v>172</v>
      </c>
      <c r="Q1041">
        <v>2509491</v>
      </c>
      <c r="R1041">
        <v>2509491</v>
      </c>
      <c r="S1041">
        <v>0</v>
      </c>
      <c r="T1041">
        <v>0</v>
      </c>
      <c r="U1041" t="s">
        <v>173</v>
      </c>
      <c r="V1041">
        <v>0</v>
      </c>
      <c r="W1041" t="s">
        <v>174</v>
      </c>
      <c r="X1041">
        <v>0</v>
      </c>
      <c r="Z1041" t="s">
        <v>173</v>
      </c>
      <c r="AA1041" t="s">
        <v>173</v>
      </c>
    </row>
    <row r="1042" spans="1:27" x14ac:dyDescent="0.3">
      <c r="A1042">
        <v>1041</v>
      </c>
      <c r="B1042" t="s">
        <v>169</v>
      </c>
      <c r="C1042">
        <v>99019875</v>
      </c>
      <c r="D1042" s="7" t="s">
        <v>71</v>
      </c>
      <c r="E1042" t="s">
        <v>72</v>
      </c>
      <c r="F1042" t="s">
        <v>176</v>
      </c>
      <c r="G1042" t="s">
        <v>171</v>
      </c>
      <c r="H1042">
        <v>18</v>
      </c>
      <c r="I1042">
        <v>0</v>
      </c>
      <c r="J1042">
        <v>18</v>
      </c>
      <c r="K1042" s="133">
        <v>18040</v>
      </c>
      <c r="L1042" s="133">
        <v>18040</v>
      </c>
      <c r="M1042" s="150">
        <v>0.61348379629629635</v>
      </c>
      <c r="N1042" s="150">
        <v>0.61354166666666665</v>
      </c>
      <c r="O1042" t="s">
        <v>172</v>
      </c>
      <c r="Q1042">
        <v>2509493</v>
      </c>
      <c r="R1042">
        <v>2509493</v>
      </c>
      <c r="S1042">
        <v>0</v>
      </c>
      <c r="T1042">
        <v>0</v>
      </c>
      <c r="U1042" t="s">
        <v>173</v>
      </c>
      <c r="V1042">
        <v>0</v>
      </c>
      <c r="W1042" t="s">
        <v>174</v>
      </c>
      <c r="X1042">
        <v>0</v>
      </c>
      <c r="Z1042" t="s">
        <v>173</v>
      </c>
      <c r="AA1042" t="s">
        <v>173</v>
      </c>
    </row>
    <row r="1043" spans="1:27" x14ac:dyDescent="0.3">
      <c r="A1043">
        <v>1042</v>
      </c>
      <c r="B1043" t="s">
        <v>169</v>
      </c>
      <c r="C1043">
        <v>99019875</v>
      </c>
      <c r="D1043" s="7" t="s">
        <v>65</v>
      </c>
      <c r="E1043" t="s">
        <v>66</v>
      </c>
      <c r="F1043" t="s">
        <v>176</v>
      </c>
      <c r="G1043" t="s">
        <v>171</v>
      </c>
      <c r="H1043">
        <v>57</v>
      </c>
      <c r="I1043">
        <v>0</v>
      </c>
      <c r="J1043">
        <v>57</v>
      </c>
      <c r="K1043" s="133">
        <v>4755</v>
      </c>
      <c r="L1043" s="133">
        <v>4755</v>
      </c>
      <c r="M1043" s="150">
        <v>0.61348379629629635</v>
      </c>
      <c r="N1043" s="150">
        <v>0.61349537037037039</v>
      </c>
      <c r="O1043" t="s">
        <v>172</v>
      </c>
      <c r="Q1043">
        <v>2509494</v>
      </c>
      <c r="R1043">
        <v>2509494</v>
      </c>
      <c r="S1043">
        <v>0</v>
      </c>
      <c r="T1043">
        <v>0</v>
      </c>
      <c r="U1043" t="s">
        <v>173</v>
      </c>
      <c r="V1043">
        <v>0</v>
      </c>
      <c r="W1043" t="s">
        <v>174</v>
      </c>
      <c r="X1043">
        <v>0</v>
      </c>
      <c r="Z1043" t="s">
        <v>173</v>
      </c>
      <c r="AA1043" t="s">
        <v>173</v>
      </c>
    </row>
    <row r="1044" spans="1:27" x14ac:dyDescent="0.3">
      <c r="A1044">
        <v>1043</v>
      </c>
      <c r="B1044" t="s">
        <v>169</v>
      </c>
      <c r="C1044">
        <v>99019875</v>
      </c>
      <c r="D1044" s="7" t="s">
        <v>114</v>
      </c>
      <c r="E1044" t="s">
        <v>115</v>
      </c>
      <c r="F1044" t="s">
        <v>176</v>
      </c>
      <c r="G1044" t="s">
        <v>177</v>
      </c>
      <c r="H1044">
        <v>65</v>
      </c>
      <c r="I1044">
        <v>0</v>
      </c>
      <c r="J1044">
        <v>65</v>
      </c>
      <c r="K1044" s="133">
        <v>53840</v>
      </c>
      <c r="L1044" s="133">
        <v>53840</v>
      </c>
      <c r="M1044" s="150">
        <v>0.61349537037037039</v>
      </c>
      <c r="N1044" s="150">
        <v>0.61356481481481484</v>
      </c>
      <c r="O1044" t="s">
        <v>172</v>
      </c>
      <c r="Q1044">
        <v>2509529</v>
      </c>
      <c r="R1044">
        <v>2509529</v>
      </c>
      <c r="S1044">
        <v>2509434</v>
      </c>
      <c r="T1044">
        <v>0</v>
      </c>
      <c r="U1044" t="s">
        <v>173</v>
      </c>
      <c r="V1044">
        <v>0</v>
      </c>
      <c r="W1044" t="s">
        <v>174</v>
      </c>
      <c r="X1044">
        <v>2509434</v>
      </c>
      <c r="Z1044" t="s">
        <v>173</v>
      </c>
      <c r="AA1044" t="s">
        <v>173</v>
      </c>
    </row>
    <row r="1045" spans="1:27" x14ac:dyDescent="0.3">
      <c r="A1045">
        <v>1044</v>
      </c>
      <c r="B1045" t="s">
        <v>169</v>
      </c>
      <c r="C1045">
        <v>99019875</v>
      </c>
      <c r="D1045" s="7" t="s">
        <v>114</v>
      </c>
      <c r="E1045" t="s">
        <v>115</v>
      </c>
      <c r="F1045" t="s">
        <v>176</v>
      </c>
      <c r="G1045" t="s">
        <v>177</v>
      </c>
      <c r="H1045">
        <v>66</v>
      </c>
      <c r="I1045">
        <v>0</v>
      </c>
      <c r="J1045">
        <v>66</v>
      </c>
      <c r="K1045" s="133">
        <v>53840</v>
      </c>
      <c r="L1045" s="133">
        <v>53840</v>
      </c>
      <c r="M1045" s="150">
        <v>0.61349537037037039</v>
      </c>
      <c r="N1045" s="150">
        <v>0.61356481481481484</v>
      </c>
      <c r="O1045" t="s">
        <v>172</v>
      </c>
      <c r="Q1045">
        <v>2509530</v>
      </c>
      <c r="R1045">
        <v>2509530</v>
      </c>
      <c r="S1045">
        <v>2509479</v>
      </c>
      <c r="T1045">
        <v>0</v>
      </c>
      <c r="U1045" t="s">
        <v>173</v>
      </c>
      <c r="V1045">
        <v>0</v>
      </c>
      <c r="W1045" t="s">
        <v>174</v>
      </c>
      <c r="X1045">
        <v>2509479</v>
      </c>
      <c r="Z1045" t="s">
        <v>173</v>
      </c>
      <c r="AA1045" t="s">
        <v>173</v>
      </c>
    </row>
    <row r="1046" spans="1:27" x14ac:dyDescent="0.3">
      <c r="A1046">
        <v>1045</v>
      </c>
      <c r="B1046" t="s">
        <v>169</v>
      </c>
      <c r="C1046">
        <v>99019875</v>
      </c>
      <c r="D1046" s="7" t="s">
        <v>81</v>
      </c>
      <c r="E1046" t="s">
        <v>82</v>
      </c>
      <c r="F1046" t="s">
        <v>176</v>
      </c>
      <c r="G1046" t="s">
        <v>177</v>
      </c>
      <c r="H1046">
        <v>75</v>
      </c>
      <c r="I1046">
        <v>0</v>
      </c>
      <c r="J1046">
        <v>75</v>
      </c>
      <c r="K1046" s="133">
        <v>36440</v>
      </c>
      <c r="L1046" s="133">
        <v>36440</v>
      </c>
      <c r="M1046" s="150">
        <v>0.61353009259259261</v>
      </c>
      <c r="N1046" s="150">
        <v>0.61354166666666665</v>
      </c>
      <c r="O1046" t="s">
        <v>172</v>
      </c>
      <c r="Q1046">
        <v>2509724</v>
      </c>
      <c r="R1046">
        <v>2509724</v>
      </c>
      <c r="S1046">
        <v>2509570</v>
      </c>
      <c r="T1046">
        <v>0</v>
      </c>
      <c r="U1046" t="s">
        <v>173</v>
      </c>
      <c r="V1046">
        <v>0</v>
      </c>
      <c r="W1046" t="s">
        <v>174</v>
      </c>
      <c r="X1046">
        <v>2509570</v>
      </c>
      <c r="Z1046" t="s">
        <v>173</v>
      </c>
      <c r="AA1046" t="s">
        <v>173</v>
      </c>
    </row>
    <row r="1047" spans="1:27" x14ac:dyDescent="0.3">
      <c r="A1047">
        <v>1046</v>
      </c>
      <c r="B1047" t="s">
        <v>169</v>
      </c>
      <c r="C1047">
        <v>99019875</v>
      </c>
      <c r="D1047" s="7" t="s">
        <v>81</v>
      </c>
      <c r="E1047" t="s">
        <v>82</v>
      </c>
      <c r="F1047" t="s">
        <v>176</v>
      </c>
      <c r="G1047" t="s">
        <v>177</v>
      </c>
      <c r="H1047">
        <v>75</v>
      </c>
      <c r="I1047">
        <v>0</v>
      </c>
      <c r="J1047">
        <v>75</v>
      </c>
      <c r="K1047" s="133">
        <v>36440</v>
      </c>
      <c r="L1047" s="133">
        <v>36440</v>
      </c>
      <c r="M1047" s="150">
        <v>0.61353009259259261</v>
      </c>
      <c r="N1047" s="150">
        <v>0.61354166666666665</v>
      </c>
      <c r="O1047" t="s">
        <v>172</v>
      </c>
      <c r="Q1047">
        <v>2509725</v>
      </c>
      <c r="R1047">
        <v>2509725</v>
      </c>
      <c r="S1047">
        <v>2509571</v>
      </c>
      <c r="T1047">
        <v>0</v>
      </c>
      <c r="U1047" t="s">
        <v>173</v>
      </c>
      <c r="V1047">
        <v>0</v>
      </c>
      <c r="W1047" t="s">
        <v>174</v>
      </c>
      <c r="X1047">
        <v>2509571</v>
      </c>
      <c r="Z1047" t="s">
        <v>173</v>
      </c>
      <c r="AA1047" t="s">
        <v>173</v>
      </c>
    </row>
    <row r="1048" spans="1:27" x14ac:dyDescent="0.3">
      <c r="A1048">
        <v>1047</v>
      </c>
      <c r="B1048" t="s">
        <v>169</v>
      </c>
      <c r="C1048">
        <v>99019875</v>
      </c>
      <c r="D1048" s="7" t="s">
        <v>69</v>
      </c>
      <c r="E1048" t="s">
        <v>70</v>
      </c>
      <c r="F1048" t="s">
        <v>170</v>
      </c>
      <c r="G1048" t="s">
        <v>177</v>
      </c>
      <c r="H1048">
        <v>17</v>
      </c>
      <c r="I1048">
        <v>0</v>
      </c>
      <c r="J1048">
        <v>17</v>
      </c>
      <c r="K1048" s="133">
        <v>10310</v>
      </c>
      <c r="L1048" s="133">
        <v>10310</v>
      </c>
      <c r="M1048" s="150">
        <v>0.6136342592592593</v>
      </c>
      <c r="N1048" s="150">
        <v>0.61364583333333333</v>
      </c>
      <c r="O1048" t="s">
        <v>172</v>
      </c>
      <c r="Q1048">
        <v>2510077</v>
      </c>
      <c r="R1048">
        <v>2510077</v>
      </c>
      <c r="S1048">
        <v>2510028</v>
      </c>
      <c r="T1048">
        <v>0</v>
      </c>
      <c r="U1048" t="s">
        <v>173</v>
      </c>
      <c r="V1048">
        <v>0</v>
      </c>
      <c r="W1048" t="s">
        <v>174</v>
      </c>
      <c r="X1048">
        <v>2510028</v>
      </c>
      <c r="Z1048" t="s">
        <v>173</v>
      </c>
      <c r="AA1048" t="s">
        <v>173</v>
      </c>
    </row>
    <row r="1049" spans="1:27" x14ac:dyDescent="0.3">
      <c r="A1049">
        <v>1048</v>
      </c>
      <c r="B1049" t="s">
        <v>169</v>
      </c>
      <c r="C1049">
        <v>99019875</v>
      </c>
      <c r="D1049" s="7" t="s">
        <v>69</v>
      </c>
      <c r="E1049" t="s">
        <v>70</v>
      </c>
      <c r="F1049" t="s">
        <v>170</v>
      </c>
      <c r="G1049" t="s">
        <v>177</v>
      </c>
      <c r="H1049">
        <v>17</v>
      </c>
      <c r="I1049">
        <v>0</v>
      </c>
      <c r="J1049">
        <v>17</v>
      </c>
      <c r="K1049" s="133">
        <v>10310</v>
      </c>
      <c r="L1049" s="133">
        <v>10310</v>
      </c>
      <c r="M1049" s="150">
        <v>0.6136342592592593</v>
      </c>
      <c r="N1049" s="150">
        <v>0.61364583333333333</v>
      </c>
      <c r="O1049" t="s">
        <v>172</v>
      </c>
      <c r="Q1049">
        <v>2510078</v>
      </c>
      <c r="R1049">
        <v>2510078</v>
      </c>
      <c r="S1049">
        <v>2510029</v>
      </c>
      <c r="T1049">
        <v>0</v>
      </c>
      <c r="U1049" t="s">
        <v>173</v>
      </c>
      <c r="V1049">
        <v>0</v>
      </c>
      <c r="W1049" t="s">
        <v>174</v>
      </c>
      <c r="X1049">
        <v>2510029</v>
      </c>
      <c r="Z1049" t="s">
        <v>173</v>
      </c>
      <c r="AA1049" t="s">
        <v>173</v>
      </c>
    </row>
    <row r="1050" spans="1:27" x14ac:dyDescent="0.3">
      <c r="A1050">
        <v>1049</v>
      </c>
      <c r="B1050" t="s">
        <v>169</v>
      </c>
      <c r="C1050">
        <v>99019875</v>
      </c>
      <c r="D1050" s="7" t="s">
        <v>87</v>
      </c>
      <c r="E1050" t="s">
        <v>88</v>
      </c>
      <c r="F1050" t="s">
        <v>170</v>
      </c>
      <c r="G1050" t="s">
        <v>177</v>
      </c>
      <c r="H1050">
        <v>6</v>
      </c>
      <c r="I1050">
        <v>0</v>
      </c>
      <c r="J1050">
        <v>6</v>
      </c>
      <c r="K1050" s="133">
        <v>12165</v>
      </c>
      <c r="L1050" s="133">
        <v>12165</v>
      </c>
      <c r="M1050" s="150">
        <v>0.61365740740740737</v>
      </c>
      <c r="N1050" s="150">
        <v>0.61380787037037032</v>
      </c>
      <c r="O1050" t="s">
        <v>172</v>
      </c>
      <c r="Q1050">
        <v>2510165</v>
      </c>
      <c r="R1050">
        <v>2510165</v>
      </c>
      <c r="S1050">
        <v>2509488</v>
      </c>
      <c r="T1050">
        <v>0</v>
      </c>
      <c r="U1050" t="s">
        <v>173</v>
      </c>
      <c r="V1050">
        <v>0</v>
      </c>
      <c r="W1050" t="s">
        <v>174</v>
      </c>
      <c r="X1050">
        <v>2509488</v>
      </c>
      <c r="Z1050" t="s">
        <v>173</v>
      </c>
      <c r="AA1050" t="s">
        <v>173</v>
      </c>
    </row>
    <row r="1051" spans="1:27" x14ac:dyDescent="0.3">
      <c r="A1051">
        <v>1050</v>
      </c>
      <c r="B1051" t="s">
        <v>169</v>
      </c>
      <c r="C1051">
        <v>99019875</v>
      </c>
      <c r="D1051" s="7" t="s">
        <v>140</v>
      </c>
      <c r="E1051" t="s">
        <v>178</v>
      </c>
      <c r="F1051" t="s">
        <v>170</v>
      </c>
      <c r="G1051" t="s">
        <v>177</v>
      </c>
      <c r="H1051">
        <v>20</v>
      </c>
      <c r="I1051">
        <v>0</v>
      </c>
      <c r="J1051">
        <v>20</v>
      </c>
      <c r="K1051" s="133">
        <v>8640</v>
      </c>
      <c r="L1051" s="133">
        <v>8640</v>
      </c>
      <c r="M1051" s="150">
        <v>0.61368055555555556</v>
      </c>
      <c r="N1051" s="150">
        <v>0.61370370370370375</v>
      </c>
      <c r="O1051" t="s">
        <v>172</v>
      </c>
      <c r="Q1051">
        <v>2510228</v>
      </c>
      <c r="R1051">
        <v>2510228</v>
      </c>
      <c r="S1051">
        <v>2510017</v>
      </c>
      <c r="T1051">
        <v>0</v>
      </c>
      <c r="U1051" t="s">
        <v>173</v>
      </c>
      <c r="V1051">
        <v>0</v>
      </c>
      <c r="W1051" t="s">
        <v>174</v>
      </c>
      <c r="X1051">
        <v>2510017</v>
      </c>
      <c r="Z1051" t="s">
        <v>173</v>
      </c>
      <c r="AA1051" t="s">
        <v>173</v>
      </c>
    </row>
    <row r="1052" spans="1:27" x14ac:dyDescent="0.3">
      <c r="A1052">
        <v>1051</v>
      </c>
      <c r="B1052" t="s">
        <v>169</v>
      </c>
      <c r="C1052">
        <v>99019875</v>
      </c>
      <c r="D1052" s="7" t="s">
        <v>124</v>
      </c>
      <c r="E1052" t="s">
        <v>125</v>
      </c>
      <c r="F1052" t="s">
        <v>176</v>
      </c>
      <c r="G1052" t="s">
        <v>171</v>
      </c>
      <c r="H1052">
        <v>1</v>
      </c>
      <c r="I1052">
        <v>0</v>
      </c>
      <c r="J1052">
        <v>1</v>
      </c>
      <c r="K1052" s="133">
        <v>17525</v>
      </c>
      <c r="L1052" s="133">
        <v>17525</v>
      </c>
      <c r="M1052" s="150">
        <v>0.61372685185185183</v>
      </c>
      <c r="N1052" s="150">
        <v>0.61533564814814812</v>
      </c>
      <c r="O1052" t="s">
        <v>172</v>
      </c>
      <c r="Q1052">
        <v>2510354</v>
      </c>
      <c r="R1052">
        <v>2510354</v>
      </c>
      <c r="S1052">
        <v>0</v>
      </c>
      <c r="T1052">
        <v>0</v>
      </c>
      <c r="U1052" t="s">
        <v>173</v>
      </c>
      <c r="V1052">
        <v>0</v>
      </c>
      <c r="W1052" t="s">
        <v>174</v>
      </c>
      <c r="X1052">
        <v>0</v>
      </c>
      <c r="Z1052" t="s">
        <v>173</v>
      </c>
      <c r="AA1052" t="s">
        <v>173</v>
      </c>
    </row>
    <row r="1053" spans="1:27" x14ac:dyDescent="0.3">
      <c r="A1053">
        <v>1052</v>
      </c>
      <c r="B1053" t="s">
        <v>169</v>
      </c>
      <c r="C1053">
        <v>99019875</v>
      </c>
      <c r="D1053" s="7" t="s">
        <v>128</v>
      </c>
      <c r="E1053" t="s">
        <v>129</v>
      </c>
      <c r="F1053" t="s">
        <v>170</v>
      </c>
      <c r="G1053" t="s">
        <v>171</v>
      </c>
      <c r="H1053">
        <v>1</v>
      </c>
      <c r="I1053">
        <v>0</v>
      </c>
      <c r="J1053">
        <v>1</v>
      </c>
      <c r="K1053" s="133">
        <v>6505</v>
      </c>
      <c r="L1053" s="133">
        <v>6505</v>
      </c>
      <c r="M1053" s="150">
        <v>0.61372685185185183</v>
      </c>
      <c r="N1053" s="150">
        <v>0.61432870370370374</v>
      </c>
      <c r="O1053" t="s">
        <v>172</v>
      </c>
      <c r="Q1053">
        <v>2510355</v>
      </c>
      <c r="R1053">
        <v>2510355</v>
      </c>
      <c r="S1053">
        <v>0</v>
      </c>
      <c r="T1053">
        <v>0</v>
      </c>
      <c r="U1053" t="s">
        <v>173</v>
      </c>
      <c r="V1053">
        <v>0</v>
      </c>
      <c r="W1053" t="s">
        <v>174</v>
      </c>
      <c r="X1053">
        <v>0</v>
      </c>
      <c r="Z1053" t="s">
        <v>173</v>
      </c>
      <c r="AA1053" t="s">
        <v>173</v>
      </c>
    </row>
    <row r="1054" spans="1:27" x14ac:dyDescent="0.3">
      <c r="A1054">
        <v>1053</v>
      </c>
      <c r="B1054" t="s">
        <v>169</v>
      </c>
      <c r="C1054">
        <v>99019875</v>
      </c>
      <c r="D1054" s="7" t="s">
        <v>75</v>
      </c>
      <c r="E1054" t="s">
        <v>76</v>
      </c>
      <c r="F1054" t="s">
        <v>170</v>
      </c>
      <c r="G1054" t="s">
        <v>171</v>
      </c>
      <c r="H1054">
        <v>83</v>
      </c>
      <c r="I1054">
        <v>0</v>
      </c>
      <c r="J1054">
        <v>83</v>
      </c>
      <c r="K1054" s="133">
        <v>20775</v>
      </c>
      <c r="L1054" s="133">
        <v>20775</v>
      </c>
      <c r="M1054" s="150">
        <v>0.61377314814814821</v>
      </c>
      <c r="N1054" s="150">
        <v>0.61407407407407411</v>
      </c>
      <c r="O1054" t="s">
        <v>172</v>
      </c>
      <c r="Q1054">
        <v>2510489</v>
      </c>
      <c r="R1054">
        <v>2510489</v>
      </c>
      <c r="S1054">
        <v>0</v>
      </c>
      <c r="T1054">
        <v>0</v>
      </c>
      <c r="U1054" t="s">
        <v>173</v>
      </c>
      <c r="V1054">
        <v>0</v>
      </c>
      <c r="W1054" t="s">
        <v>174</v>
      </c>
      <c r="X1054">
        <v>0</v>
      </c>
      <c r="Z1054" t="s">
        <v>173</v>
      </c>
      <c r="AA1054" t="s">
        <v>173</v>
      </c>
    </row>
    <row r="1055" spans="1:27" x14ac:dyDescent="0.3">
      <c r="A1055">
        <v>1054</v>
      </c>
      <c r="B1055" t="s">
        <v>169</v>
      </c>
      <c r="C1055">
        <v>99019875</v>
      </c>
      <c r="D1055" s="7" t="s">
        <v>102</v>
      </c>
      <c r="E1055" t="s">
        <v>103</v>
      </c>
      <c r="F1055" t="s">
        <v>170</v>
      </c>
      <c r="G1055" t="s">
        <v>171</v>
      </c>
      <c r="H1055">
        <v>53</v>
      </c>
      <c r="I1055">
        <v>0</v>
      </c>
      <c r="J1055">
        <v>53</v>
      </c>
      <c r="K1055" s="133">
        <v>26860</v>
      </c>
      <c r="L1055" s="133">
        <v>26860</v>
      </c>
      <c r="M1055" s="150">
        <v>0.61377314814814821</v>
      </c>
      <c r="N1055" s="150">
        <v>0.61380787037037032</v>
      </c>
      <c r="O1055" t="s">
        <v>172</v>
      </c>
      <c r="Q1055">
        <v>2510490</v>
      </c>
      <c r="R1055">
        <v>2510490</v>
      </c>
      <c r="S1055">
        <v>0</v>
      </c>
      <c r="T1055">
        <v>0</v>
      </c>
      <c r="U1055" t="s">
        <v>173</v>
      </c>
      <c r="V1055">
        <v>0</v>
      </c>
      <c r="W1055" t="s">
        <v>174</v>
      </c>
      <c r="X1055">
        <v>0</v>
      </c>
      <c r="Z1055" t="s">
        <v>173</v>
      </c>
      <c r="AA1055" t="s">
        <v>173</v>
      </c>
    </row>
    <row r="1056" spans="1:27" x14ac:dyDescent="0.3">
      <c r="A1056">
        <v>1055</v>
      </c>
      <c r="B1056" t="s">
        <v>169</v>
      </c>
      <c r="C1056">
        <v>99019875</v>
      </c>
      <c r="D1056" s="7" t="s">
        <v>100</v>
      </c>
      <c r="E1056" t="s">
        <v>101</v>
      </c>
      <c r="F1056" t="s">
        <v>170</v>
      </c>
      <c r="G1056" t="s">
        <v>171</v>
      </c>
      <c r="H1056">
        <v>4</v>
      </c>
      <c r="I1056">
        <v>0</v>
      </c>
      <c r="J1056">
        <v>4</v>
      </c>
      <c r="K1056" s="133">
        <v>15520</v>
      </c>
      <c r="L1056" s="133">
        <v>15520</v>
      </c>
      <c r="M1056" s="150">
        <v>0.61377314814814821</v>
      </c>
      <c r="N1056" s="150">
        <v>0.61555555555555552</v>
      </c>
      <c r="O1056" t="s">
        <v>172</v>
      </c>
      <c r="Q1056">
        <v>2510494</v>
      </c>
      <c r="R1056">
        <v>2510494</v>
      </c>
      <c r="S1056">
        <v>0</v>
      </c>
      <c r="T1056">
        <v>0</v>
      </c>
      <c r="U1056" t="s">
        <v>173</v>
      </c>
      <c r="V1056">
        <v>0</v>
      </c>
      <c r="W1056" t="s">
        <v>174</v>
      </c>
      <c r="X1056">
        <v>0</v>
      </c>
      <c r="Z1056" t="s">
        <v>173</v>
      </c>
      <c r="AA1056" t="s">
        <v>173</v>
      </c>
    </row>
    <row r="1057" spans="1:27" x14ac:dyDescent="0.3">
      <c r="A1057">
        <v>1056</v>
      </c>
      <c r="B1057" t="s">
        <v>169</v>
      </c>
      <c r="C1057">
        <v>99019875</v>
      </c>
      <c r="D1057" s="7" t="s">
        <v>87</v>
      </c>
      <c r="E1057" t="s">
        <v>88</v>
      </c>
      <c r="F1057" t="s">
        <v>170</v>
      </c>
      <c r="G1057" t="s">
        <v>171</v>
      </c>
      <c r="H1057">
        <v>6</v>
      </c>
      <c r="I1057">
        <v>0</v>
      </c>
      <c r="J1057">
        <v>6</v>
      </c>
      <c r="K1057" s="133">
        <v>12165</v>
      </c>
      <c r="L1057" s="133">
        <v>12165</v>
      </c>
      <c r="M1057" s="150">
        <v>0.61377314814814821</v>
      </c>
      <c r="N1057" s="150">
        <v>0.61380787037037032</v>
      </c>
      <c r="O1057" t="s">
        <v>172</v>
      </c>
      <c r="Q1057">
        <v>2510495</v>
      </c>
      <c r="R1057">
        <v>2510495</v>
      </c>
      <c r="S1057">
        <v>0</v>
      </c>
      <c r="T1057">
        <v>0</v>
      </c>
      <c r="U1057" t="s">
        <v>173</v>
      </c>
      <c r="V1057">
        <v>0</v>
      </c>
      <c r="W1057" t="s">
        <v>174</v>
      </c>
      <c r="X1057">
        <v>0</v>
      </c>
      <c r="Z1057" t="s">
        <v>173</v>
      </c>
      <c r="AA1057" t="s">
        <v>173</v>
      </c>
    </row>
    <row r="1058" spans="1:27" x14ac:dyDescent="0.3">
      <c r="A1058">
        <v>1057</v>
      </c>
      <c r="B1058" t="s">
        <v>169</v>
      </c>
      <c r="C1058">
        <v>99019875</v>
      </c>
      <c r="D1058" s="7" t="s">
        <v>108</v>
      </c>
      <c r="E1058" t="s">
        <v>109</v>
      </c>
      <c r="F1058" t="s">
        <v>170</v>
      </c>
      <c r="G1058" t="s">
        <v>171</v>
      </c>
      <c r="H1058">
        <v>24</v>
      </c>
      <c r="I1058">
        <v>0</v>
      </c>
      <c r="J1058">
        <v>24</v>
      </c>
      <c r="K1058" s="133">
        <v>2715</v>
      </c>
      <c r="L1058" s="133">
        <v>2715</v>
      </c>
      <c r="M1058" s="150">
        <v>0.61377314814814821</v>
      </c>
      <c r="N1058" s="150">
        <v>0.62351851851851847</v>
      </c>
      <c r="O1058" t="s">
        <v>172</v>
      </c>
      <c r="Q1058">
        <v>2510496</v>
      </c>
      <c r="R1058">
        <v>2510496</v>
      </c>
      <c r="S1058">
        <v>0</v>
      </c>
      <c r="T1058">
        <v>0</v>
      </c>
      <c r="U1058" t="s">
        <v>173</v>
      </c>
      <c r="V1058">
        <v>0</v>
      </c>
      <c r="W1058" t="s">
        <v>174</v>
      </c>
      <c r="X1058">
        <v>0</v>
      </c>
      <c r="Z1058" t="s">
        <v>173</v>
      </c>
      <c r="AA1058" t="s">
        <v>173</v>
      </c>
    </row>
    <row r="1059" spans="1:27" x14ac:dyDescent="0.3">
      <c r="A1059">
        <v>1058</v>
      </c>
      <c r="B1059" t="s">
        <v>169</v>
      </c>
      <c r="C1059">
        <v>99019875</v>
      </c>
      <c r="D1059" s="7" t="s">
        <v>71</v>
      </c>
      <c r="E1059" t="s">
        <v>72</v>
      </c>
      <c r="F1059" t="s">
        <v>176</v>
      </c>
      <c r="G1059" t="s">
        <v>171</v>
      </c>
      <c r="H1059">
        <v>18</v>
      </c>
      <c r="I1059">
        <v>0</v>
      </c>
      <c r="J1059">
        <v>18</v>
      </c>
      <c r="K1059" s="133">
        <v>18045</v>
      </c>
      <c r="L1059" s="133">
        <v>18045</v>
      </c>
      <c r="M1059" s="150">
        <v>0.61377314814814821</v>
      </c>
      <c r="N1059" s="150">
        <v>0.61392361111111116</v>
      </c>
      <c r="O1059" t="s">
        <v>172</v>
      </c>
      <c r="Q1059">
        <v>2510500</v>
      </c>
      <c r="R1059">
        <v>2510500</v>
      </c>
      <c r="S1059">
        <v>0</v>
      </c>
      <c r="T1059">
        <v>0</v>
      </c>
      <c r="U1059" t="s">
        <v>173</v>
      </c>
      <c r="V1059">
        <v>0</v>
      </c>
      <c r="W1059" t="s">
        <v>174</v>
      </c>
      <c r="X1059">
        <v>0</v>
      </c>
      <c r="Z1059" t="s">
        <v>173</v>
      </c>
      <c r="AA1059" t="s">
        <v>173</v>
      </c>
    </row>
    <row r="1060" spans="1:27" x14ac:dyDescent="0.3">
      <c r="A1060">
        <v>1059</v>
      </c>
      <c r="B1060" t="s">
        <v>169</v>
      </c>
      <c r="C1060">
        <v>99019875</v>
      </c>
      <c r="D1060" s="7" t="s">
        <v>140</v>
      </c>
      <c r="E1060" t="s">
        <v>178</v>
      </c>
      <c r="F1060" t="s">
        <v>170</v>
      </c>
      <c r="G1060" t="s">
        <v>171</v>
      </c>
      <c r="H1060">
        <v>20</v>
      </c>
      <c r="I1060">
        <v>0</v>
      </c>
      <c r="J1060">
        <v>20</v>
      </c>
      <c r="K1060" s="133">
        <v>8640</v>
      </c>
      <c r="L1060" s="133">
        <v>8640</v>
      </c>
      <c r="M1060" s="150">
        <v>0.61377314814814821</v>
      </c>
      <c r="N1060" s="150">
        <v>0.61380787037037032</v>
      </c>
      <c r="O1060" t="s">
        <v>172</v>
      </c>
      <c r="Q1060">
        <v>2510504</v>
      </c>
      <c r="R1060">
        <v>2510504</v>
      </c>
      <c r="S1060">
        <v>0</v>
      </c>
      <c r="T1060">
        <v>0</v>
      </c>
      <c r="U1060" t="s">
        <v>173</v>
      </c>
      <c r="V1060">
        <v>0</v>
      </c>
      <c r="W1060" t="s">
        <v>174</v>
      </c>
      <c r="X1060">
        <v>0</v>
      </c>
      <c r="Z1060" t="s">
        <v>173</v>
      </c>
      <c r="AA1060" t="s">
        <v>173</v>
      </c>
    </row>
    <row r="1061" spans="1:27" x14ac:dyDescent="0.3">
      <c r="A1061">
        <v>1060</v>
      </c>
      <c r="B1061" t="s">
        <v>169</v>
      </c>
      <c r="C1061">
        <v>99019875</v>
      </c>
      <c r="D1061" s="7" t="s">
        <v>69</v>
      </c>
      <c r="E1061" t="s">
        <v>70</v>
      </c>
      <c r="F1061" t="s">
        <v>170</v>
      </c>
      <c r="G1061" t="s">
        <v>171</v>
      </c>
      <c r="H1061">
        <v>17</v>
      </c>
      <c r="I1061">
        <v>0</v>
      </c>
      <c r="J1061">
        <v>17</v>
      </c>
      <c r="K1061" s="133">
        <v>10295</v>
      </c>
      <c r="L1061" s="133">
        <v>10295</v>
      </c>
      <c r="M1061" s="150">
        <v>0.61377314814814821</v>
      </c>
      <c r="N1061" s="150">
        <v>0.61392361111111116</v>
      </c>
      <c r="O1061" t="s">
        <v>172</v>
      </c>
      <c r="Q1061">
        <v>2510505</v>
      </c>
      <c r="R1061">
        <v>2510505</v>
      </c>
      <c r="S1061">
        <v>0</v>
      </c>
      <c r="T1061">
        <v>0</v>
      </c>
      <c r="U1061" t="s">
        <v>173</v>
      </c>
      <c r="V1061">
        <v>0</v>
      </c>
      <c r="W1061" t="s">
        <v>174</v>
      </c>
      <c r="X1061">
        <v>0</v>
      </c>
      <c r="Z1061" t="s">
        <v>173</v>
      </c>
      <c r="AA1061" t="s">
        <v>173</v>
      </c>
    </row>
    <row r="1062" spans="1:27" x14ac:dyDescent="0.3">
      <c r="A1062">
        <v>1061</v>
      </c>
      <c r="B1062" t="s">
        <v>169</v>
      </c>
      <c r="C1062">
        <v>99019875</v>
      </c>
      <c r="D1062" s="7" t="s">
        <v>114</v>
      </c>
      <c r="E1062" t="s">
        <v>115</v>
      </c>
      <c r="F1062" t="s">
        <v>176</v>
      </c>
      <c r="G1062" t="s">
        <v>177</v>
      </c>
      <c r="H1062">
        <v>65</v>
      </c>
      <c r="I1062">
        <v>0</v>
      </c>
      <c r="J1062">
        <v>65</v>
      </c>
      <c r="K1062" s="133">
        <v>53895</v>
      </c>
      <c r="L1062" s="133">
        <v>53895</v>
      </c>
      <c r="M1062" s="150">
        <v>0.61380787037037032</v>
      </c>
      <c r="N1062" s="150">
        <v>0.61380787037037032</v>
      </c>
      <c r="O1062" t="s">
        <v>172</v>
      </c>
      <c r="Q1062">
        <v>2510568</v>
      </c>
      <c r="R1062">
        <v>2510568</v>
      </c>
      <c r="S1062">
        <v>2510527</v>
      </c>
      <c r="T1062">
        <v>0</v>
      </c>
      <c r="U1062" t="s">
        <v>173</v>
      </c>
      <c r="V1062">
        <v>0</v>
      </c>
      <c r="W1062" t="s">
        <v>174</v>
      </c>
      <c r="X1062">
        <v>2510527</v>
      </c>
      <c r="Z1062" t="s">
        <v>173</v>
      </c>
      <c r="AA1062" t="s">
        <v>173</v>
      </c>
    </row>
    <row r="1063" spans="1:27" x14ac:dyDescent="0.3">
      <c r="A1063">
        <v>1062</v>
      </c>
      <c r="B1063" t="s">
        <v>169</v>
      </c>
      <c r="C1063">
        <v>99019875</v>
      </c>
      <c r="D1063" s="7" t="s">
        <v>62</v>
      </c>
      <c r="E1063" t="s">
        <v>63</v>
      </c>
      <c r="F1063" t="s">
        <v>176</v>
      </c>
      <c r="G1063" t="s">
        <v>177</v>
      </c>
      <c r="H1063">
        <v>89</v>
      </c>
      <c r="I1063">
        <v>0</v>
      </c>
      <c r="J1063">
        <v>89</v>
      </c>
      <c r="K1063" s="133">
        <v>34095</v>
      </c>
      <c r="L1063" s="133">
        <v>34095</v>
      </c>
      <c r="M1063" s="150">
        <v>0.61380787037037032</v>
      </c>
      <c r="N1063" s="150">
        <v>0.61381944444444447</v>
      </c>
      <c r="O1063" t="s">
        <v>172</v>
      </c>
      <c r="Q1063">
        <v>2510569</v>
      </c>
      <c r="R1063">
        <v>2510569</v>
      </c>
      <c r="S1063">
        <v>2510509</v>
      </c>
      <c r="T1063">
        <v>0</v>
      </c>
      <c r="U1063" t="s">
        <v>173</v>
      </c>
      <c r="V1063">
        <v>0</v>
      </c>
      <c r="W1063" t="s">
        <v>174</v>
      </c>
      <c r="X1063">
        <v>2510509</v>
      </c>
      <c r="Z1063" t="s">
        <v>173</v>
      </c>
      <c r="AA1063" t="s">
        <v>173</v>
      </c>
    </row>
    <row r="1064" spans="1:27" x14ac:dyDescent="0.3">
      <c r="A1064">
        <v>1063</v>
      </c>
      <c r="B1064" t="s">
        <v>169</v>
      </c>
      <c r="C1064">
        <v>99019875</v>
      </c>
      <c r="D1064" s="7" t="s">
        <v>81</v>
      </c>
      <c r="E1064" t="s">
        <v>82</v>
      </c>
      <c r="F1064" t="s">
        <v>176</v>
      </c>
      <c r="G1064" t="s">
        <v>177</v>
      </c>
      <c r="H1064">
        <v>75</v>
      </c>
      <c r="I1064">
        <v>0</v>
      </c>
      <c r="J1064">
        <v>75</v>
      </c>
      <c r="K1064" s="133">
        <v>36495</v>
      </c>
      <c r="L1064" s="133">
        <v>36495</v>
      </c>
      <c r="M1064" s="150">
        <v>0.61393518518518519</v>
      </c>
      <c r="N1064" s="150">
        <v>0.61422453703703705</v>
      </c>
      <c r="O1064" t="s">
        <v>172</v>
      </c>
      <c r="Q1064">
        <v>2510946</v>
      </c>
      <c r="R1064">
        <v>2510946</v>
      </c>
      <c r="S1064">
        <v>2510488</v>
      </c>
      <c r="T1064">
        <v>0</v>
      </c>
      <c r="U1064" t="s">
        <v>173</v>
      </c>
      <c r="V1064">
        <v>0</v>
      </c>
      <c r="W1064" t="s">
        <v>174</v>
      </c>
      <c r="X1064">
        <v>2510488</v>
      </c>
      <c r="Z1064" t="s">
        <v>173</v>
      </c>
      <c r="AA1064" t="s">
        <v>173</v>
      </c>
    </row>
    <row r="1065" spans="1:27" x14ac:dyDescent="0.3">
      <c r="A1065">
        <v>1064</v>
      </c>
      <c r="B1065" t="s">
        <v>169</v>
      </c>
      <c r="C1065">
        <v>99019875</v>
      </c>
      <c r="D1065" s="7" t="s">
        <v>114</v>
      </c>
      <c r="E1065" t="s">
        <v>115</v>
      </c>
      <c r="F1065" t="s">
        <v>176</v>
      </c>
      <c r="G1065" t="s">
        <v>171</v>
      </c>
      <c r="H1065">
        <v>65</v>
      </c>
      <c r="I1065">
        <v>0</v>
      </c>
      <c r="J1065">
        <v>65</v>
      </c>
      <c r="K1065" s="133">
        <v>53915</v>
      </c>
      <c r="L1065" s="133">
        <v>53915</v>
      </c>
      <c r="M1065" s="150">
        <v>0.61406250000000007</v>
      </c>
      <c r="N1065" s="150">
        <v>0.61422453703703705</v>
      </c>
      <c r="O1065" t="s">
        <v>172</v>
      </c>
      <c r="Q1065">
        <v>2511221</v>
      </c>
      <c r="R1065">
        <v>2511221</v>
      </c>
      <c r="S1065">
        <v>0</v>
      </c>
      <c r="T1065">
        <v>0</v>
      </c>
      <c r="U1065" t="s">
        <v>173</v>
      </c>
      <c r="V1065">
        <v>0</v>
      </c>
      <c r="W1065" t="s">
        <v>174</v>
      </c>
      <c r="X1065">
        <v>0</v>
      </c>
      <c r="Z1065" t="s">
        <v>173</v>
      </c>
      <c r="AA1065" t="s">
        <v>173</v>
      </c>
    </row>
    <row r="1066" spans="1:27" x14ac:dyDescent="0.3">
      <c r="A1066">
        <v>1065</v>
      </c>
      <c r="B1066" t="s">
        <v>169</v>
      </c>
      <c r="C1066">
        <v>99019875</v>
      </c>
      <c r="D1066" s="7" t="s">
        <v>62</v>
      </c>
      <c r="E1066" t="s">
        <v>63</v>
      </c>
      <c r="F1066" t="s">
        <v>176</v>
      </c>
      <c r="G1066" t="s">
        <v>171</v>
      </c>
      <c r="H1066">
        <v>88</v>
      </c>
      <c r="I1066">
        <v>0</v>
      </c>
      <c r="J1066">
        <v>88</v>
      </c>
      <c r="K1066" s="133">
        <v>34095</v>
      </c>
      <c r="L1066" s="133">
        <v>34095</v>
      </c>
      <c r="M1066" s="150">
        <v>0.61406250000000007</v>
      </c>
      <c r="N1066" s="150">
        <v>0.61408564814814814</v>
      </c>
      <c r="O1066" t="s">
        <v>172</v>
      </c>
      <c r="Q1066">
        <v>2511222</v>
      </c>
      <c r="R1066">
        <v>2511222</v>
      </c>
      <c r="S1066">
        <v>0</v>
      </c>
      <c r="T1066">
        <v>0</v>
      </c>
      <c r="U1066" t="s">
        <v>173</v>
      </c>
      <c r="V1066">
        <v>0</v>
      </c>
      <c r="W1066" t="s">
        <v>174</v>
      </c>
      <c r="X1066">
        <v>0</v>
      </c>
      <c r="Z1066" t="s">
        <v>173</v>
      </c>
      <c r="AA1066" t="s">
        <v>173</v>
      </c>
    </row>
    <row r="1067" spans="1:27" x14ac:dyDescent="0.3">
      <c r="A1067">
        <v>1066</v>
      </c>
      <c r="B1067" t="s">
        <v>169</v>
      </c>
      <c r="C1067">
        <v>99019875</v>
      </c>
      <c r="D1067" s="7" t="s">
        <v>81</v>
      </c>
      <c r="E1067" t="s">
        <v>82</v>
      </c>
      <c r="F1067" t="s">
        <v>176</v>
      </c>
      <c r="G1067" t="s">
        <v>171</v>
      </c>
      <c r="H1067">
        <v>75</v>
      </c>
      <c r="I1067">
        <v>0</v>
      </c>
      <c r="J1067">
        <v>75</v>
      </c>
      <c r="K1067" s="133">
        <v>36495</v>
      </c>
      <c r="L1067" s="133">
        <v>36495</v>
      </c>
      <c r="M1067" s="150">
        <v>0.61406250000000007</v>
      </c>
      <c r="N1067" s="150">
        <v>0.61422453703703705</v>
      </c>
      <c r="O1067" t="s">
        <v>172</v>
      </c>
      <c r="Q1067">
        <v>2511223</v>
      </c>
      <c r="R1067">
        <v>2511223</v>
      </c>
      <c r="S1067">
        <v>0</v>
      </c>
      <c r="T1067">
        <v>0</v>
      </c>
      <c r="U1067" t="s">
        <v>173</v>
      </c>
      <c r="V1067">
        <v>0</v>
      </c>
      <c r="W1067" t="s">
        <v>174</v>
      </c>
      <c r="X1067">
        <v>0</v>
      </c>
      <c r="Z1067" t="s">
        <v>173</v>
      </c>
      <c r="AA1067" t="s">
        <v>173</v>
      </c>
    </row>
    <row r="1068" spans="1:27" x14ac:dyDescent="0.3">
      <c r="A1068">
        <v>1067</v>
      </c>
      <c r="B1068" t="s">
        <v>169</v>
      </c>
      <c r="C1068">
        <v>99019875</v>
      </c>
      <c r="D1068" s="7" t="s">
        <v>75</v>
      </c>
      <c r="E1068" t="s">
        <v>76</v>
      </c>
      <c r="F1068" t="s">
        <v>170</v>
      </c>
      <c r="G1068" t="s">
        <v>171</v>
      </c>
      <c r="H1068">
        <v>82</v>
      </c>
      <c r="I1068">
        <v>0</v>
      </c>
      <c r="J1068">
        <v>82</v>
      </c>
      <c r="K1068" s="133">
        <v>20775</v>
      </c>
      <c r="L1068" s="133">
        <v>20775</v>
      </c>
      <c r="M1068" s="150">
        <v>0.61406250000000007</v>
      </c>
      <c r="N1068" s="150">
        <v>0.61435185185185182</v>
      </c>
      <c r="O1068" t="s">
        <v>172</v>
      </c>
      <c r="Q1068">
        <v>2511224</v>
      </c>
      <c r="R1068">
        <v>2511224</v>
      </c>
      <c r="S1068">
        <v>0</v>
      </c>
      <c r="T1068">
        <v>0</v>
      </c>
      <c r="U1068" t="s">
        <v>173</v>
      </c>
      <c r="V1068">
        <v>0</v>
      </c>
      <c r="W1068" t="s">
        <v>174</v>
      </c>
      <c r="X1068">
        <v>0</v>
      </c>
      <c r="Z1068" t="s">
        <v>173</v>
      </c>
      <c r="AA1068" t="s">
        <v>173</v>
      </c>
    </row>
    <row r="1069" spans="1:27" x14ac:dyDescent="0.3">
      <c r="A1069">
        <v>1068</v>
      </c>
      <c r="B1069" t="s">
        <v>169</v>
      </c>
      <c r="C1069">
        <v>99019875</v>
      </c>
      <c r="D1069" s="7" t="s">
        <v>100</v>
      </c>
      <c r="E1069" t="s">
        <v>101</v>
      </c>
      <c r="F1069" t="s">
        <v>170</v>
      </c>
      <c r="G1069" t="s">
        <v>171</v>
      </c>
      <c r="H1069">
        <v>5</v>
      </c>
      <c r="I1069">
        <v>0</v>
      </c>
      <c r="J1069">
        <v>5</v>
      </c>
      <c r="K1069" s="133">
        <v>15520</v>
      </c>
      <c r="L1069" s="133">
        <v>15520</v>
      </c>
      <c r="M1069" s="150">
        <v>0.61406250000000007</v>
      </c>
      <c r="N1069" s="150">
        <v>0.61555555555555552</v>
      </c>
      <c r="O1069" t="s">
        <v>172</v>
      </c>
      <c r="Q1069">
        <v>2511229</v>
      </c>
      <c r="R1069">
        <v>2511229</v>
      </c>
      <c r="S1069">
        <v>0</v>
      </c>
      <c r="T1069">
        <v>0</v>
      </c>
      <c r="U1069" t="s">
        <v>173</v>
      </c>
      <c r="V1069">
        <v>0</v>
      </c>
      <c r="W1069" t="s">
        <v>174</v>
      </c>
      <c r="X1069">
        <v>0</v>
      </c>
      <c r="Z1069" t="s">
        <v>173</v>
      </c>
      <c r="AA1069" t="s">
        <v>173</v>
      </c>
    </row>
    <row r="1070" spans="1:27" x14ac:dyDescent="0.3">
      <c r="A1070">
        <v>1069</v>
      </c>
      <c r="B1070" t="s">
        <v>169</v>
      </c>
      <c r="C1070">
        <v>99019875</v>
      </c>
      <c r="D1070" s="7" t="s">
        <v>87</v>
      </c>
      <c r="E1070" t="s">
        <v>88</v>
      </c>
      <c r="F1070" t="s">
        <v>170</v>
      </c>
      <c r="G1070" t="s">
        <v>171</v>
      </c>
      <c r="H1070">
        <v>5</v>
      </c>
      <c r="I1070">
        <v>0</v>
      </c>
      <c r="J1070">
        <v>5</v>
      </c>
      <c r="K1070" s="133">
        <v>12165</v>
      </c>
      <c r="L1070" s="133">
        <v>12165</v>
      </c>
      <c r="M1070" s="150">
        <v>0.61406250000000007</v>
      </c>
      <c r="N1070" s="150">
        <v>0.61464120370370368</v>
      </c>
      <c r="O1070" t="s">
        <v>172</v>
      </c>
      <c r="Q1070">
        <v>2511230</v>
      </c>
      <c r="R1070">
        <v>2511230</v>
      </c>
      <c r="S1070">
        <v>0</v>
      </c>
      <c r="T1070">
        <v>0</v>
      </c>
      <c r="U1070" t="s">
        <v>173</v>
      </c>
      <c r="V1070">
        <v>0</v>
      </c>
      <c r="W1070" t="s">
        <v>174</v>
      </c>
      <c r="X1070">
        <v>0</v>
      </c>
      <c r="Z1070" t="s">
        <v>173</v>
      </c>
      <c r="AA1070" t="s">
        <v>173</v>
      </c>
    </row>
    <row r="1071" spans="1:27" x14ac:dyDescent="0.3">
      <c r="A1071">
        <v>1070</v>
      </c>
      <c r="B1071" t="s">
        <v>169</v>
      </c>
      <c r="C1071">
        <v>99019875</v>
      </c>
      <c r="D1071" s="7" t="s">
        <v>108</v>
      </c>
      <c r="E1071" t="s">
        <v>109</v>
      </c>
      <c r="F1071" t="s">
        <v>170</v>
      </c>
      <c r="G1071" t="s">
        <v>171</v>
      </c>
      <c r="H1071">
        <v>24</v>
      </c>
      <c r="I1071">
        <v>0</v>
      </c>
      <c r="J1071">
        <v>24</v>
      </c>
      <c r="K1071" s="133">
        <v>2715</v>
      </c>
      <c r="L1071" s="133">
        <v>2715</v>
      </c>
      <c r="M1071" s="150">
        <v>0.61406250000000007</v>
      </c>
      <c r="N1071" s="150">
        <v>0.62351851851851847</v>
      </c>
      <c r="O1071" t="s">
        <v>172</v>
      </c>
      <c r="Q1071">
        <v>2511231</v>
      </c>
      <c r="R1071">
        <v>2511231</v>
      </c>
      <c r="S1071">
        <v>0</v>
      </c>
      <c r="T1071">
        <v>0</v>
      </c>
      <c r="U1071" t="s">
        <v>173</v>
      </c>
      <c r="V1071">
        <v>0</v>
      </c>
      <c r="W1071" t="s">
        <v>174</v>
      </c>
      <c r="X1071">
        <v>0</v>
      </c>
      <c r="Z1071" t="s">
        <v>173</v>
      </c>
      <c r="AA1071" t="s">
        <v>173</v>
      </c>
    </row>
    <row r="1072" spans="1:27" x14ac:dyDescent="0.3">
      <c r="A1072">
        <v>1071</v>
      </c>
      <c r="B1072" t="s">
        <v>169</v>
      </c>
      <c r="C1072">
        <v>99019875</v>
      </c>
      <c r="D1072" s="7" t="s">
        <v>71</v>
      </c>
      <c r="E1072" t="s">
        <v>72</v>
      </c>
      <c r="F1072" t="s">
        <v>176</v>
      </c>
      <c r="G1072" t="s">
        <v>171</v>
      </c>
      <c r="H1072">
        <v>18</v>
      </c>
      <c r="I1072">
        <v>0</v>
      </c>
      <c r="J1072">
        <v>18</v>
      </c>
      <c r="K1072" s="133">
        <v>18050</v>
      </c>
      <c r="L1072" s="133">
        <v>18050</v>
      </c>
      <c r="M1072" s="150">
        <v>0.61406250000000007</v>
      </c>
      <c r="N1072" s="150">
        <v>0.61439814814814808</v>
      </c>
      <c r="O1072" t="s">
        <v>172</v>
      </c>
      <c r="Q1072">
        <v>2511235</v>
      </c>
      <c r="R1072">
        <v>2511235</v>
      </c>
      <c r="S1072">
        <v>0</v>
      </c>
      <c r="T1072">
        <v>0</v>
      </c>
      <c r="U1072" t="s">
        <v>173</v>
      </c>
      <c r="V1072">
        <v>0</v>
      </c>
      <c r="W1072" t="s">
        <v>174</v>
      </c>
      <c r="X1072">
        <v>0</v>
      </c>
      <c r="Z1072" t="s">
        <v>173</v>
      </c>
      <c r="AA1072" t="s">
        <v>173</v>
      </c>
    </row>
    <row r="1073" spans="1:27" x14ac:dyDescent="0.3">
      <c r="A1073">
        <v>1072</v>
      </c>
      <c r="B1073" t="s">
        <v>169</v>
      </c>
      <c r="C1073">
        <v>99019875</v>
      </c>
      <c r="D1073" s="7" t="s">
        <v>69</v>
      </c>
      <c r="E1073" t="s">
        <v>70</v>
      </c>
      <c r="F1073" t="s">
        <v>170</v>
      </c>
      <c r="G1073" t="s">
        <v>171</v>
      </c>
      <c r="H1073">
        <v>16</v>
      </c>
      <c r="I1073">
        <v>0</v>
      </c>
      <c r="J1073">
        <v>16</v>
      </c>
      <c r="K1073" s="133">
        <v>10295</v>
      </c>
      <c r="L1073" s="133">
        <v>10295</v>
      </c>
      <c r="M1073" s="150">
        <v>0.61406250000000007</v>
      </c>
      <c r="N1073" s="150">
        <v>0.6141550925925926</v>
      </c>
      <c r="O1073" t="s">
        <v>172</v>
      </c>
      <c r="Q1073">
        <v>2511240</v>
      </c>
      <c r="R1073">
        <v>2511240</v>
      </c>
      <c r="S1073">
        <v>0</v>
      </c>
      <c r="T1073">
        <v>0</v>
      </c>
      <c r="U1073" t="s">
        <v>173</v>
      </c>
      <c r="V1073">
        <v>0</v>
      </c>
      <c r="W1073" t="s">
        <v>174</v>
      </c>
      <c r="X1073">
        <v>0</v>
      </c>
      <c r="Z1073" t="s">
        <v>173</v>
      </c>
      <c r="AA1073" t="s">
        <v>173</v>
      </c>
    </row>
    <row r="1074" spans="1:27" x14ac:dyDescent="0.3">
      <c r="A1074">
        <v>1073</v>
      </c>
      <c r="B1074" t="s">
        <v>169</v>
      </c>
      <c r="C1074">
        <v>99019875</v>
      </c>
      <c r="D1074" s="7" t="s">
        <v>89</v>
      </c>
      <c r="E1074" t="s">
        <v>90</v>
      </c>
      <c r="F1074" t="s">
        <v>176</v>
      </c>
      <c r="G1074" t="s">
        <v>177</v>
      </c>
      <c r="H1074">
        <v>17</v>
      </c>
      <c r="I1074">
        <v>0</v>
      </c>
      <c r="J1074">
        <v>17</v>
      </c>
      <c r="K1074" s="133">
        <v>3090</v>
      </c>
      <c r="L1074" s="133">
        <v>3090</v>
      </c>
      <c r="M1074" s="150">
        <v>0.61422453703703705</v>
      </c>
      <c r="N1074" s="150">
        <v>0.61423611111111109</v>
      </c>
      <c r="O1074" t="s">
        <v>172</v>
      </c>
      <c r="Q1074">
        <v>2511714</v>
      </c>
      <c r="R1074">
        <v>2511714</v>
      </c>
      <c r="S1074">
        <v>2506737</v>
      </c>
      <c r="T1074">
        <v>0</v>
      </c>
      <c r="U1074" t="s">
        <v>173</v>
      </c>
      <c r="V1074">
        <v>0</v>
      </c>
      <c r="W1074" t="s">
        <v>174</v>
      </c>
      <c r="X1074">
        <v>2506737</v>
      </c>
      <c r="Z1074" t="s">
        <v>173</v>
      </c>
      <c r="AA1074" t="s">
        <v>173</v>
      </c>
    </row>
    <row r="1075" spans="1:27" x14ac:dyDescent="0.3">
      <c r="A1075">
        <v>1074</v>
      </c>
      <c r="B1075" t="s">
        <v>169</v>
      </c>
      <c r="C1075">
        <v>99019875</v>
      </c>
      <c r="D1075" s="7" t="s">
        <v>89</v>
      </c>
      <c r="E1075" t="s">
        <v>90</v>
      </c>
      <c r="F1075" t="s">
        <v>176</v>
      </c>
      <c r="G1075" t="s">
        <v>177</v>
      </c>
      <c r="H1075">
        <v>30</v>
      </c>
      <c r="I1075">
        <v>0</v>
      </c>
      <c r="J1075">
        <v>30</v>
      </c>
      <c r="K1075" s="133">
        <v>3090</v>
      </c>
      <c r="L1075" s="133">
        <v>3090</v>
      </c>
      <c r="M1075" s="150">
        <v>0.61422453703703705</v>
      </c>
      <c r="N1075" s="150">
        <v>0.61423611111111109</v>
      </c>
      <c r="O1075" t="s">
        <v>172</v>
      </c>
      <c r="Q1075">
        <v>2511715</v>
      </c>
      <c r="R1075">
        <v>2511715</v>
      </c>
      <c r="S1075">
        <v>2507560</v>
      </c>
      <c r="T1075">
        <v>0</v>
      </c>
      <c r="U1075" t="s">
        <v>173</v>
      </c>
      <c r="V1075">
        <v>0</v>
      </c>
      <c r="W1075" t="s">
        <v>174</v>
      </c>
      <c r="X1075">
        <v>2507560</v>
      </c>
      <c r="Z1075" t="s">
        <v>173</v>
      </c>
      <c r="AA1075" t="s">
        <v>173</v>
      </c>
    </row>
    <row r="1076" spans="1:27" x14ac:dyDescent="0.3">
      <c r="A1076">
        <v>1075</v>
      </c>
      <c r="B1076" t="s">
        <v>169</v>
      </c>
      <c r="C1076">
        <v>99019875</v>
      </c>
      <c r="D1076" s="7" t="s">
        <v>89</v>
      </c>
      <c r="E1076" t="s">
        <v>90</v>
      </c>
      <c r="F1076" t="s">
        <v>176</v>
      </c>
      <c r="G1076" t="s">
        <v>177</v>
      </c>
      <c r="H1076">
        <v>31</v>
      </c>
      <c r="I1076">
        <v>0</v>
      </c>
      <c r="J1076">
        <v>31</v>
      </c>
      <c r="K1076" s="133">
        <v>3090</v>
      </c>
      <c r="L1076" s="133">
        <v>3090</v>
      </c>
      <c r="M1076" s="150">
        <v>0.61422453703703705</v>
      </c>
      <c r="N1076" s="150">
        <v>0.61423611111111109</v>
      </c>
      <c r="O1076" t="s">
        <v>172</v>
      </c>
      <c r="Q1076">
        <v>2511716</v>
      </c>
      <c r="R1076">
        <v>2511716</v>
      </c>
      <c r="S1076">
        <v>2508462</v>
      </c>
      <c r="T1076">
        <v>0</v>
      </c>
      <c r="U1076" t="s">
        <v>173</v>
      </c>
      <c r="V1076">
        <v>0</v>
      </c>
      <c r="W1076" t="s">
        <v>174</v>
      </c>
      <c r="X1076">
        <v>2508462</v>
      </c>
      <c r="Z1076" t="s">
        <v>173</v>
      </c>
      <c r="AA1076" t="s">
        <v>173</v>
      </c>
    </row>
    <row r="1077" spans="1:27" x14ac:dyDescent="0.3">
      <c r="A1077">
        <v>1076</v>
      </c>
      <c r="B1077" t="s">
        <v>169</v>
      </c>
      <c r="C1077">
        <v>99019875</v>
      </c>
      <c r="D1077" s="7" t="s">
        <v>89</v>
      </c>
      <c r="E1077" t="s">
        <v>90</v>
      </c>
      <c r="F1077" t="s">
        <v>176</v>
      </c>
      <c r="G1077" t="s">
        <v>177</v>
      </c>
      <c r="H1077">
        <v>30</v>
      </c>
      <c r="I1077">
        <v>0</v>
      </c>
      <c r="J1077">
        <v>30</v>
      </c>
      <c r="K1077" s="133">
        <v>3090</v>
      </c>
      <c r="L1077" s="133">
        <v>3090</v>
      </c>
      <c r="M1077" s="150">
        <v>0.61422453703703705</v>
      </c>
      <c r="N1077" s="150">
        <v>0.61423611111111109</v>
      </c>
      <c r="O1077" t="s">
        <v>172</v>
      </c>
      <c r="Q1077">
        <v>2511717</v>
      </c>
      <c r="R1077">
        <v>2511717</v>
      </c>
      <c r="S1077">
        <v>2509486</v>
      </c>
      <c r="T1077">
        <v>0</v>
      </c>
      <c r="U1077" t="s">
        <v>173</v>
      </c>
      <c r="V1077">
        <v>0</v>
      </c>
      <c r="W1077" t="s">
        <v>174</v>
      </c>
      <c r="X1077">
        <v>2509486</v>
      </c>
      <c r="Z1077" t="s">
        <v>173</v>
      </c>
      <c r="AA1077" t="s">
        <v>173</v>
      </c>
    </row>
    <row r="1078" spans="1:27" x14ac:dyDescent="0.3">
      <c r="A1078">
        <v>1077</v>
      </c>
      <c r="B1078" t="s">
        <v>169</v>
      </c>
      <c r="C1078">
        <v>99019875</v>
      </c>
      <c r="D1078" s="7" t="s">
        <v>89</v>
      </c>
      <c r="E1078" t="s">
        <v>90</v>
      </c>
      <c r="F1078" t="s">
        <v>176</v>
      </c>
      <c r="G1078" t="s">
        <v>177</v>
      </c>
      <c r="H1078">
        <v>31</v>
      </c>
      <c r="I1078">
        <v>0</v>
      </c>
      <c r="J1078">
        <v>31</v>
      </c>
      <c r="K1078" s="133">
        <v>3090</v>
      </c>
      <c r="L1078" s="133">
        <v>3090</v>
      </c>
      <c r="M1078" s="150">
        <v>0.61422453703703705</v>
      </c>
      <c r="N1078" s="150">
        <v>0.61435185185185182</v>
      </c>
      <c r="O1078" t="s">
        <v>172</v>
      </c>
      <c r="Q1078">
        <v>2511718</v>
      </c>
      <c r="R1078">
        <v>2511718</v>
      </c>
      <c r="S1078">
        <v>2510493</v>
      </c>
      <c r="T1078">
        <v>0</v>
      </c>
      <c r="U1078" t="s">
        <v>173</v>
      </c>
      <c r="V1078">
        <v>0</v>
      </c>
      <c r="W1078" t="s">
        <v>174</v>
      </c>
      <c r="X1078">
        <v>2510493</v>
      </c>
      <c r="Z1078" t="s">
        <v>173</v>
      </c>
      <c r="AA1078" t="s">
        <v>173</v>
      </c>
    </row>
    <row r="1079" spans="1:27" x14ac:dyDescent="0.3">
      <c r="A1079">
        <v>1078</v>
      </c>
      <c r="B1079" t="s">
        <v>169</v>
      </c>
      <c r="C1079">
        <v>99019875</v>
      </c>
      <c r="D1079" s="7" t="s">
        <v>89</v>
      </c>
      <c r="E1079" t="s">
        <v>90</v>
      </c>
      <c r="F1079" t="s">
        <v>176</v>
      </c>
      <c r="G1079" t="s">
        <v>177</v>
      </c>
      <c r="H1079">
        <v>30</v>
      </c>
      <c r="I1079">
        <v>0</v>
      </c>
      <c r="J1079">
        <v>30</v>
      </c>
      <c r="K1079" s="133">
        <v>3090</v>
      </c>
      <c r="L1079" s="133">
        <v>3090</v>
      </c>
      <c r="M1079" s="150">
        <v>0.61422453703703705</v>
      </c>
      <c r="N1079" s="150">
        <v>0.61435185185185182</v>
      </c>
      <c r="O1079" t="s">
        <v>172</v>
      </c>
      <c r="Q1079">
        <v>2511719</v>
      </c>
      <c r="R1079">
        <v>2511719</v>
      </c>
      <c r="S1079">
        <v>2511228</v>
      </c>
      <c r="T1079">
        <v>0</v>
      </c>
      <c r="U1079" t="s">
        <v>173</v>
      </c>
      <c r="V1079">
        <v>0</v>
      </c>
      <c r="W1079" t="s">
        <v>174</v>
      </c>
      <c r="X1079">
        <v>2511228</v>
      </c>
      <c r="Z1079" t="s">
        <v>173</v>
      </c>
      <c r="AA1079" t="s">
        <v>173</v>
      </c>
    </row>
    <row r="1080" spans="1:27" x14ac:dyDescent="0.3">
      <c r="A1080">
        <v>1079</v>
      </c>
      <c r="B1080" t="s">
        <v>169</v>
      </c>
      <c r="C1080">
        <v>99019875</v>
      </c>
      <c r="D1080" s="7" t="s">
        <v>118</v>
      </c>
      <c r="E1080" t="s">
        <v>119</v>
      </c>
      <c r="F1080" t="s">
        <v>176</v>
      </c>
      <c r="G1080" t="s">
        <v>177</v>
      </c>
      <c r="H1080">
        <v>9</v>
      </c>
      <c r="I1080">
        <v>0</v>
      </c>
      <c r="J1080">
        <v>9</v>
      </c>
      <c r="K1080" s="133">
        <v>12425</v>
      </c>
      <c r="L1080" s="133">
        <v>12425</v>
      </c>
      <c r="M1080" s="150">
        <v>0.61423611111111109</v>
      </c>
      <c r="N1080" s="150">
        <v>0.61423611111111109</v>
      </c>
      <c r="O1080" t="s">
        <v>172</v>
      </c>
      <c r="Q1080">
        <v>2511723</v>
      </c>
      <c r="R1080">
        <v>2511723</v>
      </c>
      <c r="S1080">
        <v>2507981</v>
      </c>
      <c r="T1080">
        <v>0</v>
      </c>
      <c r="U1080" t="s">
        <v>173</v>
      </c>
      <c r="V1080">
        <v>0</v>
      </c>
      <c r="W1080" t="s">
        <v>174</v>
      </c>
      <c r="X1080">
        <v>2507981</v>
      </c>
      <c r="Z1080" t="s">
        <v>173</v>
      </c>
      <c r="AA1080" t="s">
        <v>173</v>
      </c>
    </row>
    <row r="1081" spans="1:27" x14ac:dyDescent="0.3">
      <c r="A1081">
        <v>1080</v>
      </c>
      <c r="B1081" t="s">
        <v>169</v>
      </c>
      <c r="C1081">
        <v>99019875</v>
      </c>
      <c r="D1081" s="7" t="s">
        <v>118</v>
      </c>
      <c r="E1081" t="s">
        <v>119</v>
      </c>
      <c r="F1081" t="s">
        <v>176</v>
      </c>
      <c r="G1081" t="s">
        <v>177</v>
      </c>
      <c r="H1081">
        <v>20</v>
      </c>
      <c r="I1081">
        <v>0</v>
      </c>
      <c r="J1081">
        <v>20</v>
      </c>
      <c r="K1081" s="133">
        <v>12425</v>
      </c>
      <c r="L1081" s="133">
        <v>12425</v>
      </c>
      <c r="M1081" s="150">
        <v>0.61423611111111109</v>
      </c>
      <c r="N1081" s="150">
        <v>0.61423611111111109</v>
      </c>
      <c r="O1081" t="s">
        <v>172</v>
      </c>
      <c r="Q1081">
        <v>2511724</v>
      </c>
      <c r="R1081">
        <v>2511724</v>
      </c>
      <c r="S1081">
        <v>2507982</v>
      </c>
      <c r="T1081">
        <v>0</v>
      </c>
      <c r="U1081" t="s">
        <v>173</v>
      </c>
      <c r="V1081">
        <v>0</v>
      </c>
      <c r="W1081" t="s">
        <v>174</v>
      </c>
      <c r="X1081">
        <v>2507982</v>
      </c>
      <c r="Z1081" t="s">
        <v>173</v>
      </c>
      <c r="AA1081" t="s">
        <v>173</v>
      </c>
    </row>
    <row r="1082" spans="1:27" x14ac:dyDescent="0.3">
      <c r="A1082">
        <v>1081</v>
      </c>
      <c r="B1082" t="s">
        <v>169</v>
      </c>
      <c r="C1082">
        <v>99019875</v>
      </c>
      <c r="D1082" s="7" t="s">
        <v>118</v>
      </c>
      <c r="E1082" t="s">
        <v>119</v>
      </c>
      <c r="F1082" t="s">
        <v>176</v>
      </c>
      <c r="G1082" t="s">
        <v>177</v>
      </c>
      <c r="H1082">
        <v>20</v>
      </c>
      <c r="I1082">
        <v>0</v>
      </c>
      <c r="J1082">
        <v>20</v>
      </c>
      <c r="K1082" s="133">
        <v>12425</v>
      </c>
      <c r="L1082" s="133">
        <v>12425</v>
      </c>
      <c r="M1082" s="150">
        <v>0.61423611111111109</v>
      </c>
      <c r="N1082" s="150">
        <v>0.61423611111111109</v>
      </c>
      <c r="O1082" t="s">
        <v>172</v>
      </c>
      <c r="Q1082">
        <v>2511725</v>
      </c>
      <c r="R1082">
        <v>2511725</v>
      </c>
      <c r="S1082">
        <v>2508475</v>
      </c>
      <c r="T1082">
        <v>0</v>
      </c>
      <c r="U1082" t="s">
        <v>173</v>
      </c>
      <c r="V1082">
        <v>0</v>
      </c>
      <c r="W1082" t="s">
        <v>174</v>
      </c>
      <c r="X1082">
        <v>2508475</v>
      </c>
      <c r="Z1082" t="s">
        <v>173</v>
      </c>
      <c r="AA1082" t="s">
        <v>173</v>
      </c>
    </row>
    <row r="1083" spans="1:27" x14ac:dyDescent="0.3">
      <c r="A1083">
        <v>1082</v>
      </c>
      <c r="B1083" t="s">
        <v>169</v>
      </c>
      <c r="C1083">
        <v>99019875</v>
      </c>
      <c r="D1083" s="7" t="s">
        <v>118</v>
      </c>
      <c r="E1083" t="s">
        <v>119</v>
      </c>
      <c r="F1083" t="s">
        <v>176</v>
      </c>
      <c r="G1083" t="s">
        <v>177</v>
      </c>
      <c r="H1083">
        <v>20</v>
      </c>
      <c r="I1083">
        <v>0</v>
      </c>
      <c r="J1083">
        <v>20</v>
      </c>
      <c r="K1083" s="133">
        <v>12425</v>
      </c>
      <c r="L1083" s="133">
        <v>12425</v>
      </c>
      <c r="M1083" s="150">
        <v>0.61423611111111109</v>
      </c>
      <c r="N1083" s="150">
        <v>0.61423611111111109</v>
      </c>
      <c r="O1083" t="s">
        <v>172</v>
      </c>
      <c r="Q1083">
        <v>2511726</v>
      </c>
      <c r="R1083">
        <v>2511726</v>
      </c>
      <c r="S1083">
        <v>2509495</v>
      </c>
      <c r="T1083">
        <v>0</v>
      </c>
      <c r="U1083" t="s">
        <v>173</v>
      </c>
      <c r="V1083">
        <v>0</v>
      </c>
      <c r="W1083" t="s">
        <v>174</v>
      </c>
      <c r="X1083">
        <v>2509495</v>
      </c>
      <c r="Z1083" t="s">
        <v>173</v>
      </c>
      <c r="AA1083" t="s">
        <v>173</v>
      </c>
    </row>
    <row r="1084" spans="1:27" x14ac:dyDescent="0.3">
      <c r="A1084">
        <v>1083</v>
      </c>
      <c r="B1084" t="s">
        <v>169</v>
      </c>
      <c r="C1084">
        <v>99019875</v>
      </c>
      <c r="D1084" s="7" t="s">
        <v>118</v>
      </c>
      <c r="E1084" t="s">
        <v>119</v>
      </c>
      <c r="F1084" t="s">
        <v>176</v>
      </c>
      <c r="G1084" t="s">
        <v>177</v>
      </c>
      <c r="H1084">
        <v>19</v>
      </c>
      <c r="I1084">
        <v>0</v>
      </c>
      <c r="J1084">
        <v>19</v>
      </c>
      <c r="K1084" s="133">
        <v>12425</v>
      </c>
      <c r="L1084" s="133">
        <v>12425</v>
      </c>
      <c r="M1084" s="150">
        <v>0.61423611111111109</v>
      </c>
      <c r="N1084" s="150">
        <v>0.61423611111111109</v>
      </c>
      <c r="O1084" t="s">
        <v>172</v>
      </c>
      <c r="Q1084">
        <v>2511727</v>
      </c>
      <c r="R1084">
        <v>2511727</v>
      </c>
      <c r="S1084">
        <v>2510502</v>
      </c>
      <c r="T1084">
        <v>0</v>
      </c>
      <c r="U1084" t="s">
        <v>173</v>
      </c>
      <c r="V1084">
        <v>0</v>
      </c>
      <c r="W1084" t="s">
        <v>174</v>
      </c>
      <c r="X1084">
        <v>2510502</v>
      </c>
      <c r="Z1084" t="s">
        <v>173</v>
      </c>
      <c r="AA1084" t="s">
        <v>173</v>
      </c>
    </row>
    <row r="1085" spans="1:27" x14ac:dyDescent="0.3">
      <c r="A1085">
        <v>1084</v>
      </c>
      <c r="B1085" t="s">
        <v>169</v>
      </c>
      <c r="C1085">
        <v>99019875</v>
      </c>
      <c r="D1085" s="7" t="s">
        <v>118</v>
      </c>
      <c r="E1085" t="s">
        <v>119</v>
      </c>
      <c r="F1085" t="s">
        <v>176</v>
      </c>
      <c r="G1085" t="s">
        <v>177</v>
      </c>
      <c r="H1085">
        <v>20</v>
      </c>
      <c r="I1085">
        <v>0</v>
      </c>
      <c r="J1085">
        <v>20</v>
      </c>
      <c r="K1085" s="133">
        <v>12425</v>
      </c>
      <c r="L1085" s="133">
        <v>12425</v>
      </c>
      <c r="M1085" s="150">
        <v>0.61423611111111109</v>
      </c>
      <c r="N1085" s="150">
        <v>0.61436342592592597</v>
      </c>
      <c r="O1085" t="s">
        <v>172</v>
      </c>
      <c r="Q1085">
        <v>2511728</v>
      </c>
      <c r="R1085">
        <v>2511728</v>
      </c>
      <c r="S1085">
        <v>2511237</v>
      </c>
      <c r="T1085">
        <v>0</v>
      </c>
      <c r="U1085" t="s">
        <v>173</v>
      </c>
      <c r="V1085">
        <v>0</v>
      </c>
      <c r="W1085" t="s">
        <v>174</v>
      </c>
      <c r="X1085">
        <v>2511237</v>
      </c>
      <c r="Z1085" t="s">
        <v>173</v>
      </c>
      <c r="AA1085" t="s">
        <v>173</v>
      </c>
    </row>
    <row r="1086" spans="1:27" x14ac:dyDescent="0.3">
      <c r="A1086">
        <v>1085</v>
      </c>
      <c r="B1086" t="s">
        <v>169</v>
      </c>
      <c r="C1086">
        <v>99019875</v>
      </c>
      <c r="D1086" s="7" t="s">
        <v>140</v>
      </c>
      <c r="E1086" t="s">
        <v>178</v>
      </c>
      <c r="F1086" t="s">
        <v>170</v>
      </c>
      <c r="G1086" t="s">
        <v>177</v>
      </c>
      <c r="H1086">
        <v>20</v>
      </c>
      <c r="I1086">
        <v>0</v>
      </c>
      <c r="J1086">
        <v>20</v>
      </c>
      <c r="K1086" s="133">
        <v>8640</v>
      </c>
      <c r="L1086" s="133">
        <v>8640</v>
      </c>
      <c r="M1086" s="150">
        <v>0.61423611111111109</v>
      </c>
      <c r="N1086" s="150">
        <v>0.61435185185185182</v>
      </c>
      <c r="O1086" t="s">
        <v>172</v>
      </c>
      <c r="Q1086">
        <v>2511756</v>
      </c>
      <c r="R1086">
        <v>2511756</v>
      </c>
      <c r="S1086">
        <v>2511239</v>
      </c>
      <c r="T1086">
        <v>0</v>
      </c>
      <c r="U1086" t="s">
        <v>173</v>
      </c>
      <c r="V1086">
        <v>0</v>
      </c>
      <c r="W1086" t="s">
        <v>174</v>
      </c>
      <c r="X1086">
        <v>2511239</v>
      </c>
      <c r="Z1086" t="s">
        <v>173</v>
      </c>
      <c r="AA1086" t="s">
        <v>173</v>
      </c>
    </row>
    <row r="1087" spans="1:27" x14ac:dyDescent="0.3">
      <c r="A1087">
        <v>1086</v>
      </c>
      <c r="B1087" t="s">
        <v>169</v>
      </c>
      <c r="C1087">
        <v>99019875</v>
      </c>
      <c r="D1087" s="7" t="s">
        <v>67</v>
      </c>
      <c r="E1087" t="s">
        <v>68</v>
      </c>
      <c r="F1087" t="s">
        <v>170</v>
      </c>
      <c r="G1087" t="s">
        <v>177</v>
      </c>
      <c r="H1087">
        <v>36</v>
      </c>
      <c r="I1087">
        <v>0</v>
      </c>
      <c r="J1087">
        <v>36</v>
      </c>
      <c r="K1087" s="133">
        <v>4820</v>
      </c>
      <c r="L1087" s="133">
        <v>4820</v>
      </c>
      <c r="M1087" s="150">
        <v>0.61424768518518513</v>
      </c>
      <c r="N1087" s="150">
        <v>0.61442129629629627</v>
      </c>
      <c r="O1087" t="s">
        <v>172</v>
      </c>
      <c r="Q1087">
        <v>2511757</v>
      </c>
      <c r="R1087">
        <v>2511757</v>
      </c>
      <c r="S1087">
        <v>2510491</v>
      </c>
      <c r="T1087">
        <v>0</v>
      </c>
      <c r="U1087" t="s">
        <v>173</v>
      </c>
      <c r="V1087">
        <v>0</v>
      </c>
      <c r="W1087" t="s">
        <v>174</v>
      </c>
      <c r="X1087">
        <v>2510491</v>
      </c>
      <c r="Z1087" t="s">
        <v>173</v>
      </c>
      <c r="AA1087" t="s">
        <v>173</v>
      </c>
    </row>
    <row r="1088" spans="1:27" x14ac:dyDescent="0.3">
      <c r="A1088">
        <v>1087</v>
      </c>
      <c r="B1088" t="s">
        <v>169</v>
      </c>
      <c r="C1088">
        <v>99019875</v>
      </c>
      <c r="D1088" s="7" t="s">
        <v>67</v>
      </c>
      <c r="E1088" t="s">
        <v>68</v>
      </c>
      <c r="F1088" t="s">
        <v>170</v>
      </c>
      <c r="G1088" t="s">
        <v>177</v>
      </c>
      <c r="H1088">
        <v>35</v>
      </c>
      <c r="I1088">
        <v>0</v>
      </c>
      <c r="J1088">
        <v>35</v>
      </c>
      <c r="K1088" s="133">
        <v>4820</v>
      </c>
      <c r="L1088" s="133">
        <v>4820</v>
      </c>
      <c r="M1088" s="150">
        <v>0.61424768518518513</v>
      </c>
      <c r="N1088" s="150">
        <v>0.61442129629629627</v>
      </c>
      <c r="O1088" t="s">
        <v>172</v>
      </c>
      <c r="Q1088">
        <v>2511758</v>
      </c>
      <c r="R1088">
        <v>2511758</v>
      </c>
      <c r="S1088">
        <v>2511226</v>
      </c>
      <c r="T1088">
        <v>0</v>
      </c>
      <c r="U1088" t="s">
        <v>173</v>
      </c>
      <c r="V1088">
        <v>0</v>
      </c>
      <c r="W1088" t="s">
        <v>174</v>
      </c>
      <c r="X1088">
        <v>2511226</v>
      </c>
      <c r="Z1088" t="s">
        <v>173</v>
      </c>
      <c r="AA1088" t="s">
        <v>173</v>
      </c>
    </row>
    <row r="1089" spans="1:27" x14ac:dyDescent="0.3">
      <c r="A1089">
        <v>1088</v>
      </c>
      <c r="B1089" t="s">
        <v>169</v>
      </c>
      <c r="C1089">
        <v>99019875</v>
      </c>
      <c r="D1089" s="7" t="s">
        <v>110</v>
      </c>
      <c r="E1089" t="s">
        <v>179</v>
      </c>
      <c r="F1089" t="s">
        <v>170</v>
      </c>
      <c r="G1089" t="s">
        <v>177</v>
      </c>
      <c r="H1089">
        <v>3</v>
      </c>
      <c r="I1089">
        <v>0</v>
      </c>
      <c r="J1089">
        <v>3</v>
      </c>
      <c r="K1089" s="133">
        <v>48535</v>
      </c>
      <c r="L1089" s="133">
        <v>48535</v>
      </c>
      <c r="M1089" s="150">
        <v>0.61425925925925928</v>
      </c>
      <c r="N1089" s="150">
        <v>0.61435185185185182</v>
      </c>
      <c r="O1089" t="s">
        <v>172</v>
      </c>
      <c r="Q1089">
        <v>2511821</v>
      </c>
      <c r="R1089">
        <v>2511821</v>
      </c>
      <c r="S1089">
        <v>2511279</v>
      </c>
      <c r="T1089">
        <v>0</v>
      </c>
      <c r="U1089" t="s">
        <v>173</v>
      </c>
      <c r="V1089">
        <v>0</v>
      </c>
      <c r="W1089" t="s">
        <v>174</v>
      </c>
      <c r="X1089">
        <v>2511279</v>
      </c>
      <c r="Z1089" t="s">
        <v>173</v>
      </c>
      <c r="AA1089" t="s">
        <v>173</v>
      </c>
    </row>
    <row r="1090" spans="1:27" x14ac:dyDescent="0.3">
      <c r="A1090">
        <v>1089</v>
      </c>
      <c r="B1090" t="s">
        <v>169</v>
      </c>
      <c r="C1090">
        <v>99019875</v>
      </c>
      <c r="D1090" s="7" t="s">
        <v>110</v>
      </c>
      <c r="E1090" t="s">
        <v>179</v>
      </c>
      <c r="F1090" t="s">
        <v>170</v>
      </c>
      <c r="G1090" t="s">
        <v>177</v>
      </c>
      <c r="H1090">
        <v>4</v>
      </c>
      <c r="I1090">
        <v>0</v>
      </c>
      <c r="J1090">
        <v>4</v>
      </c>
      <c r="K1090" s="133">
        <v>48535</v>
      </c>
      <c r="L1090" s="133">
        <v>48535</v>
      </c>
      <c r="M1090" s="150">
        <v>0.61425925925925928</v>
      </c>
      <c r="N1090" s="150">
        <v>0.61435185185185182</v>
      </c>
      <c r="O1090" t="s">
        <v>172</v>
      </c>
      <c r="Q1090">
        <v>2511822</v>
      </c>
      <c r="R1090">
        <v>2511822</v>
      </c>
      <c r="S1090">
        <v>2511280</v>
      </c>
      <c r="T1090">
        <v>0</v>
      </c>
      <c r="U1090" t="s">
        <v>173</v>
      </c>
      <c r="V1090">
        <v>0</v>
      </c>
      <c r="W1090" t="s">
        <v>174</v>
      </c>
      <c r="X1090">
        <v>2511280</v>
      </c>
      <c r="Z1090" t="s">
        <v>173</v>
      </c>
      <c r="AA1090" t="s">
        <v>173</v>
      </c>
    </row>
    <row r="1091" spans="1:27" x14ac:dyDescent="0.3">
      <c r="A1091">
        <v>1090</v>
      </c>
      <c r="B1091" t="s">
        <v>169</v>
      </c>
      <c r="C1091">
        <v>99019875</v>
      </c>
      <c r="D1091" s="7" t="s">
        <v>110</v>
      </c>
      <c r="E1091" t="s">
        <v>179</v>
      </c>
      <c r="F1091" t="s">
        <v>170</v>
      </c>
      <c r="G1091" t="s">
        <v>177</v>
      </c>
      <c r="H1091">
        <v>3</v>
      </c>
      <c r="I1091">
        <v>0</v>
      </c>
      <c r="J1091">
        <v>3</v>
      </c>
      <c r="K1091" s="133">
        <v>48535</v>
      </c>
      <c r="L1091" s="133">
        <v>48535</v>
      </c>
      <c r="M1091" s="150">
        <v>0.61425925925925928</v>
      </c>
      <c r="N1091" s="150">
        <v>0.61435185185185182</v>
      </c>
      <c r="O1091" t="s">
        <v>172</v>
      </c>
      <c r="Q1091">
        <v>2511823</v>
      </c>
      <c r="R1091">
        <v>2511823</v>
      </c>
      <c r="S1091">
        <v>2511281</v>
      </c>
      <c r="T1091">
        <v>0</v>
      </c>
      <c r="U1091" t="s">
        <v>173</v>
      </c>
      <c r="V1091">
        <v>0</v>
      </c>
      <c r="W1091" t="s">
        <v>174</v>
      </c>
      <c r="X1091">
        <v>2511281</v>
      </c>
      <c r="Z1091" t="s">
        <v>173</v>
      </c>
      <c r="AA1091" t="s">
        <v>173</v>
      </c>
    </row>
    <row r="1092" spans="1:27" x14ac:dyDescent="0.3">
      <c r="A1092">
        <v>1091</v>
      </c>
      <c r="B1092" t="s">
        <v>169</v>
      </c>
      <c r="C1092">
        <v>99019875</v>
      </c>
      <c r="D1092" s="7" t="s">
        <v>102</v>
      </c>
      <c r="E1092" t="s">
        <v>103</v>
      </c>
      <c r="F1092" t="s">
        <v>170</v>
      </c>
      <c r="G1092" t="s">
        <v>177</v>
      </c>
      <c r="H1092">
        <v>54</v>
      </c>
      <c r="I1092">
        <v>0</v>
      </c>
      <c r="J1092">
        <v>54</v>
      </c>
      <c r="K1092" s="133">
        <v>26855</v>
      </c>
      <c r="L1092" s="133">
        <v>26855</v>
      </c>
      <c r="M1092" s="150">
        <v>0.61425925925925928</v>
      </c>
      <c r="N1092" s="150">
        <v>0.61452546296296295</v>
      </c>
      <c r="O1092" t="s">
        <v>172</v>
      </c>
      <c r="Q1092">
        <v>2511827</v>
      </c>
      <c r="R1092">
        <v>2511827</v>
      </c>
      <c r="S1092">
        <v>2511225</v>
      </c>
      <c r="T1092">
        <v>0</v>
      </c>
      <c r="U1092" t="s">
        <v>173</v>
      </c>
      <c r="V1092">
        <v>0</v>
      </c>
      <c r="W1092" t="s">
        <v>174</v>
      </c>
      <c r="X1092">
        <v>2511225</v>
      </c>
      <c r="Z1092" t="s">
        <v>173</v>
      </c>
      <c r="AA1092" t="s">
        <v>173</v>
      </c>
    </row>
    <row r="1093" spans="1:27" x14ac:dyDescent="0.3">
      <c r="A1093">
        <v>1092</v>
      </c>
      <c r="B1093" t="s">
        <v>169</v>
      </c>
      <c r="C1093">
        <v>99019875</v>
      </c>
      <c r="D1093" s="7" t="s">
        <v>124</v>
      </c>
      <c r="E1093" t="s">
        <v>125</v>
      </c>
      <c r="F1093" t="s">
        <v>176</v>
      </c>
      <c r="G1093" t="s">
        <v>171</v>
      </c>
      <c r="H1093">
        <v>1</v>
      </c>
      <c r="I1093">
        <v>0</v>
      </c>
      <c r="J1093">
        <v>1</v>
      </c>
      <c r="K1093" s="133">
        <v>17525</v>
      </c>
      <c r="L1093" s="133">
        <v>17525</v>
      </c>
      <c r="M1093" s="150">
        <v>0.61427083333333332</v>
      </c>
      <c r="N1093" s="150">
        <v>0.61533564814814812</v>
      </c>
      <c r="O1093" t="s">
        <v>172</v>
      </c>
      <c r="Q1093">
        <v>2511872</v>
      </c>
      <c r="R1093">
        <v>2511872</v>
      </c>
      <c r="S1093">
        <v>0</v>
      </c>
      <c r="T1093">
        <v>0</v>
      </c>
      <c r="U1093" t="s">
        <v>173</v>
      </c>
      <c r="V1093">
        <v>0</v>
      </c>
      <c r="W1093" t="s">
        <v>174</v>
      </c>
      <c r="X1093">
        <v>0</v>
      </c>
      <c r="Z1093" t="s">
        <v>173</v>
      </c>
      <c r="AA1093" t="s">
        <v>173</v>
      </c>
    </row>
    <row r="1094" spans="1:27" x14ac:dyDescent="0.3">
      <c r="A1094">
        <v>1093</v>
      </c>
      <c r="B1094" t="s">
        <v>169</v>
      </c>
      <c r="C1094">
        <v>99019875</v>
      </c>
      <c r="D1094" s="7" t="s">
        <v>122</v>
      </c>
      <c r="E1094" t="s">
        <v>123</v>
      </c>
      <c r="F1094" t="s">
        <v>170</v>
      </c>
      <c r="G1094" t="s">
        <v>177</v>
      </c>
      <c r="H1094">
        <v>19</v>
      </c>
      <c r="I1094">
        <v>0</v>
      </c>
      <c r="J1094">
        <v>19</v>
      </c>
      <c r="K1094" s="133">
        <v>36065</v>
      </c>
      <c r="L1094" s="133">
        <v>36065</v>
      </c>
      <c r="M1094" s="150">
        <v>0.61427083333333332</v>
      </c>
      <c r="N1094" s="150">
        <v>0.61568287037037039</v>
      </c>
      <c r="O1094" t="s">
        <v>172</v>
      </c>
      <c r="Q1094">
        <v>2511884</v>
      </c>
      <c r="R1094">
        <v>2511884</v>
      </c>
      <c r="S1094">
        <v>2511730</v>
      </c>
      <c r="T1094">
        <v>0</v>
      </c>
      <c r="U1094" t="s">
        <v>173</v>
      </c>
      <c r="V1094">
        <v>0</v>
      </c>
      <c r="W1094" t="s">
        <v>174</v>
      </c>
      <c r="X1094">
        <v>2511730</v>
      </c>
      <c r="Z1094" t="s">
        <v>173</v>
      </c>
      <c r="AA1094" t="s">
        <v>173</v>
      </c>
    </row>
    <row r="1095" spans="1:27" x14ac:dyDescent="0.3">
      <c r="A1095">
        <v>1094</v>
      </c>
      <c r="B1095" t="s">
        <v>169</v>
      </c>
      <c r="C1095">
        <v>99019875</v>
      </c>
      <c r="D1095" s="7" t="s">
        <v>122</v>
      </c>
      <c r="E1095" t="s">
        <v>123</v>
      </c>
      <c r="F1095" t="s">
        <v>170</v>
      </c>
      <c r="G1095" t="s">
        <v>177</v>
      </c>
      <c r="H1095">
        <v>20</v>
      </c>
      <c r="I1095">
        <v>0</v>
      </c>
      <c r="J1095">
        <v>20</v>
      </c>
      <c r="K1095" s="133">
        <v>36065</v>
      </c>
      <c r="L1095" s="133">
        <v>36065</v>
      </c>
      <c r="M1095" s="150">
        <v>0.61427083333333332</v>
      </c>
      <c r="N1095" s="150">
        <v>0.61568287037037039</v>
      </c>
      <c r="O1095" t="s">
        <v>172</v>
      </c>
      <c r="Q1095">
        <v>2511885</v>
      </c>
      <c r="R1095">
        <v>2511885</v>
      </c>
      <c r="S1095">
        <v>2511731</v>
      </c>
      <c r="T1095">
        <v>0</v>
      </c>
      <c r="U1095" t="s">
        <v>173</v>
      </c>
      <c r="V1095">
        <v>0</v>
      </c>
      <c r="W1095" t="s">
        <v>174</v>
      </c>
      <c r="X1095">
        <v>2511731</v>
      </c>
      <c r="Z1095" t="s">
        <v>173</v>
      </c>
      <c r="AA1095" t="s">
        <v>173</v>
      </c>
    </row>
    <row r="1096" spans="1:27" x14ac:dyDescent="0.3">
      <c r="A1096">
        <v>1095</v>
      </c>
      <c r="B1096" t="s">
        <v>169</v>
      </c>
      <c r="C1096">
        <v>99019875</v>
      </c>
      <c r="D1096" s="7" t="s">
        <v>122</v>
      </c>
      <c r="E1096" t="s">
        <v>123</v>
      </c>
      <c r="F1096" t="s">
        <v>170</v>
      </c>
      <c r="G1096" t="s">
        <v>177</v>
      </c>
      <c r="H1096">
        <v>19</v>
      </c>
      <c r="I1096">
        <v>0</v>
      </c>
      <c r="J1096">
        <v>19</v>
      </c>
      <c r="K1096" s="133">
        <v>36065</v>
      </c>
      <c r="L1096" s="133">
        <v>36065</v>
      </c>
      <c r="M1096" s="150">
        <v>0.61427083333333332</v>
      </c>
      <c r="N1096" s="150">
        <v>0.61568287037037039</v>
      </c>
      <c r="O1096" t="s">
        <v>172</v>
      </c>
      <c r="Q1096">
        <v>2511886</v>
      </c>
      <c r="R1096">
        <v>2511886</v>
      </c>
      <c r="S1096">
        <v>2511732</v>
      </c>
      <c r="T1096">
        <v>0</v>
      </c>
      <c r="U1096" t="s">
        <v>173</v>
      </c>
      <c r="V1096">
        <v>0</v>
      </c>
      <c r="W1096" t="s">
        <v>174</v>
      </c>
      <c r="X1096">
        <v>2511732</v>
      </c>
      <c r="Z1096" t="s">
        <v>173</v>
      </c>
      <c r="AA1096" t="s">
        <v>173</v>
      </c>
    </row>
    <row r="1097" spans="1:27" x14ac:dyDescent="0.3">
      <c r="A1097">
        <v>1096</v>
      </c>
      <c r="B1097" t="s">
        <v>169</v>
      </c>
      <c r="C1097">
        <v>99019875</v>
      </c>
      <c r="D1097" s="7" t="s">
        <v>122</v>
      </c>
      <c r="E1097" t="s">
        <v>123</v>
      </c>
      <c r="F1097" t="s">
        <v>170</v>
      </c>
      <c r="G1097" t="s">
        <v>177</v>
      </c>
      <c r="H1097">
        <v>20</v>
      </c>
      <c r="I1097">
        <v>0</v>
      </c>
      <c r="J1097">
        <v>20</v>
      </c>
      <c r="K1097" s="133">
        <v>36065</v>
      </c>
      <c r="L1097" s="133">
        <v>36065</v>
      </c>
      <c r="M1097" s="150">
        <v>0.61427083333333332</v>
      </c>
      <c r="N1097" s="150">
        <v>0.61568287037037039</v>
      </c>
      <c r="O1097" t="s">
        <v>172</v>
      </c>
      <c r="Q1097">
        <v>2511887</v>
      </c>
      <c r="R1097">
        <v>2511887</v>
      </c>
      <c r="S1097">
        <v>2511733</v>
      </c>
      <c r="T1097">
        <v>0</v>
      </c>
      <c r="U1097" t="s">
        <v>173</v>
      </c>
      <c r="V1097">
        <v>0</v>
      </c>
      <c r="W1097" t="s">
        <v>174</v>
      </c>
      <c r="X1097">
        <v>2511733</v>
      </c>
      <c r="Z1097" t="s">
        <v>173</v>
      </c>
      <c r="AA1097" t="s">
        <v>173</v>
      </c>
    </row>
    <row r="1098" spans="1:27" x14ac:dyDescent="0.3">
      <c r="A1098">
        <v>1097</v>
      </c>
      <c r="B1098" t="s">
        <v>169</v>
      </c>
      <c r="C1098">
        <v>99019875</v>
      </c>
      <c r="D1098" s="7" t="s">
        <v>122</v>
      </c>
      <c r="E1098" t="s">
        <v>123</v>
      </c>
      <c r="F1098" t="s">
        <v>170</v>
      </c>
      <c r="G1098" t="s">
        <v>177</v>
      </c>
      <c r="H1098">
        <v>20</v>
      </c>
      <c r="I1098">
        <v>0</v>
      </c>
      <c r="J1098">
        <v>20</v>
      </c>
      <c r="K1098" s="133">
        <v>36065</v>
      </c>
      <c r="L1098" s="133">
        <v>36065</v>
      </c>
      <c r="M1098" s="150">
        <v>0.61427083333333332</v>
      </c>
      <c r="N1098" s="150">
        <v>0.61568287037037039</v>
      </c>
      <c r="O1098" t="s">
        <v>172</v>
      </c>
      <c r="Q1098">
        <v>2511888</v>
      </c>
      <c r="R1098">
        <v>2511888</v>
      </c>
      <c r="S1098">
        <v>2511734</v>
      </c>
      <c r="T1098">
        <v>0</v>
      </c>
      <c r="U1098" t="s">
        <v>173</v>
      </c>
      <c r="V1098">
        <v>0</v>
      </c>
      <c r="W1098" t="s">
        <v>174</v>
      </c>
      <c r="X1098">
        <v>2511734</v>
      </c>
      <c r="Z1098" t="s">
        <v>173</v>
      </c>
      <c r="AA1098" t="s">
        <v>173</v>
      </c>
    </row>
    <row r="1099" spans="1:27" x14ac:dyDescent="0.3">
      <c r="A1099">
        <v>1098</v>
      </c>
      <c r="B1099" t="s">
        <v>169</v>
      </c>
      <c r="C1099">
        <v>99019875</v>
      </c>
      <c r="D1099" s="7" t="s">
        <v>122</v>
      </c>
      <c r="E1099" t="s">
        <v>123</v>
      </c>
      <c r="F1099" t="s">
        <v>170</v>
      </c>
      <c r="G1099" t="s">
        <v>177</v>
      </c>
      <c r="H1099">
        <v>19</v>
      </c>
      <c r="I1099">
        <v>0</v>
      </c>
      <c r="J1099">
        <v>19</v>
      </c>
      <c r="K1099" s="133">
        <v>36065</v>
      </c>
      <c r="L1099" s="133">
        <v>36065</v>
      </c>
      <c r="M1099" s="150">
        <v>0.61427083333333332</v>
      </c>
      <c r="N1099" s="150">
        <v>0.61568287037037039</v>
      </c>
      <c r="O1099" t="s">
        <v>172</v>
      </c>
      <c r="Q1099">
        <v>2511889</v>
      </c>
      <c r="R1099">
        <v>2511889</v>
      </c>
      <c r="S1099">
        <v>2511735</v>
      </c>
      <c r="T1099">
        <v>0</v>
      </c>
      <c r="U1099" t="s">
        <v>173</v>
      </c>
      <c r="V1099">
        <v>0</v>
      </c>
      <c r="W1099" t="s">
        <v>174</v>
      </c>
      <c r="X1099">
        <v>2511735</v>
      </c>
      <c r="Z1099" t="s">
        <v>173</v>
      </c>
      <c r="AA1099" t="s">
        <v>173</v>
      </c>
    </row>
    <row r="1100" spans="1:27" x14ac:dyDescent="0.3">
      <c r="A1100">
        <v>1099</v>
      </c>
      <c r="B1100" t="s">
        <v>169</v>
      </c>
      <c r="C1100">
        <v>99019875</v>
      </c>
      <c r="D1100" s="7" t="s">
        <v>122</v>
      </c>
      <c r="E1100" t="s">
        <v>123</v>
      </c>
      <c r="F1100" t="s">
        <v>170</v>
      </c>
      <c r="G1100" t="s">
        <v>177</v>
      </c>
      <c r="H1100">
        <v>20</v>
      </c>
      <c r="I1100">
        <v>0</v>
      </c>
      <c r="J1100">
        <v>20</v>
      </c>
      <c r="K1100" s="133">
        <v>36065</v>
      </c>
      <c r="L1100" s="133">
        <v>36065</v>
      </c>
      <c r="M1100" s="150">
        <v>0.61427083333333332</v>
      </c>
      <c r="N1100" s="150">
        <v>0.61568287037037039</v>
      </c>
      <c r="O1100" t="s">
        <v>172</v>
      </c>
      <c r="Q1100">
        <v>2511890</v>
      </c>
      <c r="R1100">
        <v>2511890</v>
      </c>
      <c r="S1100">
        <v>2511736</v>
      </c>
      <c r="T1100">
        <v>0</v>
      </c>
      <c r="U1100" t="s">
        <v>173</v>
      </c>
      <c r="V1100">
        <v>0</v>
      </c>
      <c r="W1100" t="s">
        <v>174</v>
      </c>
      <c r="X1100">
        <v>2511736</v>
      </c>
      <c r="Z1100" t="s">
        <v>173</v>
      </c>
      <c r="AA1100" t="s">
        <v>173</v>
      </c>
    </row>
    <row r="1101" spans="1:27" x14ac:dyDescent="0.3">
      <c r="A1101">
        <v>1100</v>
      </c>
      <c r="B1101" t="s">
        <v>169</v>
      </c>
      <c r="C1101">
        <v>99019875</v>
      </c>
      <c r="D1101" s="7" t="s">
        <v>122</v>
      </c>
      <c r="E1101" t="s">
        <v>123</v>
      </c>
      <c r="F1101" t="s">
        <v>170</v>
      </c>
      <c r="G1101" t="s">
        <v>177</v>
      </c>
      <c r="H1101">
        <v>19</v>
      </c>
      <c r="I1101">
        <v>0</v>
      </c>
      <c r="J1101">
        <v>19</v>
      </c>
      <c r="K1101" s="133">
        <v>36065</v>
      </c>
      <c r="L1101" s="133">
        <v>36065</v>
      </c>
      <c r="M1101" s="150">
        <v>0.61427083333333332</v>
      </c>
      <c r="N1101" s="150">
        <v>0.61568287037037039</v>
      </c>
      <c r="O1101" t="s">
        <v>172</v>
      </c>
      <c r="Q1101">
        <v>2511891</v>
      </c>
      <c r="R1101">
        <v>2511891</v>
      </c>
      <c r="S1101">
        <v>2511737</v>
      </c>
      <c r="T1101">
        <v>0</v>
      </c>
      <c r="U1101" t="s">
        <v>173</v>
      </c>
      <c r="V1101">
        <v>0</v>
      </c>
      <c r="W1101" t="s">
        <v>174</v>
      </c>
      <c r="X1101">
        <v>2511737</v>
      </c>
      <c r="Z1101" t="s">
        <v>173</v>
      </c>
      <c r="AA1101" t="s">
        <v>173</v>
      </c>
    </row>
    <row r="1102" spans="1:27" x14ac:dyDescent="0.3">
      <c r="A1102">
        <v>1101</v>
      </c>
      <c r="B1102" t="s">
        <v>169</v>
      </c>
      <c r="C1102">
        <v>99019875</v>
      </c>
      <c r="D1102" s="7" t="s">
        <v>122</v>
      </c>
      <c r="E1102" t="s">
        <v>123</v>
      </c>
      <c r="F1102" t="s">
        <v>170</v>
      </c>
      <c r="G1102" t="s">
        <v>177</v>
      </c>
      <c r="H1102">
        <v>20</v>
      </c>
      <c r="I1102">
        <v>0</v>
      </c>
      <c r="J1102">
        <v>20</v>
      </c>
      <c r="K1102" s="133">
        <v>36065</v>
      </c>
      <c r="L1102" s="133">
        <v>36065</v>
      </c>
      <c r="M1102" s="150">
        <v>0.61427083333333332</v>
      </c>
      <c r="N1102" s="150">
        <v>0.61568287037037039</v>
      </c>
      <c r="O1102" t="s">
        <v>172</v>
      </c>
      <c r="Q1102">
        <v>2511892</v>
      </c>
      <c r="R1102">
        <v>2511892</v>
      </c>
      <c r="S1102">
        <v>2511738</v>
      </c>
      <c r="T1102">
        <v>0</v>
      </c>
      <c r="U1102" t="s">
        <v>173</v>
      </c>
      <c r="V1102">
        <v>0</v>
      </c>
      <c r="W1102" t="s">
        <v>174</v>
      </c>
      <c r="X1102">
        <v>2511738</v>
      </c>
      <c r="Z1102" t="s">
        <v>173</v>
      </c>
      <c r="AA1102" t="s">
        <v>173</v>
      </c>
    </row>
    <row r="1103" spans="1:27" x14ac:dyDescent="0.3">
      <c r="A1103">
        <v>1102</v>
      </c>
      <c r="B1103" t="s">
        <v>169</v>
      </c>
      <c r="C1103">
        <v>99019875</v>
      </c>
      <c r="D1103" s="7" t="s">
        <v>122</v>
      </c>
      <c r="E1103" t="s">
        <v>123</v>
      </c>
      <c r="F1103" t="s">
        <v>170</v>
      </c>
      <c r="G1103" t="s">
        <v>177</v>
      </c>
      <c r="H1103">
        <v>20</v>
      </c>
      <c r="I1103">
        <v>0</v>
      </c>
      <c r="J1103">
        <v>20</v>
      </c>
      <c r="K1103" s="133">
        <v>36065</v>
      </c>
      <c r="L1103" s="133">
        <v>36065</v>
      </c>
      <c r="M1103" s="150">
        <v>0.61427083333333332</v>
      </c>
      <c r="N1103" s="150">
        <v>0.61568287037037039</v>
      </c>
      <c r="O1103" t="s">
        <v>172</v>
      </c>
      <c r="Q1103">
        <v>2511893</v>
      </c>
      <c r="R1103">
        <v>2511893</v>
      </c>
      <c r="S1103">
        <v>2511739</v>
      </c>
      <c r="T1103">
        <v>0</v>
      </c>
      <c r="U1103" t="s">
        <v>173</v>
      </c>
      <c r="V1103">
        <v>0</v>
      </c>
      <c r="W1103" t="s">
        <v>174</v>
      </c>
      <c r="X1103">
        <v>2511739</v>
      </c>
      <c r="Z1103" t="s">
        <v>173</v>
      </c>
      <c r="AA1103" t="s">
        <v>173</v>
      </c>
    </row>
    <row r="1104" spans="1:27" x14ac:dyDescent="0.3">
      <c r="A1104">
        <v>1103</v>
      </c>
      <c r="B1104" t="s">
        <v>169</v>
      </c>
      <c r="C1104">
        <v>99019875</v>
      </c>
      <c r="D1104" s="7" t="s">
        <v>122</v>
      </c>
      <c r="E1104" t="s">
        <v>123</v>
      </c>
      <c r="F1104" t="s">
        <v>170</v>
      </c>
      <c r="G1104" t="s">
        <v>177</v>
      </c>
      <c r="H1104">
        <v>19</v>
      </c>
      <c r="I1104">
        <v>0</v>
      </c>
      <c r="J1104">
        <v>19</v>
      </c>
      <c r="K1104" s="133">
        <v>36065</v>
      </c>
      <c r="L1104" s="133">
        <v>36065</v>
      </c>
      <c r="M1104" s="150">
        <v>0.61427083333333332</v>
      </c>
      <c r="N1104" s="150">
        <v>0.61568287037037039</v>
      </c>
      <c r="O1104" t="s">
        <v>172</v>
      </c>
      <c r="Q1104">
        <v>2511894</v>
      </c>
      <c r="R1104">
        <v>2511894</v>
      </c>
      <c r="S1104">
        <v>2511740</v>
      </c>
      <c r="T1104">
        <v>0</v>
      </c>
      <c r="U1104" t="s">
        <v>173</v>
      </c>
      <c r="V1104">
        <v>0</v>
      </c>
      <c r="W1104" t="s">
        <v>174</v>
      </c>
      <c r="X1104">
        <v>2511740</v>
      </c>
      <c r="Z1104" t="s">
        <v>173</v>
      </c>
      <c r="AA1104" t="s">
        <v>173</v>
      </c>
    </row>
    <row r="1105" spans="1:27" x14ac:dyDescent="0.3">
      <c r="A1105">
        <v>1104</v>
      </c>
      <c r="B1105" t="s">
        <v>169</v>
      </c>
      <c r="C1105">
        <v>99019875</v>
      </c>
      <c r="D1105" s="7" t="s">
        <v>122</v>
      </c>
      <c r="E1105" t="s">
        <v>123</v>
      </c>
      <c r="F1105" t="s">
        <v>170</v>
      </c>
      <c r="G1105" t="s">
        <v>177</v>
      </c>
      <c r="H1105">
        <v>20</v>
      </c>
      <c r="I1105">
        <v>0</v>
      </c>
      <c r="J1105">
        <v>20</v>
      </c>
      <c r="K1105" s="133">
        <v>36065</v>
      </c>
      <c r="L1105" s="133">
        <v>36065</v>
      </c>
      <c r="M1105" s="150">
        <v>0.61427083333333332</v>
      </c>
      <c r="N1105" s="150">
        <v>0.61568287037037039</v>
      </c>
      <c r="O1105" t="s">
        <v>172</v>
      </c>
      <c r="Q1105">
        <v>2511895</v>
      </c>
      <c r="R1105">
        <v>2511895</v>
      </c>
      <c r="S1105">
        <v>2511741</v>
      </c>
      <c r="T1105">
        <v>0</v>
      </c>
      <c r="U1105" t="s">
        <v>173</v>
      </c>
      <c r="V1105">
        <v>0</v>
      </c>
      <c r="W1105" t="s">
        <v>174</v>
      </c>
      <c r="X1105">
        <v>2511741</v>
      </c>
      <c r="Z1105" t="s">
        <v>173</v>
      </c>
      <c r="AA1105" t="s">
        <v>173</v>
      </c>
    </row>
    <row r="1106" spans="1:27" x14ac:dyDescent="0.3">
      <c r="A1106">
        <v>1105</v>
      </c>
      <c r="B1106" t="s">
        <v>169</v>
      </c>
      <c r="C1106">
        <v>99019875</v>
      </c>
      <c r="D1106" s="7" t="s">
        <v>122</v>
      </c>
      <c r="E1106" t="s">
        <v>123</v>
      </c>
      <c r="F1106" t="s">
        <v>170</v>
      </c>
      <c r="G1106" t="s">
        <v>177</v>
      </c>
      <c r="H1106">
        <v>19</v>
      </c>
      <c r="I1106">
        <v>0</v>
      </c>
      <c r="J1106">
        <v>19</v>
      </c>
      <c r="K1106" s="133">
        <v>36065</v>
      </c>
      <c r="L1106" s="133">
        <v>36065</v>
      </c>
      <c r="M1106" s="150">
        <v>0.61427083333333332</v>
      </c>
      <c r="N1106" s="150">
        <v>0.61568287037037039</v>
      </c>
      <c r="O1106" t="s">
        <v>172</v>
      </c>
      <c r="Q1106">
        <v>2511896</v>
      </c>
      <c r="R1106">
        <v>2511896</v>
      </c>
      <c r="S1106">
        <v>2511742</v>
      </c>
      <c r="T1106">
        <v>0</v>
      </c>
      <c r="U1106" t="s">
        <v>173</v>
      </c>
      <c r="V1106">
        <v>0</v>
      </c>
      <c r="W1106" t="s">
        <v>174</v>
      </c>
      <c r="X1106">
        <v>2511742</v>
      </c>
      <c r="Z1106" t="s">
        <v>173</v>
      </c>
      <c r="AA1106" t="s">
        <v>173</v>
      </c>
    </row>
    <row r="1107" spans="1:27" x14ac:dyDescent="0.3">
      <c r="A1107">
        <v>1106</v>
      </c>
      <c r="B1107" t="s">
        <v>169</v>
      </c>
      <c r="C1107">
        <v>99019875</v>
      </c>
      <c r="D1107" s="7" t="s">
        <v>77</v>
      </c>
      <c r="E1107" t="s">
        <v>78</v>
      </c>
      <c r="F1107" t="s">
        <v>170</v>
      </c>
      <c r="G1107" t="s">
        <v>177</v>
      </c>
      <c r="H1107">
        <v>73</v>
      </c>
      <c r="I1107">
        <v>0</v>
      </c>
      <c r="J1107">
        <v>73</v>
      </c>
      <c r="K1107" s="133">
        <v>7355</v>
      </c>
      <c r="L1107" s="133">
        <v>7355</v>
      </c>
      <c r="M1107" s="150">
        <v>0.61427083333333332</v>
      </c>
      <c r="N1107" s="150">
        <v>0.61429398148148151</v>
      </c>
      <c r="O1107" t="s">
        <v>172</v>
      </c>
      <c r="Q1107">
        <v>2511899</v>
      </c>
      <c r="R1107">
        <v>2511899</v>
      </c>
      <c r="S1107">
        <v>2509492</v>
      </c>
      <c r="T1107">
        <v>0</v>
      </c>
      <c r="U1107" t="s">
        <v>173</v>
      </c>
      <c r="V1107">
        <v>0</v>
      </c>
      <c r="W1107" t="s">
        <v>174</v>
      </c>
      <c r="X1107">
        <v>2509492</v>
      </c>
      <c r="Z1107" t="s">
        <v>173</v>
      </c>
      <c r="AA1107" t="s">
        <v>173</v>
      </c>
    </row>
    <row r="1108" spans="1:27" x14ac:dyDescent="0.3">
      <c r="A1108">
        <v>1107</v>
      </c>
      <c r="B1108" t="s">
        <v>169</v>
      </c>
      <c r="C1108">
        <v>99019875</v>
      </c>
      <c r="D1108" s="7" t="s">
        <v>77</v>
      </c>
      <c r="E1108" t="s">
        <v>78</v>
      </c>
      <c r="F1108" t="s">
        <v>170</v>
      </c>
      <c r="G1108" t="s">
        <v>177</v>
      </c>
      <c r="H1108">
        <v>74</v>
      </c>
      <c r="I1108">
        <v>0</v>
      </c>
      <c r="J1108">
        <v>74</v>
      </c>
      <c r="K1108" s="133">
        <v>7355</v>
      </c>
      <c r="L1108" s="133">
        <v>7355</v>
      </c>
      <c r="M1108" s="150">
        <v>0.61427083333333332</v>
      </c>
      <c r="N1108" s="150">
        <v>0.61429398148148151</v>
      </c>
      <c r="O1108" t="s">
        <v>172</v>
      </c>
      <c r="Q1108">
        <v>2511900</v>
      </c>
      <c r="R1108">
        <v>2511900</v>
      </c>
      <c r="S1108">
        <v>2510499</v>
      </c>
      <c r="T1108">
        <v>0</v>
      </c>
      <c r="U1108" t="s">
        <v>173</v>
      </c>
      <c r="V1108">
        <v>0</v>
      </c>
      <c r="W1108" t="s">
        <v>174</v>
      </c>
      <c r="X1108">
        <v>2510499</v>
      </c>
      <c r="Z1108" t="s">
        <v>173</v>
      </c>
      <c r="AA1108" t="s">
        <v>173</v>
      </c>
    </row>
    <row r="1109" spans="1:27" x14ac:dyDescent="0.3">
      <c r="A1109">
        <v>1108</v>
      </c>
      <c r="B1109" t="s">
        <v>169</v>
      </c>
      <c r="C1109">
        <v>99019875</v>
      </c>
      <c r="D1109" s="7" t="s">
        <v>77</v>
      </c>
      <c r="E1109" t="s">
        <v>78</v>
      </c>
      <c r="F1109" t="s">
        <v>170</v>
      </c>
      <c r="G1109" t="s">
        <v>177</v>
      </c>
      <c r="H1109">
        <v>73</v>
      </c>
      <c r="I1109">
        <v>0</v>
      </c>
      <c r="J1109">
        <v>73</v>
      </c>
      <c r="K1109" s="133">
        <v>7355</v>
      </c>
      <c r="L1109" s="133">
        <v>7355</v>
      </c>
      <c r="M1109" s="150">
        <v>0.61427083333333332</v>
      </c>
      <c r="N1109" s="150">
        <v>0.61429398148148151</v>
      </c>
      <c r="O1109" t="s">
        <v>172</v>
      </c>
      <c r="Q1109">
        <v>2511901</v>
      </c>
      <c r="R1109">
        <v>2511901</v>
      </c>
      <c r="S1109">
        <v>2511234</v>
      </c>
      <c r="T1109">
        <v>0</v>
      </c>
      <c r="U1109" t="s">
        <v>173</v>
      </c>
      <c r="V1109">
        <v>0</v>
      </c>
      <c r="W1109" t="s">
        <v>174</v>
      </c>
      <c r="X1109">
        <v>2511234</v>
      </c>
      <c r="Z1109" t="s">
        <v>173</v>
      </c>
      <c r="AA1109" t="s">
        <v>173</v>
      </c>
    </row>
    <row r="1110" spans="1:27" x14ac:dyDescent="0.3">
      <c r="A1110">
        <v>1109</v>
      </c>
      <c r="B1110" t="s">
        <v>169</v>
      </c>
      <c r="C1110">
        <v>99019875</v>
      </c>
      <c r="D1110" s="7" t="s">
        <v>98</v>
      </c>
      <c r="E1110" t="s">
        <v>99</v>
      </c>
      <c r="F1110" t="s">
        <v>170</v>
      </c>
      <c r="G1110" t="s">
        <v>177</v>
      </c>
      <c r="H1110">
        <v>39</v>
      </c>
      <c r="I1110">
        <v>0</v>
      </c>
      <c r="J1110">
        <v>39</v>
      </c>
      <c r="K1110" s="133">
        <v>14300</v>
      </c>
      <c r="L1110" s="133">
        <v>14300</v>
      </c>
      <c r="M1110" s="150">
        <v>0.61428240740740747</v>
      </c>
      <c r="N1110" s="150">
        <v>0.61473379629629632</v>
      </c>
      <c r="O1110" t="s">
        <v>172</v>
      </c>
      <c r="Q1110">
        <v>2511956</v>
      </c>
      <c r="R1110">
        <v>2511956</v>
      </c>
      <c r="S1110">
        <v>2511855</v>
      </c>
      <c r="T1110">
        <v>0</v>
      </c>
      <c r="U1110" t="s">
        <v>173</v>
      </c>
      <c r="V1110">
        <v>0</v>
      </c>
      <c r="W1110" t="s">
        <v>174</v>
      </c>
      <c r="X1110">
        <v>2511855</v>
      </c>
      <c r="Z1110" t="s">
        <v>173</v>
      </c>
      <c r="AA1110" t="s">
        <v>173</v>
      </c>
    </row>
    <row r="1111" spans="1:27" x14ac:dyDescent="0.3">
      <c r="A1111">
        <v>1110</v>
      </c>
      <c r="B1111" t="s">
        <v>169</v>
      </c>
      <c r="C1111">
        <v>99019875</v>
      </c>
      <c r="D1111" s="7" t="s">
        <v>98</v>
      </c>
      <c r="E1111" t="s">
        <v>99</v>
      </c>
      <c r="F1111" t="s">
        <v>170</v>
      </c>
      <c r="G1111" t="s">
        <v>177</v>
      </c>
      <c r="H1111">
        <v>38</v>
      </c>
      <c r="I1111">
        <v>0</v>
      </c>
      <c r="J1111">
        <v>38</v>
      </c>
      <c r="K1111" s="133">
        <v>14300</v>
      </c>
      <c r="L1111" s="133">
        <v>14300</v>
      </c>
      <c r="M1111" s="150">
        <v>0.61428240740740747</v>
      </c>
      <c r="N1111" s="150">
        <v>0.61473379629629632</v>
      </c>
      <c r="O1111" t="s">
        <v>172</v>
      </c>
      <c r="Q1111">
        <v>2511957</v>
      </c>
      <c r="R1111">
        <v>2511957</v>
      </c>
      <c r="S1111">
        <v>2511856</v>
      </c>
      <c r="T1111">
        <v>0</v>
      </c>
      <c r="U1111" t="s">
        <v>173</v>
      </c>
      <c r="V1111">
        <v>0</v>
      </c>
      <c r="W1111" t="s">
        <v>174</v>
      </c>
      <c r="X1111">
        <v>2511856</v>
      </c>
      <c r="Z1111" t="s">
        <v>173</v>
      </c>
      <c r="AA1111" t="s">
        <v>173</v>
      </c>
    </row>
    <row r="1112" spans="1:27" x14ac:dyDescent="0.3">
      <c r="A1112">
        <v>1111</v>
      </c>
      <c r="B1112" t="s">
        <v>169</v>
      </c>
      <c r="C1112">
        <v>99019875</v>
      </c>
      <c r="D1112" s="7" t="s">
        <v>75</v>
      </c>
      <c r="E1112" t="s">
        <v>76</v>
      </c>
      <c r="F1112" t="s">
        <v>170</v>
      </c>
      <c r="G1112" t="s">
        <v>171</v>
      </c>
      <c r="H1112">
        <v>83</v>
      </c>
      <c r="I1112">
        <v>0</v>
      </c>
      <c r="J1112">
        <v>58</v>
      </c>
      <c r="K1112" s="133">
        <v>20770</v>
      </c>
      <c r="L1112" s="133">
        <v>20770</v>
      </c>
      <c r="M1112" s="150">
        <v>0.61436342592592597</v>
      </c>
      <c r="N1112" s="150">
        <v>0.61443287037037042</v>
      </c>
      <c r="O1112" t="s">
        <v>172</v>
      </c>
      <c r="Q1112">
        <v>2512167</v>
      </c>
      <c r="R1112">
        <v>2512167</v>
      </c>
      <c r="S1112">
        <v>0</v>
      </c>
      <c r="T1112">
        <v>25</v>
      </c>
      <c r="U1112" t="s">
        <v>173</v>
      </c>
      <c r="V1112">
        <v>0</v>
      </c>
      <c r="W1112" t="s">
        <v>174</v>
      </c>
      <c r="X1112">
        <v>0</v>
      </c>
      <c r="Z1112" t="s">
        <v>173</v>
      </c>
      <c r="AA1112" t="s">
        <v>173</v>
      </c>
    </row>
    <row r="1113" spans="1:27" x14ac:dyDescent="0.3">
      <c r="A1113">
        <v>1112</v>
      </c>
      <c r="B1113" t="s">
        <v>169</v>
      </c>
      <c r="C1113">
        <v>99019875</v>
      </c>
      <c r="D1113" s="7" t="s">
        <v>102</v>
      </c>
      <c r="E1113" t="s">
        <v>103</v>
      </c>
      <c r="F1113" t="s">
        <v>170</v>
      </c>
      <c r="G1113" t="s">
        <v>171</v>
      </c>
      <c r="H1113">
        <v>53</v>
      </c>
      <c r="I1113">
        <v>0</v>
      </c>
      <c r="J1113">
        <v>48</v>
      </c>
      <c r="K1113" s="133">
        <v>26855</v>
      </c>
      <c r="L1113" s="133">
        <v>26855</v>
      </c>
      <c r="M1113" s="150">
        <v>0.61436342592592597</v>
      </c>
      <c r="N1113" s="150">
        <v>0.61452546296296295</v>
      </c>
      <c r="O1113" t="s">
        <v>172</v>
      </c>
      <c r="Q1113">
        <v>2512168</v>
      </c>
      <c r="R1113">
        <v>2512168</v>
      </c>
      <c r="S1113">
        <v>0</v>
      </c>
      <c r="T1113">
        <v>5</v>
      </c>
      <c r="U1113" t="s">
        <v>173</v>
      </c>
      <c r="V1113">
        <v>0</v>
      </c>
      <c r="W1113" t="s">
        <v>174</v>
      </c>
      <c r="X1113">
        <v>0</v>
      </c>
      <c r="Z1113" t="s">
        <v>173</v>
      </c>
      <c r="AA1113" t="s">
        <v>173</v>
      </c>
    </row>
    <row r="1114" spans="1:27" x14ac:dyDescent="0.3">
      <c r="A1114">
        <v>1113</v>
      </c>
      <c r="B1114" t="s">
        <v>169</v>
      </c>
      <c r="C1114">
        <v>99019875</v>
      </c>
      <c r="D1114" s="7" t="s">
        <v>67</v>
      </c>
      <c r="E1114" t="s">
        <v>68</v>
      </c>
      <c r="F1114" t="s">
        <v>170</v>
      </c>
      <c r="G1114" t="s">
        <v>171</v>
      </c>
      <c r="H1114">
        <v>35</v>
      </c>
      <c r="I1114">
        <v>0</v>
      </c>
      <c r="J1114">
        <v>35</v>
      </c>
      <c r="K1114" s="133">
        <v>4820</v>
      </c>
      <c r="L1114" s="133">
        <v>4820</v>
      </c>
      <c r="M1114" s="150">
        <v>0.61436342592592597</v>
      </c>
      <c r="N1114" s="150">
        <v>0.61442129629629627</v>
      </c>
      <c r="O1114" t="s">
        <v>172</v>
      </c>
      <c r="Q1114">
        <v>2512169</v>
      </c>
      <c r="R1114">
        <v>2512169</v>
      </c>
      <c r="S1114">
        <v>0</v>
      </c>
      <c r="T1114">
        <v>0</v>
      </c>
      <c r="U1114" t="s">
        <v>173</v>
      </c>
      <c r="V1114">
        <v>0</v>
      </c>
      <c r="W1114" t="s">
        <v>174</v>
      </c>
      <c r="X1114">
        <v>0</v>
      </c>
      <c r="Z1114" t="s">
        <v>173</v>
      </c>
      <c r="AA1114" t="s">
        <v>173</v>
      </c>
    </row>
    <row r="1115" spans="1:27" x14ac:dyDescent="0.3">
      <c r="A1115">
        <v>1114</v>
      </c>
      <c r="B1115" t="s">
        <v>169</v>
      </c>
      <c r="C1115">
        <v>99019875</v>
      </c>
      <c r="D1115" s="7" t="s">
        <v>110</v>
      </c>
      <c r="E1115" t="s">
        <v>179</v>
      </c>
      <c r="F1115" t="s">
        <v>170</v>
      </c>
      <c r="G1115" t="s">
        <v>171</v>
      </c>
      <c r="H1115">
        <v>3</v>
      </c>
      <c r="I1115">
        <v>0</v>
      </c>
      <c r="J1115">
        <v>3</v>
      </c>
      <c r="K1115" s="133">
        <v>48510</v>
      </c>
      <c r="L1115" s="133">
        <v>48510</v>
      </c>
      <c r="M1115" s="150">
        <v>0.61436342592592597</v>
      </c>
      <c r="N1115" s="150">
        <v>0.61444444444444446</v>
      </c>
      <c r="O1115" t="s">
        <v>172</v>
      </c>
      <c r="Q1115">
        <v>2512170</v>
      </c>
      <c r="R1115">
        <v>2512170</v>
      </c>
      <c r="S1115">
        <v>0</v>
      </c>
      <c r="T1115">
        <v>0</v>
      </c>
      <c r="U1115" t="s">
        <v>173</v>
      </c>
      <c r="V1115">
        <v>0</v>
      </c>
      <c r="W1115" t="s">
        <v>174</v>
      </c>
      <c r="X1115">
        <v>0</v>
      </c>
      <c r="Z1115" t="s">
        <v>173</v>
      </c>
      <c r="AA1115" t="s">
        <v>173</v>
      </c>
    </row>
    <row r="1116" spans="1:27" x14ac:dyDescent="0.3">
      <c r="A1116">
        <v>1115</v>
      </c>
      <c r="B1116" t="s">
        <v>169</v>
      </c>
      <c r="C1116">
        <v>99019875</v>
      </c>
      <c r="D1116" s="7" t="s">
        <v>100</v>
      </c>
      <c r="E1116" t="s">
        <v>101</v>
      </c>
      <c r="F1116" t="s">
        <v>170</v>
      </c>
      <c r="G1116" t="s">
        <v>171</v>
      </c>
      <c r="H1116">
        <v>5</v>
      </c>
      <c r="I1116">
        <v>0</v>
      </c>
      <c r="J1116">
        <v>5</v>
      </c>
      <c r="K1116" s="133">
        <v>15520</v>
      </c>
      <c r="L1116" s="133">
        <v>15520</v>
      </c>
      <c r="M1116" s="150">
        <v>0.61436342592592597</v>
      </c>
      <c r="N1116" s="150">
        <v>0.61555555555555552</v>
      </c>
      <c r="O1116" t="s">
        <v>172</v>
      </c>
      <c r="Q1116">
        <v>2512172</v>
      </c>
      <c r="R1116">
        <v>2512172</v>
      </c>
      <c r="S1116">
        <v>0</v>
      </c>
      <c r="T1116">
        <v>0</v>
      </c>
      <c r="U1116" t="s">
        <v>173</v>
      </c>
      <c r="V1116">
        <v>0</v>
      </c>
      <c r="W1116" t="s">
        <v>174</v>
      </c>
      <c r="X1116">
        <v>0</v>
      </c>
      <c r="Z1116" t="s">
        <v>173</v>
      </c>
      <c r="AA1116" t="s">
        <v>173</v>
      </c>
    </row>
    <row r="1117" spans="1:27" x14ac:dyDescent="0.3">
      <c r="A1117">
        <v>1116</v>
      </c>
      <c r="B1117" t="s">
        <v>169</v>
      </c>
      <c r="C1117">
        <v>99019875</v>
      </c>
      <c r="D1117" s="7" t="s">
        <v>87</v>
      </c>
      <c r="E1117" t="s">
        <v>88</v>
      </c>
      <c r="F1117" t="s">
        <v>170</v>
      </c>
      <c r="G1117" t="s">
        <v>171</v>
      </c>
      <c r="H1117">
        <v>6</v>
      </c>
      <c r="I1117">
        <v>0</v>
      </c>
      <c r="J1117">
        <v>6</v>
      </c>
      <c r="K1117" s="133">
        <v>12165</v>
      </c>
      <c r="L1117" s="133">
        <v>12165</v>
      </c>
      <c r="M1117" s="150">
        <v>0.61436342592592597</v>
      </c>
      <c r="N1117" s="150">
        <v>0.61464120370370368</v>
      </c>
      <c r="O1117" t="s">
        <v>172</v>
      </c>
      <c r="Q1117">
        <v>2512173</v>
      </c>
      <c r="R1117">
        <v>2512173</v>
      </c>
      <c r="S1117">
        <v>0</v>
      </c>
      <c r="T1117">
        <v>0</v>
      </c>
      <c r="U1117" t="s">
        <v>173</v>
      </c>
      <c r="V1117">
        <v>0</v>
      </c>
      <c r="W1117" t="s">
        <v>174</v>
      </c>
      <c r="X1117">
        <v>0</v>
      </c>
      <c r="Z1117" t="s">
        <v>173</v>
      </c>
      <c r="AA1117" t="s">
        <v>173</v>
      </c>
    </row>
    <row r="1118" spans="1:27" x14ac:dyDescent="0.3">
      <c r="A1118">
        <v>1117</v>
      </c>
      <c r="B1118" t="s">
        <v>169</v>
      </c>
      <c r="C1118">
        <v>99019875</v>
      </c>
      <c r="D1118" s="7" t="s">
        <v>108</v>
      </c>
      <c r="E1118" t="s">
        <v>109</v>
      </c>
      <c r="F1118" t="s">
        <v>170</v>
      </c>
      <c r="G1118" t="s">
        <v>171</v>
      </c>
      <c r="H1118">
        <v>23</v>
      </c>
      <c r="I1118">
        <v>0</v>
      </c>
      <c r="J1118">
        <v>23</v>
      </c>
      <c r="K1118" s="133">
        <v>2715</v>
      </c>
      <c r="L1118" s="133">
        <v>2715</v>
      </c>
      <c r="M1118" s="150">
        <v>0.61436342592592597</v>
      </c>
      <c r="N1118" s="150">
        <v>0.62351851851851847</v>
      </c>
      <c r="O1118" t="s">
        <v>172</v>
      </c>
      <c r="Q1118">
        <v>2512174</v>
      </c>
      <c r="R1118">
        <v>2512174</v>
      </c>
      <c r="S1118">
        <v>0</v>
      </c>
      <c r="T1118">
        <v>0</v>
      </c>
      <c r="U1118" t="s">
        <v>173</v>
      </c>
      <c r="V1118">
        <v>0</v>
      </c>
      <c r="W1118" t="s">
        <v>174</v>
      </c>
      <c r="X1118">
        <v>0</v>
      </c>
      <c r="Z1118" t="s">
        <v>173</v>
      </c>
      <c r="AA1118" t="s">
        <v>173</v>
      </c>
    </row>
    <row r="1119" spans="1:27" x14ac:dyDescent="0.3">
      <c r="A1119">
        <v>1118</v>
      </c>
      <c r="B1119" t="s">
        <v>169</v>
      </c>
      <c r="C1119">
        <v>99019875</v>
      </c>
      <c r="D1119" s="7" t="s">
        <v>122</v>
      </c>
      <c r="E1119" t="s">
        <v>123</v>
      </c>
      <c r="F1119" t="s">
        <v>170</v>
      </c>
      <c r="G1119" t="s">
        <v>171</v>
      </c>
      <c r="H1119">
        <v>20</v>
      </c>
      <c r="I1119">
        <v>0</v>
      </c>
      <c r="J1119">
        <v>20</v>
      </c>
      <c r="K1119" s="133">
        <v>36065</v>
      </c>
      <c r="L1119" s="133">
        <v>36065</v>
      </c>
      <c r="M1119" s="150">
        <v>0.61436342592592597</v>
      </c>
      <c r="N1119" s="150">
        <v>0.61568287037037039</v>
      </c>
      <c r="O1119" t="s">
        <v>172</v>
      </c>
      <c r="Q1119">
        <v>2512175</v>
      </c>
      <c r="R1119">
        <v>2512175</v>
      </c>
      <c r="S1119">
        <v>0</v>
      </c>
      <c r="T1119">
        <v>0</v>
      </c>
      <c r="U1119" t="s">
        <v>173</v>
      </c>
      <c r="V1119">
        <v>0</v>
      </c>
      <c r="W1119" t="s">
        <v>174</v>
      </c>
      <c r="X1119">
        <v>0</v>
      </c>
      <c r="Z1119" t="s">
        <v>173</v>
      </c>
      <c r="AA1119" t="s">
        <v>173</v>
      </c>
    </row>
    <row r="1120" spans="1:27" x14ac:dyDescent="0.3">
      <c r="A1120">
        <v>1119</v>
      </c>
      <c r="B1120" t="s">
        <v>169</v>
      </c>
      <c r="C1120">
        <v>99019875</v>
      </c>
      <c r="D1120" s="7" t="s">
        <v>98</v>
      </c>
      <c r="E1120" t="s">
        <v>99</v>
      </c>
      <c r="F1120" t="s">
        <v>170</v>
      </c>
      <c r="G1120" t="s">
        <v>171</v>
      </c>
      <c r="H1120">
        <v>38</v>
      </c>
      <c r="I1120">
        <v>0</v>
      </c>
      <c r="J1120">
        <v>38</v>
      </c>
      <c r="K1120" s="133">
        <v>14300</v>
      </c>
      <c r="L1120" s="133">
        <v>14300</v>
      </c>
      <c r="M1120" s="150">
        <v>0.61436342592592597</v>
      </c>
      <c r="N1120" s="150">
        <v>0.61473379629629632</v>
      </c>
      <c r="O1120" t="s">
        <v>172</v>
      </c>
      <c r="Q1120">
        <v>2512176</v>
      </c>
      <c r="R1120">
        <v>2512176</v>
      </c>
      <c r="S1120">
        <v>0</v>
      </c>
      <c r="T1120">
        <v>0</v>
      </c>
      <c r="U1120" t="s">
        <v>173</v>
      </c>
      <c r="V1120">
        <v>0</v>
      </c>
      <c r="W1120" t="s">
        <v>174</v>
      </c>
      <c r="X1120">
        <v>0</v>
      </c>
      <c r="Z1120" t="s">
        <v>173</v>
      </c>
      <c r="AA1120" t="s">
        <v>173</v>
      </c>
    </row>
    <row r="1121" spans="1:27" x14ac:dyDescent="0.3">
      <c r="A1121">
        <v>1120</v>
      </c>
      <c r="B1121" t="s">
        <v>169</v>
      </c>
      <c r="C1121">
        <v>99019875</v>
      </c>
      <c r="D1121" s="7" t="s">
        <v>77</v>
      </c>
      <c r="E1121" t="s">
        <v>78</v>
      </c>
      <c r="F1121" t="s">
        <v>170</v>
      </c>
      <c r="G1121" t="s">
        <v>171</v>
      </c>
      <c r="H1121">
        <v>73</v>
      </c>
      <c r="I1121">
        <v>0</v>
      </c>
      <c r="J1121">
        <v>73</v>
      </c>
      <c r="K1121" s="133">
        <v>7350</v>
      </c>
      <c r="L1121" s="133">
        <v>7350</v>
      </c>
      <c r="M1121" s="150">
        <v>0.61436342592592597</v>
      </c>
      <c r="N1121" s="150">
        <v>0.61452546296296295</v>
      </c>
      <c r="O1121" t="s">
        <v>172</v>
      </c>
      <c r="Q1121">
        <v>2512177</v>
      </c>
      <c r="R1121">
        <v>2512177</v>
      </c>
      <c r="S1121">
        <v>0</v>
      </c>
      <c r="T1121">
        <v>0</v>
      </c>
      <c r="U1121" t="s">
        <v>173</v>
      </c>
      <c r="V1121">
        <v>0</v>
      </c>
      <c r="W1121" t="s">
        <v>174</v>
      </c>
      <c r="X1121">
        <v>0</v>
      </c>
      <c r="Z1121" t="s">
        <v>173</v>
      </c>
      <c r="AA1121" t="s">
        <v>173</v>
      </c>
    </row>
    <row r="1122" spans="1:27" x14ac:dyDescent="0.3">
      <c r="A1122">
        <v>1121</v>
      </c>
      <c r="B1122" t="s">
        <v>169</v>
      </c>
      <c r="C1122">
        <v>99019875</v>
      </c>
      <c r="D1122" s="7" t="s">
        <v>71</v>
      </c>
      <c r="E1122" t="s">
        <v>72</v>
      </c>
      <c r="F1122" t="s">
        <v>176</v>
      </c>
      <c r="G1122" t="s">
        <v>171</v>
      </c>
      <c r="H1122">
        <v>19</v>
      </c>
      <c r="I1122">
        <v>0</v>
      </c>
      <c r="J1122">
        <v>19</v>
      </c>
      <c r="K1122" s="133">
        <v>18050</v>
      </c>
      <c r="L1122" s="133">
        <v>18050</v>
      </c>
      <c r="M1122" s="150">
        <v>0.61436342592592597</v>
      </c>
      <c r="N1122" s="150">
        <v>0.61439814814814808</v>
      </c>
      <c r="O1122" t="s">
        <v>172</v>
      </c>
      <c r="Q1122">
        <v>2512178</v>
      </c>
      <c r="R1122">
        <v>2512178</v>
      </c>
      <c r="S1122">
        <v>0</v>
      </c>
      <c r="T1122">
        <v>0</v>
      </c>
      <c r="U1122" t="s">
        <v>173</v>
      </c>
      <c r="V1122">
        <v>0</v>
      </c>
      <c r="W1122" t="s">
        <v>174</v>
      </c>
      <c r="X1122">
        <v>0</v>
      </c>
      <c r="Z1122" t="s">
        <v>173</v>
      </c>
      <c r="AA1122" t="s">
        <v>173</v>
      </c>
    </row>
    <row r="1123" spans="1:27" x14ac:dyDescent="0.3">
      <c r="A1123">
        <v>1122</v>
      </c>
      <c r="B1123" t="s">
        <v>169</v>
      </c>
      <c r="C1123">
        <v>99019875</v>
      </c>
      <c r="D1123" s="7" t="s">
        <v>118</v>
      </c>
      <c r="E1123" t="s">
        <v>119</v>
      </c>
      <c r="F1123" t="s">
        <v>176</v>
      </c>
      <c r="G1123" t="s">
        <v>171</v>
      </c>
      <c r="H1123">
        <v>20</v>
      </c>
      <c r="I1123">
        <v>0</v>
      </c>
      <c r="J1123">
        <v>19</v>
      </c>
      <c r="K1123" s="133">
        <v>12425</v>
      </c>
      <c r="L1123" s="133">
        <v>12425</v>
      </c>
      <c r="M1123" s="150">
        <v>0.61436342592592597</v>
      </c>
      <c r="N1123" s="150">
        <v>0.61436342592592597</v>
      </c>
      <c r="O1123" t="s">
        <v>172</v>
      </c>
      <c r="Q1123">
        <v>2512180</v>
      </c>
      <c r="R1123">
        <v>2512180</v>
      </c>
      <c r="S1123">
        <v>0</v>
      </c>
      <c r="T1123">
        <v>1</v>
      </c>
      <c r="U1123" t="s">
        <v>173</v>
      </c>
      <c r="V1123">
        <v>0</v>
      </c>
      <c r="W1123" t="s">
        <v>174</v>
      </c>
      <c r="X1123">
        <v>0</v>
      </c>
      <c r="Z1123" t="s">
        <v>173</v>
      </c>
      <c r="AA1123" t="s">
        <v>173</v>
      </c>
    </row>
    <row r="1124" spans="1:27" x14ac:dyDescent="0.3">
      <c r="A1124">
        <v>1123</v>
      </c>
      <c r="B1124" t="s">
        <v>169</v>
      </c>
      <c r="C1124">
        <v>99019875</v>
      </c>
      <c r="D1124" s="7" t="s">
        <v>69</v>
      </c>
      <c r="E1124" t="s">
        <v>70</v>
      </c>
      <c r="F1124" t="s">
        <v>170</v>
      </c>
      <c r="G1124" t="s">
        <v>171</v>
      </c>
      <c r="H1124">
        <v>17</v>
      </c>
      <c r="I1124">
        <v>0</v>
      </c>
      <c r="J1124">
        <v>17</v>
      </c>
      <c r="K1124" s="133">
        <v>10295</v>
      </c>
      <c r="L1124" s="133">
        <v>10295</v>
      </c>
      <c r="M1124" s="150">
        <v>0.61436342592592597</v>
      </c>
      <c r="N1124" s="150">
        <v>0.61451388888888892</v>
      </c>
      <c r="O1124" t="s">
        <v>172</v>
      </c>
      <c r="Q1124">
        <v>2512183</v>
      </c>
      <c r="R1124">
        <v>2512183</v>
      </c>
      <c r="S1124">
        <v>0</v>
      </c>
      <c r="T1124">
        <v>0</v>
      </c>
      <c r="U1124" t="s">
        <v>173</v>
      </c>
      <c r="V1124">
        <v>0</v>
      </c>
      <c r="W1124" t="s">
        <v>174</v>
      </c>
      <c r="X1124">
        <v>0</v>
      </c>
      <c r="Z1124" t="s">
        <v>173</v>
      </c>
      <c r="AA1124" t="s">
        <v>173</v>
      </c>
    </row>
    <row r="1125" spans="1:27" x14ac:dyDescent="0.3">
      <c r="A1125">
        <v>1124</v>
      </c>
      <c r="B1125" t="s">
        <v>169</v>
      </c>
      <c r="C1125">
        <v>99019875</v>
      </c>
      <c r="D1125" s="7" t="s">
        <v>62</v>
      </c>
      <c r="E1125" t="s">
        <v>63</v>
      </c>
      <c r="F1125" t="s">
        <v>176</v>
      </c>
      <c r="G1125" t="s">
        <v>177</v>
      </c>
      <c r="H1125">
        <v>89</v>
      </c>
      <c r="I1125">
        <v>0</v>
      </c>
      <c r="J1125">
        <v>89</v>
      </c>
      <c r="K1125" s="133">
        <v>34105</v>
      </c>
      <c r="L1125" s="133">
        <v>34105</v>
      </c>
      <c r="M1125" s="150">
        <v>0.614375</v>
      </c>
      <c r="N1125" s="150">
        <v>0.61439814814814808</v>
      </c>
      <c r="O1125" t="s">
        <v>172</v>
      </c>
      <c r="Q1125">
        <v>2512227</v>
      </c>
      <c r="R1125">
        <v>2512227</v>
      </c>
      <c r="S1125">
        <v>2512165</v>
      </c>
      <c r="T1125">
        <v>0</v>
      </c>
      <c r="U1125" t="s">
        <v>173</v>
      </c>
      <c r="V1125">
        <v>0</v>
      </c>
      <c r="W1125" t="s">
        <v>174</v>
      </c>
      <c r="X1125">
        <v>2512165</v>
      </c>
      <c r="Z1125" t="s">
        <v>173</v>
      </c>
      <c r="AA1125" t="s">
        <v>173</v>
      </c>
    </row>
    <row r="1126" spans="1:27" x14ac:dyDescent="0.3">
      <c r="A1126">
        <v>1125</v>
      </c>
      <c r="B1126" t="s">
        <v>169</v>
      </c>
      <c r="C1126">
        <v>99019875</v>
      </c>
      <c r="D1126" s="7" t="s">
        <v>94</v>
      </c>
      <c r="E1126" t="s">
        <v>95</v>
      </c>
      <c r="F1126" t="s">
        <v>170</v>
      </c>
      <c r="G1126" t="s">
        <v>177</v>
      </c>
      <c r="H1126">
        <v>1</v>
      </c>
      <c r="I1126">
        <v>0</v>
      </c>
      <c r="J1126">
        <v>1</v>
      </c>
      <c r="K1126" s="133">
        <v>21985</v>
      </c>
      <c r="L1126" s="133">
        <v>21985</v>
      </c>
      <c r="M1126" s="150">
        <v>0.61439814814814808</v>
      </c>
      <c r="N1126" s="150">
        <v>0.61447916666666669</v>
      </c>
      <c r="O1126" t="s">
        <v>172</v>
      </c>
      <c r="Q1126">
        <v>2512305</v>
      </c>
      <c r="R1126">
        <v>2512305</v>
      </c>
      <c r="S1126">
        <v>2512220</v>
      </c>
      <c r="T1126">
        <v>0</v>
      </c>
      <c r="U1126" t="s">
        <v>173</v>
      </c>
      <c r="V1126">
        <v>0</v>
      </c>
      <c r="W1126" t="s">
        <v>174</v>
      </c>
      <c r="X1126">
        <v>2512220</v>
      </c>
      <c r="Z1126" t="s">
        <v>173</v>
      </c>
      <c r="AA1126" t="s">
        <v>173</v>
      </c>
    </row>
    <row r="1127" spans="1:27" x14ac:dyDescent="0.3">
      <c r="A1127">
        <v>1126</v>
      </c>
      <c r="B1127" t="s">
        <v>169</v>
      </c>
      <c r="C1127">
        <v>99019875</v>
      </c>
      <c r="D1127" s="7" t="s">
        <v>65</v>
      </c>
      <c r="E1127" t="s">
        <v>66</v>
      </c>
      <c r="F1127" t="s">
        <v>176</v>
      </c>
      <c r="G1127" t="s">
        <v>177</v>
      </c>
      <c r="H1127">
        <v>58</v>
      </c>
      <c r="I1127">
        <v>0</v>
      </c>
      <c r="J1127">
        <v>58</v>
      </c>
      <c r="K1127" s="133">
        <v>4750</v>
      </c>
      <c r="L1127" s="133">
        <v>4750</v>
      </c>
      <c r="M1127" s="150">
        <v>0.61440972222222223</v>
      </c>
      <c r="N1127" s="150">
        <v>0.61456018518518518</v>
      </c>
      <c r="O1127" t="s">
        <v>172</v>
      </c>
      <c r="Q1127">
        <v>2512337</v>
      </c>
      <c r="R1127">
        <v>2512337</v>
      </c>
      <c r="S1127">
        <v>2510880</v>
      </c>
      <c r="T1127">
        <v>0</v>
      </c>
      <c r="U1127" t="s">
        <v>173</v>
      </c>
      <c r="V1127">
        <v>0</v>
      </c>
      <c r="W1127" t="s">
        <v>174</v>
      </c>
      <c r="X1127">
        <v>2510880</v>
      </c>
      <c r="Z1127" t="s">
        <v>173</v>
      </c>
      <c r="AA1127" t="s">
        <v>173</v>
      </c>
    </row>
    <row r="1128" spans="1:27" x14ac:dyDescent="0.3">
      <c r="A1128">
        <v>1127</v>
      </c>
      <c r="B1128" t="s">
        <v>169</v>
      </c>
      <c r="C1128">
        <v>99019875</v>
      </c>
      <c r="D1128" s="7" t="s">
        <v>65</v>
      </c>
      <c r="E1128" t="s">
        <v>66</v>
      </c>
      <c r="F1128" t="s">
        <v>176</v>
      </c>
      <c r="G1128" t="s">
        <v>177</v>
      </c>
      <c r="H1128">
        <v>57</v>
      </c>
      <c r="I1128">
        <v>0</v>
      </c>
      <c r="J1128">
        <v>57</v>
      </c>
      <c r="K1128" s="133">
        <v>4750</v>
      </c>
      <c r="L1128" s="133">
        <v>4750</v>
      </c>
      <c r="M1128" s="150">
        <v>0.61440972222222223</v>
      </c>
      <c r="N1128" s="150">
        <v>0.61456018518518518</v>
      </c>
      <c r="O1128" t="s">
        <v>172</v>
      </c>
      <c r="Q1128">
        <v>2512338</v>
      </c>
      <c r="R1128">
        <v>2512338</v>
      </c>
      <c r="S1128">
        <v>2511236</v>
      </c>
      <c r="T1128">
        <v>0</v>
      </c>
      <c r="U1128" t="s">
        <v>173</v>
      </c>
      <c r="V1128">
        <v>0</v>
      </c>
      <c r="W1128" t="s">
        <v>174</v>
      </c>
      <c r="X1128">
        <v>2511236</v>
      </c>
      <c r="Z1128" t="s">
        <v>173</v>
      </c>
      <c r="AA1128" t="s">
        <v>173</v>
      </c>
    </row>
    <row r="1129" spans="1:27" x14ac:dyDescent="0.3">
      <c r="A1129">
        <v>1128</v>
      </c>
      <c r="B1129" t="s">
        <v>169</v>
      </c>
      <c r="C1129">
        <v>99019875</v>
      </c>
      <c r="D1129" s="7" t="s">
        <v>65</v>
      </c>
      <c r="E1129" t="s">
        <v>66</v>
      </c>
      <c r="F1129" t="s">
        <v>176</v>
      </c>
      <c r="G1129" t="s">
        <v>177</v>
      </c>
      <c r="H1129">
        <v>57</v>
      </c>
      <c r="I1129">
        <v>0</v>
      </c>
      <c r="J1129">
        <v>57</v>
      </c>
      <c r="K1129" s="133">
        <v>4750</v>
      </c>
      <c r="L1129" s="133">
        <v>4750</v>
      </c>
      <c r="M1129" s="150">
        <v>0.61440972222222223</v>
      </c>
      <c r="N1129" s="150">
        <v>0.61456018518518518</v>
      </c>
      <c r="O1129" t="s">
        <v>172</v>
      </c>
      <c r="Q1129">
        <v>2512339</v>
      </c>
      <c r="R1129">
        <v>2512339</v>
      </c>
      <c r="S1129">
        <v>2512179</v>
      </c>
      <c r="T1129">
        <v>0</v>
      </c>
      <c r="U1129" t="s">
        <v>173</v>
      </c>
      <c r="V1129">
        <v>0</v>
      </c>
      <c r="W1129" t="s">
        <v>174</v>
      </c>
      <c r="X1129">
        <v>2512179</v>
      </c>
      <c r="Z1129" t="s">
        <v>173</v>
      </c>
      <c r="AA1129" t="s">
        <v>173</v>
      </c>
    </row>
    <row r="1130" spans="1:27" x14ac:dyDescent="0.3">
      <c r="A1130">
        <v>1129</v>
      </c>
      <c r="B1130" t="s">
        <v>169</v>
      </c>
      <c r="C1130">
        <v>99019875</v>
      </c>
      <c r="D1130" s="7" t="s">
        <v>118</v>
      </c>
      <c r="E1130" t="s">
        <v>119</v>
      </c>
      <c r="F1130" t="s">
        <v>176</v>
      </c>
      <c r="G1130" t="s">
        <v>177</v>
      </c>
      <c r="H1130">
        <v>1</v>
      </c>
      <c r="I1130">
        <v>0</v>
      </c>
      <c r="J1130">
        <v>1</v>
      </c>
      <c r="K1130" s="133">
        <v>12420</v>
      </c>
      <c r="L1130" s="133">
        <v>12420</v>
      </c>
      <c r="M1130" s="150">
        <v>0.61449074074074073</v>
      </c>
      <c r="N1130" s="150">
        <v>0.61466435185185186</v>
      </c>
      <c r="O1130" t="s">
        <v>172</v>
      </c>
      <c r="Q1130">
        <v>2512640</v>
      </c>
      <c r="R1130">
        <v>2512640</v>
      </c>
      <c r="S1130">
        <v>2512180</v>
      </c>
      <c r="T1130">
        <v>0</v>
      </c>
      <c r="U1130" t="s">
        <v>173</v>
      </c>
      <c r="V1130">
        <v>0</v>
      </c>
      <c r="W1130" t="s">
        <v>174</v>
      </c>
      <c r="X1130">
        <v>2512180</v>
      </c>
      <c r="Z1130" t="s">
        <v>173</v>
      </c>
      <c r="AA1130" t="s">
        <v>173</v>
      </c>
    </row>
    <row r="1131" spans="1:27" x14ac:dyDescent="0.3">
      <c r="A1131">
        <v>1130</v>
      </c>
      <c r="B1131" t="s">
        <v>169</v>
      </c>
      <c r="C1131">
        <v>99019875</v>
      </c>
      <c r="D1131" s="7" t="s">
        <v>89</v>
      </c>
      <c r="E1131" t="s">
        <v>90</v>
      </c>
      <c r="F1131" t="s">
        <v>176</v>
      </c>
      <c r="G1131" t="s">
        <v>177</v>
      </c>
      <c r="H1131">
        <v>31</v>
      </c>
      <c r="I1131">
        <v>0</v>
      </c>
      <c r="J1131">
        <v>31</v>
      </c>
      <c r="K1131" s="133">
        <v>3090</v>
      </c>
      <c r="L1131" s="133">
        <v>3090</v>
      </c>
      <c r="M1131" s="150">
        <v>0.61458333333333337</v>
      </c>
      <c r="N1131" s="150">
        <v>0.61511574074074071</v>
      </c>
      <c r="O1131" t="s">
        <v>172</v>
      </c>
      <c r="Q1131">
        <v>2512963</v>
      </c>
      <c r="R1131">
        <v>2512963</v>
      </c>
      <c r="S1131">
        <v>2512171</v>
      </c>
      <c r="T1131">
        <v>0</v>
      </c>
      <c r="U1131" t="s">
        <v>173</v>
      </c>
      <c r="V1131">
        <v>0</v>
      </c>
      <c r="W1131" t="s">
        <v>174</v>
      </c>
      <c r="X1131">
        <v>2512171</v>
      </c>
      <c r="Z1131" t="s">
        <v>173</v>
      </c>
      <c r="AA1131" t="s">
        <v>173</v>
      </c>
    </row>
    <row r="1132" spans="1:27" x14ac:dyDescent="0.3">
      <c r="A1132">
        <v>1131</v>
      </c>
      <c r="B1132" t="s">
        <v>169</v>
      </c>
      <c r="C1132">
        <v>99019875</v>
      </c>
      <c r="D1132" s="7" t="s">
        <v>140</v>
      </c>
      <c r="E1132" t="s">
        <v>178</v>
      </c>
      <c r="F1132" t="s">
        <v>170</v>
      </c>
      <c r="G1132" t="s">
        <v>177</v>
      </c>
      <c r="H1132">
        <v>20</v>
      </c>
      <c r="I1132">
        <v>0</v>
      </c>
      <c r="J1132">
        <v>20</v>
      </c>
      <c r="K1132" s="133">
        <v>8640</v>
      </c>
      <c r="L1132" s="133">
        <v>8640</v>
      </c>
      <c r="M1132" s="150">
        <v>0.61459490740740741</v>
      </c>
      <c r="N1132" s="150">
        <v>0.61462962962962964</v>
      </c>
      <c r="O1132" t="s">
        <v>172</v>
      </c>
      <c r="Q1132">
        <v>2513018</v>
      </c>
      <c r="R1132">
        <v>2513018</v>
      </c>
      <c r="S1132">
        <v>2512182</v>
      </c>
      <c r="T1132">
        <v>0</v>
      </c>
      <c r="U1132" t="s">
        <v>173</v>
      </c>
      <c r="V1132">
        <v>0</v>
      </c>
      <c r="W1132" t="s">
        <v>174</v>
      </c>
      <c r="X1132">
        <v>2512182</v>
      </c>
      <c r="Z1132" t="s">
        <v>173</v>
      </c>
      <c r="AA1132" t="s">
        <v>173</v>
      </c>
    </row>
    <row r="1133" spans="1:27" x14ac:dyDescent="0.3">
      <c r="A1133">
        <v>1132</v>
      </c>
      <c r="B1133" t="s">
        <v>169</v>
      </c>
      <c r="C1133">
        <v>99019875</v>
      </c>
      <c r="D1133" s="7" t="s">
        <v>110</v>
      </c>
      <c r="E1133" t="s">
        <v>179</v>
      </c>
      <c r="F1133" t="s">
        <v>170</v>
      </c>
      <c r="G1133" t="s">
        <v>171</v>
      </c>
      <c r="H1133">
        <v>3</v>
      </c>
      <c r="I1133">
        <v>0</v>
      </c>
      <c r="J1133">
        <v>3</v>
      </c>
      <c r="K1133" s="133">
        <v>48510</v>
      </c>
      <c r="L1133" s="133">
        <v>48510</v>
      </c>
      <c r="M1133" s="150">
        <v>0.61465277777777783</v>
      </c>
      <c r="N1133" s="150">
        <v>0.61472222222222228</v>
      </c>
      <c r="O1133" t="s">
        <v>172</v>
      </c>
      <c r="Q1133">
        <v>2513176</v>
      </c>
      <c r="R1133">
        <v>2513176</v>
      </c>
      <c r="S1133">
        <v>0</v>
      </c>
      <c r="T1133">
        <v>0</v>
      </c>
      <c r="U1133" t="s">
        <v>173</v>
      </c>
      <c r="V1133">
        <v>0</v>
      </c>
      <c r="W1133" t="s">
        <v>174</v>
      </c>
      <c r="X1133">
        <v>0</v>
      </c>
      <c r="Z1133" t="s">
        <v>173</v>
      </c>
      <c r="AA1133" t="s">
        <v>173</v>
      </c>
    </row>
    <row r="1134" spans="1:27" x14ac:dyDescent="0.3">
      <c r="A1134">
        <v>1133</v>
      </c>
      <c r="B1134" t="s">
        <v>169</v>
      </c>
      <c r="C1134">
        <v>99019875</v>
      </c>
      <c r="D1134" s="7" t="s">
        <v>89</v>
      </c>
      <c r="E1134" t="s">
        <v>90</v>
      </c>
      <c r="F1134" t="s">
        <v>176</v>
      </c>
      <c r="G1134" t="s">
        <v>171</v>
      </c>
      <c r="H1134">
        <v>30</v>
      </c>
      <c r="I1134">
        <v>0</v>
      </c>
      <c r="J1134">
        <v>30</v>
      </c>
      <c r="K1134" s="133">
        <v>3090</v>
      </c>
      <c r="L1134" s="133">
        <v>3090</v>
      </c>
      <c r="M1134" s="150">
        <v>0.61465277777777783</v>
      </c>
      <c r="N1134" s="150">
        <v>0.61511574074074071</v>
      </c>
      <c r="O1134" t="s">
        <v>172</v>
      </c>
      <c r="Q1134">
        <v>2513177</v>
      </c>
      <c r="R1134">
        <v>2513177</v>
      </c>
      <c r="S1134">
        <v>0</v>
      </c>
      <c r="T1134">
        <v>0</v>
      </c>
      <c r="U1134" t="s">
        <v>173</v>
      </c>
      <c r="V1134">
        <v>0</v>
      </c>
      <c r="W1134" t="s">
        <v>174</v>
      </c>
      <c r="X1134">
        <v>0</v>
      </c>
      <c r="Z1134" t="s">
        <v>173</v>
      </c>
      <c r="AA1134" t="s">
        <v>173</v>
      </c>
    </row>
    <row r="1135" spans="1:27" x14ac:dyDescent="0.3">
      <c r="A1135">
        <v>1134</v>
      </c>
      <c r="B1135" t="s">
        <v>169</v>
      </c>
      <c r="C1135">
        <v>99019875</v>
      </c>
      <c r="D1135" s="7" t="s">
        <v>100</v>
      </c>
      <c r="E1135" t="s">
        <v>101</v>
      </c>
      <c r="F1135" t="s">
        <v>170</v>
      </c>
      <c r="G1135" t="s">
        <v>171</v>
      </c>
      <c r="H1135">
        <v>4</v>
      </c>
      <c r="I1135">
        <v>0</v>
      </c>
      <c r="J1135">
        <v>4</v>
      </c>
      <c r="K1135" s="133">
        <v>15520</v>
      </c>
      <c r="L1135" s="133">
        <v>15520</v>
      </c>
      <c r="M1135" s="150">
        <v>0.61465277777777783</v>
      </c>
      <c r="N1135" s="150">
        <v>0.61555555555555552</v>
      </c>
      <c r="O1135" t="s">
        <v>172</v>
      </c>
      <c r="Q1135">
        <v>2513178</v>
      </c>
      <c r="R1135">
        <v>2513178</v>
      </c>
      <c r="S1135">
        <v>0</v>
      </c>
      <c r="T1135">
        <v>0</v>
      </c>
      <c r="U1135" t="s">
        <v>173</v>
      </c>
      <c r="V1135">
        <v>0</v>
      </c>
      <c r="W1135" t="s">
        <v>174</v>
      </c>
      <c r="X1135">
        <v>0</v>
      </c>
      <c r="Z1135" t="s">
        <v>173</v>
      </c>
      <c r="AA1135" t="s">
        <v>173</v>
      </c>
    </row>
    <row r="1136" spans="1:27" x14ac:dyDescent="0.3">
      <c r="A1136">
        <v>1135</v>
      </c>
      <c r="B1136" t="s">
        <v>169</v>
      </c>
      <c r="C1136">
        <v>99019875</v>
      </c>
      <c r="D1136" s="7" t="s">
        <v>87</v>
      </c>
      <c r="E1136" t="s">
        <v>88</v>
      </c>
      <c r="F1136" t="s">
        <v>170</v>
      </c>
      <c r="G1136" t="s">
        <v>171</v>
      </c>
      <c r="H1136">
        <v>6</v>
      </c>
      <c r="I1136">
        <v>0</v>
      </c>
      <c r="J1136">
        <v>6</v>
      </c>
      <c r="K1136" s="133">
        <v>12165</v>
      </c>
      <c r="L1136" s="133">
        <v>12165</v>
      </c>
      <c r="M1136" s="150">
        <v>0.61465277777777783</v>
      </c>
      <c r="N1136" s="150">
        <v>0.61474537037037036</v>
      </c>
      <c r="O1136" t="s">
        <v>172</v>
      </c>
      <c r="Q1136">
        <v>2513179</v>
      </c>
      <c r="R1136">
        <v>2513179</v>
      </c>
      <c r="S1136">
        <v>0</v>
      </c>
      <c r="T1136">
        <v>0</v>
      </c>
      <c r="U1136" t="s">
        <v>173</v>
      </c>
      <c r="V1136">
        <v>0</v>
      </c>
      <c r="W1136" t="s">
        <v>174</v>
      </c>
      <c r="X1136">
        <v>0</v>
      </c>
      <c r="Z1136" t="s">
        <v>173</v>
      </c>
      <c r="AA1136" t="s">
        <v>173</v>
      </c>
    </row>
    <row r="1137" spans="1:27" x14ac:dyDescent="0.3">
      <c r="A1137">
        <v>1136</v>
      </c>
      <c r="B1137" t="s">
        <v>169</v>
      </c>
      <c r="C1137">
        <v>99019875</v>
      </c>
      <c r="D1137" s="7" t="s">
        <v>108</v>
      </c>
      <c r="E1137" t="s">
        <v>109</v>
      </c>
      <c r="F1137" t="s">
        <v>170</v>
      </c>
      <c r="G1137" t="s">
        <v>171</v>
      </c>
      <c r="H1137">
        <v>24</v>
      </c>
      <c r="I1137">
        <v>0</v>
      </c>
      <c r="J1137">
        <v>24</v>
      </c>
      <c r="K1137" s="133">
        <v>2715</v>
      </c>
      <c r="L1137" s="133">
        <v>2715</v>
      </c>
      <c r="M1137" s="150">
        <v>0.61465277777777783</v>
      </c>
      <c r="N1137" s="150">
        <v>0.62351851851851847</v>
      </c>
      <c r="O1137" t="s">
        <v>172</v>
      </c>
      <c r="Q1137">
        <v>2513180</v>
      </c>
      <c r="R1137">
        <v>2513180</v>
      </c>
      <c r="S1137">
        <v>0</v>
      </c>
      <c r="T1137">
        <v>0</v>
      </c>
      <c r="U1137" t="s">
        <v>173</v>
      </c>
      <c r="V1137">
        <v>0</v>
      </c>
      <c r="W1137" t="s">
        <v>174</v>
      </c>
      <c r="X1137">
        <v>0</v>
      </c>
      <c r="Z1137" t="s">
        <v>173</v>
      </c>
      <c r="AA1137" t="s">
        <v>173</v>
      </c>
    </row>
    <row r="1138" spans="1:27" x14ac:dyDescent="0.3">
      <c r="A1138">
        <v>1137</v>
      </c>
      <c r="B1138" t="s">
        <v>169</v>
      </c>
      <c r="C1138">
        <v>99019875</v>
      </c>
      <c r="D1138" s="7" t="s">
        <v>122</v>
      </c>
      <c r="E1138" t="s">
        <v>123</v>
      </c>
      <c r="F1138" t="s">
        <v>170</v>
      </c>
      <c r="G1138" t="s">
        <v>171</v>
      </c>
      <c r="H1138">
        <v>20</v>
      </c>
      <c r="I1138">
        <v>0</v>
      </c>
      <c r="J1138">
        <v>20</v>
      </c>
      <c r="K1138" s="133">
        <v>36065</v>
      </c>
      <c r="L1138" s="133">
        <v>36065</v>
      </c>
      <c r="M1138" s="150">
        <v>0.61465277777777783</v>
      </c>
      <c r="N1138" s="150">
        <v>0.61568287037037039</v>
      </c>
      <c r="O1138" t="s">
        <v>172</v>
      </c>
      <c r="Q1138">
        <v>2513181</v>
      </c>
      <c r="R1138">
        <v>2513181</v>
      </c>
      <c r="S1138">
        <v>0</v>
      </c>
      <c r="T1138">
        <v>0</v>
      </c>
      <c r="U1138" t="s">
        <v>173</v>
      </c>
      <c r="V1138">
        <v>0</v>
      </c>
      <c r="W1138" t="s">
        <v>174</v>
      </c>
      <c r="X1138">
        <v>0</v>
      </c>
      <c r="Z1138" t="s">
        <v>173</v>
      </c>
      <c r="AA1138" t="s">
        <v>173</v>
      </c>
    </row>
    <row r="1139" spans="1:27" x14ac:dyDescent="0.3">
      <c r="A1139">
        <v>1138</v>
      </c>
      <c r="B1139" t="s">
        <v>169</v>
      </c>
      <c r="C1139">
        <v>99019875</v>
      </c>
      <c r="D1139" s="7" t="s">
        <v>98</v>
      </c>
      <c r="E1139" t="s">
        <v>99</v>
      </c>
      <c r="F1139" t="s">
        <v>170</v>
      </c>
      <c r="G1139" t="s">
        <v>171</v>
      </c>
      <c r="H1139">
        <v>39</v>
      </c>
      <c r="I1139">
        <v>0</v>
      </c>
      <c r="J1139">
        <v>8</v>
      </c>
      <c r="K1139" s="133">
        <v>14300</v>
      </c>
      <c r="L1139" s="133">
        <v>14300</v>
      </c>
      <c r="M1139" s="150">
        <v>0.61465277777777783</v>
      </c>
      <c r="N1139" s="150">
        <v>0.61473379629629632</v>
      </c>
      <c r="O1139" t="s">
        <v>172</v>
      </c>
      <c r="Q1139">
        <v>2513182</v>
      </c>
      <c r="R1139">
        <v>2513182</v>
      </c>
      <c r="S1139">
        <v>0</v>
      </c>
      <c r="T1139">
        <v>31</v>
      </c>
      <c r="U1139" t="s">
        <v>173</v>
      </c>
      <c r="V1139">
        <v>0</v>
      </c>
      <c r="W1139" t="s">
        <v>174</v>
      </c>
      <c r="X1139">
        <v>0</v>
      </c>
      <c r="Z1139" t="s">
        <v>173</v>
      </c>
      <c r="AA1139" t="s">
        <v>173</v>
      </c>
    </row>
    <row r="1140" spans="1:27" x14ac:dyDescent="0.3">
      <c r="A1140">
        <v>1139</v>
      </c>
      <c r="B1140" t="s">
        <v>169</v>
      </c>
      <c r="C1140">
        <v>99019875</v>
      </c>
      <c r="D1140" s="7" t="s">
        <v>65</v>
      </c>
      <c r="E1140" t="s">
        <v>66</v>
      </c>
      <c r="F1140" t="s">
        <v>176</v>
      </c>
      <c r="G1140" t="s">
        <v>171</v>
      </c>
      <c r="H1140">
        <v>58</v>
      </c>
      <c r="I1140">
        <v>0</v>
      </c>
      <c r="J1140">
        <v>58</v>
      </c>
      <c r="K1140" s="133">
        <v>4750</v>
      </c>
      <c r="L1140" s="133">
        <v>4750</v>
      </c>
      <c r="M1140" s="150">
        <v>0.61465277777777783</v>
      </c>
      <c r="N1140" s="150">
        <v>0.61471064814814813</v>
      </c>
      <c r="O1140" t="s">
        <v>172</v>
      </c>
      <c r="Q1140">
        <v>2513186</v>
      </c>
      <c r="R1140">
        <v>2513186</v>
      </c>
      <c r="S1140">
        <v>0</v>
      </c>
      <c r="T1140">
        <v>0</v>
      </c>
      <c r="U1140" t="s">
        <v>173</v>
      </c>
      <c r="V1140">
        <v>0</v>
      </c>
      <c r="W1140" t="s">
        <v>174</v>
      </c>
      <c r="X1140">
        <v>0</v>
      </c>
      <c r="Z1140" t="s">
        <v>173</v>
      </c>
      <c r="AA1140" t="s">
        <v>173</v>
      </c>
    </row>
    <row r="1141" spans="1:27" x14ac:dyDescent="0.3">
      <c r="A1141">
        <v>1140</v>
      </c>
      <c r="B1141" t="s">
        <v>169</v>
      </c>
      <c r="C1141">
        <v>99019875</v>
      </c>
      <c r="D1141" s="7" t="s">
        <v>118</v>
      </c>
      <c r="E1141" t="s">
        <v>119</v>
      </c>
      <c r="F1141" t="s">
        <v>176</v>
      </c>
      <c r="G1141" t="s">
        <v>171</v>
      </c>
      <c r="H1141">
        <v>20</v>
      </c>
      <c r="I1141">
        <v>0</v>
      </c>
      <c r="J1141">
        <v>20</v>
      </c>
      <c r="K1141" s="133">
        <v>12420</v>
      </c>
      <c r="L1141" s="133">
        <v>12420</v>
      </c>
      <c r="M1141" s="150">
        <v>0.61465277777777783</v>
      </c>
      <c r="N1141" s="150">
        <v>0.61473379629629632</v>
      </c>
      <c r="O1141" t="s">
        <v>172</v>
      </c>
      <c r="Q1141">
        <v>2513188</v>
      </c>
      <c r="R1141">
        <v>2513188</v>
      </c>
      <c r="S1141">
        <v>0</v>
      </c>
      <c r="T1141">
        <v>0</v>
      </c>
      <c r="U1141" t="s">
        <v>173</v>
      </c>
      <c r="V1141">
        <v>0</v>
      </c>
      <c r="W1141" t="s">
        <v>174</v>
      </c>
      <c r="X1141">
        <v>0</v>
      </c>
      <c r="Z1141" t="s">
        <v>173</v>
      </c>
      <c r="AA1141" t="s">
        <v>173</v>
      </c>
    </row>
    <row r="1142" spans="1:27" x14ac:dyDescent="0.3">
      <c r="A1142">
        <v>1141</v>
      </c>
      <c r="B1142" t="s">
        <v>169</v>
      </c>
      <c r="C1142">
        <v>99019875</v>
      </c>
      <c r="D1142" s="7" t="s">
        <v>69</v>
      </c>
      <c r="E1142" t="s">
        <v>70</v>
      </c>
      <c r="F1142" t="s">
        <v>170</v>
      </c>
      <c r="G1142" t="s">
        <v>171</v>
      </c>
      <c r="H1142">
        <v>17</v>
      </c>
      <c r="I1142">
        <v>0</v>
      </c>
      <c r="J1142">
        <v>17</v>
      </c>
      <c r="K1142" s="133">
        <v>10290</v>
      </c>
      <c r="L1142" s="133">
        <v>10290</v>
      </c>
      <c r="M1142" s="150">
        <v>0.61465277777777783</v>
      </c>
      <c r="N1142" s="150">
        <v>0.61472222222222228</v>
      </c>
      <c r="O1142" t="s">
        <v>172</v>
      </c>
      <c r="Q1142">
        <v>2513191</v>
      </c>
      <c r="R1142">
        <v>2513191</v>
      </c>
      <c r="S1142">
        <v>0</v>
      </c>
      <c r="T1142">
        <v>0</v>
      </c>
      <c r="U1142" t="s">
        <v>173</v>
      </c>
      <c r="V1142">
        <v>0</v>
      </c>
      <c r="W1142" t="s">
        <v>174</v>
      </c>
      <c r="X1142">
        <v>0</v>
      </c>
      <c r="Z1142" t="s">
        <v>173</v>
      </c>
      <c r="AA1142" t="s">
        <v>173</v>
      </c>
    </row>
    <row r="1143" spans="1:27" x14ac:dyDescent="0.3">
      <c r="A1143">
        <v>1142</v>
      </c>
      <c r="B1143" t="s">
        <v>169</v>
      </c>
      <c r="C1143">
        <v>99019875</v>
      </c>
      <c r="D1143" s="7" t="s">
        <v>62</v>
      </c>
      <c r="E1143" t="s">
        <v>63</v>
      </c>
      <c r="F1143" t="s">
        <v>176</v>
      </c>
      <c r="G1143" t="s">
        <v>177</v>
      </c>
      <c r="H1143">
        <v>89</v>
      </c>
      <c r="I1143">
        <v>0</v>
      </c>
      <c r="J1143">
        <v>89</v>
      </c>
      <c r="K1143" s="133">
        <v>34080</v>
      </c>
      <c r="L1143" s="133">
        <v>34080</v>
      </c>
      <c r="M1143" s="150">
        <v>0.61468749999999994</v>
      </c>
      <c r="N1143" s="150">
        <v>0.61469907407407409</v>
      </c>
      <c r="O1143" t="s">
        <v>172</v>
      </c>
      <c r="Q1143">
        <v>2513223</v>
      </c>
      <c r="R1143">
        <v>2513223</v>
      </c>
      <c r="S1143">
        <v>2513171</v>
      </c>
      <c r="T1143">
        <v>0</v>
      </c>
      <c r="U1143" t="s">
        <v>173</v>
      </c>
      <c r="V1143">
        <v>0</v>
      </c>
      <c r="W1143" t="s">
        <v>174</v>
      </c>
      <c r="X1143">
        <v>2513171</v>
      </c>
      <c r="Z1143" t="s">
        <v>173</v>
      </c>
      <c r="AA1143" t="s">
        <v>173</v>
      </c>
    </row>
    <row r="1144" spans="1:27" x14ac:dyDescent="0.3">
      <c r="A1144">
        <v>1143</v>
      </c>
      <c r="B1144" t="s">
        <v>169</v>
      </c>
      <c r="C1144">
        <v>99019875</v>
      </c>
      <c r="D1144" s="7" t="s">
        <v>96</v>
      </c>
      <c r="E1144" t="s">
        <v>97</v>
      </c>
      <c r="F1144" t="s">
        <v>170</v>
      </c>
      <c r="G1144" t="s">
        <v>177</v>
      </c>
      <c r="H1144">
        <v>15</v>
      </c>
      <c r="I1144">
        <v>0</v>
      </c>
      <c r="J1144">
        <v>15</v>
      </c>
      <c r="K1144" s="133">
        <v>8310</v>
      </c>
      <c r="L1144" s="133">
        <v>8310</v>
      </c>
      <c r="M1144" s="150">
        <v>0.61468749999999994</v>
      </c>
      <c r="N1144" s="150">
        <v>0.61709490740740736</v>
      </c>
      <c r="O1144" t="s">
        <v>172</v>
      </c>
      <c r="Q1144">
        <v>2513228</v>
      </c>
      <c r="R1144">
        <v>2513228</v>
      </c>
      <c r="S1144">
        <v>2507446</v>
      </c>
      <c r="T1144">
        <v>0</v>
      </c>
      <c r="U1144" t="s">
        <v>173</v>
      </c>
      <c r="V1144">
        <v>0</v>
      </c>
      <c r="W1144" t="s">
        <v>174</v>
      </c>
      <c r="X1144">
        <v>2507446</v>
      </c>
      <c r="Z1144" t="s">
        <v>173</v>
      </c>
      <c r="AA1144" t="s">
        <v>173</v>
      </c>
    </row>
    <row r="1145" spans="1:27" x14ac:dyDescent="0.3">
      <c r="A1145">
        <v>1144</v>
      </c>
      <c r="B1145" t="s">
        <v>169</v>
      </c>
      <c r="C1145">
        <v>99019875</v>
      </c>
      <c r="D1145" s="7" t="s">
        <v>96</v>
      </c>
      <c r="E1145" t="s">
        <v>97</v>
      </c>
      <c r="F1145" t="s">
        <v>170</v>
      </c>
      <c r="G1145" t="s">
        <v>177</v>
      </c>
      <c r="H1145">
        <v>27</v>
      </c>
      <c r="I1145">
        <v>0</v>
      </c>
      <c r="J1145">
        <v>27</v>
      </c>
      <c r="K1145" s="133">
        <v>8310</v>
      </c>
      <c r="L1145" s="133">
        <v>8310</v>
      </c>
      <c r="M1145" s="150">
        <v>0.61468749999999994</v>
      </c>
      <c r="N1145" s="150">
        <v>0.61709490740740736</v>
      </c>
      <c r="O1145" t="s">
        <v>172</v>
      </c>
      <c r="Q1145">
        <v>2513229</v>
      </c>
      <c r="R1145">
        <v>2513229</v>
      </c>
      <c r="S1145">
        <v>2507447</v>
      </c>
      <c r="T1145">
        <v>0</v>
      </c>
      <c r="U1145" t="s">
        <v>173</v>
      </c>
      <c r="V1145">
        <v>0</v>
      </c>
      <c r="W1145" t="s">
        <v>174</v>
      </c>
      <c r="X1145">
        <v>2507447</v>
      </c>
      <c r="Z1145" t="s">
        <v>173</v>
      </c>
      <c r="AA1145" t="s">
        <v>173</v>
      </c>
    </row>
    <row r="1146" spans="1:27" x14ac:dyDescent="0.3">
      <c r="A1146">
        <v>1145</v>
      </c>
      <c r="B1146" t="s">
        <v>169</v>
      </c>
      <c r="C1146">
        <v>99019875</v>
      </c>
      <c r="D1146" s="7" t="s">
        <v>96</v>
      </c>
      <c r="E1146" t="s">
        <v>97</v>
      </c>
      <c r="F1146" t="s">
        <v>170</v>
      </c>
      <c r="G1146" t="s">
        <v>177</v>
      </c>
      <c r="H1146">
        <v>27</v>
      </c>
      <c r="I1146">
        <v>0</v>
      </c>
      <c r="J1146">
        <v>27</v>
      </c>
      <c r="K1146" s="133">
        <v>8310</v>
      </c>
      <c r="L1146" s="133">
        <v>8310</v>
      </c>
      <c r="M1146" s="150">
        <v>0.61468749999999994</v>
      </c>
      <c r="N1146" s="150">
        <v>0.61709490740740736</v>
      </c>
      <c r="O1146" t="s">
        <v>172</v>
      </c>
      <c r="Q1146">
        <v>2513230</v>
      </c>
      <c r="R1146">
        <v>2513230</v>
      </c>
      <c r="S1146">
        <v>2507448</v>
      </c>
      <c r="T1146">
        <v>0</v>
      </c>
      <c r="U1146" t="s">
        <v>173</v>
      </c>
      <c r="V1146">
        <v>0</v>
      </c>
      <c r="W1146" t="s">
        <v>174</v>
      </c>
      <c r="X1146">
        <v>2507448</v>
      </c>
      <c r="Z1146" t="s">
        <v>173</v>
      </c>
      <c r="AA1146" t="s">
        <v>173</v>
      </c>
    </row>
    <row r="1147" spans="1:27" x14ac:dyDescent="0.3">
      <c r="A1147">
        <v>1146</v>
      </c>
      <c r="B1147" t="s">
        <v>169</v>
      </c>
      <c r="C1147">
        <v>99019875</v>
      </c>
      <c r="D1147" s="7" t="s">
        <v>96</v>
      </c>
      <c r="E1147" t="s">
        <v>97</v>
      </c>
      <c r="F1147" t="s">
        <v>170</v>
      </c>
      <c r="G1147" t="s">
        <v>177</v>
      </c>
      <c r="H1147">
        <v>27</v>
      </c>
      <c r="I1147">
        <v>0</v>
      </c>
      <c r="J1147">
        <v>16</v>
      </c>
      <c r="K1147" s="133">
        <v>8310</v>
      </c>
      <c r="L1147" s="133">
        <v>8310</v>
      </c>
      <c r="M1147" s="150">
        <v>0.61468749999999994</v>
      </c>
      <c r="N1147" s="150">
        <v>0.61711805555555554</v>
      </c>
      <c r="O1147" t="s">
        <v>172</v>
      </c>
      <c r="Q1147">
        <v>2513231</v>
      </c>
      <c r="R1147">
        <v>2513231</v>
      </c>
      <c r="S1147">
        <v>2507449</v>
      </c>
      <c r="T1147">
        <v>11</v>
      </c>
      <c r="U1147" t="s">
        <v>173</v>
      </c>
      <c r="V1147">
        <v>0</v>
      </c>
      <c r="W1147" t="s">
        <v>174</v>
      </c>
      <c r="X1147">
        <v>2507449</v>
      </c>
      <c r="Z1147" t="s">
        <v>173</v>
      </c>
      <c r="AA1147" t="s">
        <v>173</v>
      </c>
    </row>
    <row r="1148" spans="1:27" x14ac:dyDescent="0.3">
      <c r="A1148">
        <v>1147</v>
      </c>
      <c r="B1148" t="s">
        <v>169</v>
      </c>
      <c r="C1148">
        <v>99019875</v>
      </c>
      <c r="D1148" s="7" t="s">
        <v>71</v>
      </c>
      <c r="E1148" t="s">
        <v>72</v>
      </c>
      <c r="F1148" t="s">
        <v>176</v>
      </c>
      <c r="G1148" t="s">
        <v>177</v>
      </c>
      <c r="H1148">
        <v>18</v>
      </c>
      <c r="I1148">
        <v>0</v>
      </c>
      <c r="J1148">
        <v>18</v>
      </c>
      <c r="K1148" s="133">
        <v>18035</v>
      </c>
      <c r="L1148" s="133">
        <v>18035</v>
      </c>
      <c r="M1148" s="150">
        <v>0.61468749999999994</v>
      </c>
      <c r="N1148" s="150">
        <v>0.61474537037037036</v>
      </c>
      <c r="O1148" t="s">
        <v>172</v>
      </c>
      <c r="Q1148">
        <v>2513243</v>
      </c>
      <c r="R1148">
        <v>2513243</v>
      </c>
      <c r="S1148">
        <v>2513184</v>
      </c>
      <c r="T1148">
        <v>0</v>
      </c>
      <c r="U1148" t="s">
        <v>173</v>
      </c>
      <c r="V1148">
        <v>0</v>
      </c>
      <c r="W1148" t="s">
        <v>174</v>
      </c>
      <c r="X1148">
        <v>2513184</v>
      </c>
      <c r="Z1148" t="s">
        <v>173</v>
      </c>
      <c r="AA1148" t="s">
        <v>173</v>
      </c>
    </row>
    <row r="1149" spans="1:27" x14ac:dyDescent="0.3">
      <c r="A1149">
        <v>1148</v>
      </c>
      <c r="B1149" t="s">
        <v>169</v>
      </c>
      <c r="C1149">
        <v>99019875</v>
      </c>
      <c r="D1149" s="7" t="s">
        <v>128</v>
      </c>
      <c r="E1149" t="s">
        <v>129</v>
      </c>
      <c r="F1149" t="s">
        <v>170</v>
      </c>
      <c r="G1149" t="s">
        <v>177</v>
      </c>
      <c r="H1149">
        <v>1</v>
      </c>
      <c r="I1149">
        <v>0</v>
      </c>
      <c r="J1149">
        <v>1</v>
      </c>
      <c r="K1149" s="133">
        <v>6510</v>
      </c>
      <c r="L1149" s="133">
        <v>6510</v>
      </c>
      <c r="M1149" s="150">
        <v>0.61473379629629632</v>
      </c>
      <c r="N1149" s="150">
        <v>0.61547453703703703</v>
      </c>
      <c r="O1149" t="s">
        <v>172</v>
      </c>
      <c r="Q1149">
        <v>2513358</v>
      </c>
      <c r="R1149">
        <v>2513358</v>
      </c>
      <c r="S1149">
        <v>2511400</v>
      </c>
      <c r="T1149">
        <v>0</v>
      </c>
      <c r="U1149" t="s">
        <v>173</v>
      </c>
      <c r="V1149">
        <v>0</v>
      </c>
      <c r="W1149" t="s">
        <v>174</v>
      </c>
      <c r="X1149">
        <v>2511400</v>
      </c>
      <c r="Z1149" t="s">
        <v>173</v>
      </c>
      <c r="AA1149" t="s">
        <v>173</v>
      </c>
    </row>
    <row r="1150" spans="1:27" x14ac:dyDescent="0.3">
      <c r="A1150">
        <v>1149</v>
      </c>
      <c r="B1150" t="s">
        <v>169</v>
      </c>
      <c r="C1150">
        <v>99019875</v>
      </c>
      <c r="D1150" s="7" t="s">
        <v>128</v>
      </c>
      <c r="E1150" t="s">
        <v>129</v>
      </c>
      <c r="F1150" t="s">
        <v>170</v>
      </c>
      <c r="G1150" t="s">
        <v>177</v>
      </c>
      <c r="H1150">
        <v>1</v>
      </c>
      <c r="I1150">
        <v>0</v>
      </c>
      <c r="J1150">
        <v>1</v>
      </c>
      <c r="K1150" s="133">
        <v>6510</v>
      </c>
      <c r="L1150" s="133">
        <v>6510</v>
      </c>
      <c r="M1150" s="150">
        <v>0.61473379629629632</v>
      </c>
      <c r="N1150" s="150">
        <v>0.61547453703703703</v>
      </c>
      <c r="O1150" t="s">
        <v>172</v>
      </c>
      <c r="Q1150">
        <v>2513359</v>
      </c>
      <c r="R1150">
        <v>2513359</v>
      </c>
      <c r="S1150">
        <v>2512787</v>
      </c>
      <c r="T1150">
        <v>0</v>
      </c>
      <c r="U1150" t="s">
        <v>173</v>
      </c>
      <c r="V1150">
        <v>0</v>
      </c>
      <c r="W1150" t="s">
        <v>174</v>
      </c>
      <c r="X1150">
        <v>2512787</v>
      </c>
      <c r="Z1150" t="s">
        <v>173</v>
      </c>
      <c r="AA1150" t="s">
        <v>173</v>
      </c>
    </row>
    <row r="1151" spans="1:27" x14ac:dyDescent="0.3">
      <c r="A1151">
        <v>1150</v>
      </c>
      <c r="B1151" t="s">
        <v>169</v>
      </c>
      <c r="C1151">
        <v>99019875</v>
      </c>
      <c r="D1151" s="7" t="s">
        <v>114</v>
      </c>
      <c r="E1151" t="s">
        <v>115</v>
      </c>
      <c r="F1151" t="s">
        <v>176</v>
      </c>
      <c r="G1151" t="s">
        <v>177</v>
      </c>
      <c r="H1151">
        <v>66</v>
      </c>
      <c r="I1151">
        <v>0</v>
      </c>
      <c r="J1151">
        <v>66</v>
      </c>
      <c r="K1151" s="133">
        <v>53880</v>
      </c>
      <c r="L1151" s="133">
        <v>53880</v>
      </c>
      <c r="M1151" s="150">
        <v>0.61474537037037036</v>
      </c>
      <c r="N1151" s="150">
        <v>0.61504629629629626</v>
      </c>
      <c r="O1151" t="s">
        <v>172</v>
      </c>
      <c r="Q1151">
        <v>2513372</v>
      </c>
      <c r="R1151">
        <v>2513372</v>
      </c>
      <c r="S1151">
        <v>2512739</v>
      </c>
      <c r="T1151">
        <v>0</v>
      </c>
      <c r="U1151" t="s">
        <v>173</v>
      </c>
      <c r="V1151">
        <v>0</v>
      </c>
      <c r="W1151" t="s">
        <v>174</v>
      </c>
      <c r="X1151">
        <v>2512739</v>
      </c>
      <c r="Z1151" t="s">
        <v>173</v>
      </c>
      <c r="AA1151" t="s">
        <v>173</v>
      </c>
    </row>
    <row r="1152" spans="1:27" x14ac:dyDescent="0.3">
      <c r="A1152">
        <v>1151</v>
      </c>
      <c r="B1152" t="s">
        <v>169</v>
      </c>
      <c r="C1152">
        <v>99019875</v>
      </c>
      <c r="D1152" s="7" t="s">
        <v>114</v>
      </c>
      <c r="E1152" t="s">
        <v>115</v>
      </c>
      <c r="F1152" t="s">
        <v>176</v>
      </c>
      <c r="G1152" t="s">
        <v>177</v>
      </c>
      <c r="H1152">
        <v>65</v>
      </c>
      <c r="I1152">
        <v>0</v>
      </c>
      <c r="J1152">
        <v>65</v>
      </c>
      <c r="K1152" s="133">
        <v>53880</v>
      </c>
      <c r="L1152" s="133">
        <v>53880</v>
      </c>
      <c r="M1152" s="150">
        <v>0.61474537037037036</v>
      </c>
      <c r="N1152" s="150">
        <v>0.61504629629629626</v>
      </c>
      <c r="O1152" t="s">
        <v>172</v>
      </c>
      <c r="Q1152">
        <v>2513373</v>
      </c>
      <c r="R1152">
        <v>2513373</v>
      </c>
      <c r="S1152">
        <v>2513170</v>
      </c>
      <c r="T1152">
        <v>0</v>
      </c>
      <c r="U1152" t="s">
        <v>173</v>
      </c>
      <c r="V1152">
        <v>0</v>
      </c>
      <c r="W1152" t="s">
        <v>174</v>
      </c>
      <c r="X1152">
        <v>2513170</v>
      </c>
      <c r="Z1152" t="s">
        <v>173</v>
      </c>
      <c r="AA1152" t="s">
        <v>173</v>
      </c>
    </row>
    <row r="1153" spans="1:27" x14ac:dyDescent="0.3">
      <c r="A1153">
        <v>1152</v>
      </c>
      <c r="B1153" t="s">
        <v>169</v>
      </c>
      <c r="C1153">
        <v>99019875</v>
      </c>
      <c r="D1153" s="7" t="s">
        <v>140</v>
      </c>
      <c r="E1153" t="s">
        <v>178</v>
      </c>
      <c r="F1153" t="s">
        <v>170</v>
      </c>
      <c r="G1153" t="s">
        <v>177</v>
      </c>
      <c r="H1153">
        <v>20</v>
      </c>
      <c r="I1153">
        <v>0</v>
      </c>
      <c r="J1153">
        <v>20</v>
      </c>
      <c r="K1153" s="133">
        <v>8640</v>
      </c>
      <c r="L1153" s="133">
        <v>8640</v>
      </c>
      <c r="M1153" s="150">
        <v>0.61476851851851855</v>
      </c>
      <c r="N1153" s="150">
        <v>0.61554398148148148</v>
      </c>
      <c r="O1153" t="s">
        <v>172</v>
      </c>
      <c r="Q1153">
        <v>2513449</v>
      </c>
      <c r="R1153">
        <v>2513449</v>
      </c>
      <c r="S1153">
        <v>2513190</v>
      </c>
      <c r="T1153">
        <v>0</v>
      </c>
      <c r="U1153" t="s">
        <v>173</v>
      </c>
      <c r="V1153">
        <v>0</v>
      </c>
      <c r="W1153" t="s">
        <v>174</v>
      </c>
      <c r="X1153">
        <v>2513190</v>
      </c>
      <c r="Z1153" t="s">
        <v>173</v>
      </c>
      <c r="AA1153" t="s">
        <v>173</v>
      </c>
    </row>
    <row r="1154" spans="1:27" x14ac:dyDescent="0.3">
      <c r="A1154">
        <v>1153</v>
      </c>
      <c r="B1154" t="s">
        <v>169</v>
      </c>
      <c r="C1154">
        <v>99019875</v>
      </c>
      <c r="D1154" s="7" t="s">
        <v>77</v>
      </c>
      <c r="E1154" t="s">
        <v>78</v>
      </c>
      <c r="F1154" t="s">
        <v>170</v>
      </c>
      <c r="G1154" t="s">
        <v>177</v>
      </c>
      <c r="H1154">
        <v>73</v>
      </c>
      <c r="I1154">
        <v>0</v>
      </c>
      <c r="J1154">
        <v>73</v>
      </c>
      <c r="K1154" s="133">
        <v>7360</v>
      </c>
      <c r="L1154" s="133">
        <v>7360</v>
      </c>
      <c r="M1154" s="150">
        <v>0.61476851851851855</v>
      </c>
      <c r="N1154" s="150">
        <v>0.61554398148148148</v>
      </c>
      <c r="O1154" t="s">
        <v>172</v>
      </c>
      <c r="Q1154">
        <v>2513459</v>
      </c>
      <c r="R1154">
        <v>2513459</v>
      </c>
      <c r="S1154">
        <v>2513350</v>
      </c>
      <c r="T1154">
        <v>0</v>
      </c>
      <c r="U1154" t="s">
        <v>173</v>
      </c>
      <c r="V1154">
        <v>0</v>
      </c>
      <c r="W1154" t="s">
        <v>174</v>
      </c>
      <c r="X1154">
        <v>2513350</v>
      </c>
      <c r="Z1154" t="s">
        <v>173</v>
      </c>
      <c r="AA1154" t="s">
        <v>173</v>
      </c>
    </row>
    <row r="1155" spans="1:27" x14ac:dyDescent="0.3">
      <c r="A1155">
        <v>1154</v>
      </c>
      <c r="B1155" t="s">
        <v>169</v>
      </c>
      <c r="C1155">
        <v>99019875</v>
      </c>
      <c r="D1155" s="7" t="s">
        <v>124</v>
      </c>
      <c r="E1155" t="s">
        <v>125</v>
      </c>
      <c r="F1155" t="s">
        <v>176</v>
      </c>
      <c r="G1155" t="s">
        <v>171</v>
      </c>
      <c r="H1155">
        <v>1</v>
      </c>
      <c r="I1155">
        <v>0</v>
      </c>
      <c r="J1155">
        <v>1</v>
      </c>
      <c r="K1155" s="133">
        <v>17525</v>
      </c>
      <c r="L1155" s="133">
        <v>17525</v>
      </c>
      <c r="M1155" s="150">
        <v>0.61480324074074078</v>
      </c>
      <c r="N1155" s="150">
        <v>0.61533564814814812</v>
      </c>
      <c r="O1155" t="s">
        <v>172</v>
      </c>
      <c r="Q1155">
        <v>2513549</v>
      </c>
      <c r="R1155">
        <v>2513549</v>
      </c>
      <c r="S1155">
        <v>0</v>
      </c>
      <c r="T1155">
        <v>0</v>
      </c>
      <c r="U1155" t="s">
        <v>173</v>
      </c>
      <c r="V1155">
        <v>0</v>
      </c>
      <c r="W1155" t="s">
        <v>174</v>
      </c>
      <c r="X1155">
        <v>0</v>
      </c>
      <c r="Z1155" t="s">
        <v>173</v>
      </c>
      <c r="AA1155" t="s">
        <v>173</v>
      </c>
    </row>
    <row r="1156" spans="1:27" x14ac:dyDescent="0.3">
      <c r="A1156">
        <v>1155</v>
      </c>
      <c r="B1156" t="s">
        <v>169</v>
      </c>
      <c r="C1156">
        <v>99019875</v>
      </c>
      <c r="D1156" s="7" t="s">
        <v>81</v>
      </c>
      <c r="E1156" t="s">
        <v>82</v>
      </c>
      <c r="F1156" t="s">
        <v>176</v>
      </c>
      <c r="G1156" t="s">
        <v>177</v>
      </c>
      <c r="H1156">
        <v>75</v>
      </c>
      <c r="I1156">
        <v>0</v>
      </c>
      <c r="J1156">
        <v>75</v>
      </c>
      <c r="K1156" s="133">
        <v>36475</v>
      </c>
      <c r="L1156" s="133">
        <v>36475</v>
      </c>
      <c r="M1156" s="150">
        <v>0.61480324074074078</v>
      </c>
      <c r="N1156" s="150">
        <v>0.61503472222222222</v>
      </c>
      <c r="O1156" t="s">
        <v>172</v>
      </c>
      <c r="Q1156">
        <v>2513556</v>
      </c>
      <c r="R1156">
        <v>2513556</v>
      </c>
      <c r="S1156">
        <v>2512769</v>
      </c>
      <c r="T1156">
        <v>0</v>
      </c>
      <c r="U1156" t="s">
        <v>173</v>
      </c>
      <c r="V1156">
        <v>0</v>
      </c>
      <c r="W1156" t="s">
        <v>174</v>
      </c>
      <c r="X1156">
        <v>2512769</v>
      </c>
      <c r="Z1156" t="s">
        <v>173</v>
      </c>
      <c r="AA1156" t="s">
        <v>173</v>
      </c>
    </row>
    <row r="1157" spans="1:27" x14ac:dyDescent="0.3">
      <c r="A1157">
        <v>1156</v>
      </c>
      <c r="B1157" t="s">
        <v>169</v>
      </c>
      <c r="C1157">
        <v>99019875</v>
      </c>
      <c r="D1157" s="7" t="s">
        <v>81</v>
      </c>
      <c r="E1157" t="s">
        <v>82</v>
      </c>
      <c r="F1157" t="s">
        <v>176</v>
      </c>
      <c r="G1157" t="s">
        <v>177</v>
      </c>
      <c r="H1157">
        <v>75</v>
      </c>
      <c r="I1157">
        <v>0</v>
      </c>
      <c r="J1157">
        <v>75</v>
      </c>
      <c r="K1157" s="133">
        <v>36475</v>
      </c>
      <c r="L1157" s="133">
        <v>36475</v>
      </c>
      <c r="M1157" s="150">
        <v>0.61480324074074078</v>
      </c>
      <c r="N1157" s="150">
        <v>0.61503472222222222</v>
      </c>
      <c r="O1157" t="s">
        <v>172</v>
      </c>
      <c r="Q1157">
        <v>2513557</v>
      </c>
      <c r="R1157">
        <v>2513557</v>
      </c>
      <c r="S1157">
        <v>2513172</v>
      </c>
      <c r="T1157">
        <v>0</v>
      </c>
      <c r="U1157" t="s">
        <v>173</v>
      </c>
      <c r="V1157">
        <v>0</v>
      </c>
      <c r="W1157" t="s">
        <v>174</v>
      </c>
      <c r="X1157">
        <v>2513172</v>
      </c>
      <c r="Z1157" t="s">
        <v>173</v>
      </c>
      <c r="AA1157" t="s">
        <v>173</v>
      </c>
    </row>
    <row r="1158" spans="1:27" x14ac:dyDescent="0.3">
      <c r="A1158">
        <v>1157</v>
      </c>
      <c r="B1158" t="s">
        <v>169</v>
      </c>
      <c r="C1158">
        <v>99019875</v>
      </c>
      <c r="D1158" s="7" t="s">
        <v>67</v>
      </c>
      <c r="E1158" t="s">
        <v>68</v>
      </c>
      <c r="F1158" t="s">
        <v>170</v>
      </c>
      <c r="G1158" t="s">
        <v>177</v>
      </c>
      <c r="H1158">
        <v>36</v>
      </c>
      <c r="I1158">
        <v>0</v>
      </c>
      <c r="J1158">
        <v>36</v>
      </c>
      <c r="K1158" s="133">
        <v>4820</v>
      </c>
      <c r="L1158" s="133">
        <v>4820</v>
      </c>
      <c r="M1158" s="150">
        <v>0.61490740740740735</v>
      </c>
      <c r="N1158" s="150">
        <v>0.6149189814814815</v>
      </c>
      <c r="O1158" t="s">
        <v>172</v>
      </c>
      <c r="Q1158">
        <v>2513890</v>
      </c>
      <c r="R1158">
        <v>2513890</v>
      </c>
      <c r="S1158">
        <v>2513175</v>
      </c>
      <c r="T1158">
        <v>0</v>
      </c>
      <c r="U1158" t="s">
        <v>173</v>
      </c>
      <c r="V1158">
        <v>0</v>
      </c>
      <c r="W1158" t="s">
        <v>174</v>
      </c>
      <c r="X1158">
        <v>2513175</v>
      </c>
      <c r="Z1158" t="s">
        <v>173</v>
      </c>
      <c r="AA1158" t="s">
        <v>173</v>
      </c>
    </row>
    <row r="1159" spans="1:27" x14ac:dyDescent="0.3">
      <c r="A1159">
        <v>1158</v>
      </c>
      <c r="B1159" t="s">
        <v>169</v>
      </c>
      <c r="C1159">
        <v>99019875</v>
      </c>
      <c r="D1159" s="7" t="s">
        <v>128</v>
      </c>
      <c r="E1159" t="s">
        <v>129</v>
      </c>
      <c r="F1159" t="s">
        <v>170</v>
      </c>
      <c r="G1159" t="s">
        <v>171</v>
      </c>
      <c r="H1159">
        <v>1</v>
      </c>
      <c r="I1159">
        <v>0</v>
      </c>
      <c r="J1159">
        <v>1</v>
      </c>
      <c r="K1159" s="133">
        <v>6510</v>
      </c>
      <c r="L1159" s="133">
        <v>6510</v>
      </c>
      <c r="M1159" s="150">
        <v>0.61493055555555554</v>
      </c>
      <c r="N1159" s="150">
        <v>0.61547453703703703</v>
      </c>
      <c r="O1159" t="s">
        <v>172</v>
      </c>
      <c r="Q1159">
        <v>2513961</v>
      </c>
      <c r="R1159">
        <v>2513961</v>
      </c>
      <c r="S1159">
        <v>0</v>
      </c>
      <c r="T1159">
        <v>0</v>
      </c>
      <c r="U1159" t="s">
        <v>173</v>
      </c>
      <c r="V1159">
        <v>0</v>
      </c>
      <c r="W1159" t="s">
        <v>174</v>
      </c>
      <c r="X1159">
        <v>0</v>
      </c>
      <c r="Z1159" t="s">
        <v>173</v>
      </c>
      <c r="AA1159" t="s">
        <v>173</v>
      </c>
    </row>
    <row r="1160" spans="1:27" x14ac:dyDescent="0.3">
      <c r="A1160">
        <v>1159</v>
      </c>
      <c r="B1160" t="s">
        <v>169</v>
      </c>
      <c r="C1160">
        <v>99019875</v>
      </c>
      <c r="D1160" s="7" t="s">
        <v>114</v>
      </c>
      <c r="E1160" t="s">
        <v>115</v>
      </c>
      <c r="F1160" t="s">
        <v>176</v>
      </c>
      <c r="G1160" t="s">
        <v>171</v>
      </c>
      <c r="H1160">
        <v>66</v>
      </c>
      <c r="I1160">
        <v>0</v>
      </c>
      <c r="J1160">
        <v>66</v>
      </c>
      <c r="K1160" s="133">
        <v>53880</v>
      </c>
      <c r="L1160" s="133">
        <v>53880</v>
      </c>
      <c r="M1160" s="150">
        <v>0.61495370370370372</v>
      </c>
      <c r="N1160" s="150">
        <v>0.61504629629629626</v>
      </c>
      <c r="O1160" t="s">
        <v>172</v>
      </c>
      <c r="Q1160">
        <v>2513998</v>
      </c>
      <c r="R1160">
        <v>2513998</v>
      </c>
      <c r="S1160">
        <v>0</v>
      </c>
      <c r="T1160">
        <v>0</v>
      </c>
      <c r="U1160" t="s">
        <v>173</v>
      </c>
      <c r="V1160">
        <v>0</v>
      </c>
      <c r="W1160" t="s">
        <v>174</v>
      </c>
      <c r="X1160">
        <v>0</v>
      </c>
      <c r="Z1160" t="s">
        <v>173</v>
      </c>
      <c r="AA1160" t="s">
        <v>173</v>
      </c>
    </row>
    <row r="1161" spans="1:27" x14ac:dyDescent="0.3">
      <c r="A1161">
        <v>1160</v>
      </c>
      <c r="B1161" t="s">
        <v>169</v>
      </c>
      <c r="C1161">
        <v>99019875</v>
      </c>
      <c r="D1161" s="7" t="s">
        <v>81</v>
      </c>
      <c r="E1161" t="s">
        <v>82</v>
      </c>
      <c r="F1161" t="s">
        <v>176</v>
      </c>
      <c r="G1161" t="s">
        <v>171</v>
      </c>
      <c r="H1161">
        <v>75</v>
      </c>
      <c r="I1161">
        <v>0</v>
      </c>
      <c r="J1161">
        <v>75</v>
      </c>
      <c r="K1161" s="133">
        <v>36475</v>
      </c>
      <c r="L1161" s="133">
        <v>36475</v>
      </c>
      <c r="M1161" s="150">
        <v>0.61495370370370372</v>
      </c>
      <c r="N1161" s="150">
        <v>0.61503472222222222</v>
      </c>
      <c r="O1161" t="s">
        <v>172</v>
      </c>
      <c r="Q1161">
        <v>2514000</v>
      </c>
      <c r="R1161">
        <v>2514000</v>
      </c>
      <c r="S1161">
        <v>0</v>
      </c>
      <c r="T1161">
        <v>0</v>
      </c>
      <c r="U1161" t="s">
        <v>173</v>
      </c>
      <c r="V1161">
        <v>0</v>
      </c>
      <c r="W1161" t="s">
        <v>174</v>
      </c>
      <c r="X1161">
        <v>0</v>
      </c>
      <c r="Z1161" t="s">
        <v>173</v>
      </c>
      <c r="AA1161" t="s">
        <v>173</v>
      </c>
    </row>
    <row r="1162" spans="1:27" x14ac:dyDescent="0.3">
      <c r="A1162">
        <v>1161</v>
      </c>
      <c r="B1162" t="s">
        <v>169</v>
      </c>
      <c r="C1162">
        <v>99019875</v>
      </c>
      <c r="D1162" s="7" t="s">
        <v>89</v>
      </c>
      <c r="E1162" t="s">
        <v>90</v>
      </c>
      <c r="F1162" t="s">
        <v>176</v>
      </c>
      <c r="G1162" t="s">
        <v>171</v>
      </c>
      <c r="H1162">
        <v>31</v>
      </c>
      <c r="I1162">
        <v>0</v>
      </c>
      <c r="J1162">
        <v>31</v>
      </c>
      <c r="K1162" s="133">
        <v>3090</v>
      </c>
      <c r="L1162" s="133">
        <v>3090</v>
      </c>
      <c r="M1162" s="150">
        <v>0.61495370370370372</v>
      </c>
      <c r="N1162" s="150">
        <v>0.61535879629629631</v>
      </c>
      <c r="O1162" t="s">
        <v>172</v>
      </c>
      <c r="Q1162">
        <v>2514005</v>
      </c>
      <c r="R1162">
        <v>2514005</v>
      </c>
      <c r="S1162">
        <v>0</v>
      </c>
      <c r="T1162">
        <v>0</v>
      </c>
      <c r="U1162" t="s">
        <v>173</v>
      </c>
      <c r="V1162">
        <v>0</v>
      </c>
      <c r="W1162" t="s">
        <v>174</v>
      </c>
      <c r="X1162">
        <v>0</v>
      </c>
      <c r="Z1162" t="s">
        <v>173</v>
      </c>
      <c r="AA1162" t="s">
        <v>173</v>
      </c>
    </row>
    <row r="1163" spans="1:27" x14ac:dyDescent="0.3">
      <c r="A1163">
        <v>1162</v>
      </c>
      <c r="B1163" t="s">
        <v>169</v>
      </c>
      <c r="C1163">
        <v>99019875</v>
      </c>
      <c r="D1163" s="7" t="s">
        <v>100</v>
      </c>
      <c r="E1163" t="s">
        <v>101</v>
      </c>
      <c r="F1163" t="s">
        <v>170</v>
      </c>
      <c r="G1163" t="s">
        <v>171</v>
      </c>
      <c r="H1163">
        <v>5</v>
      </c>
      <c r="I1163">
        <v>0</v>
      </c>
      <c r="J1163">
        <v>5</v>
      </c>
      <c r="K1163" s="133">
        <v>15520</v>
      </c>
      <c r="L1163" s="133">
        <v>15520</v>
      </c>
      <c r="M1163" s="150">
        <v>0.61495370370370372</v>
      </c>
      <c r="N1163" s="150">
        <v>0.61555555555555552</v>
      </c>
      <c r="O1163" t="s">
        <v>172</v>
      </c>
      <c r="Q1163">
        <v>2514006</v>
      </c>
      <c r="R1163">
        <v>2514006</v>
      </c>
      <c r="S1163">
        <v>0</v>
      </c>
      <c r="T1163">
        <v>0</v>
      </c>
      <c r="U1163" t="s">
        <v>173</v>
      </c>
      <c r="V1163">
        <v>0</v>
      </c>
      <c r="W1163" t="s">
        <v>174</v>
      </c>
      <c r="X1163">
        <v>0</v>
      </c>
      <c r="Z1163" t="s">
        <v>173</v>
      </c>
      <c r="AA1163" t="s">
        <v>173</v>
      </c>
    </row>
    <row r="1164" spans="1:27" x14ac:dyDescent="0.3">
      <c r="A1164">
        <v>1163</v>
      </c>
      <c r="B1164" t="s">
        <v>169</v>
      </c>
      <c r="C1164">
        <v>99019875</v>
      </c>
      <c r="D1164" s="7" t="s">
        <v>87</v>
      </c>
      <c r="E1164" t="s">
        <v>88</v>
      </c>
      <c r="F1164" t="s">
        <v>170</v>
      </c>
      <c r="G1164" t="s">
        <v>171</v>
      </c>
      <c r="H1164">
        <v>6</v>
      </c>
      <c r="I1164">
        <v>0</v>
      </c>
      <c r="J1164">
        <v>6</v>
      </c>
      <c r="K1164" s="133">
        <v>12160</v>
      </c>
      <c r="L1164" s="133">
        <v>12160</v>
      </c>
      <c r="M1164" s="150">
        <v>0.61495370370370372</v>
      </c>
      <c r="N1164" s="150">
        <v>0.61554398148148148</v>
      </c>
      <c r="O1164" t="s">
        <v>172</v>
      </c>
      <c r="Q1164">
        <v>2514007</v>
      </c>
      <c r="R1164">
        <v>2514007</v>
      </c>
      <c r="S1164">
        <v>0</v>
      </c>
      <c r="T1164">
        <v>0</v>
      </c>
      <c r="U1164" t="s">
        <v>173</v>
      </c>
      <c r="V1164">
        <v>0</v>
      </c>
      <c r="W1164" t="s">
        <v>174</v>
      </c>
      <c r="X1164">
        <v>0</v>
      </c>
      <c r="Z1164" t="s">
        <v>173</v>
      </c>
      <c r="AA1164" t="s">
        <v>173</v>
      </c>
    </row>
    <row r="1165" spans="1:27" x14ac:dyDescent="0.3">
      <c r="A1165">
        <v>1164</v>
      </c>
      <c r="B1165" t="s">
        <v>169</v>
      </c>
      <c r="C1165">
        <v>99019875</v>
      </c>
      <c r="D1165" s="7" t="s">
        <v>108</v>
      </c>
      <c r="E1165" t="s">
        <v>109</v>
      </c>
      <c r="F1165" t="s">
        <v>170</v>
      </c>
      <c r="G1165" t="s">
        <v>171</v>
      </c>
      <c r="H1165">
        <v>23</v>
      </c>
      <c r="I1165">
        <v>0</v>
      </c>
      <c r="J1165">
        <v>23</v>
      </c>
      <c r="K1165" s="133">
        <v>2715</v>
      </c>
      <c r="L1165" s="133">
        <v>2715</v>
      </c>
      <c r="M1165" s="150">
        <v>0.61495370370370372</v>
      </c>
      <c r="N1165" s="150">
        <v>0.62351851851851847</v>
      </c>
      <c r="O1165" t="s">
        <v>172</v>
      </c>
      <c r="Q1165">
        <v>2514008</v>
      </c>
      <c r="R1165">
        <v>2514008</v>
      </c>
      <c r="S1165">
        <v>0</v>
      </c>
      <c r="T1165">
        <v>0</v>
      </c>
      <c r="U1165" t="s">
        <v>173</v>
      </c>
      <c r="V1165">
        <v>0</v>
      </c>
      <c r="W1165" t="s">
        <v>174</v>
      </c>
      <c r="X1165">
        <v>0</v>
      </c>
      <c r="Z1165" t="s">
        <v>173</v>
      </c>
      <c r="AA1165" t="s">
        <v>173</v>
      </c>
    </row>
    <row r="1166" spans="1:27" x14ac:dyDescent="0.3">
      <c r="A1166">
        <v>1165</v>
      </c>
      <c r="B1166" t="s">
        <v>169</v>
      </c>
      <c r="C1166">
        <v>99019875</v>
      </c>
      <c r="D1166" s="7" t="s">
        <v>122</v>
      </c>
      <c r="E1166" t="s">
        <v>123</v>
      </c>
      <c r="F1166" t="s">
        <v>170</v>
      </c>
      <c r="G1166" t="s">
        <v>171</v>
      </c>
      <c r="H1166">
        <v>19</v>
      </c>
      <c r="I1166">
        <v>0</v>
      </c>
      <c r="J1166">
        <v>19</v>
      </c>
      <c r="K1166" s="133">
        <v>36065</v>
      </c>
      <c r="L1166" s="133">
        <v>36065</v>
      </c>
      <c r="M1166" s="150">
        <v>0.61495370370370372</v>
      </c>
      <c r="N1166" s="150">
        <v>0.61568287037037039</v>
      </c>
      <c r="O1166" t="s">
        <v>172</v>
      </c>
      <c r="Q1166">
        <v>2514009</v>
      </c>
      <c r="R1166">
        <v>2514009</v>
      </c>
      <c r="S1166">
        <v>0</v>
      </c>
      <c r="T1166">
        <v>0</v>
      </c>
      <c r="U1166" t="s">
        <v>173</v>
      </c>
      <c r="V1166">
        <v>0</v>
      </c>
      <c r="W1166" t="s">
        <v>174</v>
      </c>
      <c r="X1166">
        <v>0</v>
      </c>
      <c r="Z1166" t="s">
        <v>173</v>
      </c>
      <c r="AA1166" t="s">
        <v>173</v>
      </c>
    </row>
    <row r="1167" spans="1:27" x14ac:dyDescent="0.3">
      <c r="A1167">
        <v>1166</v>
      </c>
      <c r="B1167" t="s">
        <v>169</v>
      </c>
      <c r="C1167">
        <v>99019875</v>
      </c>
      <c r="D1167" s="7" t="s">
        <v>77</v>
      </c>
      <c r="E1167" t="s">
        <v>78</v>
      </c>
      <c r="F1167" t="s">
        <v>170</v>
      </c>
      <c r="G1167" t="s">
        <v>171</v>
      </c>
      <c r="H1167">
        <v>74</v>
      </c>
      <c r="I1167">
        <v>0</v>
      </c>
      <c r="J1167">
        <v>74</v>
      </c>
      <c r="K1167" s="133">
        <v>7360</v>
      </c>
      <c r="L1167" s="133">
        <v>7360</v>
      </c>
      <c r="M1167" s="150">
        <v>0.61495370370370372</v>
      </c>
      <c r="N1167" s="150">
        <v>0.61554398148148148</v>
      </c>
      <c r="O1167" t="s">
        <v>172</v>
      </c>
      <c r="Q1167">
        <v>2514011</v>
      </c>
      <c r="R1167">
        <v>2514011</v>
      </c>
      <c r="S1167">
        <v>0</v>
      </c>
      <c r="T1167">
        <v>0</v>
      </c>
      <c r="U1167" t="s">
        <v>173</v>
      </c>
      <c r="V1167">
        <v>0</v>
      </c>
      <c r="W1167" t="s">
        <v>174</v>
      </c>
      <c r="X1167">
        <v>0</v>
      </c>
      <c r="Z1167" t="s">
        <v>173</v>
      </c>
      <c r="AA1167" t="s">
        <v>173</v>
      </c>
    </row>
    <row r="1168" spans="1:27" x14ac:dyDescent="0.3">
      <c r="A1168">
        <v>1167</v>
      </c>
      <c r="B1168" t="s">
        <v>169</v>
      </c>
      <c r="C1168">
        <v>99019875</v>
      </c>
      <c r="D1168" s="7" t="s">
        <v>71</v>
      </c>
      <c r="E1168" t="s">
        <v>72</v>
      </c>
      <c r="F1168" t="s">
        <v>176</v>
      </c>
      <c r="G1168" t="s">
        <v>171</v>
      </c>
      <c r="H1168">
        <v>18</v>
      </c>
      <c r="I1168">
        <v>0</v>
      </c>
      <c r="J1168">
        <v>18</v>
      </c>
      <c r="K1168" s="133">
        <v>18055</v>
      </c>
      <c r="L1168" s="133">
        <v>18055</v>
      </c>
      <c r="M1168" s="150">
        <v>0.61495370370370372</v>
      </c>
      <c r="N1168" s="150">
        <v>0.61510416666666667</v>
      </c>
      <c r="O1168" t="s">
        <v>172</v>
      </c>
      <c r="Q1168">
        <v>2514012</v>
      </c>
      <c r="R1168">
        <v>2514012</v>
      </c>
      <c r="S1168">
        <v>0</v>
      </c>
      <c r="T1168">
        <v>0</v>
      </c>
      <c r="U1168" t="s">
        <v>173</v>
      </c>
      <c r="V1168">
        <v>0</v>
      </c>
      <c r="W1168" t="s">
        <v>174</v>
      </c>
      <c r="X1168">
        <v>0</v>
      </c>
      <c r="Z1168" t="s">
        <v>173</v>
      </c>
      <c r="AA1168" t="s">
        <v>173</v>
      </c>
    </row>
    <row r="1169" spans="1:27" x14ac:dyDescent="0.3">
      <c r="A1169">
        <v>1168</v>
      </c>
      <c r="B1169" t="s">
        <v>169</v>
      </c>
      <c r="C1169">
        <v>99019875</v>
      </c>
      <c r="D1169" s="7" t="s">
        <v>140</v>
      </c>
      <c r="E1169" t="s">
        <v>178</v>
      </c>
      <c r="F1169" t="s">
        <v>170</v>
      </c>
      <c r="G1169" t="s">
        <v>171</v>
      </c>
      <c r="H1169">
        <v>20</v>
      </c>
      <c r="I1169">
        <v>0</v>
      </c>
      <c r="J1169">
        <v>20</v>
      </c>
      <c r="K1169" s="133">
        <v>8640</v>
      </c>
      <c r="L1169" s="133">
        <v>8640</v>
      </c>
      <c r="M1169" s="150">
        <v>0.61495370370370372</v>
      </c>
      <c r="N1169" s="150">
        <v>0.61554398148148148</v>
      </c>
      <c r="O1169" t="s">
        <v>172</v>
      </c>
      <c r="Q1169">
        <v>2514017</v>
      </c>
      <c r="R1169">
        <v>2514017</v>
      </c>
      <c r="S1169">
        <v>0</v>
      </c>
      <c r="T1169">
        <v>0</v>
      </c>
      <c r="U1169" t="s">
        <v>173</v>
      </c>
      <c r="V1169">
        <v>0</v>
      </c>
      <c r="W1169" t="s">
        <v>174</v>
      </c>
      <c r="X1169">
        <v>0</v>
      </c>
      <c r="Z1169" t="s">
        <v>173</v>
      </c>
      <c r="AA1169" t="s">
        <v>173</v>
      </c>
    </row>
    <row r="1170" spans="1:27" x14ac:dyDescent="0.3">
      <c r="A1170">
        <v>1169</v>
      </c>
      <c r="B1170" t="s">
        <v>169</v>
      </c>
      <c r="C1170">
        <v>99019875</v>
      </c>
      <c r="D1170" s="7" t="s">
        <v>62</v>
      </c>
      <c r="E1170" t="s">
        <v>63</v>
      </c>
      <c r="F1170" t="s">
        <v>176</v>
      </c>
      <c r="G1170" t="s">
        <v>177</v>
      </c>
      <c r="H1170">
        <v>89</v>
      </c>
      <c r="I1170">
        <v>0</v>
      </c>
      <c r="J1170">
        <v>89</v>
      </c>
      <c r="K1170" s="133">
        <v>34090</v>
      </c>
      <c r="L1170" s="133">
        <v>34090</v>
      </c>
      <c r="M1170" s="150">
        <v>0.61495370370370372</v>
      </c>
      <c r="N1170" s="150">
        <v>0.61503472222222222</v>
      </c>
      <c r="O1170" t="s">
        <v>172</v>
      </c>
      <c r="Q1170">
        <v>2514035</v>
      </c>
      <c r="R1170">
        <v>2514035</v>
      </c>
      <c r="S1170">
        <v>2513999</v>
      </c>
      <c r="T1170">
        <v>0</v>
      </c>
      <c r="U1170" t="s">
        <v>173</v>
      </c>
      <c r="V1170">
        <v>0</v>
      </c>
      <c r="W1170" t="s">
        <v>174</v>
      </c>
      <c r="X1170">
        <v>2513999</v>
      </c>
      <c r="Z1170" t="s">
        <v>173</v>
      </c>
      <c r="AA1170" t="s">
        <v>173</v>
      </c>
    </row>
    <row r="1171" spans="1:27" x14ac:dyDescent="0.3">
      <c r="A1171">
        <v>1170</v>
      </c>
      <c r="B1171" t="s">
        <v>169</v>
      </c>
      <c r="C1171">
        <v>99019875</v>
      </c>
      <c r="D1171" s="7" t="s">
        <v>102</v>
      </c>
      <c r="E1171" t="s">
        <v>103</v>
      </c>
      <c r="F1171" t="s">
        <v>170</v>
      </c>
      <c r="G1171" t="s">
        <v>177</v>
      </c>
      <c r="H1171">
        <v>5</v>
      </c>
      <c r="I1171">
        <v>0</v>
      </c>
      <c r="J1171">
        <v>5</v>
      </c>
      <c r="K1171" s="133">
        <v>26865</v>
      </c>
      <c r="L1171" s="133">
        <v>26865</v>
      </c>
      <c r="M1171" s="150">
        <v>0.61496527777777776</v>
      </c>
      <c r="N1171" s="150">
        <v>0.61498842592592595</v>
      </c>
      <c r="O1171" t="s">
        <v>172</v>
      </c>
      <c r="Q1171">
        <v>2514040</v>
      </c>
      <c r="R1171">
        <v>2514040</v>
      </c>
      <c r="S1171">
        <v>2513499</v>
      </c>
      <c r="T1171">
        <v>0</v>
      </c>
      <c r="U1171" t="s">
        <v>173</v>
      </c>
      <c r="V1171">
        <v>0</v>
      </c>
      <c r="W1171" t="s">
        <v>174</v>
      </c>
      <c r="X1171">
        <v>2513499</v>
      </c>
      <c r="Z1171" t="s">
        <v>173</v>
      </c>
      <c r="AA1171" t="s">
        <v>173</v>
      </c>
    </row>
    <row r="1172" spans="1:27" x14ac:dyDescent="0.3">
      <c r="A1172">
        <v>1171</v>
      </c>
      <c r="B1172" t="s">
        <v>169</v>
      </c>
      <c r="C1172">
        <v>99019875</v>
      </c>
      <c r="D1172" s="7" t="s">
        <v>102</v>
      </c>
      <c r="E1172" t="s">
        <v>103</v>
      </c>
      <c r="F1172" t="s">
        <v>170</v>
      </c>
      <c r="G1172" t="s">
        <v>177</v>
      </c>
      <c r="H1172">
        <v>54</v>
      </c>
      <c r="I1172">
        <v>0</v>
      </c>
      <c r="J1172">
        <v>54</v>
      </c>
      <c r="K1172" s="133">
        <v>26865</v>
      </c>
      <c r="L1172" s="133">
        <v>26865</v>
      </c>
      <c r="M1172" s="150">
        <v>0.61496527777777776</v>
      </c>
      <c r="N1172" s="150">
        <v>0.61498842592592595</v>
      </c>
      <c r="O1172" t="s">
        <v>172</v>
      </c>
      <c r="Q1172">
        <v>2514041</v>
      </c>
      <c r="R1172">
        <v>2514041</v>
      </c>
      <c r="S1172">
        <v>2513500</v>
      </c>
      <c r="T1172">
        <v>0</v>
      </c>
      <c r="U1172" t="s">
        <v>173</v>
      </c>
      <c r="V1172">
        <v>0</v>
      </c>
      <c r="W1172" t="s">
        <v>174</v>
      </c>
      <c r="X1172">
        <v>2513500</v>
      </c>
      <c r="Z1172" t="s">
        <v>173</v>
      </c>
      <c r="AA1172" t="s">
        <v>173</v>
      </c>
    </row>
    <row r="1173" spans="1:27" x14ac:dyDescent="0.3">
      <c r="A1173">
        <v>1172</v>
      </c>
      <c r="B1173" t="s">
        <v>169</v>
      </c>
      <c r="C1173">
        <v>99019875</v>
      </c>
      <c r="D1173" s="7" t="s">
        <v>102</v>
      </c>
      <c r="E1173" t="s">
        <v>103</v>
      </c>
      <c r="F1173" t="s">
        <v>170</v>
      </c>
      <c r="G1173" t="s">
        <v>177</v>
      </c>
      <c r="H1173">
        <v>53</v>
      </c>
      <c r="I1173">
        <v>0</v>
      </c>
      <c r="J1173">
        <v>53</v>
      </c>
      <c r="K1173" s="133">
        <v>26865</v>
      </c>
      <c r="L1173" s="133">
        <v>26865</v>
      </c>
      <c r="M1173" s="150">
        <v>0.61496527777777776</v>
      </c>
      <c r="N1173" s="150">
        <v>0.61498842592592595</v>
      </c>
      <c r="O1173" t="s">
        <v>172</v>
      </c>
      <c r="Q1173">
        <v>2514042</v>
      </c>
      <c r="R1173">
        <v>2514042</v>
      </c>
      <c r="S1173">
        <v>2514002</v>
      </c>
      <c r="T1173">
        <v>0</v>
      </c>
      <c r="U1173" t="s">
        <v>173</v>
      </c>
      <c r="V1173">
        <v>0</v>
      </c>
      <c r="W1173" t="s">
        <v>174</v>
      </c>
      <c r="X1173">
        <v>2514002</v>
      </c>
      <c r="Z1173" t="s">
        <v>173</v>
      </c>
      <c r="AA1173" t="s">
        <v>173</v>
      </c>
    </row>
    <row r="1174" spans="1:27" x14ac:dyDescent="0.3">
      <c r="A1174">
        <v>1173</v>
      </c>
      <c r="B1174" t="s">
        <v>169</v>
      </c>
      <c r="C1174">
        <v>99019875</v>
      </c>
      <c r="D1174" s="7" t="s">
        <v>110</v>
      </c>
      <c r="E1174" t="s">
        <v>179</v>
      </c>
      <c r="F1174" t="s">
        <v>170</v>
      </c>
      <c r="G1174" t="s">
        <v>177</v>
      </c>
      <c r="H1174">
        <v>3</v>
      </c>
      <c r="I1174">
        <v>0</v>
      </c>
      <c r="J1174">
        <v>3</v>
      </c>
      <c r="K1174" s="133">
        <v>48510</v>
      </c>
      <c r="L1174" s="133">
        <v>48510</v>
      </c>
      <c r="M1174" s="150">
        <v>0.6149768518518518</v>
      </c>
      <c r="N1174" s="150">
        <v>0.6152199074074074</v>
      </c>
      <c r="O1174" t="s">
        <v>172</v>
      </c>
      <c r="Q1174">
        <v>2514098</v>
      </c>
      <c r="R1174">
        <v>2514098</v>
      </c>
      <c r="S1174">
        <v>2514004</v>
      </c>
      <c r="T1174">
        <v>0</v>
      </c>
      <c r="U1174" t="s">
        <v>173</v>
      </c>
      <c r="V1174">
        <v>0</v>
      </c>
      <c r="W1174" t="s">
        <v>174</v>
      </c>
      <c r="X1174">
        <v>2514004</v>
      </c>
      <c r="Z1174" t="s">
        <v>173</v>
      </c>
      <c r="AA1174" t="s">
        <v>173</v>
      </c>
    </row>
    <row r="1175" spans="1:27" x14ac:dyDescent="0.3">
      <c r="A1175">
        <v>1174</v>
      </c>
      <c r="B1175" t="s">
        <v>169</v>
      </c>
      <c r="C1175">
        <v>99019875</v>
      </c>
      <c r="D1175" s="7" t="s">
        <v>65</v>
      </c>
      <c r="E1175" t="s">
        <v>66</v>
      </c>
      <c r="F1175" t="s">
        <v>176</v>
      </c>
      <c r="G1175" t="s">
        <v>177</v>
      </c>
      <c r="H1175">
        <v>57</v>
      </c>
      <c r="I1175">
        <v>0</v>
      </c>
      <c r="J1175">
        <v>57</v>
      </c>
      <c r="K1175" s="133">
        <v>4750</v>
      </c>
      <c r="L1175" s="133">
        <v>4750</v>
      </c>
      <c r="M1175" s="150">
        <v>0.61504629629629626</v>
      </c>
      <c r="N1175" s="150">
        <v>0.61525462962962962</v>
      </c>
      <c r="O1175" t="s">
        <v>172</v>
      </c>
      <c r="Q1175">
        <v>2514286</v>
      </c>
      <c r="R1175">
        <v>2514286</v>
      </c>
      <c r="S1175">
        <v>2514014</v>
      </c>
      <c r="T1175">
        <v>0</v>
      </c>
      <c r="U1175" t="s">
        <v>173</v>
      </c>
      <c r="V1175">
        <v>0</v>
      </c>
      <c r="W1175" t="s">
        <v>174</v>
      </c>
      <c r="X1175">
        <v>2514014</v>
      </c>
      <c r="Z1175" t="s">
        <v>173</v>
      </c>
      <c r="AA1175" t="s">
        <v>173</v>
      </c>
    </row>
    <row r="1176" spans="1:27" x14ac:dyDescent="0.3">
      <c r="A1176">
        <v>1175</v>
      </c>
      <c r="B1176" t="s">
        <v>169</v>
      </c>
      <c r="C1176">
        <v>99019875</v>
      </c>
      <c r="D1176" s="7" t="s">
        <v>69</v>
      </c>
      <c r="E1176" t="s">
        <v>70</v>
      </c>
      <c r="F1176" t="s">
        <v>170</v>
      </c>
      <c r="G1176" t="s">
        <v>177</v>
      </c>
      <c r="H1176">
        <v>17</v>
      </c>
      <c r="I1176">
        <v>0</v>
      </c>
      <c r="J1176">
        <v>17</v>
      </c>
      <c r="K1176" s="133">
        <v>10300</v>
      </c>
      <c r="L1176" s="133">
        <v>10300</v>
      </c>
      <c r="M1176" s="150">
        <v>0.61524305555555558</v>
      </c>
      <c r="N1176" s="150">
        <v>0.61530092592592589</v>
      </c>
      <c r="O1176" t="s">
        <v>172</v>
      </c>
      <c r="Q1176">
        <v>2514874</v>
      </c>
      <c r="R1176">
        <v>2514874</v>
      </c>
      <c r="S1176">
        <v>2514586</v>
      </c>
      <c r="T1176">
        <v>0</v>
      </c>
      <c r="U1176" t="s">
        <v>173</v>
      </c>
      <c r="V1176">
        <v>0</v>
      </c>
      <c r="W1176" t="s">
        <v>174</v>
      </c>
      <c r="X1176">
        <v>2514586</v>
      </c>
      <c r="Z1176" t="s">
        <v>173</v>
      </c>
      <c r="AA1176" t="s">
        <v>173</v>
      </c>
    </row>
    <row r="1177" spans="1:27" x14ac:dyDescent="0.3">
      <c r="A1177">
        <v>1176</v>
      </c>
      <c r="B1177" t="s">
        <v>169</v>
      </c>
      <c r="C1177">
        <v>99019875</v>
      </c>
      <c r="D1177" s="7" t="s">
        <v>114</v>
      </c>
      <c r="E1177" t="s">
        <v>115</v>
      </c>
      <c r="F1177" t="s">
        <v>176</v>
      </c>
      <c r="G1177" t="s">
        <v>171</v>
      </c>
      <c r="H1177">
        <v>65</v>
      </c>
      <c r="I1177">
        <v>0</v>
      </c>
      <c r="J1177">
        <v>65</v>
      </c>
      <c r="K1177" s="133">
        <v>53895</v>
      </c>
      <c r="L1177" s="133">
        <v>53895</v>
      </c>
      <c r="M1177" s="150">
        <v>0.61524305555555558</v>
      </c>
      <c r="N1177" s="150">
        <v>0.61526620370370366</v>
      </c>
      <c r="O1177" t="s">
        <v>172</v>
      </c>
      <c r="Q1177">
        <v>2514899</v>
      </c>
      <c r="R1177">
        <v>2514899</v>
      </c>
      <c r="S1177">
        <v>0</v>
      </c>
      <c r="T1177">
        <v>0</v>
      </c>
      <c r="U1177" t="s">
        <v>173</v>
      </c>
      <c r="V1177">
        <v>0</v>
      </c>
      <c r="W1177" t="s">
        <v>174</v>
      </c>
      <c r="X1177">
        <v>0</v>
      </c>
      <c r="Z1177" t="s">
        <v>173</v>
      </c>
      <c r="AA1177" t="s">
        <v>173</v>
      </c>
    </row>
    <row r="1178" spans="1:27" x14ac:dyDescent="0.3">
      <c r="A1178">
        <v>1177</v>
      </c>
      <c r="B1178" t="s">
        <v>169</v>
      </c>
      <c r="C1178">
        <v>99019875</v>
      </c>
      <c r="D1178" s="7" t="s">
        <v>62</v>
      </c>
      <c r="E1178" t="s">
        <v>63</v>
      </c>
      <c r="F1178" t="s">
        <v>176</v>
      </c>
      <c r="G1178" t="s">
        <v>171</v>
      </c>
      <c r="H1178">
        <v>89</v>
      </c>
      <c r="I1178">
        <v>0</v>
      </c>
      <c r="J1178">
        <v>89</v>
      </c>
      <c r="K1178" s="133">
        <v>34100</v>
      </c>
      <c r="L1178" s="133">
        <v>34100</v>
      </c>
      <c r="M1178" s="150">
        <v>0.61524305555555558</v>
      </c>
      <c r="N1178" s="150">
        <v>0.61525462962962962</v>
      </c>
      <c r="O1178" t="s">
        <v>172</v>
      </c>
      <c r="Q1178">
        <v>2514900</v>
      </c>
      <c r="R1178">
        <v>2514900</v>
      </c>
      <c r="S1178">
        <v>0</v>
      </c>
      <c r="T1178">
        <v>0</v>
      </c>
      <c r="U1178" t="s">
        <v>173</v>
      </c>
      <c r="V1178">
        <v>0</v>
      </c>
      <c r="W1178" t="s">
        <v>174</v>
      </c>
      <c r="X1178">
        <v>0</v>
      </c>
      <c r="Z1178" t="s">
        <v>173</v>
      </c>
      <c r="AA1178" t="s">
        <v>173</v>
      </c>
    </row>
    <row r="1179" spans="1:27" x14ac:dyDescent="0.3">
      <c r="A1179">
        <v>1178</v>
      </c>
      <c r="B1179" t="s">
        <v>169</v>
      </c>
      <c r="C1179">
        <v>99019875</v>
      </c>
      <c r="D1179" s="7" t="s">
        <v>102</v>
      </c>
      <c r="E1179" t="s">
        <v>103</v>
      </c>
      <c r="F1179" t="s">
        <v>170</v>
      </c>
      <c r="G1179" t="s">
        <v>171</v>
      </c>
      <c r="H1179">
        <v>53</v>
      </c>
      <c r="I1179">
        <v>0</v>
      </c>
      <c r="J1179">
        <v>53</v>
      </c>
      <c r="K1179" s="133">
        <v>26840</v>
      </c>
      <c r="L1179" s="133">
        <v>26840</v>
      </c>
      <c r="M1179" s="150">
        <v>0.61524305555555558</v>
      </c>
      <c r="N1179" s="150">
        <v>0.6154398148148148</v>
      </c>
      <c r="O1179" t="s">
        <v>172</v>
      </c>
      <c r="Q1179">
        <v>2514903</v>
      </c>
      <c r="R1179">
        <v>2514903</v>
      </c>
      <c r="S1179">
        <v>0</v>
      </c>
      <c r="T1179">
        <v>0</v>
      </c>
      <c r="U1179" t="s">
        <v>173</v>
      </c>
      <c r="V1179">
        <v>0</v>
      </c>
      <c r="W1179" t="s">
        <v>174</v>
      </c>
      <c r="X1179">
        <v>0</v>
      </c>
      <c r="Z1179" t="s">
        <v>173</v>
      </c>
      <c r="AA1179" t="s">
        <v>173</v>
      </c>
    </row>
    <row r="1180" spans="1:27" x14ac:dyDescent="0.3">
      <c r="A1180">
        <v>1179</v>
      </c>
      <c r="B1180" t="s">
        <v>169</v>
      </c>
      <c r="C1180">
        <v>99019875</v>
      </c>
      <c r="D1180" s="7" t="s">
        <v>89</v>
      </c>
      <c r="E1180" t="s">
        <v>90</v>
      </c>
      <c r="F1180" t="s">
        <v>176</v>
      </c>
      <c r="G1180" t="s">
        <v>171</v>
      </c>
      <c r="H1180">
        <v>30</v>
      </c>
      <c r="I1180">
        <v>0</v>
      </c>
      <c r="J1180">
        <v>30</v>
      </c>
      <c r="K1180" s="133">
        <v>3090</v>
      </c>
      <c r="L1180" s="133">
        <v>3090</v>
      </c>
      <c r="M1180" s="150">
        <v>0.61524305555555558</v>
      </c>
      <c r="N1180" s="150">
        <v>0.61535879629629631</v>
      </c>
      <c r="O1180" t="s">
        <v>172</v>
      </c>
      <c r="Q1180">
        <v>2514906</v>
      </c>
      <c r="R1180">
        <v>2514906</v>
      </c>
      <c r="S1180">
        <v>0</v>
      </c>
      <c r="T1180">
        <v>0</v>
      </c>
      <c r="U1180" t="s">
        <v>173</v>
      </c>
      <c r="V1180">
        <v>0</v>
      </c>
      <c r="W1180" t="s">
        <v>174</v>
      </c>
      <c r="X1180">
        <v>0</v>
      </c>
      <c r="Z1180" t="s">
        <v>173</v>
      </c>
      <c r="AA1180" t="s">
        <v>173</v>
      </c>
    </row>
    <row r="1181" spans="1:27" x14ac:dyDescent="0.3">
      <c r="A1181">
        <v>1180</v>
      </c>
      <c r="B1181" t="s">
        <v>169</v>
      </c>
      <c r="C1181">
        <v>99019875</v>
      </c>
      <c r="D1181" s="7" t="s">
        <v>100</v>
      </c>
      <c r="E1181" t="s">
        <v>101</v>
      </c>
      <c r="F1181" t="s">
        <v>170</v>
      </c>
      <c r="G1181" t="s">
        <v>171</v>
      </c>
      <c r="H1181">
        <v>5</v>
      </c>
      <c r="I1181">
        <v>0</v>
      </c>
      <c r="J1181">
        <v>5</v>
      </c>
      <c r="K1181" s="133">
        <v>15520</v>
      </c>
      <c r="L1181" s="133">
        <v>15520</v>
      </c>
      <c r="M1181" s="150">
        <v>0.61524305555555558</v>
      </c>
      <c r="N1181" s="150">
        <v>0.61555555555555552</v>
      </c>
      <c r="O1181" t="s">
        <v>172</v>
      </c>
      <c r="Q1181">
        <v>2514907</v>
      </c>
      <c r="R1181">
        <v>2514907</v>
      </c>
      <c r="S1181">
        <v>0</v>
      </c>
      <c r="T1181">
        <v>0</v>
      </c>
      <c r="U1181" t="s">
        <v>173</v>
      </c>
      <c r="V1181">
        <v>0</v>
      </c>
      <c r="W1181" t="s">
        <v>174</v>
      </c>
      <c r="X1181">
        <v>0</v>
      </c>
      <c r="Z1181" t="s">
        <v>173</v>
      </c>
      <c r="AA1181" t="s">
        <v>173</v>
      </c>
    </row>
    <row r="1182" spans="1:27" x14ac:dyDescent="0.3">
      <c r="A1182">
        <v>1181</v>
      </c>
      <c r="B1182" t="s">
        <v>169</v>
      </c>
      <c r="C1182">
        <v>99019875</v>
      </c>
      <c r="D1182" s="7" t="s">
        <v>87</v>
      </c>
      <c r="E1182" t="s">
        <v>88</v>
      </c>
      <c r="F1182" t="s">
        <v>170</v>
      </c>
      <c r="G1182" t="s">
        <v>171</v>
      </c>
      <c r="H1182">
        <v>5</v>
      </c>
      <c r="I1182">
        <v>0</v>
      </c>
      <c r="J1182">
        <v>5</v>
      </c>
      <c r="K1182" s="133">
        <v>12160</v>
      </c>
      <c r="L1182" s="133">
        <v>12160</v>
      </c>
      <c r="M1182" s="150">
        <v>0.61524305555555558</v>
      </c>
      <c r="N1182" s="150">
        <v>0.61554398148148148</v>
      </c>
      <c r="O1182" t="s">
        <v>172</v>
      </c>
      <c r="Q1182">
        <v>2514908</v>
      </c>
      <c r="R1182">
        <v>2514908</v>
      </c>
      <c r="S1182">
        <v>0</v>
      </c>
      <c r="T1182">
        <v>0</v>
      </c>
      <c r="U1182" t="s">
        <v>173</v>
      </c>
      <c r="V1182">
        <v>0</v>
      </c>
      <c r="W1182" t="s">
        <v>174</v>
      </c>
      <c r="X1182">
        <v>0</v>
      </c>
      <c r="Z1182" t="s">
        <v>173</v>
      </c>
      <c r="AA1182" t="s">
        <v>173</v>
      </c>
    </row>
    <row r="1183" spans="1:27" x14ac:dyDescent="0.3">
      <c r="A1183">
        <v>1182</v>
      </c>
      <c r="B1183" t="s">
        <v>169</v>
      </c>
      <c r="C1183">
        <v>99019875</v>
      </c>
      <c r="D1183" s="7" t="s">
        <v>108</v>
      </c>
      <c r="E1183" t="s">
        <v>109</v>
      </c>
      <c r="F1183" t="s">
        <v>170</v>
      </c>
      <c r="G1183" t="s">
        <v>171</v>
      </c>
      <c r="H1183">
        <v>24</v>
      </c>
      <c r="I1183">
        <v>0</v>
      </c>
      <c r="J1183">
        <v>24</v>
      </c>
      <c r="K1183" s="133">
        <v>2715</v>
      </c>
      <c r="L1183" s="133">
        <v>2715</v>
      </c>
      <c r="M1183" s="150">
        <v>0.61524305555555558</v>
      </c>
      <c r="N1183" s="150">
        <v>0.62351851851851847</v>
      </c>
      <c r="O1183" t="s">
        <v>172</v>
      </c>
      <c r="Q1183">
        <v>2514909</v>
      </c>
      <c r="R1183">
        <v>2514909</v>
      </c>
      <c r="S1183">
        <v>0</v>
      </c>
      <c r="T1183">
        <v>0</v>
      </c>
      <c r="U1183" t="s">
        <v>173</v>
      </c>
      <c r="V1183">
        <v>0</v>
      </c>
      <c r="W1183" t="s">
        <v>174</v>
      </c>
      <c r="X1183">
        <v>0</v>
      </c>
      <c r="Z1183" t="s">
        <v>173</v>
      </c>
      <c r="AA1183" t="s">
        <v>173</v>
      </c>
    </row>
    <row r="1184" spans="1:27" x14ac:dyDescent="0.3">
      <c r="A1184">
        <v>1183</v>
      </c>
      <c r="B1184" t="s">
        <v>169</v>
      </c>
      <c r="C1184">
        <v>99019875</v>
      </c>
      <c r="D1184" s="7" t="s">
        <v>122</v>
      </c>
      <c r="E1184" t="s">
        <v>123</v>
      </c>
      <c r="F1184" t="s">
        <v>170</v>
      </c>
      <c r="G1184" t="s">
        <v>171</v>
      </c>
      <c r="H1184">
        <v>20</v>
      </c>
      <c r="I1184">
        <v>0</v>
      </c>
      <c r="J1184">
        <v>20</v>
      </c>
      <c r="K1184" s="133">
        <v>36065</v>
      </c>
      <c r="L1184" s="133">
        <v>36065</v>
      </c>
      <c r="M1184" s="150">
        <v>0.61524305555555558</v>
      </c>
      <c r="N1184" s="150">
        <v>0.61568287037037039</v>
      </c>
      <c r="O1184" t="s">
        <v>172</v>
      </c>
      <c r="Q1184">
        <v>2514910</v>
      </c>
      <c r="R1184">
        <v>2514910</v>
      </c>
      <c r="S1184">
        <v>0</v>
      </c>
      <c r="T1184">
        <v>0</v>
      </c>
      <c r="U1184" t="s">
        <v>173</v>
      </c>
      <c r="V1184">
        <v>0</v>
      </c>
      <c r="W1184" t="s">
        <v>174</v>
      </c>
      <c r="X1184">
        <v>0</v>
      </c>
      <c r="Z1184" t="s">
        <v>173</v>
      </c>
      <c r="AA1184" t="s">
        <v>173</v>
      </c>
    </row>
    <row r="1185" spans="1:27" x14ac:dyDescent="0.3">
      <c r="A1185">
        <v>1184</v>
      </c>
      <c r="B1185" t="s">
        <v>169</v>
      </c>
      <c r="C1185">
        <v>99019875</v>
      </c>
      <c r="D1185" s="7" t="s">
        <v>77</v>
      </c>
      <c r="E1185" t="s">
        <v>78</v>
      </c>
      <c r="F1185" t="s">
        <v>170</v>
      </c>
      <c r="G1185" t="s">
        <v>171</v>
      </c>
      <c r="H1185">
        <v>73</v>
      </c>
      <c r="I1185">
        <v>0</v>
      </c>
      <c r="J1185">
        <v>73</v>
      </c>
      <c r="K1185" s="133">
        <v>7360</v>
      </c>
      <c r="L1185" s="133">
        <v>7360</v>
      </c>
      <c r="M1185" s="150">
        <v>0.61524305555555558</v>
      </c>
      <c r="N1185" s="150">
        <v>0.61554398148148148</v>
      </c>
      <c r="O1185" t="s">
        <v>172</v>
      </c>
      <c r="Q1185">
        <v>2514912</v>
      </c>
      <c r="R1185">
        <v>2514912</v>
      </c>
      <c r="S1185">
        <v>0</v>
      </c>
      <c r="T1185">
        <v>0</v>
      </c>
      <c r="U1185" t="s">
        <v>173</v>
      </c>
      <c r="V1185">
        <v>0</v>
      </c>
      <c r="W1185" t="s">
        <v>174</v>
      </c>
      <c r="X1185">
        <v>0</v>
      </c>
      <c r="Z1185" t="s">
        <v>173</v>
      </c>
      <c r="AA1185" t="s">
        <v>173</v>
      </c>
    </row>
    <row r="1186" spans="1:27" x14ac:dyDescent="0.3">
      <c r="A1186">
        <v>1185</v>
      </c>
      <c r="B1186" t="s">
        <v>169</v>
      </c>
      <c r="C1186">
        <v>99019875</v>
      </c>
      <c r="D1186" s="7" t="s">
        <v>71</v>
      </c>
      <c r="E1186" t="s">
        <v>72</v>
      </c>
      <c r="F1186" t="s">
        <v>176</v>
      </c>
      <c r="G1186" t="s">
        <v>171</v>
      </c>
      <c r="H1186">
        <v>19</v>
      </c>
      <c r="I1186">
        <v>0</v>
      </c>
      <c r="J1186">
        <v>19</v>
      </c>
      <c r="K1186" s="133">
        <v>18060</v>
      </c>
      <c r="L1186" s="133">
        <v>18060</v>
      </c>
      <c r="M1186" s="150">
        <v>0.61524305555555558</v>
      </c>
      <c r="N1186" s="150">
        <v>0.61532407407407408</v>
      </c>
      <c r="O1186" t="s">
        <v>172</v>
      </c>
      <c r="Q1186">
        <v>2514913</v>
      </c>
      <c r="R1186">
        <v>2514913</v>
      </c>
      <c r="S1186">
        <v>0</v>
      </c>
      <c r="T1186">
        <v>0</v>
      </c>
      <c r="U1186" t="s">
        <v>173</v>
      </c>
      <c r="V1186">
        <v>0</v>
      </c>
      <c r="W1186" t="s">
        <v>174</v>
      </c>
      <c r="X1186">
        <v>0</v>
      </c>
      <c r="Z1186" t="s">
        <v>173</v>
      </c>
      <c r="AA1186" t="s">
        <v>173</v>
      </c>
    </row>
    <row r="1187" spans="1:27" x14ac:dyDescent="0.3">
      <c r="A1187">
        <v>1186</v>
      </c>
      <c r="B1187" t="s">
        <v>169</v>
      </c>
      <c r="C1187">
        <v>99019875</v>
      </c>
      <c r="D1187" s="7" t="s">
        <v>65</v>
      </c>
      <c r="E1187" t="s">
        <v>66</v>
      </c>
      <c r="F1187" t="s">
        <v>176</v>
      </c>
      <c r="G1187" t="s">
        <v>171</v>
      </c>
      <c r="H1187">
        <v>58</v>
      </c>
      <c r="I1187">
        <v>0</v>
      </c>
      <c r="J1187">
        <v>58</v>
      </c>
      <c r="K1187" s="133">
        <v>4750</v>
      </c>
      <c r="L1187" s="133">
        <v>4750</v>
      </c>
      <c r="M1187" s="150">
        <v>0.61524305555555558</v>
      </c>
      <c r="N1187" s="150">
        <v>0.61525462962962962</v>
      </c>
      <c r="O1187" t="s">
        <v>172</v>
      </c>
      <c r="Q1187">
        <v>2514914</v>
      </c>
      <c r="R1187">
        <v>2514914</v>
      </c>
      <c r="S1187">
        <v>0</v>
      </c>
      <c r="T1187">
        <v>0</v>
      </c>
      <c r="U1187" t="s">
        <v>173</v>
      </c>
      <c r="V1187">
        <v>0</v>
      </c>
      <c r="W1187" t="s">
        <v>174</v>
      </c>
      <c r="X1187">
        <v>0</v>
      </c>
      <c r="Z1187" t="s">
        <v>173</v>
      </c>
      <c r="AA1187" t="s">
        <v>173</v>
      </c>
    </row>
    <row r="1188" spans="1:27" x14ac:dyDescent="0.3">
      <c r="A1188">
        <v>1187</v>
      </c>
      <c r="B1188" t="s">
        <v>169</v>
      </c>
      <c r="C1188">
        <v>99019875</v>
      </c>
      <c r="D1188" s="7" t="s">
        <v>140</v>
      </c>
      <c r="E1188" t="s">
        <v>178</v>
      </c>
      <c r="F1188" t="s">
        <v>170</v>
      </c>
      <c r="G1188" t="s">
        <v>171</v>
      </c>
      <c r="H1188">
        <v>20</v>
      </c>
      <c r="I1188">
        <v>0</v>
      </c>
      <c r="J1188">
        <v>20</v>
      </c>
      <c r="K1188" s="133">
        <v>8640</v>
      </c>
      <c r="L1188" s="133">
        <v>8640</v>
      </c>
      <c r="M1188" s="150">
        <v>0.61524305555555558</v>
      </c>
      <c r="N1188" s="150">
        <v>0.61554398148148148</v>
      </c>
      <c r="O1188" t="s">
        <v>172</v>
      </c>
      <c r="Q1188">
        <v>2514917</v>
      </c>
      <c r="R1188">
        <v>2514917</v>
      </c>
      <c r="S1188">
        <v>0</v>
      </c>
      <c r="T1188">
        <v>0</v>
      </c>
      <c r="U1188" t="s">
        <v>173</v>
      </c>
      <c r="V1188">
        <v>0</v>
      </c>
      <c r="W1188" t="s">
        <v>174</v>
      </c>
      <c r="X1188">
        <v>0</v>
      </c>
      <c r="Z1188" t="s">
        <v>173</v>
      </c>
      <c r="AA1188" t="s">
        <v>173</v>
      </c>
    </row>
    <row r="1189" spans="1:27" x14ac:dyDescent="0.3">
      <c r="A1189">
        <v>1188</v>
      </c>
      <c r="B1189" t="s">
        <v>169</v>
      </c>
      <c r="C1189">
        <v>99019875</v>
      </c>
      <c r="D1189" s="7" t="s">
        <v>69</v>
      </c>
      <c r="E1189" t="s">
        <v>70</v>
      </c>
      <c r="F1189" t="s">
        <v>170</v>
      </c>
      <c r="G1189" t="s">
        <v>171</v>
      </c>
      <c r="H1189">
        <v>16</v>
      </c>
      <c r="I1189">
        <v>0</v>
      </c>
      <c r="J1189">
        <v>16</v>
      </c>
      <c r="K1189" s="133">
        <v>10300</v>
      </c>
      <c r="L1189" s="133">
        <v>10300</v>
      </c>
      <c r="M1189" s="150">
        <v>0.61524305555555558</v>
      </c>
      <c r="N1189" s="150">
        <v>0.61530092592592589</v>
      </c>
      <c r="O1189" t="s">
        <v>172</v>
      </c>
      <c r="Q1189">
        <v>2514918</v>
      </c>
      <c r="R1189">
        <v>2514918</v>
      </c>
      <c r="S1189">
        <v>0</v>
      </c>
      <c r="T1189">
        <v>0</v>
      </c>
      <c r="U1189" t="s">
        <v>173</v>
      </c>
      <c r="V1189">
        <v>0</v>
      </c>
      <c r="W1189" t="s">
        <v>174</v>
      </c>
      <c r="X1189">
        <v>0</v>
      </c>
      <c r="Z1189" t="s">
        <v>173</v>
      </c>
      <c r="AA1189" t="s">
        <v>173</v>
      </c>
    </row>
    <row r="1190" spans="1:27" x14ac:dyDescent="0.3">
      <c r="A1190">
        <v>1189</v>
      </c>
      <c r="B1190" t="s">
        <v>169</v>
      </c>
      <c r="C1190">
        <v>99019875</v>
      </c>
      <c r="D1190" s="7" t="s">
        <v>110</v>
      </c>
      <c r="E1190" t="s">
        <v>179</v>
      </c>
      <c r="F1190" t="s">
        <v>170</v>
      </c>
      <c r="G1190" t="s">
        <v>177</v>
      </c>
      <c r="H1190">
        <v>4</v>
      </c>
      <c r="I1190">
        <v>0</v>
      </c>
      <c r="J1190">
        <v>4</v>
      </c>
      <c r="K1190" s="133">
        <v>48515</v>
      </c>
      <c r="L1190" s="133">
        <v>48515</v>
      </c>
      <c r="M1190" s="150">
        <v>0.61524305555555558</v>
      </c>
      <c r="N1190" s="150">
        <v>0.61554398148148148</v>
      </c>
      <c r="O1190" t="s">
        <v>172</v>
      </c>
      <c r="Q1190">
        <v>2514920</v>
      </c>
      <c r="R1190">
        <v>2514920</v>
      </c>
      <c r="S1190">
        <v>2514905</v>
      </c>
      <c r="T1190">
        <v>0</v>
      </c>
      <c r="U1190" t="s">
        <v>173</v>
      </c>
      <c r="V1190">
        <v>0</v>
      </c>
      <c r="W1190" t="s">
        <v>174</v>
      </c>
      <c r="X1190">
        <v>2514905</v>
      </c>
      <c r="Z1190" t="s">
        <v>173</v>
      </c>
      <c r="AA1190" t="s">
        <v>173</v>
      </c>
    </row>
    <row r="1191" spans="1:27" x14ac:dyDescent="0.3">
      <c r="A1191">
        <v>1190</v>
      </c>
      <c r="B1191" t="s">
        <v>169</v>
      </c>
      <c r="C1191">
        <v>99019875</v>
      </c>
      <c r="D1191" s="7" t="s">
        <v>67</v>
      </c>
      <c r="E1191" t="s">
        <v>68</v>
      </c>
      <c r="F1191" t="s">
        <v>170</v>
      </c>
      <c r="G1191" t="s">
        <v>177</v>
      </c>
      <c r="H1191">
        <v>35</v>
      </c>
      <c r="I1191">
        <v>0</v>
      </c>
      <c r="J1191">
        <v>35</v>
      </c>
      <c r="K1191" s="133">
        <v>4825</v>
      </c>
      <c r="L1191" s="133">
        <v>4825</v>
      </c>
      <c r="M1191" s="150">
        <v>0.61526620370370366</v>
      </c>
      <c r="N1191" s="150">
        <v>0.61528935185185185</v>
      </c>
      <c r="O1191" t="s">
        <v>172</v>
      </c>
      <c r="Q1191">
        <v>2514983</v>
      </c>
      <c r="R1191">
        <v>2514983</v>
      </c>
      <c r="S1191">
        <v>2514479</v>
      </c>
      <c r="T1191">
        <v>0</v>
      </c>
      <c r="U1191" t="s">
        <v>173</v>
      </c>
      <c r="V1191">
        <v>0</v>
      </c>
      <c r="W1191" t="s">
        <v>174</v>
      </c>
      <c r="X1191">
        <v>2514479</v>
      </c>
      <c r="Z1191" t="s">
        <v>173</v>
      </c>
      <c r="AA1191" t="s">
        <v>173</v>
      </c>
    </row>
    <row r="1192" spans="1:27" x14ac:dyDescent="0.3">
      <c r="A1192">
        <v>1191</v>
      </c>
      <c r="B1192" t="s">
        <v>169</v>
      </c>
      <c r="C1192">
        <v>99019875</v>
      </c>
      <c r="D1192" s="7" t="s">
        <v>67</v>
      </c>
      <c r="E1192" t="s">
        <v>68</v>
      </c>
      <c r="F1192" t="s">
        <v>170</v>
      </c>
      <c r="G1192" t="s">
        <v>177</v>
      </c>
      <c r="H1192">
        <v>35</v>
      </c>
      <c r="I1192">
        <v>0</v>
      </c>
      <c r="J1192">
        <v>35</v>
      </c>
      <c r="K1192" s="133">
        <v>4825</v>
      </c>
      <c r="L1192" s="133">
        <v>4825</v>
      </c>
      <c r="M1192" s="150">
        <v>0.61526620370370366</v>
      </c>
      <c r="N1192" s="150">
        <v>0.61528935185185185</v>
      </c>
      <c r="O1192" t="s">
        <v>172</v>
      </c>
      <c r="Q1192">
        <v>2514984</v>
      </c>
      <c r="R1192">
        <v>2514984</v>
      </c>
      <c r="S1192">
        <v>2514904</v>
      </c>
      <c r="T1192">
        <v>0</v>
      </c>
      <c r="U1192" t="s">
        <v>173</v>
      </c>
      <c r="V1192">
        <v>0</v>
      </c>
      <c r="W1192" t="s">
        <v>174</v>
      </c>
      <c r="X1192">
        <v>2514904</v>
      </c>
      <c r="Z1192" t="s">
        <v>173</v>
      </c>
      <c r="AA1192" t="s">
        <v>173</v>
      </c>
    </row>
    <row r="1193" spans="1:27" x14ac:dyDescent="0.3">
      <c r="A1193">
        <v>1192</v>
      </c>
      <c r="B1193" t="s">
        <v>169</v>
      </c>
      <c r="C1193">
        <v>99019875</v>
      </c>
      <c r="D1193" s="7" t="s">
        <v>98</v>
      </c>
      <c r="E1193" t="s">
        <v>99</v>
      </c>
      <c r="F1193" t="s">
        <v>170</v>
      </c>
      <c r="G1193" t="s">
        <v>177</v>
      </c>
      <c r="H1193">
        <v>31</v>
      </c>
      <c r="I1193">
        <v>0</v>
      </c>
      <c r="J1193">
        <v>31</v>
      </c>
      <c r="K1193" s="133">
        <v>14305</v>
      </c>
      <c r="L1193" s="133">
        <v>14305</v>
      </c>
      <c r="M1193" s="150">
        <v>0.61527777777777781</v>
      </c>
      <c r="N1193" s="150">
        <v>0.61553240740740744</v>
      </c>
      <c r="O1193" t="s">
        <v>172</v>
      </c>
      <c r="Q1193">
        <v>2515024</v>
      </c>
      <c r="R1193">
        <v>2515024</v>
      </c>
      <c r="S1193">
        <v>2513182</v>
      </c>
      <c r="T1193">
        <v>0</v>
      </c>
      <c r="U1193" t="s">
        <v>173</v>
      </c>
      <c r="V1193">
        <v>0</v>
      </c>
      <c r="W1193" t="s">
        <v>174</v>
      </c>
      <c r="X1193">
        <v>2513182</v>
      </c>
      <c r="Z1193" t="s">
        <v>173</v>
      </c>
      <c r="AA1193" t="s">
        <v>173</v>
      </c>
    </row>
    <row r="1194" spans="1:27" x14ac:dyDescent="0.3">
      <c r="A1194">
        <v>1193</v>
      </c>
      <c r="B1194" t="s">
        <v>169</v>
      </c>
      <c r="C1194">
        <v>99019875</v>
      </c>
      <c r="D1194" s="7" t="s">
        <v>98</v>
      </c>
      <c r="E1194" t="s">
        <v>99</v>
      </c>
      <c r="F1194" t="s">
        <v>170</v>
      </c>
      <c r="G1194" t="s">
        <v>177</v>
      </c>
      <c r="H1194">
        <v>38</v>
      </c>
      <c r="I1194">
        <v>0</v>
      </c>
      <c r="J1194">
        <v>38</v>
      </c>
      <c r="K1194" s="133">
        <v>14305</v>
      </c>
      <c r="L1194" s="133">
        <v>14305</v>
      </c>
      <c r="M1194" s="150">
        <v>0.61527777777777781</v>
      </c>
      <c r="N1194" s="150">
        <v>0.61553240740740744</v>
      </c>
      <c r="O1194" t="s">
        <v>172</v>
      </c>
      <c r="Q1194">
        <v>2515025</v>
      </c>
      <c r="R1194">
        <v>2515025</v>
      </c>
      <c r="S1194">
        <v>2514010</v>
      </c>
      <c r="T1194">
        <v>0</v>
      </c>
      <c r="U1194" t="s">
        <v>173</v>
      </c>
      <c r="V1194">
        <v>0</v>
      </c>
      <c r="W1194" t="s">
        <v>174</v>
      </c>
      <c r="X1194">
        <v>2514010</v>
      </c>
      <c r="Z1194" t="s">
        <v>173</v>
      </c>
      <c r="AA1194" t="s">
        <v>173</v>
      </c>
    </row>
    <row r="1195" spans="1:27" x14ac:dyDescent="0.3">
      <c r="A1195">
        <v>1194</v>
      </c>
      <c r="B1195" t="s">
        <v>169</v>
      </c>
      <c r="C1195">
        <v>99019875</v>
      </c>
      <c r="D1195" s="7" t="s">
        <v>98</v>
      </c>
      <c r="E1195" t="s">
        <v>99</v>
      </c>
      <c r="F1195" t="s">
        <v>170</v>
      </c>
      <c r="G1195" t="s">
        <v>177</v>
      </c>
      <c r="H1195">
        <v>39</v>
      </c>
      <c r="I1195">
        <v>0</v>
      </c>
      <c r="J1195">
        <v>39</v>
      </c>
      <c r="K1195" s="133">
        <v>14305</v>
      </c>
      <c r="L1195" s="133">
        <v>14305</v>
      </c>
      <c r="M1195" s="150">
        <v>0.61527777777777781</v>
      </c>
      <c r="N1195" s="150">
        <v>0.61554398148148148</v>
      </c>
      <c r="O1195" t="s">
        <v>172</v>
      </c>
      <c r="Q1195">
        <v>2515026</v>
      </c>
      <c r="R1195">
        <v>2515026</v>
      </c>
      <c r="S1195">
        <v>2514911</v>
      </c>
      <c r="T1195">
        <v>0</v>
      </c>
      <c r="U1195" t="s">
        <v>173</v>
      </c>
      <c r="V1195">
        <v>0</v>
      </c>
      <c r="W1195" t="s">
        <v>174</v>
      </c>
      <c r="X1195">
        <v>2514911</v>
      </c>
      <c r="Z1195" t="s">
        <v>173</v>
      </c>
      <c r="AA1195" t="s">
        <v>173</v>
      </c>
    </row>
    <row r="1196" spans="1:27" x14ac:dyDescent="0.3">
      <c r="A1196">
        <v>1195</v>
      </c>
      <c r="B1196" t="s">
        <v>169</v>
      </c>
      <c r="C1196">
        <v>99019875</v>
      </c>
      <c r="D1196" s="7" t="s">
        <v>128</v>
      </c>
      <c r="E1196" t="s">
        <v>129</v>
      </c>
      <c r="F1196" t="s">
        <v>170</v>
      </c>
      <c r="G1196" t="s">
        <v>171</v>
      </c>
      <c r="H1196">
        <v>1</v>
      </c>
      <c r="I1196">
        <v>0</v>
      </c>
      <c r="J1196">
        <v>1</v>
      </c>
      <c r="K1196" s="133">
        <v>6510</v>
      </c>
      <c r="L1196" s="133">
        <v>6510</v>
      </c>
      <c r="M1196" s="150">
        <v>0.61533564814814812</v>
      </c>
      <c r="N1196" s="150">
        <v>0.61662037037037043</v>
      </c>
      <c r="O1196" t="s">
        <v>172</v>
      </c>
      <c r="Q1196">
        <v>2515187</v>
      </c>
      <c r="R1196">
        <v>2515187</v>
      </c>
      <c r="S1196">
        <v>0</v>
      </c>
      <c r="T1196">
        <v>0</v>
      </c>
      <c r="U1196" t="s">
        <v>173</v>
      </c>
      <c r="V1196">
        <v>0</v>
      </c>
      <c r="W1196" t="s">
        <v>174</v>
      </c>
      <c r="X1196">
        <v>0</v>
      </c>
      <c r="Z1196" t="s">
        <v>173</v>
      </c>
      <c r="AA1196" t="s">
        <v>173</v>
      </c>
    </row>
    <row r="1197" spans="1:27" x14ac:dyDescent="0.3">
      <c r="A1197">
        <v>1196</v>
      </c>
      <c r="B1197" t="s">
        <v>169</v>
      </c>
      <c r="C1197">
        <v>99019875</v>
      </c>
      <c r="D1197" s="7" t="s">
        <v>75</v>
      </c>
      <c r="E1197" t="s">
        <v>76</v>
      </c>
      <c r="F1197" t="s">
        <v>170</v>
      </c>
      <c r="G1197" t="s">
        <v>177</v>
      </c>
      <c r="H1197">
        <v>25</v>
      </c>
      <c r="I1197">
        <v>0</v>
      </c>
      <c r="J1197">
        <v>25</v>
      </c>
      <c r="K1197" s="133">
        <v>20785</v>
      </c>
      <c r="L1197" s="133">
        <v>20785</v>
      </c>
      <c r="M1197" s="150">
        <v>0.61540509259259257</v>
      </c>
      <c r="N1197" s="150">
        <v>0.61554398148148148</v>
      </c>
      <c r="O1197" t="s">
        <v>172</v>
      </c>
      <c r="Q1197">
        <v>2515394</v>
      </c>
      <c r="R1197">
        <v>2515394</v>
      </c>
      <c r="S1197">
        <v>2513701</v>
      </c>
      <c r="T1197">
        <v>0</v>
      </c>
      <c r="U1197" t="s">
        <v>173</v>
      </c>
      <c r="V1197">
        <v>0</v>
      </c>
      <c r="W1197" t="s">
        <v>174</v>
      </c>
      <c r="X1197">
        <v>2513701</v>
      </c>
      <c r="Z1197" t="s">
        <v>173</v>
      </c>
      <c r="AA1197" t="s">
        <v>173</v>
      </c>
    </row>
    <row r="1198" spans="1:27" x14ac:dyDescent="0.3">
      <c r="A1198">
        <v>1197</v>
      </c>
      <c r="B1198" t="s">
        <v>169</v>
      </c>
      <c r="C1198">
        <v>99019875</v>
      </c>
      <c r="D1198" s="7" t="s">
        <v>75</v>
      </c>
      <c r="E1198" t="s">
        <v>76</v>
      </c>
      <c r="F1198" t="s">
        <v>170</v>
      </c>
      <c r="G1198" t="s">
        <v>177</v>
      </c>
      <c r="H1198">
        <v>83</v>
      </c>
      <c r="I1198">
        <v>0</v>
      </c>
      <c r="J1198">
        <v>83</v>
      </c>
      <c r="K1198" s="133">
        <v>20785</v>
      </c>
      <c r="L1198" s="133">
        <v>20785</v>
      </c>
      <c r="M1198" s="150">
        <v>0.61540509259259257</v>
      </c>
      <c r="N1198" s="150">
        <v>0.61554398148148148</v>
      </c>
      <c r="O1198" t="s">
        <v>172</v>
      </c>
      <c r="Q1198">
        <v>2515395</v>
      </c>
      <c r="R1198">
        <v>2515395</v>
      </c>
      <c r="S1198">
        <v>2513702</v>
      </c>
      <c r="T1198">
        <v>0</v>
      </c>
      <c r="U1198" t="s">
        <v>173</v>
      </c>
      <c r="V1198">
        <v>0</v>
      </c>
      <c r="W1198" t="s">
        <v>174</v>
      </c>
      <c r="X1198">
        <v>2513702</v>
      </c>
      <c r="Z1198" t="s">
        <v>173</v>
      </c>
      <c r="AA1198" t="s">
        <v>173</v>
      </c>
    </row>
    <row r="1199" spans="1:27" x14ac:dyDescent="0.3">
      <c r="A1199">
        <v>1198</v>
      </c>
      <c r="B1199" t="s">
        <v>169</v>
      </c>
      <c r="C1199">
        <v>99019875</v>
      </c>
      <c r="D1199" s="7" t="s">
        <v>75</v>
      </c>
      <c r="E1199" t="s">
        <v>76</v>
      </c>
      <c r="F1199" t="s">
        <v>170</v>
      </c>
      <c r="G1199" t="s">
        <v>177</v>
      </c>
      <c r="H1199">
        <v>83</v>
      </c>
      <c r="I1199">
        <v>0</v>
      </c>
      <c r="J1199">
        <v>83</v>
      </c>
      <c r="K1199" s="133">
        <v>20785</v>
      </c>
      <c r="L1199" s="133">
        <v>20785</v>
      </c>
      <c r="M1199" s="150">
        <v>0.61540509259259257</v>
      </c>
      <c r="N1199" s="150">
        <v>0.61554398148148148</v>
      </c>
      <c r="O1199" t="s">
        <v>172</v>
      </c>
      <c r="Q1199">
        <v>2515396</v>
      </c>
      <c r="R1199">
        <v>2515396</v>
      </c>
      <c r="S1199">
        <v>2514001</v>
      </c>
      <c r="T1199">
        <v>0</v>
      </c>
      <c r="U1199" t="s">
        <v>173</v>
      </c>
      <c r="V1199">
        <v>0</v>
      </c>
      <c r="W1199" t="s">
        <v>174</v>
      </c>
      <c r="X1199">
        <v>2514001</v>
      </c>
      <c r="Z1199" t="s">
        <v>173</v>
      </c>
      <c r="AA1199" t="s">
        <v>173</v>
      </c>
    </row>
    <row r="1200" spans="1:27" x14ac:dyDescent="0.3">
      <c r="A1200">
        <v>1199</v>
      </c>
      <c r="B1200" t="s">
        <v>169</v>
      </c>
      <c r="C1200">
        <v>99019875</v>
      </c>
      <c r="D1200" s="7" t="s">
        <v>75</v>
      </c>
      <c r="E1200" t="s">
        <v>76</v>
      </c>
      <c r="F1200" t="s">
        <v>170</v>
      </c>
      <c r="G1200" t="s">
        <v>177</v>
      </c>
      <c r="H1200">
        <v>83</v>
      </c>
      <c r="I1200">
        <v>0</v>
      </c>
      <c r="J1200">
        <v>83</v>
      </c>
      <c r="K1200" s="133">
        <v>20785</v>
      </c>
      <c r="L1200" s="133">
        <v>20785</v>
      </c>
      <c r="M1200" s="150">
        <v>0.61540509259259257</v>
      </c>
      <c r="N1200" s="150">
        <v>0.61554398148148148</v>
      </c>
      <c r="O1200" t="s">
        <v>172</v>
      </c>
      <c r="Q1200">
        <v>2515397</v>
      </c>
      <c r="R1200">
        <v>2515397</v>
      </c>
      <c r="S1200">
        <v>2514902</v>
      </c>
      <c r="T1200">
        <v>0</v>
      </c>
      <c r="U1200" t="s">
        <v>173</v>
      </c>
      <c r="V1200">
        <v>0</v>
      </c>
      <c r="W1200" t="s">
        <v>174</v>
      </c>
      <c r="X1200">
        <v>2514902</v>
      </c>
      <c r="Z1200" t="s">
        <v>173</v>
      </c>
      <c r="AA1200" t="s">
        <v>173</v>
      </c>
    </row>
    <row r="1201" spans="1:27" x14ac:dyDescent="0.3">
      <c r="A1201">
        <v>1200</v>
      </c>
      <c r="B1201" t="s">
        <v>169</v>
      </c>
      <c r="C1201">
        <v>99019875</v>
      </c>
      <c r="D1201" s="7" t="s">
        <v>62</v>
      </c>
      <c r="E1201" t="s">
        <v>63</v>
      </c>
      <c r="F1201" t="s">
        <v>176</v>
      </c>
      <c r="G1201" t="s">
        <v>171</v>
      </c>
      <c r="H1201">
        <v>89</v>
      </c>
      <c r="I1201">
        <v>0</v>
      </c>
      <c r="J1201">
        <v>89</v>
      </c>
      <c r="K1201" s="133">
        <v>34070</v>
      </c>
      <c r="L1201" s="133">
        <v>34070</v>
      </c>
      <c r="M1201" s="150">
        <v>0.61554398148148148</v>
      </c>
      <c r="N1201" s="150">
        <v>0.6156018518518519</v>
      </c>
      <c r="O1201" t="s">
        <v>172</v>
      </c>
      <c r="Q1201">
        <v>2515734</v>
      </c>
      <c r="R1201">
        <v>2515734</v>
      </c>
      <c r="S1201">
        <v>0</v>
      </c>
      <c r="T1201">
        <v>0</v>
      </c>
      <c r="U1201" t="s">
        <v>173</v>
      </c>
      <c r="V1201">
        <v>0</v>
      </c>
      <c r="W1201" t="s">
        <v>174</v>
      </c>
      <c r="X1201">
        <v>0</v>
      </c>
      <c r="Z1201" t="s">
        <v>173</v>
      </c>
      <c r="AA1201" t="s">
        <v>173</v>
      </c>
    </row>
    <row r="1202" spans="1:27" x14ac:dyDescent="0.3">
      <c r="A1202">
        <v>1201</v>
      </c>
      <c r="B1202" t="s">
        <v>169</v>
      </c>
      <c r="C1202">
        <v>99019875</v>
      </c>
      <c r="D1202" s="7" t="s">
        <v>75</v>
      </c>
      <c r="E1202" t="s">
        <v>76</v>
      </c>
      <c r="F1202" t="s">
        <v>170</v>
      </c>
      <c r="G1202" t="s">
        <v>171</v>
      </c>
      <c r="H1202">
        <v>83</v>
      </c>
      <c r="I1202">
        <v>0</v>
      </c>
      <c r="J1202">
        <v>83</v>
      </c>
      <c r="K1202" s="133">
        <v>20785</v>
      </c>
      <c r="L1202" s="133">
        <v>20785</v>
      </c>
      <c r="M1202" s="150">
        <v>0.61554398148148148</v>
      </c>
      <c r="N1202" s="150">
        <v>0.61554398148148148</v>
      </c>
      <c r="O1202" t="s">
        <v>172</v>
      </c>
      <c r="Q1202">
        <v>2515736</v>
      </c>
      <c r="R1202">
        <v>2515736</v>
      </c>
      <c r="S1202">
        <v>0</v>
      </c>
      <c r="T1202">
        <v>0</v>
      </c>
      <c r="U1202" t="s">
        <v>173</v>
      </c>
      <c r="V1202">
        <v>0</v>
      </c>
      <c r="W1202" t="s">
        <v>174</v>
      </c>
      <c r="X1202">
        <v>0</v>
      </c>
      <c r="Z1202" t="s">
        <v>173</v>
      </c>
      <c r="AA1202" t="s">
        <v>173</v>
      </c>
    </row>
    <row r="1203" spans="1:27" x14ac:dyDescent="0.3">
      <c r="A1203">
        <v>1202</v>
      </c>
      <c r="B1203" t="s">
        <v>169</v>
      </c>
      <c r="C1203">
        <v>99019875</v>
      </c>
      <c r="D1203" s="7" t="s">
        <v>102</v>
      </c>
      <c r="E1203" t="s">
        <v>103</v>
      </c>
      <c r="F1203" t="s">
        <v>170</v>
      </c>
      <c r="G1203" t="s">
        <v>171</v>
      </c>
      <c r="H1203">
        <v>54</v>
      </c>
      <c r="I1203">
        <v>0</v>
      </c>
      <c r="J1203">
        <v>54</v>
      </c>
      <c r="K1203" s="133">
        <v>26840</v>
      </c>
      <c r="L1203" s="133">
        <v>26840</v>
      </c>
      <c r="M1203" s="150">
        <v>0.61554398148148148</v>
      </c>
      <c r="N1203" s="150">
        <v>0.61554398148148148</v>
      </c>
      <c r="O1203" t="s">
        <v>172</v>
      </c>
      <c r="Q1203">
        <v>2515737</v>
      </c>
      <c r="R1203">
        <v>2515737</v>
      </c>
      <c r="S1203">
        <v>0</v>
      </c>
      <c r="T1203">
        <v>0</v>
      </c>
      <c r="U1203" t="s">
        <v>173</v>
      </c>
      <c r="V1203">
        <v>0</v>
      </c>
      <c r="W1203" t="s">
        <v>174</v>
      </c>
      <c r="X1203">
        <v>0</v>
      </c>
      <c r="Z1203" t="s">
        <v>173</v>
      </c>
      <c r="AA1203" t="s">
        <v>173</v>
      </c>
    </row>
    <row r="1204" spans="1:27" x14ac:dyDescent="0.3">
      <c r="A1204">
        <v>1203</v>
      </c>
      <c r="B1204" t="s">
        <v>169</v>
      </c>
      <c r="C1204">
        <v>99019875</v>
      </c>
      <c r="D1204" s="7" t="s">
        <v>67</v>
      </c>
      <c r="E1204" t="s">
        <v>68</v>
      </c>
      <c r="F1204" t="s">
        <v>170</v>
      </c>
      <c r="G1204" t="s">
        <v>171</v>
      </c>
      <c r="H1204">
        <v>36</v>
      </c>
      <c r="I1204">
        <v>0</v>
      </c>
      <c r="J1204">
        <v>36</v>
      </c>
      <c r="K1204" s="133">
        <v>4820</v>
      </c>
      <c r="L1204" s="133">
        <v>4820</v>
      </c>
      <c r="M1204" s="150">
        <v>0.61554398148148148</v>
      </c>
      <c r="N1204" s="150">
        <v>0.61554398148148148</v>
      </c>
      <c r="O1204" t="s">
        <v>172</v>
      </c>
      <c r="Q1204">
        <v>2515738</v>
      </c>
      <c r="R1204">
        <v>2515738</v>
      </c>
      <c r="S1204">
        <v>0</v>
      </c>
      <c r="T1204">
        <v>0</v>
      </c>
      <c r="U1204" t="s">
        <v>173</v>
      </c>
      <c r="V1204">
        <v>0</v>
      </c>
      <c r="W1204" t="s">
        <v>174</v>
      </c>
      <c r="X1204">
        <v>0</v>
      </c>
      <c r="Z1204" t="s">
        <v>173</v>
      </c>
      <c r="AA1204" t="s">
        <v>173</v>
      </c>
    </row>
    <row r="1205" spans="1:27" x14ac:dyDescent="0.3">
      <c r="A1205">
        <v>1204</v>
      </c>
      <c r="B1205" t="s">
        <v>169</v>
      </c>
      <c r="C1205">
        <v>99019875</v>
      </c>
      <c r="D1205" s="7" t="s">
        <v>89</v>
      </c>
      <c r="E1205" t="s">
        <v>90</v>
      </c>
      <c r="F1205" t="s">
        <v>176</v>
      </c>
      <c r="G1205" t="s">
        <v>171</v>
      </c>
      <c r="H1205">
        <v>31</v>
      </c>
      <c r="I1205">
        <v>0</v>
      </c>
      <c r="J1205">
        <v>31</v>
      </c>
      <c r="K1205" s="133">
        <v>3095</v>
      </c>
      <c r="L1205" s="133">
        <v>3095</v>
      </c>
      <c r="M1205" s="150">
        <v>0.61554398148148148</v>
      </c>
      <c r="N1205" s="150">
        <v>0.61628472222222219</v>
      </c>
      <c r="O1205" t="s">
        <v>172</v>
      </c>
      <c r="Q1205">
        <v>2515740</v>
      </c>
      <c r="R1205">
        <v>2515740</v>
      </c>
      <c r="S1205">
        <v>0</v>
      </c>
      <c r="T1205">
        <v>0</v>
      </c>
      <c r="U1205" t="s">
        <v>173</v>
      </c>
      <c r="V1205">
        <v>0</v>
      </c>
      <c r="W1205" t="s">
        <v>174</v>
      </c>
      <c r="X1205">
        <v>0</v>
      </c>
      <c r="Z1205" t="s">
        <v>173</v>
      </c>
      <c r="AA1205" t="s">
        <v>173</v>
      </c>
    </row>
    <row r="1206" spans="1:27" x14ac:dyDescent="0.3">
      <c r="A1206">
        <v>1205</v>
      </c>
      <c r="B1206" t="s">
        <v>169</v>
      </c>
      <c r="C1206">
        <v>99019875</v>
      </c>
      <c r="D1206" s="7" t="s">
        <v>100</v>
      </c>
      <c r="E1206" t="s">
        <v>101</v>
      </c>
      <c r="F1206" t="s">
        <v>170</v>
      </c>
      <c r="G1206" t="s">
        <v>171</v>
      </c>
      <c r="H1206">
        <v>4</v>
      </c>
      <c r="I1206">
        <v>0</v>
      </c>
      <c r="J1206">
        <v>4</v>
      </c>
      <c r="K1206" s="133">
        <v>15520</v>
      </c>
      <c r="L1206" s="133">
        <v>15520</v>
      </c>
      <c r="M1206" s="150">
        <v>0.61554398148148148</v>
      </c>
      <c r="N1206" s="150">
        <v>0.61555555555555552</v>
      </c>
      <c r="O1206" t="s">
        <v>172</v>
      </c>
      <c r="Q1206">
        <v>2515741</v>
      </c>
      <c r="R1206">
        <v>2515741</v>
      </c>
      <c r="S1206">
        <v>0</v>
      </c>
      <c r="T1206">
        <v>0</v>
      </c>
      <c r="U1206" t="s">
        <v>173</v>
      </c>
      <c r="V1206">
        <v>0</v>
      </c>
      <c r="W1206" t="s">
        <v>174</v>
      </c>
      <c r="X1206">
        <v>0</v>
      </c>
      <c r="Z1206" t="s">
        <v>173</v>
      </c>
      <c r="AA1206" t="s">
        <v>173</v>
      </c>
    </row>
    <row r="1207" spans="1:27" x14ac:dyDescent="0.3">
      <c r="A1207">
        <v>1206</v>
      </c>
      <c r="B1207" t="s">
        <v>169</v>
      </c>
      <c r="C1207">
        <v>99019875</v>
      </c>
      <c r="D1207" s="7" t="s">
        <v>87</v>
      </c>
      <c r="E1207" t="s">
        <v>88</v>
      </c>
      <c r="F1207" t="s">
        <v>170</v>
      </c>
      <c r="G1207" t="s">
        <v>171</v>
      </c>
      <c r="H1207">
        <v>6</v>
      </c>
      <c r="I1207">
        <v>0</v>
      </c>
      <c r="J1207">
        <v>6</v>
      </c>
      <c r="K1207" s="133">
        <v>12160</v>
      </c>
      <c r="L1207" s="133">
        <v>12160</v>
      </c>
      <c r="M1207" s="150">
        <v>0.61554398148148148</v>
      </c>
      <c r="N1207" s="150">
        <v>0.61611111111111116</v>
      </c>
      <c r="O1207" t="s">
        <v>172</v>
      </c>
      <c r="Q1207">
        <v>2515742</v>
      </c>
      <c r="R1207">
        <v>2515742</v>
      </c>
      <c r="S1207">
        <v>0</v>
      </c>
      <c r="T1207">
        <v>0</v>
      </c>
      <c r="U1207" t="s">
        <v>173</v>
      </c>
      <c r="V1207">
        <v>0</v>
      </c>
      <c r="W1207" t="s">
        <v>174</v>
      </c>
      <c r="X1207">
        <v>0</v>
      </c>
      <c r="Z1207" t="s">
        <v>173</v>
      </c>
      <c r="AA1207" t="s">
        <v>173</v>
      </c>
    </row>
    <row r="1208" spans="1:27" x14ac:dyDescent="0.3">
      <c r="A1208">
        <v>1207</v>
      </c>
      <c r="B1208" t="s">
        <v>169</v>
      </c>
      <c r="C1208">
        <v>99019875</v>
      </c>
      <c r="D1208" s="7" t="s">
        <v>108</v>
      </c>
      <c r="E1208" t="s">
        <v>109</v>
      </c>
      <c r="F1208" t="s">
        <v>170</v>
      </c>
      <c r="G1208" t="s">
        <v>171</v>
      </c>
      <c r="H1208">
        <v>23</v>
      </c>
      <c r="I1208">
        <v>0</v>
      </c>
      <c r="J1208">
        <v>23</v>
      </c>
      <c r="K1208" s="133">
        <v>2715</v>
      </c>
      <c r="L1208" s="133">
        <v>2715</v>
      </c>
      <c r="M1208" s="150">
        <v>0.61554398148148148</v>
      </c>
      <c r="N1208" s="150">
        <v>0.62351851851851847</v>
      </c>
      <c r="O1208" t="s">
        <v>172</v>
      </c>
      <c r="Q1208">
        <v>2515743</v>
      </c>
      <c r="R1208">
        <v>2515743</v>
      </c>
      <c r="S1208">
        <v>0</v>
      </c>
      <c r="T1208">
        <v>0</v>
      </c>
      <c r="U1208" t="s">
        <v>173</v>
      </c>
      <c r="V1208">
        <v>0</v>
      </c>
      <c r="W1208" t="s">
        <v>174</v>
      </c>
      <c r="X1208">
        <v>0</v>
      </c>
      <c r="Z1208" t="s">
        <v>173</v>
      </c>
      <c r="AA1208" t="s">
        <v>173</v>
      </c>
    </row>
    <row r="1209" spans="1:27" x14ac:dyDescent="0.3">
      <c r="A1209">
        <v>1208</v>
      </c>
      <c r="B1209" t="s">
        <v>169</v>
      </c>
      <c r="C1209">
        <v>99019875</v>
      </c>
      <c r="D1209" s="7" t="s">
        <v>122</v>
      </c>
      <c r="E1209" t="s">
        <v>123</v>
      </c>
      <c r="F1209" t="s">
        <v>170</v>
      </c>
      <c r="G1209" t="s">
        <v>171</v>
      </c>
      <c r="H1209">
        <v>19</v>
      </c>
      <c r="I1209">
        <v>0</v>
      </c>
      <c r="J1209">
        <v>19</v>
      </c>
      <c r="K1209" s="133">
        <v>36065</v>
      </c>
      <c r="L1209" s="133">
        <v>36065</v>
      </c>
      <c r="M1209" s="150">
        <v>0.61554398148148148</v>
      </c>
      <c r="N1209" s="150">
        <v>0.61568287037037039</v>
      </c>
      <c r="O1209" t="s">
        <v>172</v>
      </c>
      <c r="Q1209">
        <v>2515744</v>
      </c>
      <c r="R1209">
        <v>2515744</v>
      </c>
      <c r="S1209">
        <v>0</v>
      </c>
      <c r="T1209">
        <v>0</v>
      </c>
      <c r="U1209" t="s">
        <v>173</v>
      </c>
      <c r="V1209">
        <v>0</v>
      </c>
      <c r="W1209" t="s">
        <v>174</v>
      </c>
      <c r="X1209">
        <v>0</v>
      </c>
      <c r="Z1209" t="s">
        <v>173</v>
      </c>
      <c r="AA1209" t="s">
        <v>173</v>
      </c>
    </row>
    <row r="1210" spans="1:27" x14ac:dyDescent="0.3">
      <c r="A1210">
        <v>1209</v>
      </c>
      <c r="B1210" t="s">
        <v>169</v>
      </c>
      <c r="C1210">
        <v>99019875</v>
      </c>
      <c r="D1210" s="7" t="s">
        <v>98</v>
      </c>
      <c r="E1210" t="s">
        <v>99</v>
      </c>
      <c r="F1210" t="s">
        <v>170</v>
      </c>
      <c r="G1210" t="s">
        <v>171</v>
      </c>
      <c r="H1210">
        <v>38</v>
      </c>
      <c r="I1210">
        <v>0</v>
      </c>
      <c r="J1210">
        <v>38</v>
      </c>
      <c r="K1210" s="133">
        <v>14305</v>
      </c>
      <c r="L1210" s="133">
        <v>14305</v>
      </c>
      <c r="M1210" s="150">
        <v>0.61554398148148148</v>
      </c>
      <c r="N1210" s="150">
        <v>0.61555555555555552</v>
      </c>
      <c r="O1210" t="s">
        <v>172</v>
      </c>
      <c r="Q1210">
        <v>2515745</v>
      </c>
      <c r="R1210">
        <v>2515745</v>
      </c>
      <c r="S1210">
        <v>0</v>
      </c>
      <c r="T1210">
        <v>0</v>
      </c>
      <c r="U1210" t="s">
        <v>173</v>
      </c>
      <c r="V1210">
        <v>0</v>
      </c>
      <c r="W1210" t="s">
        <v>174</v>
      </c>
      <c r="X1210">
        <v>0</v>
      </c>
      <c r="Z1210" t="s">
        <v>173</v>
      </c>
      <c r="AA1210" t="s">
        <v>173</v>
      </c>
    </row>
    <row r="1211" spans="1:27" x14ac:dyDescent="0.3">
      <c r="A1211">
        <v>1210</v>
      </c>
      <c r="B1211" t="s">
        <v>169</v>
      </c>
      <c r="C1211">
        <v>99019875</v>
      </c>
      <c r="D1211" s="7" t="s">
        <v>77</v>
      </c>
      <c r="E1211" t="s">
        <v>78</v>
      </c>
      <c r="F1211" t="s">
        <v>170</v>
      </c>
      <c r="G1211" t="s">
        <v>171</v>
      </c>
      <c r="H1211">
        <v>73</v>
      </c>
      <c r="I1211">
        <v>0</v>
      </c>
      <c r="J1211">
        <v>73</v>
      </c>
      <c r="K1211" s="133">
        <v>7360</v>
      </c>
      <c r="L1211" s="133">
        <v>7360</v>
      </c>
      <c r="M1211" s="150">
        <v>0.61554398148148148</v>
      </c>
      <c r="N1211" s="150">
        <v>0.61597222222222225</v>
      </c>
      <c r="O1211" t="s">
        <v>172</v>
      </c>
      <c r="Q1211">
        <v>2515746</v>
      </c>
      <c r="R1211">
        <v>2515746</v>
      </c>
      <c r="S1211">
        <v>0</v>
      </c>
      <c r="T1211">
        <v>0</v>
      </c>
      <c r="U1211" t="s">
        <v>173</v>
      </c>
      <c r="V1211">
        <v>0</v>
      </c>
      <c r="W1211" t="s">
        <v>174</v>
      </c>
      <c r="X1211">
        <v>0</v>
      </c>
      <c r="Z1211" t="s">
        <v>173</v>
      </c>
      <c r="AA1211" t="s">
        <v>173</v>
      </c>
    </row>
    <row r="1212" spans="1:27" x14ac:dyDescent="0.3">
      <c r="A1212">
        <v>1211</v>
      </c>
      <c r="B1212" t="s">
        <v>169</v>
      </c>
      <c r="C1212">
        <v>99019875</v>
      </c>
      <c r="D1212" s="7" t="s">
        <v>140</v>
      </c>
      <c r="E1212" t="s">
        <v>178</v>
      </c>
      <c r="F1212" t="s">
        <v>170</v>
      </c>
      <c r="G1212" t="s">
        <v>171</v>
      </c>
      <c r="H1212">
        <v>20</v>
      </c>
      <c r="I1212">
        <v>0</v>
      </c>
      <c r="J1212">
        <v>20</v>
      </c>
      <c r="K1212" s="133">
        <v>8640</v>
      </c>
      <c r="L1212" s="133">
        <v>8640</v>
      </c>
      <c r="M1212" s="150">
        <v>0.61554398148148148</v>
      </c>
      <c r="N1212" s="150">
        <v>0.61554398148148148</v>
      </c>
      <c r="O1212" t="s">
        <v>172</v>
      </c>
      <c r="Q1212">
        <v>2515751</v>
      </c>
      <c r="R1212">
        <v>2515751</v>
      </c>
      <c r="S1212">
        <v>0</v>
      </c>
      <c r="T1212">
        <v>0</v>
      </c>
      <c r="U1212" t="s">
        <v>173</v>
      </c>
      <c r="V1212">
        <v>0</v>
      </c>
      <c r="W1212" t="s">
        <v>174</v>
      </c>
      <c r="X1212">
        <v>0</v>
      </c>
      <c r="Z1212" t="s">
        <v>173</v>
      </c>
      <c r="AA1212" t="s">
        <v>173</v>
      </c>
    </row>
    <row r="1213" spans="1:27" x14ac:dyDescent="0.3">
      <c r="A1213">
        <v>1212</v>
      </c>
      <c r="B1213" t="s">
        <v>169</v>
      </c>
      <c r="C1213">
        <v>99019875</v>
      </c>
      <c r="D1213" s="7" t="s">
        <v>69</v>
      </c>
      <c r="E1213" t="s">
        <v>70</v>
      </c>
      <c r="F1213" t="s">
        <v>170</v>
      </c>
      <c r="G1213" t="s">
        <v>171</v>
      </c>
      <c r="H1213">
        <v>17</v>
      </c>
      <c r="I1213">
        <v>0</v>
      </c>
      <c r="J1213">
        <v>17</v>
      </c>
      <c r="K1213" s="133">
        <v>10295</v>
      </c>
      <c r="L1213" s="133">
        <v>10295</v>
      </c>
      <c r="M1213" s="150">
        <v>0.61554398148148148</v>
      </c>
      <c r="N1213" s="150">
        <v>0.61555555555555552</v>
      </c>
      <c r="O1213" t="s">
        <v>172</v>
      </c>
      <c r="Q1213">
        <v>2515752</v>
      </c>
      <c r="R1213">
        <v>2515752</v>
      </c>
      <c r="S1213">
        <v>0</v>
      </c>
      <c r="T1213">
        <v>0</v>
      </c>
      <c r="U1213" t="s">
        <v>173</v>
      </c>
      <c r="V1213">
        <v>0</v>
      </c>
      <c r="W1213" t="s">
        <v>174</v>
      </c>
      <c r="X1213">
        <v>0</v>
      </c>
      <c r="Z1213" t="s">
        <v>173</v>
      </c>
      <c r="AA1213" t="s">
        <v>173</v>
      </c>
    </row>
    <row r="1214" spans="1:27" x14ac:dyDescent="0.3">
      <c r="A1214">
        <v>1213</v>
      </c>
      <c r="B1214" t="s">
        <v>169</v>
      </c>
      <c r="C1214">
        <v>99019875</v>
      </c>
      <c r="D1214" s="7" t="s">
        <v>114</v>
      </c>
      <c r="E1214" t="s">
        <v>115</v>
      </c>
      <c r="F1214" t="s">
        <v>176</v>
      </c>
      <c r="G1214" t="s">
        <v>177</v>
      </c>
      <c r="H1214">
        <v>66</v>
      </c>
      <c r="I1214">
        <v>0</v>
      </c>
      <c r="J1214">
        <v>66</v>
      </c>
      <c r="K1214" s="133">
        <v>53845</v>
      </c>
      <c r="L1214" s="133">
        <v>53845</v>
      </c>
      <c r="M1214" s="150">
        <v>0.61557870370370371</v>
      </c>
      <c r="N1214" s="150">
        <v>0.61575231481481485</v>
      </c>
      <c r="O1214" t="s">
        <v>172</v>
      </c>
      <c r="Q1214">
        <v>2515884</v>
      </c>
      <c r="R1214">
        <v>2515884</v>
      </c>
      <c r="S1214">
        <v>2515773</v>
      </c>
      <c r="T1214">
        <v>0</v>
      </c>
      <c r="U1214" t="s">
        <v>173</v>
      </c>
      <c r="V1214">
        <v>0</v>
      </c>
      <c r="W1214" t="s">
        <v>174</v>
      </c>
      <c r="X1214">
        <v>2515773</v>
      </c>
      <c r="Z1214" t="s">
        <v>173</v>
      </c>
      <c r="AA1214" t="s">
        <v>173</v>
      </c>
    </row>
    <row r="1215" spans="1:27" x14ac:dyDescent="0.3">
      <c r="A1215">
        <v>1214</v>
      </c>
      <c r="B1215" t="s">
        <v>169</v>
      </c>
      <c r="C1215">
        <v>99019875</v>
      </c>
      <c r="D1215" s="7" t="s">
        <v>65</v>
      </c>
      <c r="E1215" t="s">
        <v>66</v>
      </c>
      <c r="F1215" t="s">
        <v>176</v>
      </c>
      <c r="G1215" t="s">
        <v>177</v>
      </c>
      <c r="H1215">
        <v>57</v>
      </c>
      <c r="I1215">
        <v>0</v>
      </c>
      <c r="J1215">
        <v>57</v>
      </c>
      <c r="K1215" s="133">
        <v>4750</v>
      </c>
      <c r="L1215" s="133">
        <v>4750</v>
      </c>
      <c r="M1215" s="150">
        <v>0.61569444444444443</v>
      </c>
      <c r="N1215" s="150">
        <v>0.61571759259259262</v>
      </c>
      <c r="O1215" t="s">
        <v>172</v>
      </c>
      <c r="Q1215">
        <v>2516265</v>
      </c>
      <c r="R1215">
        <v>2516265</v>
      </c>
      <c r="S1215">
        <v>2515748</v>
      </c>
      <c r="T1215">
        <v>0</v>
      </c>
      <c r="U1215" t="s">
        <v>173</v>
      </c>
      <c r="V1215">
        <v>0</v>
      </c>
      <c r="W1215" t="s">
        <v>174</v>
      </c>
      <c r="X1215">
        <v>2515748</v>
      </c>
      <c r="Z1215" t="s">
        <v>173</v>
      </c>
      <c r="AA1215" t="s">
        <v>173</v>
      </c>
    </row>
    <row r="1216" spans="1:27" x14ac:dyDescent="0.3">
      <c r="A1216">
        <v>1215</v>
      </c>
      <c r="B1216" t="s">
        <v>169</v>
      </c>
      <c r="C1216">
        <v>99019875</v>
      </c>
      <c r="D1216" s="7" t="s">
        <v>128</v>
      </c>
      <c r="E1216" t="s">
        <v>129</v>
      </c>
      <c r="F1216" t="s">
        <v>170</v>
      </c>
      <c r="G1216" t="s">
        <v>171</v>
      </c>
      <c r="H1216">
        <v>1</v>
      </c>
      <c r="I1216">
        <v>0</v>
      </c>
      <c r="J1216">
        <v>1</v>
      </c>
      <c r="K1216" s="133">
        <v>6510</v>
      </c>
      <c r="L1216" s="133">
        <v>6510</v>
      </c>
      <c r="M1216" s="150">
        <v>0.61574074074074081</v>
      </c>
      <c r="N1216" s="150">
        <v>0.61662037037037043</v>
      </c>
      <c r="O1216" t="s">
        <v>172</v>
      </c>
      <c r="Q1216">
        <v>2516359</v>
      </c>
      <c r="R1216">
        <v>2516359</v>
      </c>
      <c r="S1216">
        <v>0</v>
      </c>
      <c r="T1216">
        <v>0</v>
      </c>
      <c r="U1216" t="s">
        <v>173</v>
      </c>
      <c r="V1216">
        <v>0</v>
      </c>
      <c r="W1216" t="s">
        <v>174</v>
      </c>
      <c r="X1216">
        <v>0</v>
      </c>
      <c r="Z1216" t="s">
        <v>173</v>
      </c>
      <c r="AA1216" t="s">
        <v>173</v>
      </c>
    </row>
    <row r="1217" spans="1:27" x14ac:dyDescent="0.3">
      <c r="A1217">
        <v>1216</v>
      </c>
      <c r="B1217" t="s">
        <v>169</v>
      </c>
      <c r="C1217">
        <v>99019875</v>
      </c>
      <c r="D1217" s="7" t="s">
        <v>67</v>
      </c>
      <c r="E1217" t="s">
        <v>68</v>
      </c>
      <c r="F1217" t="s">
        <v>170</v>
      </c>
      <c r="G1217" t="s">
        <v>171</v>
      </c>
      <c r="H1217">
        <v>35</v>
      </c>
      <c r="I1217">
        <v>0</v>
      </c>
      <c r="J1217">
        <v>35</v>
      </c>
      <c r="K1217" s="133">
        <v>4815</v>
      </c>
      <c r="L1217" s="133">
        <v>4815</v>
      </c>
      <c r="M1217" s="150">
        <v>0.61583333333333334</v>
      </c>
      <c r="N1217" s="150">
        <v>0.61645833333333333</v>
      </c>
      <c r="O1217" t="s">
        <v>172</v>
      </c>
      <c r="Q1217">
        <v>2516670</v>
      </c>
      <c r="R1217">
        <v>2516670</v>
      </c>
      <c r="S1217">
        <v>0</v>
      </c>
      <c r="T1217">
        <v>0</v>
      </c>
      <c r="U1217" t="s">
        <v>173</v>
      </c>
      <c r="V1217">
        <v>0</v>
      </c>
      <c r="W1217" t="s">
        <v>174</v>
      </c>
      <c r="X1217">
        <v>0</v>
      </c>
      <c r="Z1217" t="s">
        <v>173</v>
      </c>
      <c r="AA1217" t="s">
        <v>173</v>
      </c>
    </row>
    <row r="1218" spans="1:27" x14ac:dyDescent="0.3">
      <c r="A1218">
        <v>1217</v>
      </c>
      <c r="B1218" t="s">
        <v>169</v>
      </c>
      <c r="C1218">
        <v>99019875</v>
      </c>
      <c r="D1218" s="7" t="s">
        <v>89</v>
      </c>
      <c r="E1218" t="s">
        <v>90</v>
      </c>
      <c r="F1218" t="s">
        <v>176</v>
      </c>
      <c r="G1218" t="s">
        <v>171</v>
      </c>
      <c r="H1218">
        <v>30</v>
      </c>
      <c r="I1218">
        <v>0</v>
      </c>
      <c r="J1218">
        <v>30</v>
      </c>
      <c r="K1218" s="133">
        <v>3095</v>
      </c>
      <c r="L1218" s="133">
        <v>3095</v>
      </c>
      <c r="M1218" s="150">
        <v>0.61583333333333334</v>
      </c>
      <c r="N1218" s="150">
        <v>0.61628472222222219</v>
      </c>
      <c r="O1218" t="s">
        <v>172</v>
      </c>
      <c r="Q1218">
        <v>2516672</v>
      </c>
      <c r="R1218">
        <v>2516672</v>
      </c>
      <c r="S1218">
        <v>0</v>
      </c>
      <c r="T1218">
        <v>0</v>
      </c>
      <c r="U1218" t="s">
        <v>173</v>
      </c>
      <c r="V1218">
        <v>0</v>
      </c>
      <c r="W1218" t="s">
        <v>174</v>
      </c>
      <c r="X1218">
        <v>0</v>
      </c>
      <c r="Z1218" t="s">
        <v>173</v>
      </c>
      <c r="AA1218" t="s">
        <v>173</v>
      </c>
    </row>
    <row r="1219" spans="1:27" x14ac:dyDescent="0.3">
      <c r="A1219">
        <v>1218</v>
      </c>
      <c r="B1219" t="s">
        <v>169</v>
      </c>
      <c r="C1219">
        <v>99019875</v>
      </c>
      <c r="D1219" s="7" t="s">
        <v>87</v>
      </c>
      <c r="E1219" t="s">
        <v>88</v>
      </c>
      <c r="F1219" t="s">
        <v>170</v>
      </c>
      <c r="G1219" t="s">
        <v>171</v>
      </c>
      <c r="H1219">
        <v>6</v>
      </c>
      <c r="I1219">
        <v>0</v>
      </c>
      <c r="J1219">
        <v>6</v>
      </c>
      <c r="K1219" s="133">
        <v>12160</v>
      </c>
      <c r="L1219" s="133">
        <v>12160</v>
      </c>
      <c r="M1219" s="150">
        <v>0.61583333333333334</v>
      </c>
      <c r="N1219" s="150">
        <v>0.61611111111111116</v>
      </c>
      <c r="O1219" t="s">
        <v>172</v>
      </c>
      <c r="Q1219">
        <v>2516674</v>
      </c>
      <c r="R1219">
        <v>2516674</v>
      </c>
      <c r="S1219">
        <v>0</v>
      </c>
      <c r="T1219">
        <v>0</v>
      </c>
      <c r="U1219" t="s">
        <v>173</v>
      </c>
      <c r="V1219">
        <v>0</v>
      </c>
      <c r="W1219" t="s">
        <v>174</v>
      </c>
      <c r="X1219">
        <v>0</v>
      </c>
      <c r="Z1219" t="s">
        <v>173</v>
      </c>
      <c r="AA1219" t="s">
        <v>173</v>
      </c>
    </row>
    <row r="1220" spans="1:27" x14ac:dyDescent="0.3">
      <c r="A1220">
        <v>1219</v>
      </c>
      <c r="B1220" t="s">
        <v>169</v>
      </c>
      <c r="C1220">
        <v>99019875</v>
      </c>
      <c r="D1220" s="7" t="s">
        <v>108</v>
      </c>
      <c r="E1220" t="s">
        <v>109</v>
      </c>
      <c r="F1220" t="s">
        <v>170</v>
      </c>
      <c r="G1220" t="s">
        <v>171</v>
      </c>
      <c r="H1220">
        <v>24</v>
      </c>
      <c r="I1220">
        <v>0</v>
      </c>
      <c r="J1220">
        <v>24</v>
      </c>
      <c r="K1220" s="133">
        <v>2715</v>
      </c>
      <c r="L1220" s="133">
        <v>2715</v>
      </c>
      <c r="M1220" s="150">
        <v>0.61583333333333334</v>
      </c>
      <c r="N1220" s="150">
        <v>0.62351851851851847</v>
      </c>
      <c r="O1220" t="s">
        <v>172</v>
      </c>
      <c r="Q1220">
        <v>2516675</v>
      </c>
      <c r="R1220">
        <v>2516675</v>
      </c>
      <c r="S1220">
        <v>0</v>
      </c>
      <c r="T1220">
        <v>0</v>
      </c>
      <c r="U1220" t="s">
        <v>173</v>
      </c>
      <c r="V1220">
        <v>0</v>
      </c>
      <c r="W1220" t="s">
        <v>174</v>
      </c>
      <c r="X1220">
        <v>0</v>
      </c>
      <c r="Z1220" t="s">
        <v>173</v>
      </c>
      <c r="AA1220" t="s">
        <v>173</v>
      </c>
    </row>
    <row r="1221" spans="1:27" x14ac:dyDescent="0.3">
      <c r="A1221">
        <v>1220</v>
      </c>
      <c r="B1221" t="s">
        <v>169</v>
      </c>
      <c r="C1221">
        <v>99019875</v>
      </c>
      <c r="D1221" s="7" t="s">
        <v>98</v>
      </c>
      <c r="E1221" t="s">
        <v>99</v>
      </c>
      <c r="F1221" t="s">
        <v>170</v>
      </c>
      <c r="G1221" t="s">
        <v>171</v>
      </c>
      <c r="H1221">
        <v>38</v>
      </c>
      <c r="I1221">
        <v>0</v>
      </c>
      <c r="J1221">
        <v>38</v>
      </c>
      <c r="K1221" s="133">
        <v>14295</v>
      </c>
      <c r="L1221" s="133">
        <v>14295</v>
      </c>
      <c r="M1221" s="150">
        <v>0.61583333333333334</v>
      </c>
      <c r="N1221" s="150">
        <v>0.61614583333333328</v>
      </c>
      <c r="O1221" t="s">
        <v>172</v>
      </c>
      <c r="Q1221">
        <v>2516677</v>
      </c>
      <c r="R1221">
        <v>2516677</v>
      </c>
      <c r="S1221">
        <v>0</v>
      </c>
      <c r="T1221">
        <v>0</v>
      </c>
      <c r="U1221" t="s">
        <v>173</v>
      </c>
      <c r="V1221">
        <v>0</v>
      </c>
      <c r="W1221" t="s">
        <v>174</v>
      </c>
      <c r="X1221">
        <v>0</v>
      </c>
      <c r="Z1221" t="s">
        <v>173</v>
      </c>
      <c r="AA1221" t="s">
        <v>173</v>
      </c>
    </row>
    <row r="1222" spans="1:27" x14ac:dyDescent="0.3">
      <c r="A1222">
        <v>1221</v>
      </c>
      <c r="B1222" t="s">
        <v>169</v>
      </c>
      <c r="C1222">
        <v>99019875</v>
      </c>
      <c r="D1222" s="7" t="s">
        <v>77</v>
      </c>
      <c r="E1222" t="s">
        <v>78</v>
      </c>
      <c r="F1222" t="s">
        <v>170</v>
      </c>
      <c r="G1222" t="s">
        <v>171</v>
      </c>
      <c r="H1222">
        <v>73</v>
      </c>
      <c r="I1222">
        <v>0</v>
      </c>
      <c r="J1222">
        <v>73</v>
      </c>
      <c r="K1222" s="133">
        <v>7360</v>
      </c>
      <c r="L1222" s="133">
        <v>7360</v>
      </c>
      <c r="M1222" s="150">
        <v>0.61583333333333334</v>
      </c>
      <c r="N1222" s="150">
        <v>0.61597222222222225</v>
      </c>
      <c r="O1222" t="s">
        <v>172</v>
      </c>
      <c r="Q1222">
        <v>2516678</v>
      </c>
      <c r="R1222">
        <v>2516678</v>
      </c>
      <c r="S1222">
        <v>0</v>
      </c>
      <c r="T1222">
        <v>0</v>
      </c>
      <c r="U1222" t="s">
        <v>173</v>
      </c>
      <c r="V1222">
        <v>0</v>
      </c>
      <c r="W1222" t="s">
        <v>174</v>
      </c>
      <c r="X1222">
        <v>0</v>
      </c>
      <c r="Z1222" t="s">
        <v>173</v>
      </c>
      <c r="AA1222" t="s">
        <v>173</v>
      </c>
    </row>
    <row r="1223" spans="1:27" x14ac:dyDescent="0.3">
      <c r="A1223">
        <v>1222</v>
      </c>
      <c r="B1223" t="s">
        <v>169</v>
      </c>
      <c r="C1223">
        <v>99019875</v>
      </c>
      <c r="D1223" s="7" t="s">
        <v>65</v>
      </c>
      <c r="E1223" t="s">
        <v>66</v>
      </c>
      <c r="F1223" t="s">
        <v>176</v>
      </c>
      <c r="G1223" t="s">
        <v>177</v>
      </c>
      <c r="H1223">
        <v>57</v>
      </c>
      <c r="I1223">
        <v>0</v>
      </c>
      <c r="J1223">
        <v>57</v>
      </c>
      <c r="K1223" s="133">
        <v>4750</v>
      </c>
      <c r="L1223" s="133">
        <v>4750</v>
      </c>
      <c r="M1223" s="150">
        <v>0.61583333333333334</v>
      </c>
      <c r="N1223" s="150">
        <v>0.61744212962962963</v>
      </c>
      <c r="O1223" t="s">
        <v>172</v>
      </c>
      <c r="Q1223">
        <v>2516686</v>
      </c>
      <c r="R1223">
        <v>2516686</v>
      </c>
      <c r="S1223">
        <v>2516680</v>
      </c>
      <c r="T1223">
        <v>0</v>
      </c>
      <c r="U1223" t="s">
        <v>173</v>
      </c>
      <c r="V1223">
        <v>0</v>
      </c>
      <c r="W1223" t="s">
        <v>174</v>
      </c>
      <c r="X1223">
        <v>2516680</v>
      </c>
      <c r="Z1223" t="s">
        <v>173</v>
      </c>
      <c r="AA1223" t="s">
        <v>173</v>
      </c>
    </row>
    <row r="1224" spans="1:27" x14ac:dyDescent="0.3">
      <c r="A1224">
        <v>1223</v>
      </c>
      <c r="B1224" t="s">
        <v>169</v>
      </c>
      <c r="C1224">
        <v>99019875</v>
      </c>
      <c r="D1224" s="7" t="s">
        <v>94</v>
      </c>
      <c r="E1224" t="s">
        <v>95</v>
      </c>
      <c r="F1224" t="s">
        <v>170</v>
      </c>
      <c r="G1224" t="s">
        <v>177</v>
      </c>
      <c r="H1224">
        <v>1</v>
      </c>
      <c r="I1224">
        <v>0</v>
      </c>
      <c r="J1224">
        <v>1</v>
      </c>
      <c r="K1224" s="133">
        <v>21985</v>
      </c>
      <c r="L1224" s="133">
        <v>21985</v>
      </c>
      <c r="M1224" s="150">
        <v>0.61584490740740738</v>
      </c>
      <c r="N1224" s="150">
        <v>0.61703703703703705</v>
      </c>
      <c r="O1224" t="s">
        <v>172</v>
      </c>
      <c r="Q1224">
        <v>2516704</v>
      </c>
      <c r="R1224">
        <v>2516704</v>
      </c>
      <c r="S1224">
        <v>2515300</v>
      </c>
      <c r="T1224">
        <v>0</v>
      </c>
      <c r="U1224" t="s">
        <v>173</v>
      </c>
      <c r="V1224">
        <v>0</v>
      </c>
      <c r="W1224" t="s">
        <v>174</v>
      </c>
      <c r="X1224">
        <v>2515300</v>
      </c>
      <c r="Z1224" t="s">
        <v>173</v>
      </c>
      <c r="AA1224" t="s">
        <v>173</v>
      </c>
    </row>
    <row r="1225" spans="1:27" x14ac:dyDescent="0.3">
      <c r="A1225">
        <v>1224</v>
      </c>
      <c r="B1225" t="s">
        <v>169</v>
      </c>
      <c r="C1225">
        <v>99019875</v>
      </c>
      <c r="D1225" s="7" t="s">
        <v>75</v>
      </c>
      <c r="E1225" t="s">
        <v>76</v>
      </c>
      <c r="F1225" t="s">
        <v>170</v>
      </c>
      <c r="G1225" t="s">
        <v>177</v>
      </c>
      <c r="H1225">
        <v>82</v>
      </c>
      <c r="I1225">
        <v>0</v>
      </c>
      <c r="J1225">
        <v>82</v>
      </c>
      <c r="K1225" s="133">
        <v>20790</v>
      </c>
      <c r="L1225" s="133">
        <v>20790</v>
      </c>
      <c r="M1225" s="150">
        <v>0.61592592592592588</v>
      </c>
      <c r="N1225" s="150">
        <v>0.61633101851851857</v>
      </c>
      <c r="O1225" t="s">
        <v>172</v>
      </c>
      <c r="Q1225">
        <v>2516937</v>
      </c>
      <c r="R1225">
        <v>2516937</v>
      </c>
      <c r="S1225">
        <v>2516668</v>
      </c>
      <c r="T1225">
        <v>0</v>
      </c>
      <c r="U1225" t="s">
        <v>173</v>
      </c>
      <c r="V1225">
        <v>0</v>
      </c>
      <c r="W1225" t="s">
        <v>174</v>
      </c>
      <c r="X1225">
        <v>2516668</v>
      </c>
      <c r="Z1225" t="s">
        <v>173</v>
      </c>
      <c r="AA1225" t="s">
        <v>173</v>
      </c>
    </row>
    <row r="1226" spans="1:27" x14ac:dyDescent="0.3">
      <c r="A1226">
        <v>1225</v>
      </c>
      <c r="B1226" t="s">
        <v>169</v>
      </c>
      <c r="C1226">
        <v>99019875</v>
      </c>
      <c r="D1226" s="7" t="s">
        <v>71</v>
      </c>
      <c r="E1226" t="s">
        <v>72</v>
      </c>
      <c r="F1226" t="s">
        <v>176</v>
      </c>
      <c r="G1226" t="s">
        <v>177</v>
      </c>
      <c r="H1226">
        <v>18</v>
      </c>
      <c r="I1226">
        <v>0</v>
      </c>
      <c r="J1226">
        <v>18</v>
      </c>
      <c r="K1226" s="133">
        <v>18040</v>
      </c>
      <c r="L1226" s="133">
        <v>18040</v>
      </c>
      <c r="M1226" s="150">
        <v>0.61594907407407407</v>
      </c>
      <c r="N1226" s="150">
        <v>0.61600694444444437</v>
      </c>
      <c r="O1226" t="s">
        <v>172</v>
      </c>
      <c r="Q1226">
        <v>2516979</v>
      </c>
      <c r="R1226">
        <v>2516979</v>
      </c>
      <c r="S1226">
        <v>2516576</v>
      </c>
      <c r="T1226">
        <v>0</v>
      </c>
      <c r="U1226" t="s">
        <v>173</v>
      </c>
      <c r="V1226">
        <v>0</v>
      </c>
      <c r="W1226" t="s">
        <v>174</v>
      </c>
      <c r="X1226">
        <v>2516576</v>
      </c>
      <c r="Z1226" t="s">
        <v>173</v>
      </c>
      <c r="AA1226" t="s">
        <v>173</v>
      </c>
    </row>
    <row r="1227" spans="1:27" x14ac:dyDescent="0.3">
      <c r="A1227">
        <v>1226</v>
      </c>
      <c r="B1227" t="s">
        <v>169</v>
      </c>
      <c r="C1227">
        <v>99019875</v>
      </c>
      <c r="D1227" s="7" t="s">
        <v>71</v>
      </c>
      <c r="E1227" t="s">
        <v>72</v>
      </c>
      <c r="F1227" t="s">
        <v>176</v>
      </c>
      <c r="G1227" t="s">
        <v>177</v>
      </c>
      <c r="H1227">
        <v>18</v>
      </c>
      <c r="I1227">
        <v>0</v>
      </c>
      <c r="J1227">
        <v>15</v>
      </c>
      <c r="K1227" s="133">
        <v>18040</v>
      </c>
      <c r="L1227" s="133">
        <v>18040</v>
      </c>
      <c r="M1227" s="150">
        <v>0.61594907407407407</v>
      </c>
      <c r="N1227" s="150">
        <v>0.61615740740740743</v>
      </c>
      <c r="O1227" t="s">
        <v>172</v>
      </c>
      <c r="Q1227">
        <v>2516980</v>
      </c>
      <c r="R1227">
        <v>2516980</v>
      </c>
      <c r="S1227">
        <v>2516679</v>
      </c>
      <c r="T1227">
        <v>3</v>
      </c>
      <c r="U1227" t="s">
        <v>173</v>
      </c>
      <c r="V1227">
        <v>0</v>
      </c>
      <c r="W1227" t="s">
        <v>174</v>
      </c>
      <c r="X1227">
        <v>2516679</v>
      </c>
      <c r="Z1227" t="s">
        <v>173</v>
      </c>
      <c r="AA1227" t="s">
        <v>173</v>
      </c>
    </row>
    <row r="1228" spans="1:27" x14ac:dyDescent="0.3">
      <c r="A1228">
        <v>1227</v>
      </c>
      <c r="B1228" t="s">
        <v>169</v>
      </c>
      <c r="C1228">
        <v>99019875</v>
      </c>
      <c r="D1228" s="7" t="s">
        <v>114</v>
      </c>
      <c r="E1228" t="s">
        <v>115</v>
      </c>
      <c r="F1228" t="s">
        <v>176</v>
      </c>
      <c r="G1228" t="s">
        <v>177</v>
      </c>
      <c r="H1228">
        <v>65</v>
      </c>
      <c r="I1228">
        <v>0</v>
      </c>
      <c r="J1228">
        <v>65</v>
      </c>
      <c r="K1228" s="133">
        <v>53835</v>
      </c>
      <c r="L1228" s="133">
        <v>53835</v>
      </c>
      <c r="M1228" s="150">
        <v>0.61594907407407407</v>
      </c>
      <c r="N1228" s="150">
        <v>0.61609953703703701</v>
      </c>
      <c r="O1228" t="s">
        <v>172</v>
      </c>
      <c r="Q1228">
        <v>2516987</v>
      </c>
      <c r="R1228">
        <v>2516987</v>
      </c>
      <c r="S1228">
        <v>2516951</v>
      </c>
      <c r="T1228">
        <v>0</v>
      </c>
      <c r="U1228" t="s">
        <v>173</v>
      </c>
      <c r="V1228">
        <v>0</v>
      </c>
      <c r="W1228" t="s">
        <v>174</v>
      </c>
      <c r="X1228">
        <v>2516951</v>
      </c>
      <c r="Z1228" t="s">
        <v>173</v>
      </c>
      <c r="AA1228" t="s">
        <v>173</v>
      </c>
    </row>
    <row r="1229" spans="1:27" x14ac:dyDescent="0.3">
      <c r="A1229">
        <v>1228</v>
      </c>
      <c r="B1229" t="s">
        <v>169</v>
      </c>
      <c r="C1229">
        <v>99019875</v>
      </c>
      <c r="D1229" s="7" t="s">
        <v>62</v>
      </c>
      <c r="E1229" t="s">
        <v>63</v>
      </c>
      <c r="F1229" t="s">
        <v>176</v>
      </c>
      <c r="G1229" t="s">
        <v>177</v>
      </c>
      <c r="H1229">
        <v>89</v>
      </c>
      <c r="I1229">
        <v>0</v>
      </c>
      <c r="J1229">
        <v>89</v>
      </c>
      <c r="K1229" s="133">
        <v>34060</v>
      </c>
      <c r="L1229" s="133">
        <v>34060</v>
      </c>
      <c r="M1229" s="150">
        <v>0.61604166666666671</v>
      </c>
      <c r="N1229" s="150">
        <v>0.61607638888888883</v>
      </c>
      <c r="O1229" t="s">
        <v>172</v>
      </c>
      <c r="Q1229">
        <v>2517215</v>
      </c>
      <c r="R1229">
        <v>2517215</v>
      </c>
      <c r="S1229">
        <v>2516926</v>
      </c>
      <c r="T1229">
        <v>0</v>
      </c>
      <c r="U1229" t="s">
        <v>173</v>
      </c>
      <c r="V1229">
        <v>0</v>
      </c>
      <c r="W1229" t="s">
        <v>174</v>
      </c>
      <c r="X1229">
        <v>2516926</v>
      </c>
      <c r="Z1229" t="s">
        <v>173</v>
      </c>
      <c r="AA1229" t="s">
        <v>173</v>
      </c>
    </row>
    <row r="1230" spans="1:27" x14ac:dyDescent="0.3">
      <c r="A1230">
        <v>1229</v>
      </c>
      <c r="B1230" t="s">
        <v>169</v>
      </c>
      <c r="C1230">
        <v>99019875</v>
      </c>
      <c r="D1230" s="7" t="s">
        <v>100</v>
      </c>
      <c r="E1230" t="s">
        <v>101</v>
      </c>
      <c r="F1230" t="s">
        <v>170</v>
      </c>
      <c r="G1230" t="s">
        <v>177</v>
      </c>
      <c r="H1230">
        <v>5</v>
      </c>
      <c r="I1230">
        <v>0</v>
      </c>
      <c r="J1230">
        <v>5</v>
      </c>
      <c r="K1230" s="133">
        <v>15520</v>
      </c>
      <c r="L1230" s="133">
        <v>15520</v>
      </c>
      <c r="M1230" s="150">
        <v>0.61606481481481479</v>
      </c>
      <c r="N1230" s="150">
        <v>0.61703703703703705</v>
      </c>
      <c r="O1230" t="s">
        <v>172</v>
      </c>
      <c r="Q1230">
        <v>2517267</v>
      </c>
      <c r="R1230">
        <v>2517267</v>
      </c>
      <c r="S1230">
        <v>2516673</v>
      </c>
      <c r="T1230">
        <v>0</v>
      </c>
      <c r="U1230" t="s">
        <v>173</v>
      </c>
      <c r="V1230">
        <v>0</v>
      </c>
      <c r="W1230" t="s">
        <v>174</v>
      </c>
      <c r="X1230">
        <v>2516673</v>
      </c>
      <c r="Z1230" t="s">
        <v>173</v>
      </c>
      <c r="AA1230" t="s">
        <v>173</v>
      </c>
    </row>
    <row r="1231" spans="1:27" x14ac:dyDescent="0.3">
      <c r="A1231">
        <v>1230</v>
      </c>
      <c r="B1231" t="s">
        <v>169</v>
      </c>
      <c r="C1231">
        <v>99019875</v>
      </c>
      <c r="D1231" s="7" t="s">
        <v>140</v>
      </c>
      <c r="E1231" t="s">
        <v>178</v>
      </c>
      <c r="F1231" t="s">
        <v>170</v>
      </c>
      <c r="G1231" t="s">
        <v>177</v>
      </c>
      <c r="H1231">
        <v>20</v>
      </c>
      <c r="I1231">
        <v>0</v>
      </c>
      <c r="J1231">
        <v>20</v>
      </c>
      <c r="K1231" s="133">
        <v>8640</v>
      </c>
      <c r="L1231" s="133">
        <v>8640</v>
      </c>
      <c r="M1231" s="150">
        <v>0.61608796296296298</v>
      </c>
      <c r="N1231" s="150">
        <v>0.61614583333333328</v>
      </c>
      <c r="O1231" t="s">
        <v>172</v>
      </c>
      <c r="Q1231">
        <v>2517327</v>
      </c>
      <c r="R1231">
        <v>2517327</v>
      </c>
      <c r="S1231">
        <v>2516683</v>
      </c>
      <c r="T1231">
        <v>0</v>
      </c>
      <c r="U1231" t="s">
        <v>173</v>
      </c>
      <c r="V1231">
        <v>0</v>
      </c>
      <c r="W1231" t="s">
        <v>174</v>
      </c>
      <c r="X1231">
        <v>2516683</v>
      </c>
      <c r="Z1231" t="s">
        <v>173</v>
      </c>
      <c r="AA1231" t="s">
        <v>173</v>
      </c>
    </row>
    <row r="1232" spans="1:27" x14ac:dyDescent="0.3">
      <c r="A1232">
        <v>1231</v>
      </c>
      <c r="B1232" t="s">
        <v>169</v>
      </c>
      <c r="C1232">
        <v>99019875</v>
      </c>
      <c r="D1232" s="7" t="s">
        <v>75</v>
      </c>
      <c r="E1232" t="s">
        <v>76</v>
      </c>
      <c r="F1232" t="s">
        <v>170</v>
      </c>
      <c r="G1232" t="s">
        <v>171</v>
      </c>
      <c r="H1232">
        <v>83</v>
      </c>
      <c r="I1232">
        <v>0</v>
      </c>
      <c r="J1232">
        <v>83</v>
      </c>
      <c r="K1232" s="133">
        <v>20790</v>
      </c>
      <c r="L1232" s="133">
        <v>20790</v>
      </c>
      <c r="M1232" s="150">
        <v>0.61613425925925924</v>
      </c>
      <c r="N1232" s="150">
        <v>0.61633101851851857</v>
      </c>
      <c r="O1232" t="s">
        <v>172</v>
      </c>
      <c r="Q1232">
        <v>2517493</v>
      </c>
      <c r="R1232">
        <v>2517493</v>
      </c>
      <c r="S1232">
        <v>0</v>
      </c>
      <c r="T1232">
        <v>0</v>
      </c>
      <c r="U1232" t="s">
        <v>173</v>
      </c>
      <c r="V1232">
        <v>0</v>
      </c>
      <c r="W1232" t="s">
        <v>174</v>
      </c>
      <c r="X1232">
        <v>0</v>
      </c>
      <c r="Z1232" t="s">
        <v>173</v>
      </c>
      <c r="AA1232" t="s">
        <v>173</v>
      </c>
    </row>
    <row r="1233" spans="1:27" x14ac:dyDescent="0.3">
      <c r="A1233">
        <v>1232</v>
      </c>
      <c r="B1233" t="s">
        <v>169</v>
      </c>
      <c r="C1233">
        <v>99019875</v>
      </c>
      <c r="D1233" s="7" t="s">
        <v>67</v>
      </c>
      <c r="E1233" t="s">
        <v>68</v>
      </c>
      <c r="F1233" t="s">
        <v>170</v>
      </c>
      <c r="G1233" t="s">
        <v>171</v>
      </c>
      <c r="H1233">
        <v>35</v>
      </c>
      <c r="I1233">
        <v>0</v>
      </c>
      <c r="J1233">
        <v>35</v>
      </c>
      <c r="K1233" s="133">
        <v>4815</v>
      </c>
      <c r="L1233" s="133">
        <v>4815</v>
      </c>
      <c r="M1233" s="150">
        <v>0.61613425925925924</v>
      </c>
      <c r="N1233" s="150">
        <v>0.61645833333333333</v>
      </c>
      <c r="O1233" t="s">
        <v>172</v>
      </c>
      <c r="Q1233">
        <v>2517495</v>
      </c>
      <c r="R1233">
        <v>2517495</v>
      </c>
      <c r="S1233">
        <v>0</v>
      </c>
      <c r="T1233">
        <v>0</v>
      </c>
      <c r="U1233" t="s">
        <v>173</v>
      </c>
      <c r="V1233">
        <v>0</v>
      </c>
      <c r="W1233" t="s">
        <v>174</v>
      </c>
      <c r="X1233">
        <v>0</v>
      </c>
      <c r="Z1233" t="s">
        <v>173</v>
      </c>
      <c r="AA1233" t="s">
        <v>173</v>
      </c>
    </row>
    <row r="1234" spans="1:27" x14ac:dyDescent="0.3">
      <c r="A1234">
        <v>1233</v>
      </c>
      <c r="B1234" t="s">
        <v>169</v>
      </c>
      <c r="C1234">
        <v>99019875</v>
      </c>
      <c r="D1234" s="7" t="s">
        <v>89</v>
      </c>
      <c r="E1234" t="s">
        <v>90</v>
      </c>
      <c r="F1234" t="s">
        <v>176</v>
      </c>
      <c r="G1234" t="s">
        <v>171</v>
      </c>
      <c r="H1234">
        <v>31</v>
      </c>
      <c r="I1234">
        <v>0</v>
      </c>
      <c r="J1234">
        <v>31</v>
      </c>
      <c r="K1234" s="133">
        <v>3095</v>
      </c>
      <c r="L1234" s="133">
        <v>3095</v>
      </c>
      <c r="M1234" s="150">
        <v>0.61613425925925924</v>
      </c>
      <c r="N1234" s="150">
        <v>0.61651620370370364</v>
      </c>
      <c r="O1234" t="s">
        <v>172</v>
      </c>
      <c r="Q1234">
        <v>2517497</v>
      </c>
      <c r="R1234">
        <v>2517497</v>
      </c>
      <c r="S1234">
        <v>0</v>
      </c>
      <c r="T1234">
        <v>0</v>
      </c>
      <c r="U1234" t="s">
        <v>173</v>
      </c>
      <c r="V1234">
        <v>0</v>
      </c>
      <c r="W1234" t="s">
        <v>174</v>
      </c>
      <c r="X1234">
        <v>0</v>
      </c>
      <c r="Z1234" t="s">
        <v>173</v>
      </c>
      <c r="AA1234" t="s">
        <v>173</v>
      </c>
    </row>
    <row r="1235" spans="1:27" x14ac:dyDescent="0.3">
      <c r="A1235">
        <v>1234</v>
      </c>
      <c r="B1235" t="s">
        <v>169</v>
      </c>
      <c r="C1235">
        <v>99019875</v>
      </c>
      <c r="D1235" s="7" t="s">
        <v>100</v>
      </c>
      <c r="E1235" t="s">
        <v>101</v>
      </c>
      <c r="F1235" t="s">
        <v>170</v>
      </c>
      <c r="G1235" t="s">
        <v>171</v>
      </c>
      <c r="H1235">
        <v>5</v>
      </c>
      <c r="I1235">
        <v>0</v>
      </c>
      <c r="J1235">
        <v>5</v>
      </c>
      <c r="K1235" s="133">
        <v>15520</v>
      </c>
      <c r="L1235" s="133">
        <v>15520</v>
      </c>
      <c r="M1235" s="150">
        <v>0.61613425925925924</v>
      </c>
      <c r="N1235" s="150">
        <v>0.61703703703703705</v>
      </c>
      <c r="O1235" t="s">
        <v>172</v>
      </c>
      <c r="Q1235">
        <v>2517498</v>
      </c>
      <c r="R1235">
        <v>2517498</v>
      </c>
      <c r="S1235">
        <v>0</v>
      </c>
      <c r="T1235">
        <v>0</v>
      </c>
      <c r="U1235" t="s">
        <v>173</v>
      </c>
      <c r="V1235">
        <v>0</v>
      </c>
      <c r="W1235" t="s">
        <v>174</v>
      </c>
      <c r="X1235">
        <v>0</v>
      </c>
      <c r="Z1235" t="s">
        <v>173</v>
      </c>
      <c r="AA1235" t="s">
        <v>173</v>
      </c>
    </row>
    <row r="1236" spans="1:27" x14ac:dyDescent="0.3">
      <c r="A1236">
        <v>1235</v>
      </c>
      <c r="B1236" t="s">
        <v>169</v>
      </c>
      <c r="C1236">
        <v>99019875</v>
      </c>
      <c r="D1236" s="7" t="s">
        <v>87</v>
      </c>
      <c r="E1236" t="s">
        <v>88</v>
      </c>
      <c r="F1236" t="s">
        <v>170</v>
      </c>
      <c r="G1236" t="s">
        <v>171</v>
      </c>
      <c r="H1236">
        <v>6</v>
      </c>
      <c r="I1236">
        <v>0</v>
      </c>
      <c r="J1236">
        <v>6</v>
      </c>
      <c r="K1236" s="133">
        <v>12155</v>
      </c>
      <c r="L1236" s="133">
        <v>12155</v>
      </c>
      <c r="M1236" s="150">
        <v>0.61613425925925924</v>
      </c>
      <c r="N1236" s="150">
        <v>0.61692129629629633</v>
      </c>
      <c r="O1236" t="s">
        <v>172</v>
      </c>
      <c r="Q1236">
        <v>2517499</v>
      </c>
      <c r="R1236">
        <v>2517499</v>
      </c>
      <c r="S1236">
        <v>0</v>
      </c>
      <c r="T1236">
        <v>0</v>
      </c>
      <c r="U1236" t="s">
        <v>173</v>
      </c>
      <c r="V1236">
        <v>0</v>
      </c>
      <c r="W1236" t="s">
        <v>174</v>
      </c>
      <c r="X1236">
        <v>0</v>
      </c>
      <c r="Z1236" t="s">
        <v>173</v>
      </c>
      <c r="AA1236" t="s">
        <v>173</v>
      </c>
    </row>
    <row r="1237" spans="1:27" x14ac:dyDescent="0.3">
      <c r="A1237">
        <v>1236</v>
      </c>
      <c r="B1237" t="s">
        <v>169</v>
      </c>
      <c r="C1237">
        <v>99019875</v>
      </c>
      <c r="D1237" s="7" t="s">
        <v>108</v>
      </c>
      <c r="E1237" t="s">
        <v>109</v>
      </c>
      <c r="F1237" t="s">
        <v>170</v>
      </c>
      <c r="G1237" t="s">
        <v>171</v>
      </c>
      <c r="H1237">
        <v>23</v>
      </c>
      <c r="I1237">
        <v>0</v>
      </c>
      <c r="J1237">
        <v>23</v>
      </c>
      <c r="K1237" s="133">
        <v>2715</v>
      </c>
      <c r="L1237" s="133">
        <v>2715</v>
      </c>
      <c r="M1237" s="150">
        <v>0.61613425925925924</v>
      </c>
      <c r="N1237" s="150">
        <v>0.62351851851851847</v>
      </c>
      <c r="O1237" t="s">
        <v>172</v>
      </c>
      <c r="Q1237">
        <v>2517500</v>
      </c>
      <c r="R1237">
        <v>2517500</v>
      </c>
      <c r="S1237">
        <v>0</v>
      </c>
      <c r="T1237">
        <v>0</v>
      </c>
      <c r="U1237" t="s">
        <v>173</v>
      </c>
      <c r="V1237">
        <v>0</v>
      </c>
      <c r="W1237" t="s">
        <v>174</v>
      </c>
      <c r="X1237">
        <v>0</v>
      </c>
      <c r="Z1237" t="s">
        <v>173</v>
      </c>
      <c r="AA1237" t="s">
        <v>173</v>
      </c>
    </row>
    <row r="1238" spans="1:27" x14ac:dyDescent="0.3">
      <c r="A1238">
        <v>1237</v>
      </c>
      <c r="B1238" t="s">
        <v>169</v>
      </c>
      <c r="C1238">
        <v>99019875</v>
      </c>
      <c r="D1238" s="7" t="s">
        <v>98</v>
      </c>
      <c r="E1238" t="s">
        <v>99</v>
      </c>
      <c r="F1238" t="s">
        <v>170</v>
      </c>
      <c r="G1238" t="s">
        <v>171</v>
      </c>
      <c r="H1238">
        <v>39</v>
      </c>
      <c r="I1238">
        <v>0</v>
      </c>
      <c r="J1238">
        <v>39</v>
      </c>
      <c r="K1238" s="133">
        <v>14295</v>
      </c>
      <c r="L1238" s="133">
        <v>14295</v>
      </c>
      <c r="M1238" s="150">
        <v>0.61613425925925924</v>
      </c>
      <c r="N1238" s="150">
        <v>0.61614583333333328</v>
      </c>
      <c r="O1238" t="s">
        <v>172</v>
      </c>
      <c r="Q1238">
        <v>2517502</v>
      </c>
      <c r="R1238">
        <v>2517502</v>
      </c>
      <c r="S1238">
        <v>0</v>
      </c>
      <c r="T1238">
        <v>0</v>
      </c>
      <c r="U1238" t="s">
        <v>173</v>
      </c>
      <c r="V1238">
        <v>0</v>
      </c>
      <c r="W1238" t="s">
        <v>174</v>
      </c>
      <c r="X1238">
        <v>0</v>
      </c>
      <c r="Z1238" t="s">
        <v>173</v>
      </c>
      <c r="AA1238" t="s">
        <v>173</v>
      </c>
    </row>
    <row r="1239" spans="1:27" x14ac:dyDescent="0.3">
      <c r="A1239">
        <v>1238</v>
      </c>
      <c r="B1239" t="s">
        <v>169</v>
      </c>
      <c r="C1239">
        <v>99019875</v>
      </c>
      <c r="D1239" s="7" t="s">
        <v>65</v>
      </c>
      <c r="E1239" t="s">
        <v>66</v>
      </c>
      <c r="F1239" t="s">
        <v>176</v>
      </c>
      <c r="G1239" t="s">
        <v>171</v>
      </c>
      <c r="H1239">
        <v>58</v>
      </c>
      <c r="I1239">
        <v>0</v>
      </c>
      <c r="J1239">
        <v>58</v>
      </c>
      <c r="K1239" s="133">
        <v>4750</v>
      </c>
      <c r="L1239" s="133">
        <v>4750</v>
      </c>
      <c r="M1239" s="150">
        <v>0.61613425925925924</v>
      </c>
      <c r="N1239" s="150">
        <v>0.61752314814814813</v>
      </c>
      <c r="O1239" t="s">
        <v>172</v>
      </c>
      <c r="Q1239">
        <v>2517505</v>
      </c>
      <c r="R1239">
        <v>2517505</v>
      </c>
      <c r="S1239">
        <v>0</v>
      </c>
      <c r="T1239">
        <v>0</v>
      </c>
      <c r="U1239" t="s">
        <v>173</v>
      </c>
      <c r="V1239">
        <v>0</v>
      </c>
      <c r="W1239" t="s">
        <v>174</v>
      </c>
      <c r="X1239">
        <v>0</v>
      </c>
      <c r="Z1239" t="s">
        <v>173</v>
      </c>
      <c r="AA1239" t="s">
        <v>173</v>
      </c>
    </row>
    <row r="1240" spans="1:27" x14ac:dyDescent="0.3">
      <c r="A1240">
        <v>1239</v>
      </c>
      <c r="B1240" t="s">
        <v>169</v>
      </c>
      <c r="C1240">
        <v>99019875</v>
      </c>
      <c r="D1240" s="7" t="s">
        <v>140</v>
      </c>
      <c r="E1240" t="s">
        <v>178</v>
      </c>
      <c r="F1240" t="s">
        <v>170</v>
      </c>
      <c r="G1240" t="s">
        <v>171</v>
      </c>
      <c r="H1240">
        <v>20</v>
      </c>
      <c r="I1240">
        <v>0</v>
      </c>
      <c r="J1240">
        <v>20</v>
      </c>
      <c r="K1240" s="133">
        <v>8640</v>
      </c>
      <c r="L1240" s="133">
        <v>8640</v>
      </c>
      <c r="M1240" s="150">
        <v>0.61613425925925924</v>
      </c>
      <c r="N1240" s="150">
        <v>0.61614583333333328</v>
      </c>
      <c r="O1240" t="s">
        <v>172</v>
      </c>
      <c r="Q1240">
        <v>2517508</v>
      </c>
      <c r="R1240">
        <v>2517508</v>
      </c>
      <c r="S1240">
        <v>0</v>
      </c>
      <c r="T1240">
        <v>0</v>
      </c>
      <c r="U1240" t="s">
        <v>173</v>
      </c>
      <c r="V1240">
        <v>0</v>
      </c>
      <c r="W1240" t="s">
        <v>174</v>
      </c>
      <c r="X1240">
        <v>0</v>
      </c>
      <c r="Z1240" t="s">
        <v>173</v>
      </c>
      <c r="AA1240" t="s">
        <v>173</v>
      </c>
    </row>
    <row r="1241" spans="1:27" x14ac:dyDescent="0.3">
      <c r="A1241">
        <v>1240</v>
      </c>
      <c r="B1241" t="s">
        <v>169</v>
      </c>
      <c r="C1241">
        <v>99019875</v>
      </c>
      <c r="D1241" s="7" t="s">
        <v>62</v>
      </c>
      <c r="E1241" t="s">
        <v>63</v>
      </c>
      <c r="F1241" t="s">
        <v>176</v>
      </c>
      <c r="G1241" t="s">
        <v>177</v>
      </c>
      <c r="H1241">
        <v>89</v>
      </c>
      <c r="I1241">
        <v>0</v>
      </c>
      <c r="J1241">
        <v>89</v>
      </c>
      <c r="K1241" s="133">
        <v>34060</v>
      </c>
      <c r="L1241" s="133">
        <v>34060</v>
      </c>
      <c r="M1241" s="150">
        <v>0.61613425925925924</v>
      </c>
      <c r="N1241" s="150">
        <v>0.61616898148148147</v>
      </c>
      <c r="O1241" t="s">
        <v>172</v>
      </c>
      <c r="Q1241">
        <v>2517513</v>
      </c>
      <c r="R1241">
        <v>2517513</v>
      </c>
      <c r="S1241">
        <v>2517510</v>
      </c>
      <c r="T1241">
        <v>0</v>
      </c>
      <c r="U1241" t="s">
        <v>173</v>
      </c>
      <c r="V1241">
        <v>0</v>
      </c>
      <c r="W1241" t="s">
        <v>174</v>
      </c>
      <c r="X1241">
        <v>2517510</v>
      </c>
      <c r="Z1241" t="s">
        <v>173</v>
      </c>
      <c r="AA1241" t="s">
        <v>173</v>
      </c>
    </row>
    <row r="1242" spans="1:27" x14ac:dyDescent="0.3">
      <c r="A1242">
        <v>1241</v>
      </c>
      <c r="B1242" t="s">
        <v>169</v>
      </c>
      <c r="C1242">
        <v>99019875</v>
      </c>
      <c r="D1242" s="7" t="s">
        <v>128</v>
      </c>
      <c r="E1242" t="s">
        <v>129</v>
      </c>
      <c r="F1242" t="s">
        <v>170</v>
      </c>
      <c r="G1242" t="s">
        <v>171</v>
      </c>
      <c r="H1242">
        <v>1</v>
      </c>
      <c r="I1242">
        <v>0</v>
      </c>
      <c r="J1242">
        <v>1</v>
      </c>
      <c r="K1242" s="133">
        <v>6510</v>
      </c>
      <c r="L1242" s="133">
        <v>6510</v>
      </c>
      <c r="M1242" s="150">
        <v>0.61613425925925924</v>
      </c>
      <c r="N1242" s="150">
        <v>0.61662037037037043</v>
      </c>
      <c r="O1242" t="s">
        <v>172</v>
      </c>
      <c r="Q1242">
        <v>2517519</v>
      </c>
      <c r="R1242">
        <v>2517519</v>
      </c>
      <c r="S1242">
        <v>0</v>
      </c>
      <c r="T1242">
        <v>0</v>
      </c>
      <c r="U1242" t="s">
        <v>173</v>
      </c>
      <c r="V1242">
        <v>0</v>
      </c>
      <c r="W1242" t="s">
        <v>174</v>
      </c>
      <c r="X1242">
        <v>0</v>
      </c>
      <c r="Z1242" t="s">
        <v>173</v>
      </c>
      <c r="AA1242" t="s">
        <v>173</v>
      </c>
    </row>
    <row r="1243" spans="1:27" x14ac:dyDescent="0.3">
      <c r="A1243">
        <v>1242</v>
      </c>
      <c r="B1243" t="s">
        <v>169</v>
      </c>
      <c r="C1243">
        <v>99019875</v>
      </c>
      <c r="D1243" s="7" t="s">
        <v>114</v>
      </c>
      <c r="E1243" t="s">
        <v>115</v>
      </c>
      <c r="F1243" t="s">
        <v>176</v>
      </c>
      <c r="G1243" t="s">
        <v>177</v>
      </c>
      <c r="H1243">
        <v>66</v>
      </c>
      <c r="I1243">
        <v>0</v>
      </c>
      <c r="J1243">
        <v>66</v>
      </c>
      <c r="K1243" s="133">
        <v>53825</v>
      </c>
      <c r="L1243" s="133">
        <v>53825</v>
      </c>
      <c r="M1243" s="150">
        <v>0.61614583333333328</v>
      </c>
      <c r="N1243" s="150">
        <v>0.61616898148148147</v>
      </c>
      <c r="O1243" t="s">
        <v>172</v>
      </c>
      <c r="Q1243">
        <v>2517564</v>
      </c>
      <c r="R1243">
        <v>2517564</v>
      </c>
      <c r="S1243">
        <v>2517538</v>
      </c>
      <c r="T1243">
        <v>0</v>
      </c>
      <c r="U1243" t="s">
        <v>173</v>
      </c>
      <c r="V1243">
        <v>0</v>
      </c>
      <c r="W1243" t="s">
        <v>174</v>
      </c>
      <c r="X1243">
        <v>2517538</v>
      </c>
      <c r="Z1243" t="s">
        <v>173</v>
      </c>
      <c r="AA1243" t="s">
        <v>173</v>
      </c>
    </row>
    <row r="1244" spans="1:27" x14ac:dyDescent="0.3">
      <c r="A1244">
        <v>1243</v>
      </c>
      <c r="B1244" t="s">
        <v>169</v>
      </c>
      <c r="C1244">
        <v>99019875</v>
      </c>
      <c r="D1244" s="7" t="s">
        <v>110</v>
      </c>
      <c r="E1244" t="s">
        <v>179</v>
      </c>
      <c r="F1244" t="s">
        <v>170</v>
      </c>
      <c r="G1244" t="s">
        <v>177</v>
      </c>
      <c r="H1244">
        <v>3</v>
      </c>
      <c r="I1244">
        <v>0</v>
      </c>
      <c r="J1244">
        <v>3</v>
      </c>
      <c r="K1244" s="133">
        <v>48540</v>
      </c>
      <c r="L1244" s="133">
        <v>48540</v>
      </c>
      <c r="M1244" s="150">
        <v>0.61619212962962966</v>
      </c>
      <c r="N1244" s="150">
        <v>0.6162037037037037</v>
      </c>
      <c r="O1244" t="s">
        <v>172</v>
      </c>
      <c r="Q1244">
        <v>2517737</v>
      </c>
      <c r="R1244">
        <v>2517737</v>
      </c>
      <c r="S1244">
        <v>2517344</v>
      </c>
      <c r="T1244">
        <v>0</v>
      </c>
      <c r="U1244" t="s">
        <v>173</v>
      </c>
      <c r="V1244">
        <v>0</v>
      </c>
      <c r="W1244" t="s">
        <v>174</v>
      </c>
      <c r="X1244">
        <v>2517344</v>
      </c>
      <c r="Z1244" t="s">
        <v>173</v>
      </c>
      <c r="AA1244" t="s">
        <v>173</v>
      </c>
    </row>
    <row r="1245" spans="1:27" x14ac:dyDescent="0.3">
      <c r="A1245">
        <v>1244</v>
      </c>
      <c r="B1245" t="s">
        <v>169</v>
      </c>
      <c r="C1245">
        <v>99019875</v>
      </c>
      <c r="D1245" s="7" t="s">
        <v>110</v>
      </c>
      <c r="E1245" t="s">
        <v>179</v>
      </c>
      <c r="F1245" t="s">
        <v>170</v>
      </c>
      <c r="G1245" t="s">
        <v>177</v>
      </c>
      <c r="H1245">
        <v>3</v>
      </c>
      <c r="I1245">
        <v>0</v>
      </c>
      <c r="J1245">
        <v>3</v>
      </c>
      <c r="K1245" s="133">
        <v>48540</v>
      </c>
      <c r="L1245" s="133">
        <v>48540</v>
      </c>
      <c r="M1245" s="150">
        <v>0.61619212962962966</v>
      </c>
      <c r="N1245" s="150">
        <v>0.6162037037037037</v>
      </c>
      <c r="O1245" t="s">
        <v>172</v>
      </c>
      <c r="Q1245">
        <v>2517738</v>
      </c>
      <c r="R1245">
        <v>2517738</v>
      </c>
      <c r="S1245">
        <v>2517345</v>
      </c>
      <c r="T1245">
        <v>0</v>
      </c>
      <c r="U1245" t="s">
        <v>173</v>
      </c>
      <c r="V1245">
        <v>0</v>
      </c>
      <c r="W1245" t="s">
        <v>174</v>
      </c>
      <c r="X1245">
        <v>2517345</v>
      </c>
      <c r="Z1245" t="s">
        <v>173</v>
      </c>
      <c r="AA1245" t="s">
        <v>173</v>
      </c>
    </row>
    <row r="1246" spans="1:27" x14ac:dyDescent="0.3">
      <c r="A1246">
        <v>1245</v>
      </c>
      <c r="B1246" t="s">
        <v>169</v>
      </c>
      <c r="C1246">
        <v>99019875</v>
      </c>
      <c r="D1246" s="7" t="s">
        <v>110</v>
      </c>
      <c r="E1246" t="s">
        <v>179</v>
      </c>
      <c r="F1246" t="s">
        <v>170</v>
      </c>
      <c r="G1246" t="s">
        <v>177</v>
      </c>
      <c r="H1246">
        <v>3</v>
      </c>
      <c r="I1246">
        <v>0</v>
      </c>
      <c r="J1246">
        <v>3</v>
      </c>
      <c r="K1246" s="133">
        <v>48540</v>
      </c>
      <c r="L1246" s="133">
        <v>48540</v>
      </c>
      <c r="M1246" s="150">
        <v>0.61619212962962966</v>
      </c>
      <c r="N1246" s="150">
        <v>0.6162037037037037</v>
      </c>
      <c r="O1246" t="s">
        <v>172</v>
      </c>
      <c r="Q1246">
        <v>2517739</v>
      </c>
      <c r="R1246">
        <v>2517739</v>
      </c>
      <c r="S1246">
        <v>2517496</v>
      </c>
      <c r="T1246">
        <v>0</v>
      </c>
      <c r="U1246" t="s">
        <v>173</v>
      </c>
      <c r="V1246">
        <v>0</v>
      </c>
      <c r="W1246" t="s">
        <v>174</v>
      </c>
      <c r="X1246">
        <v>2517496</v>
      </c>
      <c r="Z1246" t="s">
        <v>173</v>
      </c>
      <c r="AA1246" t="s">
        <v>173</v>
      </c>
    </row>
    <row r="1247" spans="1:27" x14ac:dyDescent="0.3">
      <c r="A1247">
        <v>1246</v>
      </c>
      <c r="B1247" t="s">
        <v>169</v>
      </c>
      <c r="C1247">
        <v>99019875</v>
      </c>
      <c r="D1247" s="7" t="s">
        <v>69</v>
      </c>
      <c r="E1247" t="s">
        <v>70</v>
      </c>
      <c r="F1247" t="s">
        <v>170</v>
      </c>
      <c r="G1247" t="s">
        <v>177</v>
      </c>
      <c r="H1247">
        <v>17</v>
      </c>
      <c r="I1247">
        <v>0</v>
      </c>
      <c r="J1247">
        <v>17</v>
      </c>
      <c r="K1247" s="133">
        <v>10290</v>
      </c>
      <c r="L1247" s="133">
        <v>10290</v>
      </c>
      <c r="M1247" s="150">
        <v>0.61621527777777774</v>
      </c>
      <c r="N1247" s="150">
        <v>0.61643518518518514</v>
      </c>
      <c r="O1247" t="s">
        <v>172</v>
      </c>
      <c r="Q1247">
        <v>2517817</v>
      </c>
      <c r="R1247">
        <v>2517817</v>
      </c>
      <c r="S1247">
        <v>2516684</v>
      </c>
      <c r="T1247">
        <v>0</v>
      </c>
      <c r="U1247" t="s">
        <v>173</v>
      </c>
      <c r="V1247">
        <v>0</v>
      </c>
      <c r="W1247" t="s">
        <v>174</v>
      </c>
      <c r="X1247">
        <v>2516684</v>
      </c>
      <c r="Z1247" t="s">
        <v>173</v>
      </c>
      <c r="AA1247" t="s">
        <v>173</v>
      </c>
    </row>
    <row r="1248" spans="1:27" x14ac:dyDescent="0.3">
      <c r="A1248">
        <v>1247</v>
      </c>
      <c r="B1248" t="s">
        <v>169</v>
      </c>
      <c r="C1248">
        <v>99019875</v>
      </c>
      <c r="D1248" s="7" t="s">
        <v>69</v>
      </c>
      <c r="E1248" t="s">
        <v>70</v>
      </c>
      <c r="F1248" t="s">
        <v>170</v>
      </c>
      <c r="G1248" t="s">
        <v>177</v>
      </c>
      <c r="H1248">
        <v>17</v>
      </c>
      <c r="I1248">
        <v>0</v>
      </c>
      <c r="J1248">
        <v>17</v>
      </c>
      <c r="K1248" s="133">
        <v>10290</v>
      </c>
      <c r="L1248" s="133">
        <v>10290</v>
      </c>
      <c r="M1248" s="150">
        <v>0.61621527777777774</v>
      </c>
      <c r="N1248" s="150">
        <v>0.61643518518518514</v>
      </c>
      <c r="O1248" t="s">
        <v>172</v>
      </c>
      <c r="Q1248">
        <v>2517818</v>
      </c>
      <c r="R1248">
        <v>2517818</v>
      </c>
      <c r="S1248">
        <v>2517509</v>
      </c>
      <c r="T1248">
        <v>0</v>
      </c>
      <c r="U1248" t="s">
        <v>173</v>
      </c>
      <c r="V1248">
        <v>0</v>
      </c>
      <c r="W1248" t="s">
        <v>174</v>
      </c>
      <c r="X1248">
        <v>2517509</v>
      </c>
      <c r="Z1248" t="s">
        <v>173</v>
      </c>
      <c r="AA1248" t="s">
        <v>173</v>
      </c>
    </row>
    <row r="1249" spans="1:27" x14ac:dyDescent="0.3">
      <c r="A1249">
        <v>1248</v>
      </c>
      <c r="B1249" t="s">
        <v>169</v>
      </c>
      <c r="C1249">
        <v>99019875</v>
      </c>
      <c r="D1249" s="7" t="s">
        <v>94</v>
      </c>
      <c r="E1249" t="s">
        <v>95</v>
      </c>
      <c r="F1249" t="s">
        <v>170</v>
      </c>
      <c r="G1249" t="s">
        <v>171</v>
      </c>
      <c r="H1249">
        <v>1</v>
      </c>
      <c r="I1249">
        <v>0</v>
      </c>
      <c r="J1249">
        <v>1</v>
      </c>
      <c r="K1249" s="133">
        <v>21985</v>
      </c>
      <c r="L1249" s="133">
        <v>21985</v>
      </c>
      <c r="M1249" s="150">
        <v>0.61629629629629623</v>
      </c>
      <c r="N1249" s="150">
        <v>0.61703703703703705</v>
      </c>
      <c r="O1249" t="s">
        <v>172</v>
      </c>
      <c r="Q1249">
        <v>2518122</v>
      </c>
      <c r="R1249">
        <v>2518122</v>
      </c>
      <c r="S1249">
        <v>0</v>
      </c>
      <c r="T1249">
        <v>0</v>
      </c>
      <c r="U1249" t="s">
        <v>173</v>
      </c>
      <c r="V1249">
        <v>0</v>
      </c>
      <c r="W1249" t="s">
        <v>174</v>
      </c>
      <c r="X1249">
        <v>0</v>
      </c>
      <c r="Z1249" t="s">
        <v>173</v>
      </c>
      <c r="AA1249" t="s">
        <v>173</v>
      </c>
    </row>
    <row r="1250" spans="1:27" x14ac:dyDescent="0.3">
      <c r="A1250">
        <v>1249</v>
      </c>
      <c r="B1250" t="s">
        <v>169</v>
      </c>
      <c r="C1250">
        <v>99019875</v>
      </c>
      <c r="D1250" s="7" t="s">
        <v>71</v>
      </c>
      <c r="E1250" t="s">
        <v>72</v>
      </c>
      <c r="F1250" t="s">
        <v>176</v>
      </c>
      <c r="G1250" t="s">
        <v>177</v>
      </c>
      <c r="H1250">
        <v>3</v>
      </c>
      <c r="I1250">
        <v>0</v>
      </c>
      <c r="J1250">
        <v>3</v>
      </c>
      <c r="K1250" s="133">
        <v>18035</v>
      </c>
      <c r="L1250" s="133">
        <v>18035</v>
      </c>
      <c r="M1250" s="150">
        <v>0.61629629629629623</v>
      </c>
      <c r="N1250" s="150">
        <v>0.61659722222222224</v>
      </c>
      <c r="O1250" t="s">
        <v>172</v>
      </c>
      <c r="Q1250">
        <v>2518139</v>
      </c>
      <c r="R1250">
        <v>2518139</v>
      </c>
      <c r="S1250">
        <v>2516980</v>
      </c>
      <c r="T1250">
        <v>0</v>
      </c>
      <c r="U1250" t="s">
        <v>173</v>
      </c>
      <c r="V1250">
        <v>0</v>
      </c>
      <c r="W1250" t="s">
        <v>174</v>
      </c>
      <c r="X1250">
        <v>2516980</v>
      </c>
      <c r="Z1250" t="s">
        <v>173</v>
      </c>
      <c r="AA1250" t="s">
        <v>173</v>
      </c>
    </row>
    <row r="1251" spans="1:27" x14ac:dyDescent="0.3">
      <c r="A1251">
        <v>1250</v>
      </c>
      <c r="B1251" t="s">
        <v>169</v>
      </c>
      <c r="C1251">
        <v>99019875</v>
      </c>
      <c r="D1251" s="7" t="s">
        <v>71</v>
      </c>
      <c r="E1251" t="s">
        <v>72</v>
      </c>
      <c r="F1251" t="s">
        <v>176</v>
      </c>
      <c r="G1251" t="s">
        <v>177</v>
      </c>
      <c r="H1251">
        <v>19</v>
      </c>
      <c r="I1251">
        <v>0</v>
      </c>
      <c r="J1251">
        <v>17</v>
      </c>
      <c r="K1251" s="133">
        <v>18035</v>
      </c>
      <c r="L1251" s="133">
        <v>18035</v>
      </c>
      <c r="M1251" s="150">
        <v>0.61629629629629623</v>
      </c>
      <c r="N1251" s="150">
        <v>0.61659722222222224</v>
      </c>
      <c r="O1251" t="s">
        <v>172</v>
      </c>
      <c r="Q1251">
        <v>2518140</v>
      </c>
      <c r="R1251">
        <v>2518140</v>
      </c>
      <c r="S1251">
        <v>2517504</v>
      </c>
      <c r="T1251">
        <v>2</v>
      </c>
      <c r="U1251" t="s">
        <v>173</v>
      </c>
      <c r="V1251">
        <v>0</v>
      </c>
      <c r="W1251" t="s">
        <v>174</v>
      </c>
      <c r="X1251">
        <v>2517504</v>
      </c>
      <c r="Z1251" t="s">
        <v>173</v>
      </c>
      <c r="AA1251" t="s">
        <v>173</v>
      </c>
    </row>
    <row r="1252" spans="1:27" x14ac:dyDescent="0.3">
      <c r="A1252">
        <v>1251</v>
      </c>
      <c r="B1252" t="s">
        <v>169</v>
      </c>
      <c r="C1252">
        <v>99019875</v>
      </c>
      <c r="D1252" s="7" t="s">
        <v>124</v>
      </c>
      <c r="E1252" t="s">
        <v>125</v>
      </c>
      <c r="F1252" t="s">
        <v>176</v>
      </c>
      <c r="G1252" t="s">
        <v>177</v>
      </c>
      <c r="H1252">
        <v>1</v>
      </c>
      <c r="I1252">
        <v>0</v>
      </c>
      <c r="J1252">
        <v>1</v>
      </c>
      <c r="K1252" s="133">
        <v>17520</v>
      </c>
      <c r="L1252" s="133">
        <v>17520</v>
      </c>
      <c r="M1252" s="150">
        <v>0.61634259259259261</v>
      </c>
      <c r="N1252" s="150">
        <v>0.61652777777777779</v>
      </c>
      <c r="O1252" t="s">
        <v>172</v>
      </c>
      <c r="Q1252">
        <v>2518285</v>
      </c>
      <c r="R1252">
        <v>2518285</v>
      </c>
      <c r="S1252">
        <v>2515186</v>
      </c>
      <c r="T1252">
        <v>0</v>
      </c>
      <c r="U1252" t="s">
        <v>173</v>
      </c>
      <c r="V1252">
        <v>0</v>
      </c>
      <c r="W1252" t="s">
        <v>174</v>
      </c>
      <c r="X1252">
        <v>2515186</v>
      </c>
      <c r="Z1252" t="s">
        <v>173</v>
      </c>
      <c r="AA1252" t="s">
        <v>173</v>
      </c>
    </row>
    <row r="1253" spans="1:27" x14ac:dyDescent="0.3">
      <c r="A1253">
        <v>1252</v>
      </c>
      <c r="B1253" t="s">
        <v>169</v>
      </c>
      <c r="C1253">
        <v>99019875</v>
      </c>
      <c r="D1253" s="7" t="s">
        <v>124</v>
      </c>
      <c r="E1253" t="s">
        <v>125</v>
      </c>
      <c r="F1253" t="s">
        <v>176</v>
      </c>
      <c r="G1253" t="s">
        <v>177</v>
      </c>
      <c r="H1253">
        <v>1</v>
      </c>
      <c r="I1253">
        <v>0</v>
      </c>
      <c r="J1253">
        <v>1</v>
      </c>
      <c r="K1253" s="133">
        <v>17520</v>
      </c>
      <c r="L1253" s="133">
        <v>17520</v>
      </c>
      <c r="M1253" s="150">
        <v>0.61634259259259261</v>
      </c>
      <c r="N1253" s="150">
        <v>0.61652777777777779</v>
      </c>
      <c r="O1253" t="s">
        <v>172</v>
      </c>
      <c r="Q1253">
        <v>2518286</v>
      </c>
      <c r="R1253">
        <v>2518286</v>
      </c>
      <c r="S1253">
        <v>2516778</v>
      </c>
      <c r="T1253">
        <v>0</v>
      </c>
      <c r="U1253" t="s">
        <v>173</v>
      </c>
      <c r="V1253">
        <v>0</v>
      </c>
      <c r="W1253" t="s">
        <v>174</v>
      </c>
      <c r="X1253">
        <v>2516778</v>
      </c>
      <c r="Z1253" t="s">
        <v>173</v>
      </c>
      <c r="AA1253" t="s">
        <v>173</v>
      </c>
    </row>
    <row r="1254" spans="1:27" x14ac:dyDescent="0.3">
      <c r="A1254">
        <v>1253</v>
      </c>
      <c r="B1254" t="s">
        <v>169</v>
      </c>
      <c r="C1254">
        <v>99019875</v>
      </c>
      <c r="D1254" s="7" t="s">
        <v>124</v>
      </c>
      <c r="E1254" t="s">
        <v>125</v>
      </c>
      <c r="F1254" t="s">
        <v>176</v>
      </c>
      <c r="G1254" t="s">
        <v>171</v>
      </c>
      <c r="H1254">
        <v>1</v>
      </c>
      <c r="I1254">
        <v>0</v>
      </c>
      <c r="J1254">
        <v>1</v>
      </c>
      <c r="K1254" s="133">
        <v>17520</v>
      </c>
      <c r="L1254" s="133">
        <v>17520</v>
      </c>
      <c r="M1254" s="150">
        <v>0.61640046296296302</v>
      </c>
      <c r="N1254" s="150">
        <v>0.61652777777777779</v>
      </c>
      <c r="O1254" t="s">
        <v>172</v>
      </c>
      <c r="Q1254">
        <v>2518365</v>
      </c>
      <c r="R1254">
        <v>2518365</v>
      </c>
      <c r="S1254">
        <v>0</v>
      </c>
      <c r="T1254">
        <v>0</v>
      </c>
      <c r="U1254" t="s">
        <v>173</v>
      </c>
      <c r="V1254">
        <v>0</v>
      </c>
      <c r="W1254" t="s">
        <v>174</v>
      </c>
      <c r="X1254">
        <v>0</v>
      </c>
      <c r="Z1254" t="s">
        <v>173</v>
      </c>
      <c r="AA1254" t="s">
        <v>173</v>
      </c>
    </row>
    <row r="1255" spans="1:27" x14ac:dyDescent="0.3">
      <c r="A1255">
        <v>1254</v>
      </c>
      <c r="B1255" t="s">
        <v>169</v>
      </c>
      <c r="C1255">
        <v>99019875</v>
      </c>
      <c r="D1255" s="7" t="s">
        <v>67</v>
      </c>
      <c r="E1255" t="s">
        <v>68</v>
      </c>
      <c r="F1255" t="s">
        <v>170</v>
      </c>
      <c r="G1255" t="s">
        <v>171</v>
      </c>
      <c r="H1255">
        <v>36</v>
      </c>
      <c r="I1255">
        <v>0</v>
      </c>
      <c r="J1255">
        <v>36</v>
      </c>
      <c r="K1255" s="133">
        <v>4815</v>
      </c>
      <c r="L1255" s="133">
        <v>4815</v>
      </c>
      <c r="M1255" s="150">
        <v>0.6164236111111111</v>
      </c>
      <c r="N1255" s="150">
        <v>0.61645833333333333</v>
      </c>
      <c r="O1255" t="s">
        <v>172</v>
      </c>
      <c r="Q1255">
        <v>2518414</v>
      </c>
      <c r="R1255">
        <v>2518414</v>
      </c>
      <c r="S1255">
        <v>0</v>
      </c>
      <c r="T1255">
        <v>0</v>
      </c>
      <c r="U1255" t="s">
        <v>173</v>
      </c>
      <c r="V1255">
        <v>0</v>
      </c>
      <c r="W1255" t="s">
        <v>174</v>
      </c>
      <c r="X1255">
        <v>0</v>
      </c>
      <c r="Z1255" t="s">
        <v>173</v>
      </c>
      <c r="AA1255" t="s">
        <v>173</v>
      </c>
    </row>
    <row r="1256" spans="1:27" x14ac:dyDescent="0.3">
      <c r="A1256">
        <v>1255</v>
      </c>
      <c r="B1256" t="s">
        <v>169</v>
      </c>
      <c r="C1256">
        <v>99019875</v>
      </c>
      <c r="D1256" s="7" t="s">
        <v>110</v>
      </c>
      <c r="E1256" t="s">
        <v>179</v>
      </c>
      <c r="F1256" t="s">
        <v>170</v>
      </c>
      <c r="G1256" t="s">
        <v>171</v>
      </c>
      <c r="H1256">
        <v>3</v>
      </c>
      <c r="I1256">
        <v>0</v>
      </c>
      <c r="J1256">
        <v>3</v>
      </c>
      <c r="K1256" s="133">
        <v>48510</v>
      </c>
      <c r="L1256" s="133">
        <v>48510</v>
      </c>
      <c r="M1256" s="150">
        <v>0.6164236111111111</v>
      </c>
      <c r="N1256" s="150">
        <v>0.61711805555555554</v>
      </c>
      <c r="O1256" t="s">
        <v>172</v>
      </c>
      <c r="Q1256">
        <v>2518415</v>
      </c>
      <c r="R1256">
        <v>2518415</v>
      </c>
      <c r="S1256">
        <v>0</v>
      </c>
      <c r="T1256">
        <v>0</v>
      </c>
      <c r="U1256" t="s">
        <v>173</v>
      </c>
      <c r="V1256">
        <v>0</v>
      </c>
      <c r="W1256" t="s">
        <v>174</v>
      </c>
      <c r="X1256">
        <v>0</v>
      </c>
      <c r="Z1256" t="s">
        <v>173</v>
      </c>
      <c r="AA1256" t="s">
        <v>173</v>
      </c>
    </row>
    <row r="1257" spans="1:27" x14ac:dyDescent="0.3">
      <c r="A1257">
        <v>1256</v>
      </c>
      <c r="B1257" t="s">
        <v>169</v>
      </c>
      <c r="C1257">
        <v>99019875</v>
      </c>
      <c r="D1257" s="7" t="s">
        <v>89</v>
      </c>
      <c r="E1257" t="s">
        <v>90</v>
      </c>
      <c r="F1257" t="s">
        <v>176</v>
      </c>
      <c r="G1257" t="s">
        <v>171</v>
      </c>
      <c r="H1257">
        <v>30</v>
      </c>
      <c r="I1257">
        <v>0</v>
      </c>
      <c r="J1257">
        <v>30</v>
      </c>
      <c r="K1257" s="133">
        <v>3095</v>
      </c>
      <c r="L1257" s="133">
        <v>3095</v>
      </c>
      <c r="M1257" s="150">
        <v>0.6164236111111111</v>
      </c>
      <c r="N1257" s="150">
        <v>0.61674768518518519</v>
      </c>
      <c r="O1257" t="s">
        <v>172</v>
      </c>
      <c r="Q1257">
        <v>2518416</v>
      </c>
      <c r="R1257">
        <v>2518416</v>
      </c>
      <c r="S1257">
        <v>0</v>
      </c>
      <c r="T1257">
        <v>0</v>
      </c>
      <c r="U1257" t="s">
        <v>173</v>
      </c>
      <c r="V1257">
        <v>0</v>
      </c>
      <c r="W1257" t="s">
        <v>174</v>
      </c>
      <c r="X1257">
        <v>0</v>
      </c>
      <c r="Z1257" t="s">
        <v>173</v>
      </c>
      <c r="AA1257" t="s">
        <v>173</v>
      </c>
    </row>
    <row r="1258" spans="1:27" x14ac:dyDescent="0.3">
      <c r="A1258">
        <v>1257</v>
      </c>
      <c r="B1258" t="s">
        <v>169</v>
      </c>
      <c r="C1258">
        <v>99019875</v>
      </c>
      <c r="D1258" s="7" t="s">
        <v>100</v>
      </c>
      <c r="E1258" t="s">
        <v>101</v>
      </c>
      <c r="F1258" t="s">
        <v>170</v>
      </c>
      <c r="G1258" t="s">
        <v>171</v>
      </c>
      <c r="H1258">
        <v>4</v>
      </c>
      <c r="I1258">
        <v>0</v>
      </c>
      <c r="J1258">
        <v>4</v>
      </c>
      <c r="K1258" s="133">
        <v>15520</v>
      </c>
      <c r="L1258" s="133">
        <v>15520</v>
      </c>
      <c r="M1258" s="150">
        <v>0.6164236111111111</v>
      </c>
      <c r="N1258" s="150">
        <v>0.61703703703703705</v>
      </c>
      <c r="O1258" t="s">
        <v>172</v>
      </c>
      <c r="Q1258">
        <v>2518417</v>
      </c>
      <c r="R1258">
        <v>2518417</v>
      </c>
      <c r="S1258">
        <v>0</v>
      </c>
      <c r="T1258">
        <v>0</v>
      </c>
      <c r="U1258" t="s">
        <v>173</v>
      </c>
      <c r="V1258">
        <v>0</v>
      </c>
      <c r="W1258" t="s">
        <v>174</v>
      </c>
      <c r="X1258">
        <v>0</v>
      </c>
      <c r="Z1258" t="s">
        <v>173</v>
      </c>
      <c r="AA1258" t="s">
        <v>173</v>
      </c>
    </row>
    <row r="1259" spans="1:27" x14ac:dyDescent="0.3">
      <c r="A1259">
        <v>1258</v>
      </c>
      <c r="B1259" t="s">
        <v>169</v>
      </c>
      <c r="C1259">
        <v>99019875</v>
      </c>
      <c r="D1259" s="7" t="s">
        <v>87</v>
      </c>
      <c r="E1259" t="s">
        <v>88</v>
      </c>
      <c r="F1259" t="s">
        <v>170</v>
      </c>
      <c r="G1259" t="s">
        <v>171</v>
      </c>
      <c r="H1259">
        <v>5</v>
      </c>
      <c r="I1259">
        <v>0</v>
      </c>
      <c r="J1259">
        <v>5</v>
      </c>
      <c r="K1259" s="133">
        <v>12155</v>
      </c>
      <c r="L1259" s="133">
        <v>12155</v>
      </c>
      <c r="M1259" s="150">
        <v>0.6164236111111111</v>
      </c>
      <c r="N1259" s="150">
        <v>0.61692129629629633</v>
      </c>
      <c r="O1259" t="s">
        <v>172</v>
      </c>
      <c r="Q1259">
        <v>2518418</v>
      </c>
      <c r="R1259">
        <v>2518418</v>
      </c>
      <c r="S1259">
        <v>0</v>
      </c>
      <c r="T1259">
        <v>0</v>
      </c>
      <c r="U1259" t="s">
        <v>173</v>
      </c>
      <c r="V1259">
        <v>0</v>
      </c>
      <c r="W1259" t="s">
        <v>174</v>
      </c>
      <c r="X1259">
        <v>0</v>
      </c>
      <c r="Z1259" t="s">
        <v>173</v>
      </c>
      <c r="AA1259" t="s">
        <v>173</v>
      </c>
    </row>
    <row r="1260" spans="1:27" x14ac:dyDescent="0.3">
      <c r="A1260">
        <v>1259</v>
      </c>
      <c r="B1260" t="s">
        <v>169</v>
      </c>
      <c r="C1260">
        <v>99019875</v>
      </c>
      <c r="D1260" s="7" t="s">
        <v>108</v>
      </c>
      <c r="E1260" t="s">
        <v>109</v>
      </c>
      <c r="F1260" t="s">
        <v>170</v>
      </c>
      <c r="G1260" t="s">
        <v>171</v>
      </c>
      <c r="H1260">
        <v>24</v>
      </c>
      <c r="I1260">
        <v>0</v>
      </c>
      <c r="J1260">
        <v>24</v>
      </c>
      <c r="K1260" s="133">
        <v>2715</v>
      </c>
      <c r="L1260" s="133">
        <v>2715</v>
      </c>
      <c r="M1260" s="150">
        <v>0.6164236111111111</v>
      </c>
      <c r="N1260" s="150">
        <v>0.62351851851851847</v>
      </c>
      <c r="O1260" t="s">
        <v>172</v>
      </c>
      <c r="Q1260">
        <v>2518419</v>
      </c>
      <c r="R1260">
        <v>2518419</v>
      </c>
      <c r="S1260">
        <v>0</v>
      </c>
      <c r="T1260">
        <v>0</v>
      </c>
      <c r="U1260" t="s">
        <v>173</v>
      </c>
      <c r="V1260">
        <v>0</v>
      </c>
      <c r="W1260" t="s">
        <v>174</v>
      </c>
      <c r="X1260">
        <v>0</v>
      </c>
      <c r="Z1260" t="s">
        <v>173</v>
      </c>
      <c r="AA1260" t="s">
        <v>173</v>
      </c>
    </row>
    <row r="1261" spans="1:27" x14ac:dyDescent="0.3">
      <c r="A1261">
        <v>1260</v>
      </c>
      <c r="B1261" t="s">
        <v>169</v>
      </c>
      <c r="C1261">
        <v>99019875</v>
      </c>
      <c r="D1261" s="7" t="s">
        <v>98</v>
      </c>
      <c r="E1261" t="s">
        <v>99</v>
      </c>
      <c r="F1261" t="s">
        <v>170</v>
      </c>
      <c r="G1261" t="s">
        <v>171</v>
      </c>
      <c r="H1261">
        <v>38</v>
      </c>
      <c r="I1261">
        <v>0</v>
      </c>
      <c r="J1261">
        <v>38</v>
      </c>
      <c r="K1261" s="133">
        <v>14285</v>
      </c>
      <c r="L1261" s="133">
        <v>14285</v>
      </c>
      <c r="M1261" s="150">
        <v>0.6164236111111111</v>
      </c>
      <c r="N1261" s="150">
        <v>0.6168055555555555</v>
      </c>
      <c r="O1261" t="s">
        <v>172</v>
      </c>
      <c r="Q1261">
        <v>2518422</v>
      </c>
      <c r="R1261">
        <v>2518422</v>
      </c>
      <c r="S1261">
        <v>0</v>
      </c>
      <c r="T1261">
        <v>0</v>
      </c>
      <c r="U1261" t="s">
        <v>173</v>
      </c>
      <c r="V1261">
        <v>0</v>
      </c>
      <c r="W1261" t="s">
        <v>174</v>
      </c>
      <c r="X1261">
        <v>0</v>
      </c>
      <c r="Z1261" t="s">
        <v>173</v>
      </c>
      <c r="AA1261" t="s">
        <v>173</v>
      </c>
    </row>
    <row r="1262" spans="1:27" x14ac:dyDescent="0.3">
      <c r="A1262">
        <v>1261</v>
      </c>
      <c r="B1262" t="s">
        <v>169</v>
      </c>
      <c r="C1262">
        <v>99019875</v>
      </c>
      <c r="D1262" s="7" t="s">
        <v>65</v>
      </c>
      <c r="E1262" t="s">
        <v>66</v>
      </c>
      <c r="F1262" t="s">
        <v>176</v>
      </c>
      <c r="G1262" t="s">
        <v>171</v>
      </c>
      <c r="H1262">
        <v>57</v>
      </c>
      <c r="I1262">
        <v>0</v>
      </c>
      <c r="J1262">
        <v>57</v>
      </c>
      <c r="K1262" s="133">
        <v>4750</v>
      </c>
      <c r="L1262" s="133">
        <v>4750</v>
      </c>
      <c r="M1262" s="150">
        <v>0.6164236111111111</v>
      </c>
      <c r="N1262" s="150">
        <v>0.61755787037037035</v>
      </c>
      <c r="O1262" t="s">
        <v>172</v>
      </c>
      <c r="Q1262">
        <v>2518425</v>
      </c>
      <c r="R1262">
        <v>2518425</v>
      </c>
      <c r="S1262">
        <v>0</v>
      </c>
      <c r="T1262">
        <v>0</v>
      </c>
      <c r="U1262" t="s">
        <v>173</v>
      </c>
      <c r="V1262">
        <v>0</v>
      </c>
      <c r="W1262" t="s">
        <v>174</v>
      </c>
      <c r="X1262">
        <v>0</v>
      </c>
      <c r="Z1262" t="s">
        <v>173</v>
      </c>
      <c r="AA1262" t="s">
        <v>173</v>
      </c>
    </row>
    <row r="1263" spans="1:27" x14ac:dyDescent="0.3">
      <c r="A1263">
        <v>1262</v>
      </c>
      <c r="B1263" t="s">
        <v>169</v>
      </c>
      <c r="C1263">
        <v>99019875</v>
      </c>
      <c r="D1263" s="7" t="s">
        <v>69</v>
      </c>
      <c r="E1263" t="s">
        <v>70</v>
      </c>
      <c r="F1263" t="s">
        <v>170</v>
      </c>
      <c r="G1263" t="s">
        <v>171</v>
      </c>
      <c r="H1263">
        <v>16</v>
      </c>
      <c r="I1263">
        <v>0</v>
      </c>
      <c r="J1263">
        <v>16</v>
      </c>
      <c r="K1263" s="133">
        <v>10290</v>
      </c>
      <c r="L1263" s="133">
        <v>10290</v>
      </c>
      <c r="M1263" s="150">
        <v>0.6164236111111111</v>
      </c>
      <c r="N1263" s="150">
        <v>0.61645833333333333</v>
      </c>
      <c r="O1263" t="s">
        <v>172</v>
      </c>
      <c r="Q1263">
        <v>2518429</v>
      </c>
      <c r="R1263">
        <v>2518429</v>
      </c>
      <c r="S1263">
        <v>0</v>
      </c>
      <c r="T1263">
        <v>0</v>
      </c>
      <c r="U1263" t="s">
        <v>173</v>
      </c>
      <c r="V1263">
        <v>0</v>
      </c>
      <c r="W1263" t="s">
        <v>174</v>
      </c>
      <c r="X1263">
        <v>0</v>
      </c>
      <c r="Z1263" t="s">
        <v>173</v>
      </c>
      <c r="AA1263" t="s">
        <v>173</v>
      </c>
    </row>
    <row r="1264" spans="1:27" x14ac:dyDescent="0.3">
      <c r="A1264">
        <v>1263</v>
      </c>
      <c r="B1264" t="s">
        <v>169</v>
      </c>
      <c r="C1264">
        <v>99019875</v>
      </c>
      <c r="D1264" s="7" t="s">
        <v>114</v>
      </c>
      <c r="E1264" t="s">
        <v>115</v>
      </c>
      <c r="F1264" t="s">
        <v>176</v>
      </c>
      <c r="G1264" t="s">
        <v>177</v>
      </c>
      <c r="H1264">
        <v>65</v>
      </c>
      <c r="I1264">
        <v>0</v>
      </c>
      <c r="J1264">
        <v>26</v>
      </c>
      <c r="K1264" s="133">
        <v>53830</v>
      </c>
      <c r="L1264" s="133">
        <v>53830</v>
      </c>
      <c r="M1264" s="150">
        <v>0.61644675925925929</v>
      </c>
      <c r="N1264" s="150">
        <v>0.61652777777777779</v>
      </c>
      <c r="O1264" t="s">
        <v>172</v>
      </c>
      <c r="Q1264">
        <v>2518460</v>
      </c>
      <c r="R1264">
        <v>2518460</v>
      </c>
      <c r="S1264">
        <v>2518409</v>
      </c>
      <c r="T1264">
        <v>39</v>
      </c>
      <c r="U1264" t="s">
        <v>173</v>
      </c>
      <c r="V1264">
        <v>0</v>
      </c>
      <c r="W1264" t="s">
        <v>174</v>
      </c>
      <c r="X1264">
        <v>2518409</v>
      </c>
      <c r="Z1264" t="s">
        <v>173</v>
      </c>
      <c r="AA1264" t="s">
        <v>173</v>
      </c>
    </row>
    <row r="1265" spans="1:27" x14ac:dyDescent="0.3">
      <c r="A1265">
        <v>1264</v>
      </c>
      <c r="B1265" t="s">
        <v>169</v>
      </c>
      <c r="C1265">
        <v>99019875</v>
      </c>
      <c r="D1265" s="7" t="s">
        <v>62</v>
      </c>
      <c r="E1265" t="s">
        <v>63</v>
      </c>
      <c r="F1265" t="s">
        <v>176</v>
      </c>
      <c r="G1265" t="s">
        <v>177</v>
      </c>
      <c r="H1265">
        <v>89</v>
      </c>
      <c r="I1265">
        <v>0</v>
      </c>
      <c r="J1265">
        <v>89</v>
      </c>
      <c r="K1265" s="133">
        <v>34055</v>
      </c>
      <c r="L1265" s="133">
        <v>34055</v>
      </c>
      <c r="M1265" s="150">
        <v>0.61652777777777779</v>
      </c>
      <c r="N1265" s="150">
        <v>0.61665509259259255</v>
      </c>
      <c r="O1265" t="s">
        <v>172</v>
      </c>
      <c r="Q1265">
        <v>2518691</v>
      </c>
      <c r="R1265">
        <v>2518691</v>
      </c>
      <c r="S1265">
        <v>2518461</v>
      </c>
      <c r="T1265">
        <v>0</v>
      </c>
      <c r="U1265" t="s">
        <v>173</v>
      </c>
      <c r="V1265">
        <v>0</v>
      </c>
      <c r="W1265" t="s">
        <v>174</v>
      </c>
      <c r="X1265">
        <v>2518461</v>
      </c>
      <c r="Z1265" t="s">
        <v>173</v>
      </c>
      <c r="AA1265" t="s">
        <v>173</v>
      </c>
    </row>
    <row r="1266" spans="1:27" x14ac:dyDescent="0.3">
      <c r="A1266">
        <v>1265</v>
      </c>
      <c r="B1266" t="s">
        <v>169</v>
      </c>
      <c r="C1266">
        <v>99019875</v>
      </c>
      <c r="D1266" s="7" t="s">
        <v>128</v>
      </c>
      <c r="E1266" t="s">
        <v>129</v>
      </c>
      <c r="F1266" t="s">
        <v>170</v>
      </c>
      <c r="G1266" t="s">
        <v>171</v>
      </c>
      <c r="H1266">
        <v>1</v>
      </c>
      <c r="I1266">
        <v>0</v>
      </c>
      <c r="J1266">
        <v>1</v>
      </c>
      <c r="K1266" s="133">
        <v>6510</v>
      </c>
      <c r="L1266" s="133">
        <v>6510</v>
      </c>
      <c r="M1266" s="150">
        <v>0.61653935185185182</v>
      </c>
      <c r="N1266" s="150">
        <v>0.61662037037037043</v>
      </c>
      <c r="O1266" t="s">
        <v>172</v>
      </c>
      <c r="Q1266">
        <v>2518700</v>
      </c>
      <c r="R1266">
        <v>2518700</v>
      </c>
      <c r="S1266">
        <v>0</v>
      </c>
      <c r="T1266">
        <v>0</v>
      </c>
      <c r="U1266" t="s">
        <v>173</v>
      </c>
      <c r="V1266">
        <v>0</v>
      </c>
      <c r="W1266" t="s">
        <v>174</v>
      </c>
      <c r="X1266">
        <v>0</v>
      </c>
      <c r="Z1266" t="s">
        <v>173</v>
      </c>
      <c r="AA1266" t="s">
        <v>173</v>
      </c>
    </row>
    <row r="1267" spans="1:27" x14ac:dyDescent="0.3">
      <c r="A1267">
        <v>1266</v>
      </c>
      <c r="B1267" t="s">
        <v>169</v>
      </c>
      <c r="C1267">
        <v>99019875</v>
      </c>
      <c r="D1267" s="7" t="s">
        <v>114</v>
      </c>
      <c r="E1267" t="s">
        <v>115</v>
      </c>
      <c r="F1267" t="s">
        <v>176</v>
      </c>
      <c r="G1267" t="s">
        <v>177</v>
      </c>
      <c r="H1267">
        <v>39</v>
      </c>
      <c r="I1267">
        <v>0</v>
      </c>
      <c r="J1267">
        <v>39</v>
      </c>
      <c r="K1267" s="133">
        <v>53820</v>
      </c>
      <c r="L1267" s="133">
        <v>53820</v>
      </c>
      <c r="M1267" s="150">
        <v>0.61657407407407405</v>
      </c>
      <c r="N1267" s="150">
        <v>0.61665509259259255</v>
      </c>
      <c r="O1267" t="s">
        <v>172</v>
      </c>
      <c r="Q1267">
        <v>2518792</v>
      </c>
      <c r="R1267">
        <v>2518792</v>
      </c>
      <c r="S1267">
        <v>2518701</v>
      </c>
      <c r="T1267">
        <v>0</v>
      </c>
      <c r="U1267" t="s">
        <v>173</v>
      </c>
      <c r="V1267">
        <v>0</v>
      </c>
      <c r="W1267" t="s">
        <v>174</v>
      </c>
      <c r="X1267">
        <v>2518701</v>
      </c>
      <c r="Z1267" t="s">
        <v>173</v>
      </c>
      <c r="AA1267" t="s">
        <v>173</v>
      </c>
    </row>
    <row r="1268" spans="1:27" x14ac:dyDescent="0.3">
      <c r="A1268">
        <v>1267</v>
      </c>
      <c r="B1268" t="s">
        <v>169</v>
      </c>
      <c r="C1268">
        <v>99019875</v>
      </c>
      <c r="D1268" s="7" t="s">
        <v>102</v>
      </c>
      <c r="E1268" t="s">
        <v>103</v>
      </c>
      <c r="F1268" t="s">
        <v>170</v>
      </c>
      <c r="G1268" t="s">
        <v>177</v>
      </c>
      <c r="H1268">
        <v>53</v>
      </c>
      <c r="I1268">
        <v>0</v>
      </c>
      <c r="J1268">
        <v>53</v>
      </c>
      <c r="K1268" s="133">
        <v>26850</v>
      </c>
      <c r="L1268" s="133">
        <v>26850</v>
      </c>
      <c r="M1268" s="150">
        <v>0.61662037037037043</v>
      </c>
      <c r="N1268" s="150">
        <v>0.61663194444444447</v>
      </c>
      <c r="O1268" t="s">
        <v>172</v>
      </c>
      <c r="Q1268">
        <v>2518864</v>
      </c>
      <c r="R1268">
        <v>2518864</v>
      </c>
      <c r="S1268">
        <v>2518374</v>
      </c>
      <c r="T1268">
        <v>0</v>
      </c>
      <c r="U1268" t="s">
        <v>173</v>
      </c>
      <c r="V1268">
        <v>0</v>
      </c>
      <c r="W1268" t="s">
        <v>174</v>
      </c>
      <c r="X1268">
        <v>2518374</v>
      </c>
      <c r="Z1268" t="s">
        <v>173</v>
      </c>
      <c r="AA1268" t="s">
        <v>173</v>
      </c>
    </row>
    <row r="1269" spans="1:27" x14ac:dyDescent="0.3">
      <c r="A1269">
        <v>1268</v>
      </c>
      <c r="B1269" t="s">
        <v>169</v>
      </c>
      <c r="C1269">
        <v>99019875</v>
      </c>
      <c r="D1269" s="7" t="s">
        <v>102</v>
      </c>
      <c r="E1269" t="s">
        <v>103</v>
      </c>
      <c r="F1269" t="s">
        <v>170</v>
      </c>
      <c r="G1269" t="s">
        <v>177</v>
      </c>
      <c r="H1269">
        <v>54</v>
      </c>
      <c r="I1269">
        <v>0</v>
      </c>
      <c r="J1269">
        <v>54</v>
      </c>
      <c r="K1269" s="133">
        <v>26850</v>
      </c>
      <c r="L1269" s="133">
        <v>26850</v>
      </c>
      <c r="M1269" s="150">
        <v>0.61662037037037043</v>
      </c>
      <c r="N1269" s="150">
        <v>0.61663194444444447</v>
      </c>
      <c r="O1269" t="s">
        <v>172</v>
      </c>
      <c r="Q1269">
        <v>2518865</v>
      </c>
      <c r="R1269">
        <v>2518865</v>
      </c>
      <c r="S1269">
        <v>2518375</v>
      </c>
      <c r="T1269">
        <v>0</v>
      </c>
      <c r="U1269" t="s">
        <v>173</v>
      </c>
      <c r="V1269">
        <v>0</v>
      </c>
      <c r="W1269" t="s">
        <v>174</v>
      </c>
      <c r="X1269">
        <v>2518375</v>
      </c>
      <c r="Z1269" t="s">
        <v>173</v>
      </c>
      <c r="AA1269" t="s">
        <v>173</v>
      </c>
    </row>
    <row r="1270" spans="1:27" x14ac:dyDescent="0.3">
      <c r="A1270">
        <v>1269</v>
      </c>
      <c r="B1270" t="s">
        <v>169</v>
      </c>
      <c r="C1270">
        <v>99019875</v>
      </c>
      <c r="D1270" s="7" t="s">
        <v>102</v>
      </c>
      <c r="E1270" t="s">
        <v>103</v>
      </c>
      <c r="F1270" t="s">
        <v>170</v>
      </c>
      <c r="G1270" t="s">
        <v>177</v>
      </c>
      <c r="H1270">
        <v>53</v>
      </c>
      <c r="I1270">
        <v>0</v>
      </c>
      <c r="J1270">
        <v>53</v>
      </c>
      <c r="K1270" s="133">
        <v>26850</v>
      </c>
      <c r="L1270" s="133">
        <v>26850</v>
      </c>
      <c r="M1270" s="150">
        <v>0.61662037037037043</v>
      </c>
      <c r="N1270" s="150">
        <v>0.61663194444444447</v>
      </c>
      <c r="O1270" t="s">
        <v>172</v>
      </c>
      <c r="Q1270">
        <v>2518866</v>
      </c>
      <c r="R1270">
        <v>2518866</v>
      </c>
      <c r="S1270">
        <v>2518413</v>
      </c>
      <c r="T1270">
        <v>0</v>
      </c>
      <c r="U1270" t="s">
        <v>173</v>
      </c>
      <c r="V1270">
        <v>0</v>
      </c>
      <c r="W1270" t="s">
        <v>174</v>
      </c>
      <c r="X1270">
        <v>2518413</v>
      </c>
      <c r="Z1270" t="s">
        <v>173</v>
      </c>
      <c r="AA1270" t="s">
        <v>173</v>
      </c>
    </row>
    <row r="1271" spans="1:27" x14ac:dyDescent="0.3">
      <c r="A1271">
        <v>1270</v>
      </c>
      <c r="B1271" t="s">
        <v>169</v>
      </c>
      <c r="C1271">
        <v>99019875</v>
      </c>
      <c r="D1271" s="7" t="s">
        <v>67</v>
      </c>
      <c r="E1271" t="s">
        <v>68</v>
      </c>
      <c r="F1271" t="s">
        <v>170</v>
      </c>
      <c r="G1271" t="s">
        <v>171</v>
      </c>
      <c r="H1271">
        <v>35</v>
      </c>
      <c r="I1271">
        <v>0</v>
      </c>
      <c r="J1271">
        <v>35</v>
      </c>
      <c r="K1271" s="133">
        <v>4815</v>
      </c>
      <c r="L1271" s="133">
        <v>4815</v>
      </c>
      <c r="M1271" s="150">
        <v>0.616724537037037</v>
      </c>
      <c r="N1271" s="150">
        <v>0.61674768518518519</v>
      </c>
      <c r="O1271" t="s">
        <v>172</v>
      </c>
      <c r="Q1271">
        <v>2519150</v>
      </c>
      <c r="R1271">
        <v>2519150</v>
      </c>
      <c r="S1271">
        <v>0</v>
      </c>
      <c r="T1271">
        <v>0</v>
      </c>
      <c r="U1271" t="s">
        <v>173</v>
      </c>
      <c r="V1271">
        <v>0</v>
      </c>
      <c r="W1271" t="s">
        <v>174</v>
      </c>
      <c r="X1271">
        <v>0</v>
      </c>
      <c r="Z1271" t="s">
        <v>173</v>
      </c>
      <c r="AA1271" t="s">
        <v>173</v>
      </c>
    </row>
    <row r="1272" spans="1:27" x14ac:dyDescent="0.3">
      <c r="A1272">
        <v>1271</v>
      </c>
      <c r="B1272" t="s">
        <v>169</v>
      </c>
      <c r="C1272">
        <v>99019875</v>
      </c>
      <c r="D1272" s="7" t="s">
        <v>110</v>
      </c>
      <c r="E1272" t="s">
        <v>179</v>
      </c>
      <c r="F1272" t="s">
        <v>170</v>
      </c>
      <c r="G1272" t="s">
        <v>171</v>
      </c>
      <c r="H1272">
        <v>3</v>
      </c>
      <c r="I1272">
        <v>0</v>
      </c>
      <c r="J1272">
        <v>3</v>
      </c>
      <c r="K1272" s="133">
        <v>48510</v>
      </c>
      <c r="L1272" s="133">
        <v>48510</v>
      </c>
      <c r="M1272" s="150">
        <v>0.616724537037037</v>
      </c>
      <c r="N1272" s="150">
        <v>0.61711805555555554</v>
      </c>
      <c r="O1272" t="s">
        <v>172</v>
      </c>
      <c r="Q1272">
        <v>2519151</v>
      </c>
      <c r="R1272">
        <v>2519151</v>
      </c>
      <c r="S1272">
        <v>0</v>
      </c>
      <c r="T1272">
        <v>0</v>
      </c>
      <c r="U1272" t="s">
        <v>173</v>
      </c>
      <c r="V1272">
        <v>0</v>
      </c>
      <c r="W1272" t="s">
        <v>174</v>
      </c>
      <c r="X1272">
        <v>0</v>
      </c>
      <c r="Z1272" t="s">
        <v>173</v>
      </c>
      <c r="AA1272" t="s">
        <v>173</v>
      </c>
    </row>
    <row r="1273" spans="1:27" x14ac:dyDescent="0.3">
      <c r="A1273">
        <v>1272</v>
      </c>
      <c r="B1273" t="s">
        <v>169</v>
      </c>
      <c r="C1273">
        <v>99019875</v>
      </c>
      <c r="D1273" s="7" t="s">
        <v>89</v>
      </c>
      <c r="E1273" t="s">
        <v>90</v>
      </c>
      <c r="F1273" t="s">
        <v>176</v>
      </c>
      <c r="G1273" t="s">
        <v>171</v>
      </c>
      <c r="H1273">
        <v>31</v>
      </c>
      <c r="I1273">
        <v>0</v>
      </c>
      <c r="J1273">
        <v>31</v>
      </c>
      <c r="K1273" s="133">
        <v>3095</v>
      </c>
      <c r="L1273" s="133">
        <v>3095</v>
      </c>
      <c r="M1273" s="150">
        <v>0.616724537037037</v>
      </c>
      <c r="N1273" s="150">
        <v>0.61674768518518519</v>
      </c>
      <c r="O1273" t="s">
        <v>172</v>
      </c>
      <c r="Q1273">
        <v>2519152</v>
      </c>
      <c r="R1273">
        <v>2519152</v>
      </c>
      <c r="S1273">
        <v>0</v>
      </c>
      <c r="T1273">
        <v>0</v>
      </c>
      <c r="U1273" t="s">
        <v>173</v>
      </c>
      <c r="V1273">
        <v>0</v>
      </c>
      <c r="W1273" t="s">
        <v>174</v>
      </c>
      <c r="X1273">
        <v>0</v>
      </c>
      <c r="Z1273" t="s">
        <v>173</v>
      </c>
      <c r="AA1273" t="s">
        <v>173</v>
      </c>
    </row>
    <row r="1274" spans="1:27" x14ac:dyDescent="0.3">
      <c r="A1274">
        <v>1273</v>
      </c>
      <c r="B1274" t="s">
        <v>169</v>
      </c>
      <c r="C1274">
        <v>99019875</v>
      </c>
      <c r="D1274" s="7" t="s">
        <v>100</v>
      </c>
      <c r="E1274" t="s">
        <v>101</v>
      </c>
      <c r="F1274" t="s">
        <v>170</v>
      </c>
      <c r="G1274" t="s">
        <v>171</v>
      </c>
      <c r="H1274">
        <v>5</v>
      </c>
      <c r="I1274">
        <v>0</v>
      </c>
      <c r="J1274">
        <v>5</v>
      </c>
      <c r="K1274" s="133">
        <v>15520</v>
      </c>
      <c r="L1274" s="133">
        <v>15520</v>
      </c>
      <c r="M1274" s="150">
        <v>0.616724537037037</v>
      </c>
      <c r="N1274" s="150">
        <v>0.61703703703703705</v>
      </c>
      <c r="O1274" t="s">
        <v>172</v>
      </c>
      <c r="Q1274">
        <v>2519153</v>
      </c>
      <c r="R1274">
        <v>2519153</v>
      </c>
      <c r="S1274">
        <v>0</v>
      </c>
      <c r="T1274">
        <v>0</v>
      </c>
      <c r="U1274" t="s">
        <v>173</v>
      </c>
      <c r="V1274">
        <v>0</v>
      </c>
      <c r="W1274" t="s">
        <v>174</v>
      </c>
      <c r="X1274">
        <v>0</v>
      </c>
      <c r="Z1274" t="s">
        <v>173</v>
      </c>
      <c r="AA1274" t="s">
        <v>173</v>
      </c>
    </row>
    <row r="1275" spans="1:27" x14ac:dyDescent="0.3">
      <c r="A1275">
        <v>1274</v>
      </c>
      <c r="B1275" t="s">
        <v>169</v>
      </c>
      <c r="C1275">
        <v>99019875</v>
      </c>
      <c r="D1275" s="7" t="s">
        <v>87</v>
      </c>
      <c r="E1275" t="s">
        <v>88</v>
      </c>
      <c r="F1275" t="s">
        <v>170</v>
      </c>
      <c r="G1275" t="s">
        <v>171</v>
      </c>
      <c r="H1275">
        <v>6</v>
      </c>
      <c r="I1275">
        <v>0</v>
      </c>
      <c r="J1275">
        <v>6</v>
      </c>
      <c r="K1275" s="133">
        <v>12155</v>
      </c>
      <c r="L1275" s="133">
        <v>12155</v>
      </c>
      <c r="M1275" s="150">
        <v>0.616724537037037</v>
      </c>
      <c r="N1275" s="150">
        <v>0.61692129629629633</v>
      </c>
      <c r="O1275" t="s">
        <v>172</v>
      </c>
      <c r="Q1275">
        <v>2519154</v>
      </c>
      <c r="R1275">
        <v>2519154</v>
      </c>
      <c r="S1275">
        <v>0</v>
      </c>
      <c r="T1275">
        <v>0</v>
      </c>
      <c r="U1275" t="s">
        <v>173</v>
      </c>
      <c r="V1275">
        <v>0</v>
      </c>
      <c r="W1275" t="s">
        <v>174</v>
      </c>
      <c r="X1275">
        <v>0</v>
      </c>
      <c r="Z1275" t="s">
        <v>173</v>
      </c>
      <c r="AA1275" t="s">
        <v>173</v>
      </c>
    </row>
    <row r="1276" spans="1:27" x14ac:dyDescent="0.3">
      <c r="A1276">
        <v>1275</v>
      </c>
      <c r="B1276" t="s">
        <v>169</v>
      </c>
      <c r="C1276">
        <v>99019875</v>
      </c>
      <c r="D1276" s="7" t="s">
        <v>108</v>
      </c>
      <c r="E1276" t="s">
        <v>109</v>
      </c>
      <c r="F1276" t="s">
        <v>170</v>
      </c>
      <c r="G1276" t="s">
        <v>171</v>
      </c>
      <c r="H1276">
        <v>23</v>
      </c>
      <c r="I1276">
        <v>0</v>
      </c>
      <c r="J1276">
        <v>23</v>
      </c>
      <c r="K1276" s="133">
        <v>2715</v>
      </c>
      <c r="L1276" s="133">
        <v>2715</v>
      </c>
      <c r="M1276" s="150">
        <v>0.616724537037037</v>
      </c>
      <c r="N1276" s="150">
        <v>0.62351851851851847</v>
      </c>
      <c r="O1276" t="s">
        <v>172</v>
      </c>
      <c r="Q1276">
        <v>2519155</v>
      </c>
      <c r="R1276">
        <v>2519155</v>
      </c>
      <c r="S1276">
        <v>0</v>
      </c>
      <c r="T1276">
        <v>0</v>
      </c>
      <c r="U1276" t="s">
        <v>173</v>
      </c>
      <c r="V1276">
        <v>0</v>
      </c>
      <c r="W1276" t="s">
        <v>174</v>
      </c>
      <c r="X1276">
        <v>0</v>
      </c>
      <c r="Z1276" t="s">
        <v>173</v>
      </c>
      <c r="AA1276" t="s">
        <v>173</v>
      </c>
    </row>
    <row r="1277" spans="1:27" x14ac:dyDescent="0.3">
      <c r="A1277">
        <v>1276</v>
      </c>
      <c r="B1277" t="s">
        <v>169</v>
      </c>
      <c r="C1277">
        <v>99019875</v>
      </c>
      <c r="D1277" s="7" t="s">
        <v>98</v>
      </c>
      <c r="E1277" t="s">
        <v>99</v>
      </c>
      <c r="F1277" t="s">
        <v>170</v>
      </c>
      <c r="G1277" t="s">
        <v>171</v>
      </c>
      <c r="H1277">
        <v>39</v>
      </c>
      <c r="I1277">
        <v>0</v>
      </c>
      <c r="J1277">
        <v>39</v>
      </c>
      <c r="K1277" s="133">
        <v>14285</v>
      </c>
      <c r="L1277" s="133">
        <v>14285</v>
      </c>
      <c r="M1277" s="150">
        <v>0.616724537037037</v>
      </c>
      <c r="N1277" s="150">
        <v>0.6168055555555555</v>
      </c>
      <c r="O1277" t="s">
        <v>172</v>
      </c>
      <c r="Q1277">
        <v>2519157</v>
      </c>
      <c r="R1277">
        <v>2519157</v>
      </c>
      <c r="S1277">
        <v>0</v>
      </c>
      <c r="T1277">
        <v>0</v>
      </c>
      <c r="U1277" t="s">
        <v>173</v>
      </c>
      <c r="V1277">
        <v>0</v>
      </c>
      <c r="W1277" t="s">
        <v>174</v>
      </c>
      <c r="X1277">
        <v>0</v>
      </c>
      <c r="Z1277" t="s">
        <v>173</v>
      </c>
      <c r="AA1277" t="s">
        <v>173</v>
      </c>
    </row>
    <row r="1278" spans="1:27" x14ac:dyDescent="0.3">
      <c r="A1278">
        <v>1277</v>
      </c>
      <c r="B1278" t="s">
        <v>169</v>
      </c>
      <c r="C1278">
        <v>99019875</v>
      </c>
      <c r="D1278" s="7" t="s">
        <v>65</v>
      </c>
      <c r="E1278" t="s">
        <v>66</v>
      </c>
      <c r="F1278" t="s">
        <v>176</v>
      </c>
      <c r="G1278" t="s">
        <v>171</v>
      </c>
      <c r="H1278">
        <v>58</v>
      </c>
      <c r="I1278">
        <v>0</v>
      </c>
      <c r="J1278">
        <v>58</v>
      </c>
      <c r="K1278" s="133">
        <v>4750</v>
      </c>
      <c r="L1278" s="133">
        <v>4750</v>
      </c>
      <c r="M1278" s="150">
        <v>0.616724537037037</v>
      </c>
      <c r="N1278" s="150">
        <v>0.61793981481481486</v>
      </c>
      <c r="O1278" t="s">
        <v>172</v>
      </c>
      <c r="Q1278">
        <v>2519160</v>
      </c>
      <c r="R1278">
        <v>2519160</v>
      </c>
      <c r="S1278">
        <v>0</v>
      </c>
      <c r="T1278">
        <v>0</v>
      </c>
      <c r="U1278" t="s">
        <v>173</v>
      </c>
      <c r="V1278">
        <v>0</v>
      </c>
      <c r="W1278" t="s">
        <v>174</v>
      </c>
      <c r="X1278">
        <v>0</v>
      </c>
      <c r="Z1278" t="s">
        <v>173</v>
      </c>
      <c r="AA1278" t="s">
        <v>173</v>
      </c>
    </row>
    <row r="1279" spans="1:27" x14ac:dyDescent="0.3">
      <c r="A1279">
        <v>1278</v>
      </c>
      <c r="B1279" t="s">
        <v>169</v>
      </c>
      <c r="C1279">
        <v>99019875</v>
      </c>
      <c r="D1279" s="7" t="s">
        <v>69</v>
      </c>
      <c r="E1279" t="s">
        <v>70</v>
      </c>
      <c r="F1279" t="s">
        <v>170</v>
      </c>
      <c r="G1279" t="s">
        <v>171</v>
      </c>
      <c r="H1279">
        <v>17</v>
      </c>
      <c r="I1279">
        <v>0</v>
      </c>
      <c r="J1279">
        <v>17</v>
      </c>
      <c r="K1279" s="133">
        <v>10285</v>
      </c>
      <c r="L1279" s="133">
        <v>10285</v>
      </c>
      <c r="M1279" s="150">
        <v>0.616724537037037</v>
      </c>
      <c r="N1279" s="150">
        <v>0.61674768518518519</v>
      </c>
      <c r="O1279" t="s">
        <v>172</v>
      </c>
      <c r="Q1279">
        <v>2519164</v>
      </c>
      <c r="R1279">
        <v>2519164</v>
      </c>
      <c r="S1279">
        <v>0</v>
      </c>
      <c r="T1279">
        <v>0</v>
      </c>
      <c r="U1279" t="s">
        <v>173</v>
      </c>
      <c r="V1279">
        <v>0</v>
      </c>
      <c r="W1279" t="s">
        <v>174</v>
      </c>
      <c r="X1279">
        <v>0</v>
      </c>
      <c r="Z1279" t="s">
        <v>173</v>
      </c>
      <c r="AA1279" t="s">
        <v>173</v>
      </c>
    </row>
    <row r="1280" spans="1:27" x14ac:dyDescent="0.3">
      <c r="A1280">
        <v>1279</v>
      </c>
      <c r="B1280" t="s">
        <v>169</v>
      </c>
      <c r="C1280">
        <v>99019875</v>
      </c>
      <c r="D1280" s="7" t="s">
        <v>62</v>
      </c>
      <c r="E1280" t="s">
        <v>63</v>
      </c>
      <c r="F1280" t="s">
        <v>176</v>
      </c>
      <c r="G1280" t="s">
        <v>177</v>
      </c>
      <c r="H1280">
        <v>89</v>
      </c>
      <c r="I1280">
        <v>0</v>
      </c>
      <c r="J1280">
        <v>89</v>
      </c>
      <c r="K1280" s="133">
        <v>34055</v>
      </c>
      <c r="L1280" s="133">
        <v>34055</v>
      </c>
      <c r="M1280" s="150">
        <v>0.61673611111111104</v>
      </c>
      <c r="N1280" s="150">
        <v>0.61684027777777783</v>
      </c>
      <c r="O1280" t="s">
        <v>172</v>
      </c>
      <c r="Q1280">
        <v>2519218</v>
      </c>
      <c r="R1280">
        <v>2519218</v>
      </c>
      <c r="S1280">
        <v>2519145</v>
      </c>
      <c r="T1280">
        <v>0</v>
      </c>
      <c r="U1280" t="s">
        <v>173</v>
      </c>
      <c r="V1280">
        <v>0</v>
      </c>
      <c r="W1280" t="s">
        <v>174</v>
      </c>
      <c r="X1280">
        <v>2519145</v>
      </c>
      <c r="Z1280" t="s">
        <v>173</v>
      </c>
      <c r="AA1280" t="s">
        <v>173</v>
      </c>
    </row>
    <row r="1281" spans="1:27" x14ac:dyDescent="0.3">
      <c r="A1281">
        <v>1280</v>
      </c>
      <c r="B1281" t="s">
        <v>169</v>
      </c>
      <c r="C1281">
        <v>99019875</v>
      </c>
      <c r="D1281" s="7" t="s">
        <v>120</v>
      </c>
      <c r="E1281" t="s">
        <v>121</v>
      </c>
      <c r="F1281" t="s">
        <v>176</v>
      </c>
      <c r="G1281" t="s">
        <v>177</v>
      </c>
      <c r="H1281">
        <v>1</v>
      </c>
      <c r="I1281">
        <v>0</v>
      </c>
      <c r="J1281">
        <v>1</v>
      </c>
      <c r="K1281" s="133">
        <v>22950</v>
      </c>
      <c r="L1281" s="133">
        <v>22950</v>
      </c>
      <c r="M1281" s="150">
        <v>0.61674768518518519</v>
      </c>
      <c r="N1281" s="150">
        <v>0.61876157407407406</v>
      </c>
      <c r="O1281" t="s">
        <v>172</v>
      </c>
      <c r="Q1281">
        <v>2519257</v>
      </c>
      <c r="R1281">
        <v>2519257</v>
      </c>
      <c r="S1281">
        <v>2518324</v>
      </c>
      <c r="T1281">
        <v>0</v>
      </c>
      <c r="U1281" t="s">
        <v>173</v>
      </c>
      <c r="V1281">
        <v>0</v>
      </c>
      <c r="W1281" t="s">
        <v>174</v>
      </c>
      <c r="X1281">
        <v>2518324</v>
      </c>
      <c r="Z1281" t="s">
        <v>173</v>
      </c>
      <c r="AA1281" t="s">
        <v>173</v>
      </c>
    </row>
    <row r="1282" spans="1:27" x14ac:dyDescent="0.3">
      <c r="A1282">
        <v>1281</v>
      </c>
      <c r="B1282" t="s">
        <v>169</v>
      </c>
      <c r="C1282">
        <v>99019875</v>
      </c>
      <c r="D1282" s="7" t="s">
        <v>71</v>
      </c>
      <c r="E1282" t="s">
        <v>72</v>
      </c>
      <c r="F1282" t="s">
        <v>176</v>
      </c>
      <c r="G1282" t="s">
        <v>177</v>
      </c>
      <c r="H1282">
        <v>2</v>
      </c>
      <c r="I1282">
        <v>0</v>
      </c>
      <c r="J1282">
        <v>2</v>
      </c>
      <c r="K1282" s="133">
        <v>18030</v>
      </c>
      <c r="L1282" s="133">
        <v>18030</v>
      </c>
      <c r="M1282" s="150">
        <v>0.61674768518518519</v>
      </c>
      <c r="N1282" s="150">
        <v>0.61739583333333337</v>
      </c>
      <c r="O1282" t="s">
        <v>172</v>
      </c>
      <c r="Q1282">
        <v>2519268</v>
      </c>
      <c r="R1282">
        <v>2519268</v>
      </c>
      <c r="S1282">
        <v>2518140</v>
      </c>
      <c r="T1282">
        <v>0</v>
      </c>
      <c r="U1282" t="s">
        <v>173</v>
      </c>
      <c r="V1282">
        <v>0</v>
      </c>
      <c r="W1282" t="s">
        <v>174</v>
      </c>
      <c r="X1282">
        <v>2518140</v>
      </c>
      <c r="Z1282" t="s">
        <v>173</v>
      </c>
      <c r="AA1282" t="s">
        <v>173</v>
      </c>
    </row>
    <row r="1283" spans="1:27" x14ac:dyDescent="0.3">
      <c r="A1283">
        <v>1282</v>
      </c>
      <c r="B1283" t="s">
        <v>169</v>
      </c>
      <c r="C1283">
        <v>99019875</v>
      </c>
      <c r="D1283" s="7" t="s">
        <v>71</v>
      </c>
      <c r="E1283" t="s">
        <v>72</v>
      </c>
      <c r="F1283" t="s">
        <v>176</v>
      </c>
      <c r="G1283" t="s">
        <v>177</v>
      </c>
      <c r="H1283">
        <v>18</v>
      </c>
      <c r="I1283">
        <v>0</v>
      </c>
      <c r="J1283">
        <v>18</v>
      </c>
      <c r="K1283" s="133">
        <v>18030</v>
      </c>
      <c r="L1283" s="133">
        <v>18030</v>
      </c>
      <c r="M1283" s="150">
        <v>0.61674768518518519</v>
      </c>
      <c r="N1283" s="150">
        <v>0.61746527777777771</v>
      </c>
      <c r="O1283" t="s">
        <v>172</v>
      </c>
      <c r="Q1283">
        <v>2519269</v>
      </c>
      <c r="R1283">
        <v>2519269</v>
      </c>
      <c r="S1283">
        <v>2518424</v>
      </c>
      <c r="T1283">
        <v>0</v>
      </c>
      <c r="U1283" t="s">
        <v>173</v>
      </c>
      <c r="V1283">
        <v>0</v>
      </c>
      <c r="W1283" t="s">
        <v>174</v>
      </c>
      <c r="X1283">
        <v>2518424</v>
      </c>
      <c r="Z1283" t="s">
        <v>173</v>
      </c>
      <c r="AA1283" t="s">
        <v>173</v>
      </c>
    </row>
    <row r="1284" spans="1:27" x14ac:dyDescent="0.3">
      <c r="A1284">
        <v>1283</v>
      </c>
      <c r="B1284" t="s">
        <v>169</v>
      </c>
      <c r="C1284">
        <v>99019875</v>
      </c>
      <c r="D1284" s="7" t="s">
        <v>71</v>
      </c>
      <c r="E1284" t="s">
        <v>72</v>
      </c>
      <c r="F1284" t="s">
        <v>176</v>
      </c>
      <c r="G1284" t="s">
        <v>177</v>
      </c>
      <c r="H1284">
        <v>18</v>
      </c>
      <c r="I1284">
        <v>0</v>
      </c>
      <c r="J1284">
        <v>18</v>
      </c>
      <c r="K1284" s="133">
        <v>18030</v>
      </c>
      <c r="L1284" s="133">
        <v>18030</v>
      </c>
      <c r="M1284" s="150">
        <v>0.61674768518518519</v>
      </c>
      <c r="N1284" s="150">
        <v>0.61746527777777771</v>
      </c>
      <c r="O1284" t="s">
        <v>172</v>
      </c>
      <c r="Q1284">
        <v>2519270</v>
      </c>
      <c r="R1284">
        <v>2519270</v>
      </c>
      <c r="S1284">
        <v>2519159</v>
      </c>
      <c r="T1284">
        <v>0</v>
      </c>
      <c r="U1284" t="s">
        <v>173</v>
      </c>
      <c r="V1284">
        <v>0</v>
      </c>
      <c r="W1284" t="s">
        <v>174</v>
      </c>
      <c r="X1284">
        <v>2519159</v>
      </c>
      <c r="Z1284" t="s">
        <v>173</v>
      </c>
      <c r="AA1284" t="s">
        <v>173</v>
      </c>
    </row>
    <row r="1285" spans="1:27" x14ac:dyDescent="0.3">
      <c r="A1285">
        <v>1284</v>
      </c>
      <c r="B1285" t="s">
        <v>169</v>
      </c>
      <c r="C1285">
        <v>99019875</v>
      </c>
      <c r="D1285" s="7" t="s">
        <v>102</v>
      </c>
      <c r="E1285" t="s">
        <v>103</v>
      </c>
      <c r="F1285" t="s">
        <v>170</v>
      </c>
      <c r="G1285" t="s">
        <v>177</v>
      </c>
      <c r="H1285">
        <v>53</v>
      </c>
      <c r="I1285">
        <v>0</v>
      </c>
      <c r="J1285">
        <v>53</v>
      </c>
      <c r="K1285" s="133">
        <v>26845</v>
      </c>
      <c r="L1285" s="133">
        <v>26845</v>
      </c>
      <c r="M1285" s="150">
        <v>0.61685185185185187</v>
      </c>
      <c r="N1285" s="150">
        <v>0.61692129629629633</v>
      </c>
      <c r="O1285" t="s">
        <v>172</v>
      </c>
      <c r="Q1285">
        <v>2519641</v>
      </c>
      <c r="R1285">
        <v>2519641</v>
      </c>
      <c r="S1285">
        <v>2519149</v>
      </c>
      <c r="T1285">
        <v>0</v>
      </c>
      <c r="U1285" t="s">
        <v>173</v>
      </c>
      <c r="V1285">
        <v>0</v>
      </c>
      <c r="W1285" t="s">
        <v>174</v>
      </c>
      <c r="X1285">
        <v>2519149</v>
      </c>
      <c r="Z1285" t="s">
        <v>173</v>
      </c>
      <c r="AA1285" t="s">
        <v>173</v>
      </c>
    </row>
    <row r="1286" spans="1:27" x14ac:dyDescent="0.3">
      <c r="A1286">
        <v>1285</v>
      </c>
      <c r="B1286" t="s">
        <v>169</v>
      </c>
      <c r="C1286">
        <v>99019875</v>
      </c>
      <c r="D1286" s="7" t="s">
        <v>114</v>
      </c>
      <c r="E1286" t="s">
        <v>115</v>
      </c>
      <c r="F1286" t="s">
        <v>176</v>
      </c>
      <c r="G1286" t="s">
        <v>177</v>
      </c>
      <c r="H1286">
        <v>66</v>
      </c>
      <c r="I1286">
        <v>0</v>
      </c>
      <c r="J1286">
        <v>66</v>
      </c>
      <c r="K1286" s="133">
        <v>53790</v>
      </c>
      <c r="L1286" s="133">
        <v>53790</v>
      </c>
      <c r="M1286" s="150">
        <v>0.61692129629629633</v>
      </c>
      <c r="N1286" s="150">
        <v>0.61692129629629633</v>
      </c>
      <c r="O1286" t="s">
        <v>172</v>
      </c>
      <c r="Q1286">
        <v>2519874</v>
      </c>
      <c r="R1286">
        <v>2519874</v>
      </c>
      <c r="S1286">
        <v>2519817</v>
      </c>
      <c r="T1286">
        <v>0</v>
      </c>
      <c r="U1286" t="s">
        <v>173</v>
      </c>
      <c r="V1286">
        <v>0</v>
      </c>
      <c r="W1286" t="s">
        <v>174</v>
      </c>
      <c r="X1286">
        <v>2519817</v>
      </c>
      <c r="Z1286" t="s">
        <v>173</v>
      </c>
      <c r="AA1286" t="s">
        <v>173</v>
      </c>
    </row>
    <row r="1287" spans="1:27" x14ac:dyDescent="0.3">
      <c r="A1287">
        <v>1286</v>
      </c>
      <c r="B1287" t="s">
        <v>169</v>
      </c>
      <c r="C1287">
        <v>99019875</v>
      </c>
      <c r="D1287" s="7" t="s">
        <v>81</v>
      </c>
      <c r="E1287" t="s">
        <v>82</v>
      </c>
      <c r="F1287" t="s">
        <v>176</v>
      </c>
      <c r="G1287" t="s">
        <v>177</v>
      </c>
      <c r="H1287">
        <v>76</v>
      </c>
      <c r="I1287">
        <v>0</v>
      </c>
      <c r="J1287">
        <v>76</v>
      </c>
      <c r="K1287" s="133">
        <v>36415</v>
      </c>
      <c r="L1287" s="133">
        <v>36415</v>
      </c>
      <c r="M1287" s="150">
        <v>0.61693287037037037</v>
      </c>
      <c r="N1287" s="150">
        <v>0.61695601851851845</v>
      </c>
      <c r="O1287" t="s">
        <v>172</v>
      </c>
      <c r="Q1287">
        <v>2519947</v>
      </c>
      <c r="R1287">
        <v>2519947</v>
      </c>
      <c r="S1287">
        <v>2519938</v>
      </c>
      <c r="T1287">
        <v>0</v>
      </c>
      <c r="U1287" t="s">
        <v>173</v>
      </c>
      <c r="V1287">
        <v>0</v>
      </c>
      <c r="W1287" t="s">
        <v>174</v>
      </c>
      <c r="X1287">
        <v>2519938</v>
      </c>
      <c r="Z1287" t="s">
        <v>173</v>
      </c>
      <c r="AA1287" t="s">
        <v>173</v>
      </c>
    </row>
    <row r="1288" spans="1:27" x14ac:dyDescent="0.3">
      <c r="A1288">
        <v>1287</v>
      </c>
      <c r="B1288" t="s">
        <v>169</v>
      </c>
      <c r="C1288">
        <v>99019875</v>
      </c>
      <c r="D1288" s="7" t="s">
        <v>81</v>
      </c>
      <c r="E1288" t="s">
        <v>82</v>
      </c>
      <c r="F1288" t="s">
        <v>176</v>
      </c>
      <c r="G1288" t="s">
        <v>177</v>
      </c>
      <c r="H1288">
        <v>75</v>
      </c>
      <c r="I1288">
        <v>0</v>
      </c>
      <c r="J1288">
        <v>75</v>
      </c>
      <c r="K1288" s="133">
        <v>36415</v>
      </c>
      <c r="L1288" s="133">
        <v>36415</v>
      </c>
      <c r="M1288" s="150">
        <v>0.61693287037037037</v>
      </c>
      <c r="N1288" s="150">
        <v>0.61695601851851845</v>
      </c>
      <c r="O1288" t="s">
        <v>172</v>
      </c>
      <c r="Q1288">
        <v>2519948</v>
      </c>
      <c r="R1288">
        <v>2519948</v>
      </c>
      <c r="S1288">
        <v>2519939</v>
      </c>
      <c r="T1288">
        <v>0</v>
      </c>
      <c r="U1288" t="s">
        <v>173</v>
      </c>
      <c r="V1288">
        <v>0</v>
      </c>
      <c r="W1288" t="s">
        <v>174</v>
      </c>
      <c r="X1288">
        <v>2519939</v>
      </c>
      <c r="Z1288" t="s">
        <v>173</v>
      </c>
      <c r="AA1288" t="s">
        <v>173</v>
      </c>
    </row>
    <row r="1289" spans="1:27" x14ac:dyDescent="0.3">
      <c r="A1289">
        <v>1288</v>
      </c>
      <c r="B1289" t="s">
        <v>169</v>
      </c>
      <c r="C1289">
        <v>99019875</v>
      </c>
      <c r="D1289" s="7" t="s">
        <v>81</v>
      </c>
      <c r="E1289" t="s">
        <v>82</v>
      </c>
      <c r="F1289" t="s">
        <v>176</v>
      </c>
      <c r="G1289" t="s">
        <v>177</v>
      </c>
      <c r="H1289">
        <v>75</v>
      </c>
      <c r="I1289">
        <v>0</v>
      </c>
      <c r="J1289">
        <v>75</v>
      </c>
      <c r="K1289" s="133">
        <v>36415</v>
      </c>
      <c r="L1289" s="133">
        <v>36415</v>
      </c>
      <c r="M1289" s="150">
        <v>0.61693287037037037</v>
      </c>
      <c r="N1289" s="150">
        <v>0.61695601851851845</v>
      </c>
      <c r="O1289" t="s">
        <v>172</v>
      </c>
      <c r="Q1289">
        <v>2519949</v>
      </c>
      <c r="R1289">
        <v>2519949</v>
      </c>
      <c r="S1289">
        <v>2519940</v>
      </c>
      <c r="T1289">
        <v>0</v>
      </c>
      <c r="U1289" t="s">
        <v>173</v>
      </c>
      <c r="V1289">
        <v>0</v>
      </c>
      <c r="W1289" t="s">
        <v>174</v>
      </c>
      <c r="X1289">
        <v>2519940</v>
      </c>
      <c r="Z1289" t="s">
        <v>173</v>
      </c>
      <c r="AA1289" t="s">
        <v>173</v>
      </c>
    </row>
    <row r="1290" spans="1:27" x14ac:dyDescent="0.3">
      <c r="A1290">
        <v>1289</v>
      </c>
      <c r="B1290" t="s">
        <v>169</v>
      </c>
      <c r="C1290">
        <v>99019875</v>
      </c>
      <c r="D1290" s="7" t="s">
        <v>81</v>
      </c>
      <c r="E1290" t="s">
        <v>82</v>
      </c>
      <c r="F1290" t="s">
        <v>176</v>
      </c>
      <c r="G1290" t="s">
        <v>177</v>
      </c>
      <c r="H1290">
        <v>75</v>
      </c>
      <c r="I1290">
        <v>0</v>
      </c>
      <c r="J1290">
        <v>75</v>
      </c>
      <c r="K1290" s="133">
        <v>36415</v>
      </c>
      <c r="L1290" s="133">
        <v>36415</v>
      </c>
      <c r="M1290" s="150">
        <v>0.61693287037037037</v>
      </c>
      <c r="N1290" s="150">
        <v>0.61695601851851845</v>
      </c>
      <c r="O1290" t="s">
        <v>172</v>
      </c>
      <c r="Q1290">
        <v>2519950</v>
      </c>
      <c r="R1290">
        <v>2519950</v>
      </c>
      <c r="S1290">
        <v>2519941</v>
      </c>
      <c r="T1290">
        <v>0</v>
      </c>
      <c r="U1290" t="s">
        <v>173</v>
      </c>
      <c r="V1290">
        <v>0</v>
      </c>
      <c r="W1290" t="s">
        <v>174</v>
      </c>
      <c r="X1290">
        <v>2519941</v>
      </c>
      <c r="Z1290" t="s">
        <v>173</v>
      </c>
      <c r="AA1290" t="s">
        <v>173</v>
      </c>
    </row>
    <row r="1291" spans="1:27" x14ac:dyDescent="0.3">
      <c r="A1291">
        <v>1290</v>
      </c>
      <c r="B1291" t="s">
        <v>169</v>
      </c>
      <c r="C1291">
        <v>99019875</v>
      </c>
      <c r="D1291" s="7" t="s">
        <v>81</v>
      </c>
      <c r="E1291" t="s">
        <v>82</v>
      </c>
      <c r="F1291" t="s">
        <v>176</v>
      </c>
      <c r="G1291" t="s">
        <v>177</v>
      </c>
      <c r="H1291">
        <v>75</v>
      </c>
      <c r="I1291">
        <v>0</v>
      </c>
      <c r="J1291">
        <v>75</v>
      </c>
      <c r="K1291" s="133">
        <v>36415</v>
      </c>
      <c r="L1291" s="133">
        <v>36415</v>
      </c>
      <c r="M1291" s="150">
        <v>0.61693287037037037</v>
      </c>
      <c r="N1291" s="150">
        <v>0.61695601851851845</v>
      </c>
      <c r="O1291" t="s">
        <v>172</v>
      </c>
      <c r="Q1291">
        <v>2519951</v>
      </c>
      <c r="R1291">
        <v>2519951</v>
      </c>
      <c r="S1291">
        <v>2519942</v>
      </c>
      <c r="T1291">
        <v>0</v>
      </c>
      <c r="U1291" t="s">
        <v>173</v>
      </c>
      <c r="V1291">
        <v>0</v>
      </c>
      <c r="W1291" t="s">
        <v>174</v>
      </c>
      <c r="X1291">
        <v>2519942</v>
      </c>
      <c r="Z1291" t="s">
        <v>173</v>
      </c>
      <c r="AA1291" t="s">
        <v>173</v>
      </c>
    </row>
    <row r="1292" spans="1:27" x14ac:dyDescent="0.3">
      <c r="A1292">
        <v>1291</v>
      </c>
      <c r="B1292" t="s">
        <v>169</v>
      </c>
      <c r="C1292">
        <v>99019875</v>
      </c>
      <c r="D1292" s="7" t="s">
        <v>81</v>
      </c>
      <c r="E1292" t="s">
        <v>82</v>
      </c>
      <c r="F1292" t="s">
        <v>176</v>
      </c>
      <c r="G1292" t="s">
        <v>177</v>
      </c>
      <c r="H1292">
        <v>75</v>
      </c>
      <c r="I1292">
        <v>0</v>
      </c>
      <c r="J1292">
        <v>75</v>
      </c>
      <c r="K1292" s="133">
        <v>36415</v>
      </c>
      <c r="L1292" s="133">
        <v>36415</v>
      </c>
      <c r="M1292" s="150">
        <v>0.61693287037037037</v>
      </c>
      <c r="N1292" s="150">
        <v>0.61695601851851845</v>
      </c>
      <c r="O1292" t="s">
        <v>172</v>
      </c>
      <c r="Q1292">
        <v>2519952</v>
      </c>
      <c r="R1292">
        <v>2519952</v>
      </c>
      <c r="S1292">
        <v>2519943</v>
      </c>
      <c r="T1292">
        <v>0</v>
      </c>
      <c r="U1292" t="s">
        <v>173</v>
      </c>
      <c r="V1292">
        <v>0</v>
      </c>
      <c r="W1292" t="s">
        <v>174</v>
      </c>
      <c r="X1292">
        <v>2519943</v>
      </c>
      <c r="Z1292" t="s">
        <v>173</v>
      </c>
      <c r="AA1292" t="s">
        <v>173</v>
      </c>
    </row>
    <row r="1293" spans="1:27" x14ac:dyDescent="0.3">
      <c r="A1293">
        <v>1292</v>
      </c>
      <c r="B1293" t="s">
        <v>169</v>
      </c>
      <c r="C1293">
        <v>99019875</v>
      </c>
      <c r="D1293" s="7" t="s">
        <v>128</v>
      </c>
      <c r="E1293" t="s">
        <v>129</v>
      </c>
      <c r="F1293" t="s">
        <v>170</v>
      </c>
      <c r="G1293" t="s">
        <v>171</v>
      </c>
      <c r="H1293">
        <v>1</v>
      </c>
      <c r="I1293">
        <v>0</v>
      </c>
      <c r="J1293">
        <v>1</v>
      </c>
      <c r="K1293" s="133">
        <v>6505</v>
      </c>
      <c r="L1293" s="133">
        <v>6505</v>
      </c>
      <c r="M1293" s="150">
        <v>0.61693287037037037</v>
      </c>
      <c r="N1293" s="150">
        <v>0.61775462962962957</v>
      </c>
      <c r="O1293" t="s">
        <v>172</v>
      </c>
      <c r="Q1293">
        <v>2519971</v>
      </c>
      <c r="R1293">
        <v>2519971</v>
      </c>
      <c r="S1293">
        <v>0</v>
      </c>
      <c r="T1293">
        <v>0</v>
      </c>
      <c r="U1293" t="s">
        <v>173</v>
      </c>
      <c r="V1293">
        <v>0</v>
      </c>
      <c r="W1293" t="s">
        <v>174</v>
      </c>
      <c r="X1293">
        <v>0</v>
      </c>
      <c r="Z1293" t="s">
        <v>173</v>
      </c>
      <c r="AA1293" t="s">
        <v>173</v>
      </c>
    </row>
    <row r="1294" spans="1:27" x14ac:dyDescent="0.3">
      <c r="A1294">
        <v>1293</v>
      </c>
      <c r="B1294" t="s">
        <v>169</v>
      </c>
      <c r="C1294">
        <v>99019875</v>
      </c>
      <c r="D1294" s="7" t="s">
        <v>114</v>
      </c>
      <c r="E1294" t="s">
        <v>115</v>
      </c>
      <c r="F1294" t="s">
        <v>176</v>
      </c>
      <c r="G1294" t="s">
        <v>171</v>
      </c>
      <c r="H1294">
        <v>65</v>
      </c>
      <c r="I1294">
        <v>0</v>
      </c>
      <c r="J1294">
        <v>65</v>
      </c>
      <c r="K1294" s="133">
        <v>53800</v>
      </c>
      <c r="L1294" s="133">
        <v>53800</v>
      </c>
      <c r="M1294" s="150">
        <v>0.61701388888888886</v>
      </c>
      <c r="N1294" s="150">
        <v>0.61709490740740736</v>
      </c>
      <c r="O1294" t="s">
        <v>172</v>
      </c>
      <c r="Q1294">
        <v>2520237</v>
      </c>
      <c r="R1294">
        <v>2520237</v>
      </c>
      <c r="S1294">
        <v>0</v>
      </c>
      <c r="T1294">
        <v>0</v>
      </c>
      <c r="U1294" t="s">
        <v>173</v>
      </c>
      <c r="V1294">
        <v>0</v>
      </c>
      <c r="W1294" t="s">
        <v>174</v>
      </c>
      <c r="X1294">
        <v>0</v>
      </c>
      <c r="Z1294" t="s">
        <v>173</v>
      </c>
      <c r="AA1294" t="s">
        <v>173</v>
      </c>
    </row>
    <row r="1295" spans="1:27" x14ac:dyDescent="0.3">
      <c r="A1295">
        <v>1294</v>
      </c>
      <c r="B1295" t="s">
        <v>169</v>
      </c>
      <c r="C1295">
        <v>99019875</v>
      </c>
      <c r="D1295" s="7" t="s">
        <v>62</v>
      </c>
      <c r="E1295" t="s">
        <v>63</v>
      </c>
      <c r="F1295" t="s">
        <v>176</v>
      </c>
      <c r="G1295" t="s">
        <v>171</v>
      </c>
      <c r="H1295">
        <v>89</v>
      </c>
      <c r="I1295">
        <v>0</v>
      </c>
      <c r="J1295">
        <v>89</v>
      </c>
      <c r="K1295" s="133">
        <v>34050</v>
      </c>
      <c r="L1295" s="133">
        <v>34050</v>
      </c>
      <c r="M1295" s="150">
        <v>0.61701388888888886</v>
      </c>
      <c r="N1295" s="150">
        <v>0.61708333333333332</v>
      </c>
      <c r="O1295" t="s">
        <v>172</v>
      </c>
      <c r="Q1295">
        <v>2520238</v>
      </c>
      <c r="R1295">
        <v>2520238</v>
      </c>
      <c r="S1295">
        <v>0</v>
      </c>
      <c r="T1295">
        <v>0</v>
      </c>
      <c r="U1295" t="s">
        <v>173</v>
      </c>
      <c r="V1295">
        <v>0</v>
      </c>
      <c r="W1295" t="s">
        <v>174</v>
      </c>
      <c r="X1295">
        <v>0</v>
      </c>
      <c r="Z1295" t="s">
        <v>173</v>
      </c>
      <c r="AA1295" t="s">
        <v>173</v>
      </c>
    </row>
    <row r="1296" spans="1:27" x14ac:dyDescent="0.3">
      <c r="A1296">
        <v>1295</v>
      </c>
      <c r="B1296" t="s">
        <v>169</v>
      </c>
      <c r="C1296">
        <v>99019875</v>
      </c>
      <c r="D1296" s="7" t="s">
        <v>81</v>
      </c>
      <c r="E1296" t="s">
        <v>82</v>
      </c>
      <c r="F1296" t="s">
        <v>176</v>
      </c>
      <c r="G1296" t="s">
        <v>171</v>
      </c>
      <c r="H1296">
        <v>75</v>
      </c>
      <c r="I1296">
        <v>0</v>
      </c>
      <c r="J1296">
        <v>75</v>
      </c>
      <c r="K1296" s="133">
        <v>36425</v>
      </c>
      <c r="L1296" s="133">
        <v>36425</v>
      </c>
      <c r="M1296" s="150">
        <v>0.61701388888888886</v>
      </c>
      <c r="N1296" s="150">
        <v>0.61733796296296295</v>
      </c>
      <c r="O1296" t="s">
        <v>172</v>
      </c>
      <c r="Q1296">
        <v>2520239</v>
      </c>
      <c r="R1296">
        <v>2520239</v>
      </c>
      <c r="S1296">
        <v>0</v>
      </c>
      <c r="T1296">
        <v>0</v>
      </c>
      <c r="U1296" t="s">
        <v>173</v>
      </c>
      <c r="V1296">
        <v>0</v>
      </c>
      <c r="W1296" t="s">
        <v>174</v>
      </c>
      <c r="X1296">
        <v>0</v>
      </c>
      <c r="Z1296" t="s">
        <v>173</v>
      </c>
      <c r="AA1296" t="s">
        <v>173</v>
      </c>
    </row>
    <row r="1297" spans="1:27" x14ac:dyDescent="0.3">
      <c r="A1297">
        <v>1296</v>
      </c>
      <c r="B1297" t="s">
        <v>169</v>
      </c>
      <c r="C1297">
        <v>99019875</v>
      </c>
      <c r="D1297" s="7" t="s">
        <v>67</v>
      </c>
      <c r="E1297" t="s">
        <v>68</v>
      </c>
      <c r="F1297" t="s">
        <v>170</v>
      </c>
      <c r="G1297" t="s">
        <v>171</v>
      </c>
      <c r="H1297">
        <v>35</v>
      </c>
      <c r="I1297">
        <v>0</v>
      </c>
      <c r="J1297">
        <v>35</v>
      </c>
      <c r="K1297" s="133">
        <v>4815</v>
      </c>
      <c r="L1297" s="133">
        <v>4815</v>
      </c>
      <c r="M1297" s="150">
        <v>0.61701388888888886</v>
      </c>
      <c r="N1297" s="150">
        <v>0.6170254629629629</v>
      </c>
      <c r="O1297" t="s">
        <v>172</v>
      </c>
      <c r="Q1297">
        <v>2520242</v>
      </c>
      <c r="R1297">
        <v>2520242</v>
      </c>
      <c r="S1297">
        <v>0</v>
      </c>
      <c r="T1297">
        <v>0</v>
      </c>
      <c r="U1297" t="s">
        <v>173</v>
      </c>
      <c r="V1297">
        <v>0</v>
      </c>
      <c r="W1297" t="s">
        <v>174</v>
      </c>
      <c r="X1297">
        <v>0</v>
      </c>
      <c r="Z1297" t="s">
        <v>173</v>
      </c>
      <c r="AA1297" t="s">
        <v>173</v>
      </c>
    </row>
    <row r="1298" spans="1:27" x14ac:dyDescent="0.3">
      <c r="A1298">
        <v>1297</v>
      </c>
      <c r="B1298" t="s">
        <v>169</v>
      </c>
      <c r="C1298">
        <v>99019875</v>
      </c>
      <c r="D1298" s="7" t="s">
        <v>110</v>
      </c>
      <c r="E1298" t="s">
        <v>179</v>
      </c>
      <c r="F1298" t="s">
        <v>170</v>
      </c>
      <c r="G1298" t="s">
        <v>171</v>
      </c>
      <c r="H1298">
        <v>4</v>
      </c>
      <c r="I1298">
        <v>0</v>
      </c>
      <c r="J1298">
        <v>4</v>
      </c>
      <c r="K1298" s="133">
        <v>48510</v>
      </c>
      <c r="L1298" s="133">
        <v>48510</v>
      </c>
      <c r="M1298" s="150">
        <v>0.61701388888888886</v>
      </c>
      <c r="N1298" s="150">
        <v>0.61711805555555554</v>
      </c>
      <c r="O1298" t="s">
        <v>172</v>
      </c>
      <c r="Q1298">
        <v>2520243</v>
      </c>
      <c r="R1298">
        <v>2520243</v>
      </c>
      <c r="S1298">
        <v>0</v>
      </c>
      <c r="T1298">
        <v>0</v>
      </c>
      <c r="U1298" t="s">
        <v>173</v>
      </c>
      <c r="V1298">
        <v>0</v>
      </c>
      <c r="W1298" t="s">
        <v>174</v>
      </c>
      <c r="X1298">
        <v>0</v>
      </c>
      <c r="Z1298" t="s">
        <v>173</v>
      </c>
      <c r="AA1298" t="s">
        <v>173</v>
      </c>
    </row>
    <row r="1299" spans="1:27" x14ac:dyDescent="0.3">
      <c r="A1299">
        <v>1298</v>
      </c>
      <c r="B1299" t="s">
        <v>169</v>
      </c>
      <c r="C1299">
        <v>99019875</v>
      </c>
      <c r="D1299" s="7" t="s">
        <v>100</v>
      </c>
      <c r="E1299" t="s">
        <v>101</v>
      </c>
      <c r="F1299" t="s">
        <v>170</v>
      </c>
      <c r="G1299" t="s">
        <v>171</v>
      </c>
      <c r="H1299">
        <v>5</v>
      </c>
      <c r="I1299">
        <v>0</v>
      </c>
      <c r="J1299">
        <v>5</v>
      </c>
      <c r="K1299" s="133">
        <v>15520</v>
      </c>
      <c r="L1299" s="133">
        <v>15520</v>
      </c>
      <c r="M1299" s="150">
        <v>0.61701388888888886</v>
      </c>
      <c r="N1299" s="150">
        <v>0.61703703703703705</v>
      </c>
      <c r="O1299" t="s">
        <v>172</v>
      </c>
      <c r="Q1299">
        <v>2520245</v>
      </c>
      <c r="R1299">
        <v>2520245</v>
      </c>
      <c r="S1299">
        <v>0</v>
      </c>
      <c r="T1299">
        <v>0</v>
      </c>
      <c r="U1299" t="s">
        <v>173</v>
      </c>
      <c r="V1299">
        <v>0</v>
      </c>
      <c r="W1299" t="s">
        <v>174</v>
      </c>
      <c r="X1299">
        <v>0</v>
      </c>
      <c r="Z1299" t="s">
        <v>173</v>
      </c>
      <c r="AA1299" t="s">
        <v>173</v>
      </c>
    </row>
    <row r="1300" spans="1:27" x14ac:dyDescent="0.3">
      <c r="A1300">
        <v>1299</v>
      </c>
      <c r="B1300" t="s">
        <v>169</v>
      </c>
      <c r="C1300">
        <v>99019875</v>
      </c>
      <c r="D1300" s="7" t="s">
        <v>87</v>
      </c>
      <c r="E1300" t="s">
        <v>88</v>
      </c>
      <c r="F1300" t="s">
        <v>170</v>
      </c>
      <c r="G1300" t="s">
        <v>171</v>
      </c>
      <c r="H1300">
        <v>6</v>
      </c>
      <c r="I1300">
        <v>0</v>
      </c>
      <c r="J1300">
        <v>6</v>
      </c>
      <c r="K1300" s="133">
        <v>12150</v>
      </c>
      <c r="L1300" s="133">
        <v>12150</v>
      </c>
      <c r="M1300" s="150">
        <v>0.61701388888888886</v>
      </c>
      <c r="N1300" s="150">
        <v>0.61831018518518521</v>
      </c>
      <c r="O1300" t="s">
        <v>172</v>
      </c>
      <c r="Q1300">
        <v>2520246</v>
      </c>
      <c r="R1300">
        <v>2520246</v>
      </c>
      <c r="S1300">
        <v>0</v>
      </c>
      <c r="T1300">
        <v>0</v>
      </c>
      <c r="U1300" t="s">
        <v>173</v>
      </c>
      <c r="V1300">
        <v>0</v>
      </c>
      <c r="W1300" t="s">
        <v>174</v>
      </c>
      <c r="X1300">
        <v>0</v>
      </c>
      <c r="Z1300" t="s">
        <v>173</v>
      </c>
      <c r="AA1300" t="s">
        <v>173</v>
      </c>
    </row>
    <row r="1301" spans="1:27" x14ac:dyDescent="0.3">
      <c r="A1301">
        <v>1300</v>
      </c>
      <c r="B1301" t="s">
        <v>169</v>
      </c>
      <c r="C1301">
        <v>99019875</v>
      </c>
      <c r="D1301" s="7" t="s">
        <v>108</v>
      </c>
      <c r="E1301" t="s">
        <v>109</v>
      </c>
      <c r="F1301" t="s">
        <v>170</v>
      </c>
      <c r="G1301" t="s">
        <v>171</v>
      </c>
      <c r="H1301">
        <v>24</v>
      </c>
      <c r="I1301">
        <v>0</v>
      </c>
      <c r="J1301">
        <v>24</v>
      </c>
      <c r="K1301" s="133">
        <v>2715</v>
      </c>
      <c r="L1301" s="133">
        <v>2715</v>
      </c>
      <c r="M1301" s="150">
        <v>0.61701388888888886</v>
      </c>
      <c r="N1301" s="150">
        <v>0.62351851851851847</v>
      </c>
      <c r="O1301" t="s">
        <v>172</v>
      </c>
      <c r="Q1301">
        <v>2520247</v>
      </c>
      <c r="R1301">
        <v>2520247</v>
      </c>
      <c r="S1301">
        <v>0</v>
      </c>
      <c r="T1301">
        <v>0</v>
      </c>
      <c r="U1301" t="s">
        <v>173</v>
      </c>
      <c r="V1301">
        <v>0</v>
      </c>
      <c r="W1301" t="s">
        <v>174</v>
      </c>
      <c r="X1301">
        <v>0</v>
      </c>
      <c r="Z1301" t="s">
        <v>173</v>
      </c>
      <c r="AA1301" t="s">
        <v>173</v>
      </c>
    </row>
    <row r="1302" spans="1:27" x14ac:dyDescent="0.3">
      <c r="A1302">
        <v>1301</v>
      </c>
      <c r="B1302" t="s">
        <v>169</v>
      </c>
      <c r="C1302">
        <v>99019875</v>
      </c>
      <c r="D1302" s="7" t="s">
        <v>65</v>
      </c>
      <c r="E1302" t="s">
        <v>66</v>
      </c>
      <c r="F1302" t="s">
        <v>176</v>
      </c>
      <c r="G1302" t="s">
        <v>171</v>
      </c>
      <c r="H1302">
        <v>57</v>
      </c>
      <c r="I1302">
        <v>0</v>
      </c>
      <c r="J1302">
        <v>57</v>
      </c>
      <c r="K1302" s="133">
        <v>4750</v>
      </c>
      <c r="L1302" s="133">
        <v>4750</v>
      </c>
      <c r="M1302" s="150">
        <v>0.61701388888888886</v>
      </c>
      <c r="N1302" s="150">
        <v>0.61793981481481486</v>
      </c>
      <c r="O1302" t="s">
        <v>172</v>
      </c>
      <c r="Q1302">
        <v>2520252</v>
      </c>
      <c r="R1302">
        <v>2520252</v>
      </c>
      <c r="S1302">
        <v>0</v>
      </c>
      <c r="T1302">
        <v>0</v>
      </c>
      <c r="U1302" t="s">
        <v>173</v>
      </c>
      <c r="V1302">
        <v>0</v>
      </c>
      <c r="W1302" t="s">
        <v>174</v>
      </c>
      <c r="X1302">
        <v>0</v>
      </c>
      <c r="Z1302" t="s">
        <v>173</v>
      </c>
      <c r="AA1302" t="s">
        <v>173</v>
      </c>
    </row>
    <row r="1303" spans="1:27" x14ac:dyDescent="0.3">
      <c r="A1303">
        <v>1302</v>
      </c>
      <c r="B1303" t="s">
        <v>169</v>
      </c>
      <c r="C1303">
        <v>99019875</v>
      </c>
      <c r="D1303" s="7" t="s">
        <v>69</v>
      </c>
      <c r="E1303" t="s">
        <v>70</v>
      </c>
      <c r="F1303" t="s">
        <v>170</v>
      </c>
      <c r="G1303" t="s">
        <v>171</v>
      </c>
      <c r="H1303">
        <v>17</v>
      </c>
      <c r="I1303">
        <v>0</v>
      </c>
      <c r="J1303">
        <v>17</v>
      </c>
      <c r="K1303" s="133">
        <v>10285</v>
      </c>
      <c r="L1303" s="133">
        <v>10285</v>
      </c>
      <c r="M1303" s="150">
        <v>0.61701388888888886</v>
      </c>
      <c r="N1303" s="150">
        <v>0.61703703703703705</v>
      </c>
      <c r="O1303" t="s">
        <v>172</v>
      </c>
      <c r="Q1303">
        <v>2520256</v>
      </c>
      <c r="R1303">
        <v>2520256</v>
      </c>
      <c r="S1303">
        <v>0</v>
      </c>
      <c r="T1303">
        <v>0</v>
      </c>
      <c r="U1303" t="s">
        <v>173</v>
      </c>
      <c r="V1303">
        <v>0</v>
      </c>
      <c r="W1303" t="s">
        <v>174</v>
      </c>
      <c r="X1303">
        <v>0</v>
      </c>
      <c r="Z1303" t="s">
        <v>173</v>
      </c>
      <c r="AA1303" t="s">
        <v>173</v>
      </c>
    </row>
    <row r="1304" spans="1:27" x14ac:dyDescent="0.3">
      <c r="A1304">
        <v>1303</v>
      </c>
      <c r="B1304" t="s">
        <v>169</v>
      </c>
      <c r="C1304">
        <v>99019875</v>
      </c>
      <c r="D1304" s="7" t="s">
        <v>102</v>
      </c>
      <c r="E1304" t="s">
        <v>103</v>
      </c>
      <c r="F1304" t="s">
        <v>170</v>
      </c>
      <c r="G1304" t="s">
        <v>177</v>
      </c>
      <c r="H1304">
        <v>54</v>
      </c>
      <c r="I1304">
        <v>0</v>
      </c>
      <c r="J1304">
        <v>54</v>
      </c>
      <c r="K1304" s="133">
        <v>26845</v>
      </c>
      <c r="L1304" s="133">
        <v>26845</v>
      </c>
      <c r="M1304" s="150">
        <v>0.61708333333333332</v>
      </c>
      <c r="N1304" s="150">
        <v>0.61711805555555554</v>
      </c>
      <c r="O1304" t="s">
        <v>172</v>
      </c>
      <c r="Q1304">
        <v>2520435</v>
      </c>
      <c r="R1304">
        <v>2520435</v>
      </c>
      <c r="S1304">
        <v>2520241</v>
      </c>
      <c r="T1304">
        <v>0</v>
      </c>
      <c r="U1304" t="s">
        <v>173</v>
      </c>
      <c r="V1304">
        <v>0</v>
      </c>
      <c r="W1304" t="s">
        <v>174</v>
      </c>
      <c r="X1304">
        <v>2520241</v>
      </c>
      <c r="Z1304" t="s">
        <v>173</v>
      </c>
      <c r="AA1304" t="s">
        <v>173</v>
      </c>
    </row>
    <row r="1305" spans="1:27" x14ac:dyDescent="0.3">
      <c r="A1305">
        <v>1304</v>
      </c>
      <c r="B1305" t="s">
        <v>169</v>
      </c>
      <c r="C1305">
        <v>99019875</v>
      </c>
      <c r="D1305" s="7" t="s">
        <v>118</v>
      </c>
      <c r="E1305" t="s">
        <v>119</v>
      </c>
      <c r="F1305" t="s">
        <v>176</v>
      </c>
      <c r="G1305" t="s">
        <v>177</v>
      </c>
      <c r="H1305">
        <v>19</v>
      </c>
      <c r="I1305">
        <v>0</v>
      </c>
      <c r="J1305">
        <v>19</v>
      </c>
      <c r="K1305" s="133">
        <v>12440</v>
      </c>
      <c r="L1305" s="133">
        <v>12440</v>
      </c>
      <c r="M1305" s="150">
        <v>0.61724537037037031</v>
      </c>
      <c r="N1305" s="150">
        <v>0.6174074074074074</v>
      </c>
      <c r="O1305" t="s">
        <v>172</v>
      </c>
      <c r="Q1305">
        <v>2520957</v>
      </c>
      <c r="R1305">
        <v>2520957</v>
      </c>
      <c r="S1305">
        <v>2519211</v>
      </c>
      <c r="T1305">
        <v>0</v>
      </c>
      <c r="U1305" t="s">
        <v>173</v>
      </c>
      <c r="V1305">
        <v>0</v>
      </c>
      <c r="W1305" t="s">
        <v>174</v>
      </c>
      <c r="X1305">
        <v>2519211</v>
      </c>
      <c r="Z1305" t="s">
        <v>173</v>
      </c>
      <c r="AA1305" t="s">
        <v>173</v>
      </c>
    </row>
    <row r="1306" spans="1:27" x14ac:dyDescent="0.3">
      <c r="A1306">
        <v>1305</v>
      </c>
      <c r="B1306" t="s">
        <v>169</v>
      </c>
      <c r="C1306">
        <v>99019875</v>
      </c>
      <c r="D1306" s="7" t="s">
        <v>118</v>
      </c>
      <c r="E1306" t="s">
        <v>119</v>
      </c>
      <c r="F1306" t="s">
        <v>176</v>
      </c>
      <c r="G1306" t="s">
        <v>177</v>
      </c>
      <c r="H1306">
        <v>20</v>
      </c>
      <c r="I1306">
        <v>0</v>
      </c>
      <c r="J1306">
        <v>20</v>
      </c>
      <c r="K1306" s="133">
        <v>12440</v>
      </c>
      <c r="L1306" s="133">
        <v>12440</v>
      </c>
      <c r="M1306" s="150">
        <v>0.61724537037037031</v>
      </c>
      <c r="N1306" s="150">
        <v>0.6174074074074074</v>
      </c>
      <c r="O1306" t="s">
        <v>172</v>
      </c>
      <c r="Q1306">
        <v>2520958</v>
      </c>
      <c r="R1306">
        <v>2520958</v>
      </c>
      <c r="S1306">
        <v>2519212</v>
      </c>
      <c r="T1306">
        <v>0</v>
      </c>
      <c r="U1306" t="s">
        <v>173</v>
      </c>
      <c r="V1306">
        <v>0</v>
      </c>
      <c r="W1306" t="s">
        <v>174</v>
      </c>
      <c r="X1306">
        <v>2519212</v>
      </c>
      <c r="Z1306" t="s">
        <v>173</v>
      </c>
      <c r="AA1306" t="s">
        <v>173</v>
      </c>
    </row>
    <row r="1307" spans="1:27" x14ac:dyDescent="0.3">
      <c r="A1307">
        <v>1306</v>
      </c>
      <c r="B1307" t="s">
        <v>169</v>
      </c>
      <c r="C1307">
        <v>99019875</v>
      </c>
      <c r="D1307" s="7" t="s">
        <v>118</v>
      </c>
      <c r="E1307" t="s">
        <v>119</v>
      </c>
      <c r="F1307" t="s">
        <v>176</v>
      </c>
      <c r="G1307" t="s">
        <v>177</v>
      </c>
      <c r="H1307">
        <v>20</v>
      </c>
      <c r="I1307">
        <v>0</v>
      </c>
      <c r="J1307">
        <v>20</v>
      </c>
      <c r="K1307" s="133">
        <v>12440</v>
      </c>
      <c r="L1307" s="133">
        <v>12440</v>
      </c>
      <c r="M1307" s="150">
        <v>0.61724537037037031</v>
      </c>
      <c r="N1307" s="150">
        <v>0.6174074074074074</v>
      </c>
      <c r="O1307" t="s">
        <v>172</v>
      </c>
      <c r="Q1307">
        <v>2520959</v>
      </c>
      <c r="R1307">
        <v>2520959</v>
      </c>
      <c r="S1307">
        <v>2519213</v>
      </c>
      <c r="T1307">
        <v>0</v>
      </c>
      <c r="U1307" t="s">
        <v>173</v>
      </c>
      <c r="V1307">
        <v>0</v>
      </c>
      <c r="W1307" t="s">
        <v>174</v>
      </c>
      <c r="X1307">
        <v>2519213</v>
      </c>
      <c r="Z1307" t="s">
        <v>173</v>
      </c>
      <c r="AA1307" t="s">
        <v>173</v>
      </c>
    </row>
    <row r="1308" spans="1:27" x14ac:dyDescent="0.3">
      <c r="A1308">
        <v>1307</v>
      </c>
      <c r="B1308" t="s">
        <v>169</v>
      </c>
      <c r="C1308">
        <v>99019875</v>
      </c>
      <c r="D1308" s="7" t="s">
        <v>118</v>
      </c>
      <c r="E1308" t="s">
        <v>119</v>
      </c>
      <c r="F1308" t="s">
        <v>176</v>
      </c>
      <c r="G1308" t="s">
        <v>177</v>
      </c>
      <c r="H1308">
        <v>20</v>
      </c>
      <c r="I1308">
        <v>0</v>
      </c>
      <c r="J1308">
        <v>20</v>
      </c>
      <c r="K1308" s="133">
        <v>12440</v>
      </c>
      <c r="L1308" s="133">
        <v>12440</v>
      </c>
      <c r="M1308" s="150">
        <v>0.61724537037037031</v>
      </c>
      <c r="N1308" s="150">
        <v>0.6174074074074074</v>
      </c>
      <c r="O1308" t="s">
        <v>172</v>
      </c>
      <c r="Q1308">
        <v>2520960</v>
      </c>
      <c r="R1308">
        <v>2520960</v>
      </c>
      <c r="S1308">
        <v>2519214</v>
      </c>
      <c r="T1308">
        <v>0</v>
      </c>
      <c r="U1308" t="s">
        <v>173</v>
      </c>
      <c r="V1308">
        <v>0</v>
      </c>
      <c r="W1308" t="s">
        <v>174</v>
      </c>
      <c r="X1308">
        <v>2519214</v>
      </c>
      <c r="Z1308" t="s">
        <v>173</v>
      </c>
      <c r="AA1308" t="s">
        <v>173</v>
      </c>
    </row>
    <row r="1309" spans="1:27" x14ac:dyDescent="0.3">
      <c r="A1309">
        <v>1308</v>
      </c>
      <c r="B1309" t="s">
        <v>169</v>
      </c>
      <c r="C1309">
        <v>99019875</v>
      </c>
      <c r="D1309" s="7" t="s">
        <v>118</v>
      </c>
      <c r="E1309" t="s">
        <v>119</v>
      </c>
      <c r="F1309" t="s">
        <v>176</v>
      </c>
      <c r="G1309" t="s">
        <v>177</v>
      </c>
      <c r="H1309">
        <v>19</v>
      </c>
      <c r="I1309">
        <v>0</v>
      </c>
      <c r="J1309">
        <v>19</v>
      </c>
      <c r="K1309" s="133">
        <v>12440</v>
      </c>
      <c r="L1309" s="133">
        <v>12440</v>
      </c>
      <c r="M1309" s="150">
        <v>0.61724537037037031</v>
      </c>
      <c r="N1309" s="150">
        <v>0.6174074074074074</v>
      </c>
      <c r="O1309" t="s">
        <v>172</v>
      </c>
      <c r="Q1309">
        <v>2520961</v>
      </c>
      <c r="R1309">
        <v>2520961</v>
      </c>
      <c r="S1309">
        <v>2519215</v>
      </c>
      <c r="T1309">
        <v>0</v>
      </c>
      <c r="U1309" t="s">
        <v>173</v>
      </c>
      <c r="V1309">
        <v>0</v>
      </c>
      <c r="W1309" t="s">
        <v>174</v>
      </c>
      <c r="X1309">
        <v>2519215</v>
      </c>
      <c r="Z1309" t="s">
        <v>173</v>
      </c>
      <c r="AA1309" t="s">
        <v>173</v>
      </c>
    </row>
    <row r="1310" spans="1:27" x14ac:dyDescent="0.3">
      <c r="A1310">
        <v>1309</v>
      </c>
      <c r="B1310" t="s">
        <v>169</v>
      </c>
      <c r="C1310">
        <v>99019875</v>
      </c>
      <c r="D1310" s="7" t="s">
        <v>118</v>
      </c>
      <c r="E1310" t="s">
        <v>119</v>
      </c>
      <c r="F1310" t="s">
        <v>176</v>
      </c>
      <c r="G1310" t="s">
        <v>177</v>
      </c>
      <c r="H1310">
        <v>20</v>
      </c>
      <c r="I1310">
        <v>0</v>
      </c>
      <c r="J1310">
        <v>20</v>
      </c>
      <c r="K1310" s="133">
        <v>12440</v>
      </c>
      <c r="L1310" s="133">
        <v>12440</v>
      </c>
      <c r="M1310" s="150">
        <v>0.61724537037037031</v>
      </c>
      <c r="N1310" s="150">
        <v>0.6174074074074074</v>
      </c>
      <c r="O1310" t="s">
        <v>172</v>
      </c>
      <c r="Q1310">
        <v>2520962</v>
      </c>
      <c r="R1310">
        <v>2520962</v>
      </c>
      <c r="S1310">
        <v>2519216</v>
      </c>
      <c r="T1310">
        <v>0</v>
      </c>
      <c r="U1310" t="s">
        <v>173</v>
      </c>
      <c r="V1310">
        <v>0</v>
      </c>
      <c r="W1310" t="s">
        <v>174</v>
      </c>
      <c r="X1310">
        <v>2519216</v>
      </c>
      <c r="Z1310" t="s">
        <v>173</v>
      </c>
      <c r="AA1310" t="s">
        <v>173</v>
      </c>
    </row>
    <row r="1311" spans="1:27" x14ac:dyDescent="0.3">
      <c r="A1311">
        <v>1310</v>
      </c>
      <c r="B1311" t="s">
        <v>169</v>
      </c>
      <c r="C1311">
        <v>99019875</v>
      </c>
      <c r="D1311" s="7" t="s">
        <v>118</v>
      </c>
      <c r="E1311" t="s">
        <v>119</v>
      </c>
      <c r="F1311" t="s">
        <v>176</v>
      </c>
      <c r="G1311" t="s">
        <v>177</v>
      </c>
      <c r="H1311">
        <v>20</v>
      </c>
      <c r="I1311">
        <v>0</v>
      </c>
      <c r="J1311">
        <v>20</v>
      </c>
      <c r="K1311" s="133">
        <v>12440</v>
      </c>
      <c r="L1311" s="133">
        <v>12440</v>
      </c>
      <c r="M1311" s="150">
        <v>0.61724537037037031</v>
      </c>
      <c r="N1311" s="150">
        <v>0.6174074074074074</v>
      </c>
      <c r="O1311" t="s">
        <v>172</v>
      </c>
      <c r="Q1311">
        <v>2520963</v>
      </c>
      <c r="R1311">
        <v>2520963</v>
      </c>
      <c r="S1311">
        <v>2519217</v>
      </c>
      <c r="T1311">
        <v>0</v>
      </c>
      <c r="U1311" t="s">
        <v>173</v>
      </c>
      <c r="V1311">
        <v>0</v>
      </c>
      <c r="W1311" t="s">
        <v>174</v>
      </c>
      <c r="X1311">
        <v>2519217</v>
      </c>
      <c r="Z1311" t="s">
        <v>173</v>
      </c>
      <c r="AA1311" t="s">
        <v>173</v>
      </c>
    </row>
    <row r="1312" spans="1:27" x14ac:dyDescent="0.3">
      <c r="A1312">
        <v>1311</v>
      </c>
      <c r="B1312" t="s">
        <v>169</v>
      </c>
      <c r="C1312">
        <v>99019875</v>
      </c>
      <c r="D1312" s="7" t="s">
        <v>118</v>
      </c>
      <c r="E1312" t="s">
        <v>119</v>
      </c>
      <c r="F1312" t="s">
        <v>176</v>
      </c>
      <c r="G1312" t="s">
        <v>177</v>
      </c>
      <c r="H1312">
        <v>20</v>
      </c>
      <c r="I1312">
        <v>0</v>
      </c>
      <c r="J1312">
        <v>20</v>
      </c>
      <c r="K1312" s="133">
        <v>12440</v>
      </c>
      <c r="L1312" s="133">
        <v>12440</v>
      </c>
      <c r="M1312" s="150">
        <v>0.61724537037037031</v>
      </c>
      <c r="N1312" s="150">
        <v>0.6174074074074074</v>
      </c>
      <c r="O1312" t="s">
        <v>172</v>
      </c>
      <c r="Q1312">
        <v>2520964</v>
      </c>
      <c r="R1312">
        <v>2520964</v>
      </c>
      <c r="S1312">
        <v>2520253</v>
      </c>
      <c r="T1312">
        <v>0</v>
      </c>
      <c r="U1312" t="s">
        <v>173</v>
      </c>
      <c r="V1312">
        <v>0</v>
      </c>
      <c r="W1312" t="s">
        <v>174</v>
      </c>
      <c r="X1312">
        <v>2520253</v>
      </c>
      <c r="Z1312" t="s">
        <v>173</v>
      </c>
      <c r="AA1312" t="s">
        <v>173</v>
      </c>
    </row>
    <row r="1313" spans="1:27" x14ac:dyDescent="0.3">
      <c r="A1313">
        <v>1312</v>
      </c>
      <c r="B1313" t="s">
        <v>169</v>
      </c>
      <c r="C1313">
        <v>99019875</v>
      </c>
      <c r="D1313" s="7" t="s">
        <v>62</v>
      </c>
      <c r="E1313" t="s">
        <v>63</v>
      </c>
      <c r="F1313" t="s">
        <v>176</v>
      </c>
      <c r="G1313" t="s">
        <v>171</v>
      </c>
      <c r="H1313">
        <v>89</v>
      </c>
      <c r="I1313">
        <v>0</v>
      </c>
      <c r="J1313">
        <v>89</v>
      </c>
      <c r="K1313" s="133">
        <v>34060</v>
      </c>
      <c r="L1313" s="133">
        <v>34060</v>
      </c>
      <c r="M1313" s="150">
        <v>0.61730324074074072</v>
      </c>
      <c r="N1313" s="150">
        <v>0.61733796296296295</v>
      </c>
      <c r="O1313" t="s">
        <v>172</v>
      </c>
      <c r="Q1313">
        <v>2521202</v>
      </c>
      <c r="R1313">
        <v>2521202</v>
      </c>
      <c r="S1313">
        <v>0</v>
      </c>
      <c r="T1313">
        <v>0</v>
      </c>
      <c r="U1313" t="s">
        <v>173</v>
      </c>
      <c r="V1313">
        <v>0</v>
      </c>
      <c r="W1313" t="s">
        <v>174</v>
      </c>
      <c r="X1313">
        <v>0</v>
      </c>
      <c r="Z1313" t="s">
        <v>173</v>
      </c>
      <c r="AA1313" t="s">
        <v>173</v>
      </c>
    </row>
    <row r="1314" spans="1:27" x14ac:dyDescent="0.3">
      <c r="A1314">
        <v>1313</v>
      </c>
      <c r="B1314" t="s">
        <v>169</v>
      </c>
      <c r="C1314">
        <v>99019875</v>
      </c>
      <c r="D1314" s="7" t="s">
        <v>81</v>
      </c>
      <c r="E1314" t="s">
        <v>82</v>
      </c>
      <c r="F1314" t="s">
        <v>176</v>
      </c>
      <c r="G1314" t="s">
        <v>171</v>
      </c>
      <c r="H1314">
        <v>75</v>
      </c>
      <c r="I1314">
        <v>0</v>
      </c>
      <c r="J1314">
        <v>75</v>
      </c>
      <c r="K1314" s="133">
        <v>36425</v>
      </c>
      <c r="L1314" s="133">
        <v>36425</v>
      </c>
      <c r="M1314" s="150">
        <v>0.61730324074074072</v>
      </c>
      <c r="N1314" s="150">
        <v>0.61733796296296295</v>
      </c>
      <c r="O1314" t="s">
        <v>172</v>
      </c>
      <c r="Q1314">
        <v>2521203</v>
      </c>
      <c r="R1314">
        <v>2521203</v>
      </c>
      <c r="S1314">
        <v>0</v>
      </c>
      <c r="T1314">
        <v>0</v>
      </c>
      <c r="U1314" t="s">
        <v>173</v>
      </c>
      <c r="V1314">
        <v>0</v>
      </c>
      <c r="W1314" t="s">
        <v>174</v>
      </c>
      <c r="X1314">
        <v>0</v>
      </c>
      <c r="Z1314" t="s">
        <v>173</v>
      </c>
      <c r="AA1314" t="s">
        <v>173</v>
      </c>
    </row>
    <row r="1315" spans="1:27" x14ac:dyDescent="0.3">
      <c r="A1315">
        <v>1314</v>
      </c>
      <c r="B1315" t="s">
        <v>169</v>
      </c>
      <c r="C1315">
        <v>99019875</v>
      </c>
      <c r="D1315" s="7" t="s">
        <v>110</v>
      </c>
      <c r="E1315" t="s">
        <v>179</v>
      </c>
      <c r="F1315" t="s">
        <v>170</v>
      </c>
      <c r="G1315" t="s">
        <v>171</v>
      </c>
      <c r="H1315">
        <v>3</v>
      </c>
      <c r="I1315">
        <v>0</v>
      </c>
      <c r="J1315">
        <v>3</v>
      </c>
      <c r="K1315" s="133">
        <v>48505</v>
      </c>
      <c r="L1315" s="133">
        <v>48505</v>
      </c>
      <c r="M1315" s="150">
        <v>0.61730324074074072</v>
      </c>
      <c r="N1315" s="150">
        <v>0.61773148148148149</v>
      </c>
      <c r="O1315" t="s">
        <v>172</v>
      </c>
      <c r="Q1315">
        <v>2521207</v>
      </c>
      <c r="R1315">
        <v>2521207</v>
      </c>
      <c r="S1315">
        <v>0</v>
      </c>
      <c r="T1315">
        <v>0</v>
      </c>
      <c r="U1315" t="s">
        <v>173</v>
      </c>
      <c r="V1315">
        <v>0</v>
      </c>
      <c r="W1315" t="s">
        <v>174</v>
      </c>
      <c r="X1315">
        <v>0</v>
      </c>
      <c r="Z1315" t="s">
        <v>173</v>
      </c>
      <c r="AA1315" t="s">
        <v>173</v>
      </c>
    </row>
    <row r="1316" spans="1:27" x14ac:dyDescent="0.3">
      <c r="A1316">
        <v>1315</v>
      </c>
      <c r="B1316" t="s">
        <v>169</v>
      </c>
      <c r="C1316">
        <v>99019875</v>
      </c>
      <c r="D1316" s="7" t="s">
        <v>100</v>
      </c>
      <c r="E1316" t="s">
        <v>101</v>
      </c>
      <c r="F1316" t="s">
        <v>170</v>
      </c>
      <c r="G1316" t="s">
        <v>171</v>
      </c>
      <c r="H1316">
        <v>4</v>
      </c>
      <c r="I1316">
        <v>0</v>
      </c>
      <c r="J1316">
        <v>4</v>
      </c>
      <c r="K1316" s="133">
        <v>15515</v>
      </c>
      <c r="L1316" s="133">
        <v>15515</v>
      </c>
      <c r="M1316" s="150">
        <v>0.61730324074074072</v>
      </c>
      <c r="N1316" s="150">
        <v>0.61885416666666659</v>
      </c>
      <c r="O1316" t="s">
        <v>172</v>
      </c>
      <c r="Q1316">
        <v>2521209</v>
      </c>
      <c r="R1316">
        <v>2521209</v>
      </c>
      <c r="S1316">
        <v>0</v>
      </c>
      <c r="T1316">
        <v>0</v>
      </c>
      <c r="U1316" t="s">
        <v>173</v>
      </c>
      <c r="V1316">
        <v>0</v>
      </c>
      <c r="W1316" t="s">
        <v>174</v>
      </c>
      <c r="X1316">
        <v>0</v>
      </c>
      <c r="Z1316" t="s">
        <v>173</v>
      </c>
      <c r="AA1316" t="s">
        <v>173</v>
      </c>
    </row>
    <row r="1317" spans="1:27" x14ac:dyDescent="0.3">
      <c r="A1317">
        <v>1316</v>
      </c>
      <c r="B1317" t="s">
        <v>169</v>
      </c>
      <c r="C1317">
        <v>99019875</v>
      </c>
      <c r="D1317" s="7" t="s">
        <v>87</v>
      </c>
      <c r="E1317" t="s">
        <v>88</v>
      </c>
      <c r="F1317" t="s">
        <v>170</v>
      </c>
      <c r="G1317" t="s">
        <v>171</v>
      </c>
      <c r="H1317">
        <v>6</v>
      </c>
      <c r="I1317">
        <v>0</v>
      </c>
      <c r="J1317">
        <v>6</v>
      </c>
      <c r="K1317" s="133">
        <v>12150</v>
      </c>
      <c r="L1317" s="133">
        <v>12150</v>
      </c>
      <c r="M1317" s="150">
        <v>0.61730324074074072</v>
      </c>
      <c r="N1317" s="150">
        <v>0.61831018518518521</v>
      </c>
      <c r="O1317" t="s">
        <v>172</v>
      </c>
      <c r="Q1317">
        <v>2521210</v>
      </c>
      <c r="R1317">
        <v>2521210</v>
      </c>
      <c r="S1317">
        <v>0</v>
      </c>
      <c r="T1317">
        <v>0</v>
      </c>
      <c r="U1317" t="s">
        <v>173</v>
      </c>
      <c r="V1317">
        <v>0</v>
      </c>
      <c r="W1317" t="s">
        <v>174</v>
      </c>
      <c r="X1317">
        <v>0</v>
      </c>
      <c r="Z1317" t="s">
        <v>173</v>
      </c>
      <c r="AA1317" t="s">
        <v>173</v>
      </c>
    </row>
    <row r="1318" spans="1:27" x14ac:dyDescent="0.3">
      <c r="A1318">
        <v>1317</v>
      </c>
      <c r="B1318" t="s">
        <v>169</v>
      </c>
      <c r="C1318">
        <v>99019875</v>
      </c>
      <c r="D1318" s="7" t="s">
        <v>108</v>
      </c>
      <c r="E1318" t="s">
        <v>109</v>
      </c>
      <c r="F1318" t="s">
        <v>170</v>
      </c>
      <c r="G1318" t="s">
        <v>171</v>
      </c>
      <c r="H1318">
        <v>23</v>
      </c>
      <c r="I1318">
        <v>0</v>
      </c>
      <c r="J1318">
        <v>23</v>
      </c>
      <c r="K1318" s="133">
        <v>2715</v>
      </c>
      <c r="L1318" s="133">
        <v>2715</v>
      </c>
      <c r="M1318" s="150">
        <v>0.61730324074074072</v>
      </c>
      <c r="N1318" s="150">
        <v>0.62351851851851847</v>
      </c>
      <c r="O1318" t="s">
        <v>172</v>
      </c>
      <c r="Q1318">
        <v>2521211</v>
      </c>
      <c r="R1318">
        <v>2521211</v>
      </c>
      <c r="S1318">
        <v>0</v>
      </c>
      <c r="T1318">
        <v>0</v>
      </c>
      <c r="U1318" t="s">
        <v>173</v>
      </c>
      <c r="V1318">
        <v>0</v>
      </c>
      <c r="W1318" t="s">
        <v>174</v>
      </c>
      <c r="X1318">
        <v>0</v>
      </c>
      <c r="Z1318" t="s">
        <v>173</v>
      </c>
      <c r="AA1318" t="s">
        <v>173</v>
      </c>
    </row>
    <row r="1319" spans="1:27" x14ac:dyDescent="0.3">
      <c r="A1319">
        <v>1318</v>
      </c>
      <c r="B1319" t="s">
        <v>169</v>
      </c>
      <c r="C1319">
        <v>99019875</v>
      </c>
      <c r="D1319" s="7" t="s">
        <v>65</v>
      </c>
      <c r="E1319" t="s">
        <v>66</v>
      </c>
      <c r="F1319" t="s">
        <v>176</v>
      </c>
      <c r="G1319" t="s">
        <v>171</v>
      </c>
      <c r="H1319">
        <v>58</v>
      </c>
      <c r="I1319">
        <v>0</v>
      </c>
      <c r="J1319">
        <v>58</v>
      </c>
      <c r="K1319" s="133">
        <v>4750</v>
      </c>
      <c r="L1319" s="133">
        <v>4750</v>
      </c>
      <c r="M1319" s="150">
        <v>0.61730324074074072</v>
      </c>
      <c r="N1319" s="150">
        <v>0.61793981481481486</v>
      </c>
      <c r="O1319" t="s">
        <v>172</v>
      </c>
      <c r="Q1319">
        <v>2521216</v>
      </c>
      <c r="R1319">
        <v>2521216</v>
      </c>
      <c r="S1319">
        <v>0</v>
      </c>
      <c r="T1319">
        <v>0</v>
      </c>
      <c r="U1319" t="s">
        <v>173</v>
      </c>
      <c r="V1319">
        <v>0</v>
      </c>
      <c r="W1319" t="s">
        <v>174</v>
      </c>
      <c r="X1319">
        <v>0</v>
      </c>
      <c r="Z1319" t="s">
        <v>173</v>
      </c>
      <c r="AA1319" t="s">
        <v>173</v>
      </c>
    </row>
    <row r="1320" spans="1:27" x14ac:dyDescent="0.3">
      <c r="A1320">
        <v>1319</v>
      </c>
      <c r="B1320" t="s">
        <v>169</v>
      </c>
      <c r="C1320">
        <v>99019875</v>
      </c>
      <c r="D1320" s="7" t="s">
        <v>118</v>
      </c>
      <c r="E1320" t="s">
        <v>119</v>
      </c>
      <c r="F1320" t="s">
        <v>176</v>
      </c>
      <c r="G1320" t="s">
        <v>171</v>
      </c>
      <c r="H1320">
        <v>19</v>
      </c>
      <c r="I1320">
        <v>0</v>
      </c>
      <c r="J1320">
        <v>19</v>
      </c>
      <c r="K1320" s="133">
        <v>12440</v>
      </c>
      <c r="L1320" s="133">
        <v>12440</v>
      </c>
      <c r="M1320" s="150">
        <v>0.61730324074074072</v>
      </c>
      <c r="N1320" s="150">
        <v>0.6174074074074074</v>
      </c>
      <c r="O1320" t="s">
        <v>172</v>
      </c>
      <c r="Q1320">
        <v>2521217</v>
      </c>
      <c r="R1320">
        <v>2521217</v>
      </c>
      <c r="S1320">
        <v>0</v>
      </c>
      <c r="T1320">
        <v>0</v>
      </c>
      <c r="U1320" t="s">
        <v>173</v>
      </c>
      <c r="V1320">
        <v>0</v>
      </c>
      <c r="W1320" t="s">
        <v>174</v>
      </c>
      <c r="X1320">
        <v>0</v>
      </c>
      <c r="Z1320" t="s">
        <v>173</v>
      </c>
      <c r="AA1320" t="s">
        <v>173</v>
      </c>
    </row>
    <row r="1321" spans="1:27" x14ac:dyDescent="0.3">
      <c r="A1321">
        <v>1320</v>
      </c>
      <c r="B1321" t="s">
        <v>169</v>
      </c>
      <c r="C1321">
        <v>99019875</v>
      </c>
      <c r="D1321" s="7" t="s">
        <v>128</v>
      </c>
      <c r="E1321" t="s">
        <v>129</v>
      </c>
      <c r="F1321" t="s">
        <v>170</v>
      </c>
      <c r="G1321" t="s">
        <v>171</v>
      </c>
      <c r="H1321">
        <v>1</v>
      </c>
      <c r="I1321">
        <v>0</v>
      </c>
      <c r="J1321">
        <v>1</v>
      </c>
      <c r="K1321" s="133">
        <v>6505</v>
      </c>
      <c r="L1321" s="133">
        <v>6505</v>
      </c>
      <c r="M1321" s="150">
        <v>0.61733796296296295</v>
      </c>
      <c r="N1321" s="150">
        <v>0.61775462962962957</v>
      </c>
      <c r="O1321" t="s">
        <v>172</v>
      </c>
      <c r="Q1321">
        <v>2521308</v>
      </c>
      <c r="R1321">
        <v>2521308</v>
      </c>
      <c r="S1321">
        <v>0</v>
      </c>
      <c r="T1321">
        <v>0</v>
      </c>
      <c r="U1321" t="s">
        <v>173</v>
      </c>
      <c r="V1321">
        <v>0</v>
      </c>
      <c r="W1321" t="s">
        <v>174</v>
      </c>
      <c r="X1321">
        <v>0</v>
      </c>
      <c r="Z1321" t="s">
        <v>173</v>
      </c>
      <c r="AA1321" t="s">
        <v>173</v>
      </c>
    </row>
    <row r="1322" spans="1:27" x14ac:dyDescent="0.3">
      <c r="A1322">
        <v>1321</v>
      </c>
      <c r="B1322" t="s">
        <v>169</v>
      </c>
      <c r="C1322">
        <v>99019875</v>
      </c>
      <c r="D1322" s="7" t="s">
        <v>114</v>
      </c>
      <c r="E1322" t="s">
        <v>115</v>
      </c>
      <c r="F1322" t="s">
        <v>176</v>
      </c>
      <c r="G1322" t="s">
        <v>177</v>
      </c>
      <c r="H1322">
        <v>66</v>
      </c>
      <c r="I1322">
        <v>0</v>
      </c>
      <c r="J1322">
        <v>66</v>
      </c>
      <c r="K1322" s="133">
        <v>53815</v>
      </c>
      <c r="L1322" s="133">
        <v>53815</v>
      </c>
      <c r="M1322" s="150">
        <v>0.61736111111111114</v>
      </c>
      <c r="N1322" s="150">
        <v>0.61750000000000005</v>
      </c>
      <c r="O1322" t="s">
        <v>172</v>
      </c>
      <c r="Q1322">
        <v>2521392</v>
      </c>
      <c r="R1322">
        <v>2521392</v>
      </c>
      <c r="S1322">
        <v>2521201</v>
      </c>
      <c r="T1322">
        <v>0</v>
      </c>
      <c r="U1322" t="s">
        <v>173</v>
      </c>
      <c r="V1322">
        <v>0</v>
      </c>
      <c r="W1322" t="s">
        <v>174</v>
      </c>
      <c r="X1322">
        <v>2521201</v>
      </c>
      <c r="Z1322" t="s">
        <v>173</v>
      </c>
      <c r="AA1322" t="s">
        <v>173</v>
      </c>
    </row>
    <row r="1323" spans="1:27" x14ac:dyDescent="0.3">
      <c r="A1323">
        <v>1322</v>
      </c>
      <c r="B1323" t="s">
        <v>169</v>
      </c>
      <c r="C1323">
        <v>99019875</v>
      </c>
      <c r="D1323" s="7" t="s">
        <v>69</v>
      </c>
      <c r="E1323" t="s">
        <v>70</v>
      </c>
      <c r="F1323" t="s">
        <v>170</v>
      </c>
      <c r="G1323" t="s">
        <v>177</v>
      </c>
      <c r="H1323">
        <v>17</v>
      </c>
      <c r="I1323">
        <v>0</v>
      </c>
      <c r="J1323">
        <v>17</v>
      </c>
      <c r="K1323" s="133">
        <v>10290</v>
      </c>
      <c r="L1323" s="133">
        <v>10290</v>
      </c>
      <c r="M1323" s="150">
        <v>0.61737268518518518</v>
      </c>
      <c r="N1323" s="150">
        <v>0.61738425925925922</v>
      </c>
      <c r="O1323" t="s">
        <v>172</v>
      </c>
      <c r="Q1323">
        <v>2521429</v>
      </c>
      <c r="R1323">
        <v>2521429</v>
      </c>
      <c r="S1323">
        <v>2521220</v>
      </c>
      <c r="T1323">
        <v>0</v>
      </c>
      <c r="U1323" t="s">
        <v>173</v>
      </c>
      <c r="V1323">
        <v>0</v>
      </c>
      <c r="W1323" t="s">
        <v>174</v>
      </c>
      <c r="X1323">
        <v>2521220</v>
      </c>
      <c r="Z1323" t="s">
        <v>173</v>
      </c>
      <c r="AA1323" t="s">
        <v>173</v>
      </c>
    </row>
    <row r="1324" spans="1:27" x14ac:dyDescent="0.3">
      <c r="A1324">
        <v>1323</v>
      </c>
      <c r="B1324" t="s">
        <v>169</v>
      </c>
      <c r="C1324">
        <v>99019875</v>
      </c>
      <c r="D1324" s="7" t="s">
        <v>102</v>
      </c>
      <c r="E1324" t="s">
        <v>103</v>
      </c>
      <c r="F1324" t="s">
        <v>170</v>
      </c>
      <c r="G1324" t="s">
        <v>177</v>
      </c>
      <c r="H1324">
        <v>53</v>
      </c>
      <c r="I1324">
        <v>0</v>
      </c>
      <c r="J1324">
        <v>53</v>
      </c>
      <c r="K1324" s="133">
        <v>26855</v>
      </c>
      <c r="L1324" s="133">
        <v>26855</v>
      </c>
      <c r="M1324" s="150">
        <v>0.61741898148148155</v>
      </c>
      <c r="N1324" s="150">
        <v>0.61743055555555559</v>
      </c>
      <c r="O1324" t="s">
        <v>172</v>
      </c>
      <c r="Q1324">
        <v>2521569</v>
      </c>
      <c r="R1324">
        <v>2521569</v>
      </c>
      <c r="S1324">
        <v>2521409</v>
      </c>
      <c r="T1324">
        <v>0</v>
      </c>
      <c r="U1324" t="s">
        <v>173</v>
      </c>
      <c r="V1324">
        <v>0</v>
      </c>
      <c r="W1324" t="s">
        <v>174</v>
      </c>
      <c r="X1324">
        <v>2521409</v>
      </c>
      <c r="Z1324" t="s">
        <v>173</v>
      </c>
      <c r="AA1324" t="s">
        <v>173</v>
      </c>
    </row>
    <row r="1325" spans="1:27" x14ac:dyDescent="0.3">
      <c r="A1325">
        <v>1324</v>
      </c>
      <c r="B1325" t="s">
        <v>169</v>
      </c>
      <c r="C1325">
        <v>99019875</v>
      </c>
      <c r="D1325" s="7" t="s">
        <v>67</v>
      </c>
      <c r="E1325" t="s">
        <v>68</v>
      </c>
      <c r="F1325" t="s">
        <v>170</v>
      </c>
      <c r="G1325" t="s">
        <v>177</v>
      </c>
      <c r="H1325">
        <v>36</v>
      </c>
      <c r="I1325">
        <v>0</v>
      </c>
      <c r="J1325">
        <v>36</v>
      </c>
      <c r="K1325" s="133">
        <v>4815</v>
      </c>
      <c r="L1325" s="133">
        <v>4815</v>
      </c>
      <c r="M1325" s="150">
        <v>0.61744212962962963</v>
      </c>
      <c r="N1325" s="150">
        <v>0.61747685185185186</v>
      </c>
      <c r="O1325" t="s">
        <v>172</v>
      </c>
      <c r="Q1325">
        <v>2521633</v>
      </c>
      <c r="R1325">
        <v>2521633</v>
      </c>
      <c r="S1325">
        <v>2521206</v>
      </c>
      <c r="T1325">
        <v>0</v>
      </c>
      <c r="U1325" t="s">
        <v>173</v>
      </c>
      <c r="V1325">
        <v>0</v>
      </c>
      <c r="W1325" t="s">
        <v>174</v>
      </c>
      <c r="X1325">
        <v>2521206</v>
      </c>
      <c r="Z1325" t="s">
        <v>173</v>
      </c>
      <c r="AA1325" t="s">
        <v>173</v>
      </c>
    </row>
    <row r="1326" spans="1:27" x14ac:dyDescent="0.3">
      <c r="A1326">
        <v>1325</v>
      </c>
      <c r="B1326" t="s">
        <v>169</v>
      </c>
      <c r="C1326">
        <v>99019875</v>
      </c>
      <c r="D1326" s="7" t="s">
        <v>98</v>
      </c>
      <c r="E1326" t="s">
        <v>99</v>
      </c>
      <c r="F1326" t="s">
        <v>170</v>
      </c>
      <c r="G1326" t="s">
        <v>177</v>
      </c>
      <c r="H1326">
        <v>38</v>
      </c>
      <c r="I1326">
        <v>0</v>
      </c>
      <c r="J1326">
        <v>38</v>
      </c>
      <c r="K1326" s="133">
        <v>14285</v>
      </c>
      <c r="L1326" s="133">
        <v>14285</v>
      </c>
      <c r="M1326" s="150">
        <v>0.61744212962962963</v>
      </c>
      <c r="N1326" s="150">
        <v>0.61811342592592589</v>
      </c>
      <c r="O1326" t="s">
        <v>172</v>
      </c>
      <c r="Q1326">
        <v>2521663</v>
      </c>
      <c r="R1326">
        <v>2521663</v>
      </c>
      <c r="S1326">
        <v>2520249</v>
      </c>
      <c r="T1326">
        <v>0</v>
      </c>
      <c r="U1326" t="s">
        <v>173</v>
      </c>
      <c r="V1326">
        <v>0</v>
      </c>
      <c r="W1326" t="s">
        <v>174</v>
      </c>
      <c r="X1326">
        <v>2520249</v>
      </c>
      <c r="Z1326" t="s">
        <v>173</v>
      </c>
      <c r="AA1326" t="s">
        <v>173</v>
      </c>
    </row>
    <row r="1327" spans="1:27" x14ac:dyDescent="0.3">
      <c r="A1327">
        <v>1326</v>
      </c>
      <c r="B1327" t="s">
        <v>169</v>
      </c>
      <c r="C1327">
        <v>99019875</v>
      </c>
      <c r="D1327" s="7" t="s">
        <v>98</v>
      </c>
      <c r="E1327" t="s">
        <v>99</v>
      </c>
      <c r="F1327" t="s">
        <v>170</v>
      </c>
      <c r="G1327" t="s">
        <v>177</v>
      </c>
      <c r="H1327">
        <v>39</v>
      </c>
      <c r="I1327">
        <v>0</v>
      </c>
      <c r="J1327">
        <v>39</v>
      </c>
      <c r="K1327" s="133">
        <v>14285</v>
      </c>
      <c r="L1327" s="133">
        <v>14285</v>
      </c>
      <c r="M1327" s="150">
        <v>0.61744212962962963</v>
      </c>
      <c r="N1327" s="150">
        <v>0.61811342592592589</v>
      </c>
      <c r="O1327" t="s">
        <v>172</v>
      </c>
      <c r="Q1327">
        <v>2521664</v>
      </c>
      <c r="R1327">
        <v>2521664</v>
      </c>
      <c r="S1327">
        <v>2521213</v>
      </c>
      <c r="T1327">
        <v>0</v>
      </c>
      <c r="U1327" t="s">
        <v>173</v>
      </c>
      <c r="V1327">
        <v>0</v>
      </c>
      <c r="W1327" t="s">
        <v>174</v>
      </c>
      <c r="X1327">
        <v>2521213</v>
      </c>
      <c r="Z1327" t="s">
        <v>173</v>
      </c>
      <c r="AA1327" t="s">
        <v>173</v>
      </c>
    </row>
    <row r="1328" spans="1:27" x14ac:dyDescent="0.3">
      <c r="A1328">
        <v>1327</v>
      </c>
      <c r="B1328" t="s">
        <v>169</v>
      </c>
      <c r="C1328">
        <v>99019875</v>
      </c>
      <c r="D1328" s="7" t="s">
        <v>75</v>
      </c>
      <c r="E1328" t="s">
        <v>76</v>
      </c>
      <c r="F1328" t="s">
        <v>170</v>
      </c>
      <c r="G1328" t="s">
        <v>177</v>
      </c>
      <c r="H1328">
        <v>83</v>
      </c>
      <c r="I1328">
        <v>0</v>
      </c>
      <c r="J1328">
        <v>83</v>
      </c>
      <c r="K1328" s="133">
        <v>20785</v>
      </c>
      <c r="L1328" s="133">
        <v>20785</v>
      </c>
      <c r="M1328" s="150">
        <v>0.6174884259259259</v>
      </c>
      <c r="N1328" s="150">
        <v>0.61782407407407403</v>
      </c>
      <c r="O1328" t="s">
        <v>172</v>
      </c>
      <c r="Q1328">
        <v>2521742</v>
      </c>
      <c r="R1328">
        <v>2521742</v>
      </c>
      <c r="S1328">
        <v>2518412</v>
      </c>
      <c r="T1328">
        <v>0</v>
      </c>
      <c r="U1328" t="s">
        <v>173</v>
      </c>
      <c r="V1328">
        <v>0</v>
      </c>
      <c r="W1328" t="s">
        <v>174</v>
      </c>
      <c r="X1328">
        <v>2518412</v>
      </c>
      <c r="Z1328" t="s">
        <v>173</v>
      </c>
      <c r="AA1328" t="s">
        <v>173</v>
      </c>
    </row>
    <row r="1329" spans="1:27" x14ac:dyDescent="0.3">
      <c r="A1329">
        <v>1328</v>
      </c>
      <c r="B1329" t="s">
        <v>169</v>
      </c>
      <c r="C1329">
        <v>99019875</v>
      </c>
      <c r="D1329" s="7" t="s">
        <v>75</v>
      </c>
      <c r="E1329" t="s">
        <v>76</v>
      </c>
      <c r="F1329" t="s">
        <v>170</v>
      </c>
      <c r="G1329" t="s">
        <v>177</v>
      </c>
      <c r="H1329">
        <v>83</v>
      </c>
      <c r="I1329">
        <v>0</v>
      </c>
      <c r="J1329">
        <v>83</v>
      </c>
      <c r="K1329" s="133">
        <v>20785</v>
      </c>
      <c r="L1329" s="133">
        <v>20785</v>
      </c>
      <c r="M1329" s="150">
        <v>0.6174884259259259</v>
      </c>
      <c r="N1329" s="150">
        <v>0.61782407407407403</v>
      </c>
      <c r="O1329" t="s">
        <v>172</v>
      </c>
      <c r="Q1329">
        <v>2521743</v>
      </c>
      <c r="R1329">
        <v>2521743</v>
      </c>
      <c r="S1329">
        <v>2519147</v>
      </c>
      <c r="T1329">
        <v>0</v>
      </c>
      <c r="U1329" t="s">
        <v>173</v>
      </c>
      <c r="V1329">
        <v>0</v>
      </c>
      <c r="W1329" t="s">
        <v>174</v>
      </c>
      <c r="X1329">
        <v>2519147</v>
      </c>
      <c r="Z1329" t="s">
        <v>173</v>
      </c>
      <c r="AA1329" t="s">
        <v>173</v>
      </c>
    </row>
    <row r="1330" spans="1:27" x14ac:dyDescent="0.3">
      <c r="A1330">
        <v>1329</v>
      </c>
      <c r="B1330" t="s">
        <v>169</v>
      </c>
      <c r="C1330">
        <v>99019875</v>
      </c>
      <c r="D1330" s="7" t="s">
        <v>75</v>
      </c>
      <c r="E1330" t="s">
        <v>76</v>
      </c>
      <c r="F1330" t="s">
        <v>170</v>
      </c>
      <c r="G1330" t="s">
        <v>177</v>
      </c>
      <c r="H1330">
        <v>83</v>
      </c>
      <c r="I1330">
        <v>0</v>
      </c>
      <c r="J1330">
        <v>83</v>
      </c>
      <c r="K1330" s="133">
        <v>20785</v>
      </c>
      <c r="L1330" s="133">
        <v>20785</v>
      </c>
      <c r="M1330" s="150">
        <v>0.6174884259259259</v>
      </c>
      <c r="N1330" s="150">
        <v>0.61782407407407403</v>
      </c>
      <c r="O1330" t="s">
        <v>172</v>
      </c>
      <c r="Q1330">
        <v>2521744</v>
      </c>
      <c r="R1330">
        <v>2521744</v>
      </c>
      <c r="S1330">
        <v>2520240</v>
      </c>
      <c r="T1330">
        <v>0</v>
      </c>
      <c r="U1330" t="s">
        <v>173</v>
      </c>
      <c r="V1330">
        <v>0</v>
      </c>
      <c r="W1330" t="s">
        <v>174</v>
      </c>
      <c r="X1330">
        <v>2520240</v>
      </c>
      <c r="Z1330" t="s">
        <v>173</v>
      </c>
      <c r="AA1330" t="s">
        <v>173</v>
      </c>
    </row>
    <row r="1331" spans="1:27" x14ac:dyDescent="0.3">
      <c r="A1331">
        <v>1330</v>
      </c>
      <c r="B1331" t="s">
        <v>169</v>
      </c>
      <c r="C1331">
        <v>99019875</v>
      </c>
      <c r="D1331" s="7" t="s">
        <v>75</v>
      </c>
      <c r="E1331" t="s">
        <v>76</v>
      </c>
      <c r="F1331" t="s">
        <v>170</v>
      </c>
      <c r="G1331" t="s">
        <v>177</v>
      </c>
      <c r="H1331">
        <v>83</v>
      </c>
      <c r="I1331">
        <v>0</v>
      </c>
      <c r="J1331">
        <v>83</v>
      </c>
      <c r="K1331" s="133">
        <v>20785</v>
      </c>
      <c r="L1331" s="133">
        <v>20785</v>
      </c>
      <c r="M1331" s="150">
        <v>0.6174884259259259</v>
      </c>
      <c r="N1331" s="150">
        <v>0.61782407407407403</v>
      </c>
      <c r="O1331" t="s">
        <v>172</v>
      </c>
      <c r="Q1331">
        <v>2521745</v>
      </c>
      <c r="R1331">
        <v>2521745</v>
      </c>
      <c r="S1331">
        <v>2521204</v>
      </c>
      <c r="T1331">
        <v>0</v>
      </c>
      <c r="U1331" t="s">
        <v>173</v>
      </c>
      <c r="V1331">
        <v>0</v>
      </c>
      <c r="W1331" t="s">
        <v>174</v>
      </c>
      <c r="X1331">
        <v>2521204</v>
      </c>
      <c r="Z1331" t="s">
        <v>173</v>
      </c>
      <c r="AA1331" t="s">
        <v>173</v>
      </c>
    </row>
    <row r="1332" spans="1:27" x14ac:dyDescent="0.3">
      <c r="A1332">
        <v>1331</v>
      </c>
      <c r="B1332" t="s">
        <v>169</v>
      </c>
      <c r="C1332">
        <v>99019875</v>
      </c>
      <c r="D1332" s="7" t="s">
        <v>140</v>
      </c>
      <c r="E1332" t="s">
        <v>178</v>
      </c>
      <c r="F1332" t="s">
        <v>170</v>
      </c>
      <c r="G1332" t="s">
        <v>177</v>
      </c>
      <c r="H1332">
        <v>20</v>
      </c>
      <c r="I1332">
        <v>0</v>
      </c>
      <c r="J1332">
        <v>20</v>
      </c>
      <c r="K1332" s="133">
        <v>8645</v>
      </c>
      <c r="L1332" s="133">
        <v>8645</v>
      </c>
      <c r="M1332" s="150">
        <v>0.61753472222222217</v>
      </c>
      <c r="N1332" s="150">
        <v>0.61761574074074077</v>
      </c>
      <c r="O1332" t="s">
        <v>172</v>
      </c>
      <c r="Q1332">
        <v>2521896</v>
      </c>
      <c r="R1332">
        <v>2521896</v>
      </c>
      <c r="S1332">
        <v>2519219</v>
      </c>
      <c r="T1332">
        <v>0</v>
      </c>
      <c r="U1332" t="s">
        <v>173</v>
      </c>
      <c r="V1332">
        <v>0</v>
      </c>
      <c r="W1332" t="s">
        <v>174</v>
      </c>
      <c r="X1332">
        <v>2519219</v>
      </c>
      <c r="Z1332" t="s">
        <v>173</v>
      </c>
      <c r="AA1332" t="s">
        <v>173</v>
      </c>
    </row>
    <row r="1333" spans="1:27" x14ac:dyDescent="0.3">
      <c r="A1333">
        <v>1332</v>
      </c>
      <c r="B1333" t="s">
        <v>169</v>
      </c>
      <c r="C1333">
        <v>99019875</v>
      </c>
      <c r="D1333" s="7" t="s">
        <v>140</v>
      </c>
      <c r="E1333" t="s">
        <v>178</v>
      </c>
      <c r="F1333" t="s">
        <v>170</v>
      </c>
      <c r="G1333" t="s">
        <v>177</v>
      </c>
      <c r="H1333">
        <v>20</v>
      </c>
      <c r="I1333">
        <v>0</v>
      </c>
      <c r="J1333">
        <v>20</v>
      </c>
      <c r="K1333" s="133">
        <v>8645</v>
      </c>
      <c r="L1333" s="133">
        <v>8645</v>
      </c>
      <c r="M1333" s="150">
        <v>0.61753472222222217</v>
      </c>
      <c r="N1333" s="150">
        <v>0.61761574074074077</v>
      </c>
      <c r="O1333" t="s">
        <v>172</v>
      </c>
      <c r="Q1333">
        <v>2521897</v>
      </c>
      <c r="R1333">
        <v>2521897</v>
      </c>
      <c r="S1333">
        <v>2519220</v>
      </c>
      <c r="T1333">
        <v>0</v>
      </c>
      <c r="U1333" t="s">
        <v>173</v>
      </c>
      <c r="V1333">
        <v>0</v>
      </c>
      <c r="W1333" t="s">
        <v>174</v>
      </c>
      <c r="X1333">
        <v>2519220</v>
      </c>
      <c r="Z1333" t="s">
        <v>173</v>
      </c>
      <c r="AA1333" t="s">
        <v>173</v>
      </c>
    </row>
    <row r="1334" spans="1:27" x14ac:dyDescent="0.3">
      <c r="A1334">
        <v>1333</v>
      </c>
      <c r="B1334" t="s">
        <v>169</v>
      </c>
      <c r="C1334">
        <v>99019875</v>
      </c>
      <c r="D1334" s="7" t="s">
        <v>140</v>
      </c>
      <c r="E1334" t="s">
        <v>178</v>
      </c>
      <c r="F1334" t="s">
        <v>170</v>
      </c>
      <c r="G1334" t="s">
        <v>177</v>
      </c>
      <c r="H1334">
        <v>20</v>
      </c>
      <c r="I1334">
        <v>0</v>
      </c>
      <c r="J1334">
        <v>20</v>
      </c>
      <c r="K1334" s="133">
        <v>8645</v>
      </c>
      <c r="L1334" s="133">
        <v>8645</v>
      </c>
      <c r="M1334" s="150">
        <v>0.61753472222222217</v>
      </c>
      <c r="N1334" s="150">
        <v>0.61761574074074077</v>
      </c>
      <c r="O1334" t="s">
        <v>172</v>
      </c>
      <c r="Q1334">
        <v>2521898</v>
      </c>
      <c r="R1334">
        <v>2521898</v>
      </c>
      <c r="S1334">
        <v>2520255</v>
      </c>
      <c r="T1334">
        <v>0</v>
      </c>
      <c r="U1334" t="s">
        <v>173</v>
      </c>
      <c r="V1334">
        <v>0</v>
      </c>
      <c r="W1334" t="s">
        <v>174</v>
      </c>
      <c r="X1334">
        <v>2520255</v>
      </c>
      <c r="Z1334" t="s">
        <v>173</v>
      </c>
      <c r="AA1334" t="s">
        <v>173</v>
      </c>
    </row>
    <row r="1335" spans="1:27" x14ac:dyDescent="0.3">
      <c r="A1335">
        <v>1334</v>
      </c>
      <c r="B1335" t="s">
        <v>169</v>
      </c>
      <c r="C1335">
        <v>99019875</v>
      </c>
      <c r="D1335" s="7" t="s">
        <v>140</v>
      </c>
      <c r="E1335" t="s">
        <v>178</v>
      </c>
      <c r="F1335" t="s">
        <v>170</v>
      </c>
      <c r="G1335" t="s">
        <v>177</v>
      </c>
      <c r="H1335">
        <v>20</v>
      </c>
      <c r="I1335">
        <v>0</v>
      </c>
      <c r="J1335">
        <v>20</v>
      </c>
      <c r="K1335" s="133">
        <v>8645</v>
      </c>
      <c r="L1335" s="133">
        <v>8645</v>
      </c>
      <c r="M1335" s="150">
        <v>0.61753472222222217</v>
      </c>
      <c r="N1335" s="150">
        <v>0.61761574074074077</v>
      </c>
      <c r="O1335" t="s">
        <v>172</v>
      </c>
      <c r="Q1335">
        <v>2521899</v>
      </c>
      <c r="R1335">
        <v>2521899</v>
      </c>
      <c r="S1335">
        <v>2521219</v>
      </c>
      <c r="T1335">
        <v>0</v>
      </c>
      <c r="U1335" t="s">
        <v>173</v>
      </c>
      <c r="V1335">
        <v>0</v>
      </c>
      <c r="W1335" t="s">
        <v>174</v>
      </c>
      <c r="X1335">
        <v>2521219</v>
      </c>
      <c r="Z1335" t="s">
        <v>173</v>
      </c>
      <c r="AA1335" t="s">
        <v>173</v>
      </c>
    </row>
    <row r="1336" spans="1:27" x14ac:dyDescent="0.3">
      <c r="A1336">
        <v>1335</v>
      </c>
      <c r="B1336" t="s">
        <v>169</v>
      </c>
      <c r="C1336">
        <v>99019875</v>
      </c>
      <c r="D1336" s="7" t="s">
        <v>81</v>
      </c>
      <c r="E1336" t="s">
        <v>82</v>
      </c>
      <c r="F1336" t="s">
        <v>176</v>
      </c>
      <c r="G1336" t="s">
        <v>171</v>
      </c>
      <c r="H1336">
        <v>76</v>
      </c>
      <c r="I1336">
        <v>0</v>
      </c>
      <c r="J1336">
        <v>64</v>
      </c>
      <c r="K1336" s="133">
        <v>36430</v>
      </c>
      <c r="L1336" s="133">
        <v>36430</v>
      </c>
      <c r="M1336" s="150">
        <v>0.61760416666666662</v>
      </c>
      <c r="N1336" s="150">
        <v>0.61909722222222219</v>
      </c>
      <c r="O1336" t="s">
        <v>172</v>
      </c>
      <c r="Q1336">
        <v>2522096</v>
      </c>
      <c r="R1336">
        <v>2522096</v>
      </c>
      <c r="S1336">
        <v>0</v>
      </c>
      <c r="T1336">
        <v>12</v>
      </c>
      <c r="U1336" t="s">
        <v>173</v>
      </c>
      <c r="V1336">
        <v>0</v>
      </c>
      <c r="W1336" t="s">
        <v>174</v>
      </c>
      <c r="X1336">
        <v>0</v>
      </c>
      <c r="Z1336" t="s">
        <v>173</v>
      </c>
      <c r="AA1336" t="s">
        <v>173</v>
      </c>
    </row>
    <row r="1337" spans="1:27" x14ac:dyDescent="0.3">
      <c r="A1337">
        <v>1336</v>
      </c>
      <c r="B1337" t="s">
        <v>169</v>
      </c>
      <c r="C1337">
        <v>99019875</v>
      </c>
      <c r="D1337" s="7" t="s">
        <v>75</v>
      </c>
      <c r="E1337" t="s">
        <v>76</v>
      </c>
      <c r="F1337" t="s">
        <v>170</v>
      </c>
      <c r="G1337" t="s">
        <v>171</v>
      </c>
      <c r="H1337">
        <v>83</v>
      </c>
      <c r="I1337">
        <v>0</v>
      </c>
      <c r="J1337">
        <v>83</v>
      </c>
      <c r="K1337" s="133">
        <v>20785</v>
      </c>
      <c r="L1337" s="133">
        <v>20785</v>
      </c>
      <c r="M1337" s="150">
        <v>0.61760416666666662</v>
      </c>
      <c r="N1337" s="150">
        <v>0.61782407407407403</v>
      </c>
      <c r="O1337" t="s">
        <v>172</v>
      </c>
      <c r="Q1337">
        <v>2522097</v>
      </c>
      <c r="R1337">
        <v>2522097</v>
      </c>
      <c r="S1337">
        <v>0</v>
      </c>
      <c r="T1337">
        <v>0</v>
      </c>
      <c r="U1337" t="s">
        <v>173</v>
      </c>
      <c r="V1337">
        <v>0</v>
      </c>
      <c r="W1337" t="s">
        <v>174</v>
      </c>
      <c r="X1337">
        <v>0</v>
      </c>
      <c r="Z1337" t="s">
        <v>173</v>
      </c>
      <c r="AA1337" t="s">
        <v>173</v>
      </c>
    </row>
    <row r="1338" spans="1:27" x14ac:dyDescent="0.3">
      <c r="A1338">
        <v>1337</v>
      </c>
      <c r="B1338" t="s">
        <v>169</v>
      </c>
      <c r="C1338">
        <v>99019875</v>
      </c>
      <c r="D1338" s="7" t="s">
        <v>67</v>
      </c>
      <c r="E1338" t="s">
        <v>68</v>
      </c>
      <c r="F1338" t="s">
        <v>170</v>
      </c>
      <c r="G1338" t="s">
        <v>171</v>
      </c>
      <c r="H1338">
        <v>35</v>
      </c>
      <c r="I1338">
        <v>0</v>
      </c>
      <c r="J1338">
        <v>35</v>
      </c>
      <c r="K1338" s="133">
        <v>4815</v>
      </c>
      <c r="L1338" s="133">
        <v>4815</v>
      </c>
      <c r="M1338" s="150">
        <v>0.61760416666666662</v>
      </c>
      <c r="N1338" s="150">
        <v>0.61784722222222221</v>
      </c>
      <c r="O1338" t="s">
        <v>172</v>
      </c>
      <c r="Q1338">
        <v>2522099</v>
      </c>
      <c r="R1338">
        <v>2522099</v>
      </c>
      <c r="S1338">
        <v>0</v>
      </c>
      <c r="T1338">
        <v>0</v>
      </c>
      <c r="U1338" t="s">
        <v>173</v>
      </c>
      <c r="V1338">
        <v>0</v>
      </c>
      <c r="W1338" t="s">
        <v>174</v>
      </c>
      <c r="X1338">
        <v>0</v>
      </c>
      <c r="Z1338" t="s">
        <v>173</v>
      </c>
      <c r="AA1338" t="s">
        <v>173</v>
      </c>
    </row>
    <row r="1339" spans="1:27" x14ac:dyDescent="0.3">
      <c r="A1339">
        <v>1338</v>
      </c>
      <c r="B1339" t="s">
        <v>169</v>
      </c>
      <c r="C1339">
        <v>99019875</v>
      </c>
      <c r="D1339" s="7" t="s">
        <v>110</v>
      </c>
      <c r="E1339" t="s">
        <v>179</v>
      </c>
      <c r="F1339" t="s">
        <v>170</v>
      </c>
      <c r="G1339" t="s">
        <v>171</v>
      </c>
      <c r="H1339">
        <v>3</v>
      </c>
      <c r="I1339">
        <v>0</v>
      </c>
      <c r="J1339">
        <v>3</v>
      </c>
      <c r="K1339" s="133">
        <v>48505</v>
      </c>
      <c r="L1339" s="133">
        <v>48505</v>
      </c>
      <c r="M1339" s="150">
        <v>0.61760416666666662</v>
      </c>
      <c r="N1339" s="150">
        <v>0.61773148148148149</v>
      </c>
      <c r="O1339" t="s">
        <v>172</v>
      </c>
      <c r="Q1339">
        <v>2522100</v>
      </c>
      <c r="R1339">
        <v>2522100</v>
      </c>
      <c r="S1339">
        <v>0</v>
      </c>
      <c r="T1339">
        <v>0</v>
      </c>
      <c r="U1339" t="s">
        <v>173</v>
      </c>
      <c r="V1339">
        <v>0</v>
      </c>
      <c r="W1339" t="s">
        <v>174</v>
      </c>
      <c r="X1339">
        <v>0</v>
      </c>
      <c r="Z1339" t="s">
        <v>173</v>
      </c>
      <c r="AA1339" t="s">
        <v>173</v>
      </c>
    </row>
    <row r="1340" spans="1:27" x14ac:dyDescent="0.3">
      <c r="A1340">
        <v>1339</v>
      </c>
      <c r="B1340" t="s">
        <v>169</v>
      </c>
      <c r="C1340">
        <v>99019875</v>
      </c>
      <c r="D1340" s="7" t="s">
        <v>100</v>
      </c>
      <c r="E1340" t="s">
        <v>101</v>
      </c>
      <c r="F1340" t="s">
        <v>170</v>
      </c>
      <c r="G1340" t="s">
        <v>171</v>
      </c>
      <c r="H1340">
        <v>5</v>
      </c>
      <c r="I1340">
        <v>0</v>
      </c>
      <c r="J1340">
        <v>5</v>
      </c>
      <c r="K1340" s="133">
        <v>15515</v>
      </c>
      <c r="L1340" s="133">
        <v>15515</v>
      </c>
      <c r="M1340" s="150">
        <v>0.61760416666666662</v>
      </c>
      <c r="N1340" s="150">
        <v>0.61885416666666659</v>
      </c>
      <c r="O1340" t="s">
        <v>172</v>
      </c>
      <c r="Q1340">
        <v>2522104</v>
      </c>
      <c r="R1340">
        <v>2522104</v>
      </c>
      <c r="S1340">
        <v>0</v>
      </c>
      <c r="T1340">
        <v>0</v>
      </c>
      <c r="U1340" t="s">
        <v>173</v>
      </c>
      <c r="V1340">
        <v>0</v>
      </c>
      <c r="W1340" t="s">
        <v>174</v>
      </c>
      <c r="X1340">
        <v>0</v>
      </c>
      <c r="Z1340" t="s">
        <v>173</v>
      </c>
      <c r="AA1340" t="s">
        <v>173</v>
      </c>
    </row>
    <row r="1341" spans="1:27" x14ac:dyDescent="0.3">
      <c r="A1341">
        <v>1340</v>
      </c>
      <c r="B1341" t="s">
        <v>169</v>
      </c>
      <c r="C1341">
        <v>99019875</v>
      </c>
      <c r="D1341" s="7" t="s">
        <v>87</v>
      </c>
      <c r="E1341" t="s">
        <v>88</v>
      </c>
      <c r="F1341" t="s">
        <v>170</v>
      </c>
      <c r="G1341" t="s">
        <v>171</v>
      </c>
      <c r="H1341">
        <v>6</v>
      </c>
      <c r="I1341">
        <v>0</v>
      </c>
      <c r="J1341">
        <v>6</v>
      </c>
      <c r="K1341" s="133">
        <v>12150</v>
      </c>
      <c r="L1341" s="133">
        <v>12150</v>
      </c>
      <c r="M1341" s="150">
        <v>0.61760416666666662</v>
      </c>
      <c r="N1341" s="150">
        <v>0.61831018518518521</v>
      </c>
      <c r="O1341" t="s">
        <v>172</v>
      </c>
      <c r="Q1341">
        <v>2522105</v>
      </c>
      <c r="R1341">
        <v>2522105</v>
      </c>
      <c r="S1341">
        <v>0</v>
      </c>
      <c r="T1341">
        <v>0</v>
      </c>
      <c r="U1341" t="s">
        <v>173</v>
      </c>
      <c r="V1341">
        <v>0</v>
      </c>
      <c r="W1341" t="s">
        <v>174</v>
      </c>
      <c r="X1341">
        <v>0</v>
      </c>
      <c r="Z1341" t="s">
        <v>173</v>
      </c>
      <c r="AA1341" t="s">
        <v>173</v>
      </c>
    </row>
    <row r="1342" spans="1:27" x14ac:dyDescent="0.3">
      <c r="A1342">
        <v>1341</v>
      </c>
      <c r="B1342" t="s">
        <v>169</v>
      </c>
      <c r="C1342">
        <v>99019875</v>
      </c>
      <c r="D1342" s="7" t="s">
        <v>108</v>
      </c>
      <c r="E1342" t="s">
        <v>109</v>
      </c>
      <c r="F1342" t="s">
        <v>170</v>
      </c>
      <c r="G1342" t="s">
        <v>171</v>
      </c>
      <c r="H1342">
        <v>24</v>
      </c>
      <c r="I1342">
        <v>0</v>
      </c>
      <c r="J1342">
        <v>24</v>
      </c>
      <c r="K1342" s="133">
        <v>2715</v>
      </c>
      <c r="L1342" s="133">
        <v>2715</v>
      </c>
      <c r="M1342" s="150">
        <v>0.61760416666666662</v>
      </c>
      <c r="N1342" s="150">
        <v>0.62351851851851847</v>
      </c>
      <c r="O1342" t="s">
        <v>172</v>
      </c>
      <c r="Q1342">
        <v>2522106</v>
      </c>
      <c r="R1342">
        <v>2522106</v>
      </c>
      <c r="S1342">
        <v>0</v>
      </c>
      <c r="T1342">
        <v>0</v>
      </c>
      <c r="U1342" t="s">
        <v>173</v>
      </c>
      <c r="V1342">
        <v>0</v>
      </c>
      <c r="W1342" t="s">
        <v>174</v>
      </c>
      <c r="X1342">
        <v>0</v>
      </c>
      <c r="Z1342" t="s">
        <v>173</v>
      </c>
      <c r="AA1342" t="s">
        <v>173</v>
      </c>
    </row>
    <row r="1343" spans="1:27" x14ac:dyDescent="0.3">
      <c r="A1343">
        <v>1342</v>
      </c>
      <c r="B1343" t="s">
        <v>169</v>
      </c>
      <c r="C1343">
        <v>99019875</v>
      </c>
      <c r="D1343" s="7" t="s">
        <v>98</v>
      </c>
      <c r="E1343" t="s">
        <v>99</v>
      </c>
      <c r="F1343" t="s">
        <v>170</v>
      </c>
      <c r="G1343" t="s">
        <v>171</v>
      </c>
      <c r="H1343">
        <v>38</v>
      </c>
      <c r="I1343">
        <v>0</v>
      </c>
      <c r="J1343">
        <v>38</v>
      </c>
      <c r="K1343" s="133">
        <v>14285</v>
      </c>
      <c r="L1343" s="133">
        <v>14285</v>
      </c>
      <c r="M1343" s="150">
        <v>0.61760416666666662</v>
      </c>
      <c r="N1343" s="150">
        <v>0.61811342592592589</v>
      </c>
      <c r="O1343" t="s">
        <v>172</v>
      </c>
      <c r="Q1343">
        <v>2522108</v>
      </c>
      <c r="R1343">
        <v>2522108</v>
      </c>
      <c r="S1343">
        <v>0</v>
      </c>
      <c r="T1343">
        <v>0</v>
      </c>
      <c r="U1343" t="s">
        <v>173</v>
      </c>
      <c r="V1343">
        <v>0</v>
      </c>
      <c r="W1343" t="s">
        <v>174</v>
      </c>
      <c r="X1343">
        <v>0</v>
      </c>
      <c r="Z1343" t="s">
        <v>173</v>
      </c>
      <c r="AA1343" t="s">
        <v>173</v>
      </c>
    </row>
    <row r="1344" spans="1:27" x14ac:dyDescent="0.3">
      <c r="A1344">
        <v>1343</v>
      </c>
      <c r="B1344" t="s">
        <v>169</v>
      </c>
      <c r="C1344">
        <v>99019875</v>
      </c>
      <c r="D1344" s="7" t="s">
        <v>65</v>
      </c>
      <c r="E1344" t="s">
        <v>66</v>
      </c>
      <c r="F1344" t="s">
        <v>176</v>
      </c>
      <c r="G1344" t="s">
        <v>171</v>
      </c>
      <c r="H1344">
        <v>57</v>
      </c>
      <c r="I1344">
        <v>0</v>
      </c>
      <c r="J1344">
        <v>57</v>
      </c>
      <c r="K1344" s="133">
        <v>4750</v>
      </c>
      <c r="L1344" s="133">
        <v>4750</v>
      </c>
      <c r="M1344" s="150">
        <v>0.61760416666666662</v>
      </c>
      <c r="N1344" s="150">
        <v>0.61793981481481486</v>
      </c>
      <c r="O1344" t="s">
        <v>172</v>
      </c>
      <c r="Q1344">
        <v>2522111</v>
      </c>
      <c r="R1344">
        <v>2522111</v>
      </c>
      <c r="S1344">
        <v>0</v>
      </c>
      <c r="T1344">
        <v>0</v>
      </c>
      <c r="U1344" t="s">
        <v>173</v>
      </c>
      <c r="V1344">
        <v>0</v>
      </c>
      <c r="W1344" t="s">
        <v>174</v>
      </c>
      <c r="X1344">
        <v>0</v>
      </c>
      <c r="Z1344" t="s">
        <v>173</v>
      </c>
      <c r="AA1344" t="s">
        <v>173</v>
      </c>
    </row>
    <row r="1345" spans="1:27" x14ac:dyDescent="0.3">
      <c r="A1345">
        <v>1344</v>
      </c>
      <c r="B1345" t="s">
        <v>169</v>
      </c>
      <c r="C1345">
        <v>99019875</v>
      </c>
      <c r="D1345" s="7" t="s">
        <v>140</v>
      </c>
      <c r="E1345" t="s">
        <v>178</v>
      </c>
      <c r="F1345" t="s">
        <v>170</v>
      </c>
      <c r="G1345" t="s">
        <v>171</v>
      </c>
      <c r="H1345">
        <v>20</v>
      </c>
      <c r="I1345">
        <v>0</v>
      </c>
      <c r="J1345">
        <v>20</v>
      </c>
      <c r="K1345" s="133">
        <v>8645</v>
      </c>
      <c r="L1345" s="133">
        <v>8645</v>
      </c>
      <c r="M1345" s="150">
        <v>0.61760416666666662</v>
      </c>
      <c r="N1345" s="150">
        <v>0.61761574074074077</v>
      </c>
      <c r="O1345" t="s">
        <v>172</v>
      </c>
      <c r="Q1345">
        <v>2522114</v>
      </c>
      <c r="R1345">
        <v>2522114</v>
      </c>
      <c r="S1345">
        <v>0</v>
      </c>
      <c r="T1345">
        <v>0</v>
      </c>
      <c r="U1345" t="s">
        <v>173</v>
      </c>
      <c r="V1345">
        <v>0</v>
      </c>
      <c r="W1345" t="s">
        <v>174</v>
      </c>
      <c r="X1345">
        <v>0</v>
      </c>
      <c r="Z1345" t="s">
        <v>173</v>
      </c>
      <c r="AA1345" t="s">
        <v>173</v>
      </c>
    </row>
    <row r="1346" spans="1:27" x14ac:dyDescent="0.3">
      <c r="A1346">
        <v>1345</v>
      </c>
      <c r="B1346" t="s">
        <v>169</v>
      </c>
      <c r="C1346">
        <v>99019875</v>
      </c>
      <c r="D1346" s="7" t="s">
        <v>69</v>
      </c>
      <c r="E1346" t="s">
        <v>70</v>
      </c>
      <c r="F1346" t="s">
        <v>170</v>
      </c>
      <c r="G1346" t="s">
        <v>171</v>
      </c>
      <c r="H1346">
        <v>17</v>
      </c>
      <c r="I1346">
        <v>0</v>
      </c>
      <c r="J1346">
        <v>17</v>
      </c>
      <c r="K1346" s="133">
        <v>10285</v>
      </c>
      <c r="L1346" s="133">
        <v>10285</v>
      </c>
      <c r="M1346" s="150">
        <v>0.61760416666666662</v>
      </c>
      <c r="N1346" s="150">
        <v>0.61761574074074077</v>
      </c>
      <c r="O1346" t="s">
        <v>172</v>
      </c>
      <c r="Q1346">
        <v>2522115</v>
      </c>
      <c r="R1346">
        <v>2522115</v>
      </c>
      <c r="S1346">
        <v>0</v>
      </c>
      <c r="T1346">
        <v>0</v>
      </c>
      <c r="U1346" t="s">
        <v>173</v>
      </c>
      <c r="V1346">
        <v>0</v>
      </c>
      <c r="W1346" t="s">
        <v>174</v>
      </c>
      <c r="X1346">
        <v>0</v>
      </c>
      <c r="Z1346" t="s">
        <v>173</v>
      </c>
      <c r="AA1346" t="s">
        <v>173</v>
      </c>
    </row>
    <row r="1347" spans="1:27" x14ac:dyDescent="0.3">
      <c r="A1347">
        <v>1346</v>
      </c>
      <c r="B1347" t="s">
        <v>169</v>
      </c>
      <c r="C1347">
        <v>99019875</v>
      </c>
      <c r="D1347" s="7" t="s">
        <v>71</v>
      </c>
      <c r="E1347" t="s">
        <v>72</v>
      </c>
      <c r="F1347" t="s">
        <v>176</v>
      </c>
      <c r="G1347" t="s">
        <v>177</v>
      </c>
      <c r="H1347">
        <v>18</v>
      </c>
      <c r="I1347">
        <v>0</v>
      </c>
      <c r="J1347">
        <v>18</v>
      </c>
      <c r="K1347" s="133">
        <v>18025</v>
      </c>
      <c r="L1347" s="133">
        <v>18025</v>
      </c>
      <c r="M1347" s="150">
        <v>0.61761574074074077</v>
      </c>
      <c r="N1347" s="150">
        <v>0.61763888888888896</v>
      </c>
      <c r="O1347" t="s">
        <v>172</v>
      </c>
      <c r="Q1347">
        <v>2522144</v>
      </c>
      <c r="R1347">
        <v>2522144</v>
      </c>
      <c r="S1347">
        <v>2520251</v>
      </c>
      <c r="T1347">
        <v>0</v>
      </c>
      <c r="U1347" t="s">
        <v>173</v>
      </c>
      <c r="V1347">
        <v>0</v>
      </c>
      <c r="W1347" t="s">
        <v>174</v>
      </c>
      <c r="X1347">
        <v>2520251</v>
      </c>
      <c r="Z1347" t="s">
        <v>173</v>
      </c>
      <c r="AA1347" t="s">
        <v>173</v>
      </c>
    </row>
    <row r="1348" spans="1:27" x14ac:dyDescent="0.3">
      <c r="A1348">
        <v>1347</v>
      </c>
      <c r="B1348" t="s">
        <v>169</v>
      </c>
      <c r="C1348">
        <v>99019875</v>
      </c>
      <c r="D1348" s="7" t="s">
        <v>71</v>
      </c>
      <c r="E1348" t="s">
        <v>72</v>
      </c>
      <c r="F1348" t="s">
        <v>176</v>
      </c>
      <c r="G1348" t="s">
        <v>177</v>
      </c>
      <c r="H1348">
        <v>19</v>
      </c>
      <c r="I1348">
        <v>0</v>
      </c>
      <c r="J1348">
        <v>19</v>
      </c>
      <c r="K1348" s="133">
        <v>18025</v>
      </c>
      <c r="L1348" s="133">
        <v>18025</v>
      </c>
      <c r="M1348" s="150">
        <v>0.61761574074074077</v>
      </c>
      <c r="N1348" s="150">
        <v>0.61763888888888896</v>
      </c>
      <c r="O1348" t="s">
        <v>172</v>
      </c>
      <c r="Q1348">
        <v>2522145</v>
      </c>
      <c r="R1348">
        <v>2522145</v>
      </c>
      <c r="S1348">
        <v>2521215</v>
      </c>
      <c r="T1348">
        <v>0</v>
      </c>
      <c r="U1348" t="s">
        <v>173</v>
      </c>
      <c r="V1348">
        <v>0</v>
      </c>
      <c r="W1348" t="s">
        <v>174</v>
      </c>
      <c r="X1348">
        <v>2521215</v>
      </c>
      <c r="Z1348" t="s">
        <v>173</v>
      </c>
      <c r="AA1348" t="s">
        <v>173</v>
      </c>
    </row>
    <row r="1349" spans="1:27" x14ac:dyDescent="0.3">
      <c r="A1349">
        <v>1348</v>
      </c>
      <c r="B1349" t="s">
        <v>169</v>
      </c>
      <c r="C1349">
        <v>99019875</v>
      </c>
      <c r="D1349" s="7" t="s">
        <v>71</v>
      </c>
      <c r="E1349" t="s">
        <v>72</v>
      </c>
      <c r="F1349" t="s">
        <v>176</v>
      </c>
      <c r="G1349" t="s">
        <v>177</v>
      </c>
      <c r="H1349">
        <v>18</v>
      </c>
      <c r="I1349">
        <v>0</v>
      </c>
      <c r="J1349">
        <v>18</v>
      </c>
      <c r="K1349" s="133">
        <v>18025</v>
      </c>
      <c r="L1349" s="133">
        <v>18025</v>
      </c>
      <c r="M1349" s="150">
        <v>0.61761574074074077</v>
      </c>
      <c r="N1349" s="150">
        <v>0.61763888888888896</v>
      </c>
      <c r="O1349" t="s">
        <v>172</v>
      </c>
      <c r="Q1349">
        <v>2522146</v>
      </c>
      <c r="R1349">
        <v>2522146</v>
      </c>
      <c r="S1349">
        <v>2522110</v>
      </c>
      <c r="T1349">
        <v>0</v>
      </c>
      <c r="U1349" t="s">
        <v>173</v>
      </c>
      <c r="V1349">
        <v>0</v>
      </c>
      <c r="W1349" t="s">
        <v>174</v>
      </c>
      <c r="X1349">
        <v>2522110</v>
      </c>
      <c r="Z1349" t="s">
        <v>173</v>
      </c>
      <c r="AA1349" t="s">
        <v>173</v>
      </c>
    </row>
    <row r="1350" spans="1:27" x14ac:dyDescent="0.3">
      <c r="A1350">
        <v>1349</v>
      </c>
      <c r="B1350" t="s">
        <v>169</v>
      </c>
      <c r="C1350">
        <v>99019875</v>
      </c>
      <c r="D1350" s="7" t="s">
        <v>77</v>
      </c>
      <c r="E1350" t="s">
        <v>78</v>
      </c>
      <c r="F1350" t="s">
        <v>170</v>
      </c>
      <c r="G1350" t="s">
        <v>177</v>
      </c>
      <c r="H1350">
        <v>74</v>
      </c>
      <c r="I1350">
        <v>0</v>
      </c>
      <c r="J1350">
        <v>74</v>
      </c>
      <c r="K1350" s="133">
        <v>7360</v>
      </c>
      <c r="L1350" s="133">
        <v>7360</v>
      </c>
      <c r="M1350" s="150">
        <v>0.61762731481481481</v>
      </c>
      <c r="N1350" s="150">
        <v>0.61762731481481481</v>
      </c>
      <c r="O1350" t="s">
        <v>172</v>
      </c>
      <c r="Q1350">
        <v>2522172</v>
      </c>
      <c r="R1350">
        <v>2522172</v>
      </c>
      <c r="S1350">
        <v>2518821</v>
      </c>
      <c r="T1350">
        <v>0</v>
      </c>
      <c r="U1350" t="s">
        <v>173</v>
      </c>
      <c r="V1350">
        <v>0</v>
      </c>
      <c r="W1350" t="s">
        <v>174</v>
      </c>
      <c r="X1350">
        <v>2518821</v>
      </c>
      <c r="Z1350" t="s">
        <v>173</v>
      </c>
      <c r="AA1350" t="s">
        <v>173</v>
      </c>
    </row>
    <row r="1351" spans="1:27" x14ac:dyDescent="0.3">
      <c r="A1351">
        <v>1350</v>
      </c>
      <c r="B1351" t="s">
        <v>169</v>
      </c>
      <c r="C1351">
        <v>99019875</v>
      </c>
      <c r="D1351" s="7" t="s">
        <v>77</v>
      </c>
      <c r="E1351" t="s">
        <v>78</v>
      </c>
      <c r="F1351" t="s">
        <v>170</v>
      </c>
      <c r="G1351" t="s">
        <v>177</v>
      </c>
      <c r="H1351">
        <v>73</v>
      </c>
      <c r="I1351">
        <v>0</v>
      </c>
      <c r="J1351">
        <v>73</v>
      </c>
      <c r="K1351" s="133">
        <v>7360</v>
      </c>
      <c r="L1351" s="133">
        <v>7360</v>
      </c>
      <c r="M1351" s="150">
        <v>0.61762731481481481</v>
      </c>
      <c r="N1351" s="150">
        <v>0.61762731481481481</v>
      </c>
      <c r="O1351" t="s">
        <v>172</v>
      </c>
      <c r="Q1351">
        <v>2522173</v>
      </c>
      <c r="R1351">
        <v>2522173</v>
      </c>
      <c r="S1351">
        <v>2518822</v>
      </c>
      <c r="T1351">
        <v>0</v>
      </c>
      <c r="U1351" t="s">
        <v>173</v>
      </c>
      <c r="V1351">
        <v>0</v>
      </c>
      <c r="W1351" t="s">
        <v>174</v>
      </c>
      <c r="X1351">
        <v>2518822</v>
      </c>
      <c r="Z1351" t="s">
        <v>173</v>
      </c>
      <c r="AA1351" t="s">
        <v>173</v>
      </c>
    </row>
    <row r="1352" spans="1:27" x14ac:dyDescent="0.3">
      <c r="A1352">
        <v>1351</v>
      </c>
      <c r="B1352" t="s">
        <v>169</v>
      </c>
      <c r="C1352">
        <v>99019875</v>
      </c>
      <c r="D1352" s="7" t="s">
        <v>77</v>
      </c>
      <c r="E1352" t="s">
        <v>78</v>
      </c>
      <c r="F1352" t="s">
        <v>170</v>
      </c>
      <c r="G1352" t="s">
        <v>177</v>
      </c>
      <c r="H1352">
        <v>73</v>
      </c>
      <c r="I1352">
        <v>0</v>
      </c>
      <c r="J1352">
        <v>73</v>
      </c>
      <c r="K1352" s="133">
        <v>7360</v>
      </c>
      <c r="L1352" s="133">
        <v>7360</v>
      </c>
      <c r="M1352" s="150">
        <v>0.61762731481481481</v>
      </c>
      <c r="N1352" s="150">
        <v>0.61762731481481481</v>
      </c>
      <c r="O1352" t="s">
        <v>172</v>
      </c>
      <c r="Q1352">
        <v>2522174</v>
      </c>
      <c r="R1352">
        <v>2522174</v>
      </c>
      <c r="S1352">
        <v>2519158</v>
      </c>
      <c r="T1352">
        <v>0</v>
      </c>
      <c r="U1352" t="s">
        <v>173</v>
      </c>
      <c r="V1352">
        <v>0</v>
      </c>
      <c r="W1352" t="s">
        <v>174</v>
      </c>
      <c r="X1352">
        <v>2519158</v>
      </c>
      <c r="Z1352" t="s">
        <v>173</v>
      </c>
      <c r="AA1352" t="s">
        <v>173</v>
      </c>
    </row>
    <row r="1353" spans="1:27" x14ac:dyDescent="0.3">
      <c r="A1353">
        <v>1352</v>
      </c>
      <c r="B1353" t="s">
        <v>169</v>
      </c>
      <c r="C1353">
        <v>99019875</v>
      </c>
      <c r="D1353" s="7" t="s">
        <v>77</v>
      </c>
      <c r="E1353" t="s">
        <v>78</v>
      </c>
      <c r="F1353" t="s">
        <v>170</v>
      </c>
      <c r="G1353" t="s">
        <v>177</v>
      </c>
      <c r="H1353">
        <v>73</v>
      </c>
      <c r="I1353">
        <v>0</v>
      </c>
      <c r="J1353">
        <v>73</v>
      </c>
      <c r="K1353" s="133">
        <v>7360</v>
      </c>
      <c r="L1353" s="133">
        <v>7360</v>
      </c>
      <c r="M1353" s="150">
        <v>0.61762731481481481</v>
      </c>
      <c r="N1353" s="150">
        <v>0.61762731481481481</v>
      </c>
      <c r="O1353" t="s">
        <v>172</v>
      </c>
      <c r="Q1353">
        <v>2522175</v>
      </c>
      <c r="R1353">
        <v>2522175</v>
      </c>
      <c r="S1353">
        <v>2520250</v>
      </c>
      <c r="T1353">
        <v>0</v>
      </c>
      <c r="U1353" t="s">
        <v>173</v>
      </c>
      <c r="V1353">
        <v>0</v>
      </c>
      <c r="W1353" t="s">
        <v>174</v>
      </c>
      <c r="X1353">
        <v>2520250</v>
      </c>
      <c r="Z1353" t="s">
        <v>173</v>
      </c>
      <c r="AA1353" t="s">
        <v>173</v>
      </c>
    </row>
    <row r="1354" spans="1:27" x14ac:dyDescent="0.3">
      <c r="A1354">
        <v>1353</v>
      </c>
      <c r="B1354" t="s">
        <v>169</v>
      </c>
      <c r="C1354">
        <v>99019875</v>
      </c>
      <c r="D1354" s="7" t="s">
        <v>77</v>
      </c>
      <c r="E1354" t="s">
        <v>78</v>
      </c>
      <c r="F1354" t="s">
        <v>170</v>
      </c>
      <c r="G1354" t="s">
        <v>177</v>
      </c>
      <c r="H1354">
        <v>74</v>
      </c>
      <c r="I1354">
        <v>0</v>
      </c>
      <c r="J1354">
        <v>74</v>
      </c>
      <c r="K1354" s="133">
        <v>7360</v>
      </c>
      <c r="L1354" s="133">
        <v>7360</v>
      </c>
      <c r="M1354" s="150">
        <v>0.61762731481481481</v>
      </c>
      <c r="N1354" s="150">
        <v>0.61762731481481481</v>
      </c>
      <c r="O1354" t="s">
        <v>172</v>
      </c>
      <c r="Q1354">
        <v>2522176</v>
      </c>
      <c r="R1354">
        <v>2522176</v>
      </c>
      <c r="S1354">
        <v>2521214</v>
      </c>
      <c r="T1354">
        <v>0</v>
      </c>
      <c r="U1354" t="s">
        <v>173</v>
      </c>
      <c r="V1354">
        <v>0</v>
      </c>
      <c r="W1354" t="s">
        <v>174</v>
      </c>
      <c r="X1354">
        <v>2521214</v>
      </c>
      <c r="Z1354" t="s">
        <v>173</v>
      </c>
      <c r="AA1354" t="s">
        <v>173</v>
      </c>
    </row>
    <row r="1355" spans="1:27" x14ac:dyDescent="0.3">
      <c r="A1355">
        <v>1354</v>
      </c>
      <c r="B1355" t="s">
        <v>169</v>
      </c>
      <c r="C1355">
        <v>99019875</v>
      </c>
      <c r="D1355" s="7" t="s">
        <v>77</v>
      </c>
      <c r="E1355" t="s">
        <v>78</v>
      </c>
      <c r="F1355" t="s">
        <v>170</v>
      </c>
      <c r="G1355" t="s">
        <v>177</v>
      </c>
      <c r="H1355">
        <v>73</v>
      </c>
      <c r="I1355">
        <v>0</v>
      </c>
      <c r="J1355">
        <v>73</v>
      </c>
      <c r="K1355" s="133">
        <v>7360</v>
      </c>
      <c r="L1355" s="133">
        <v>7360</v>
      </c>
      <c r="M1355" s="150">
        <v>0.61762731481481481</v>
      </c>
      <c r="N1355" s="150">
        <v>0.61762731481481481</v>
      </c>
      <c r="O1355" t="s">
        <v>172</v>
      </c>
      <c r="Q1355">
        <v>2522177</v>
      </c>
      <c r="R1355">
        <v>2522177</v>
      </c>
      <c r="S1355">
        <v>2522109</v>
      </c>
      <c r="T1355">
        <v>0</v>
      </c>
      <c r="U1355" t="s">
        <v>173</v>
      </c>
      <c r="V1355">
        <v>0</v>
      </c>
      <c r="W1355" t="s">
        <v>174</v>
      </c>
      <c r="X1355">
        <v>2522109</v>
      </c>
      <c r="Z1355" t="s">
        <v>173</v>
      </c>
      <c r="AA1355" t="s">
        <v>173</v>
      </c>
    </row>
    <row r="1356" spans="1:27" x14ac:dyDescent="0.3">
      <c r="A1356">
        <v>1355</v>
      </c>
      <c r="B1356" t="s">
        <v>169</v>
      </c>
      <c r="C1356">
        <v>99019875</v>
      </c>
      <c r="D1356" s="7" t="s">
        <v>118</v>
      </c>
      <c r="E1356" t="s">
        <v>119</v>
      </c>
      <c r="F1356" t="s">
        <v>176</v>
      </c>
      <c r="G1356" t="s">
        <v>177</v>
      </c>
      <c r="H1356">
        <v>20</v>
      </c>
      <c r="I1356">
        <v>0</v>
      </c>
      <c r="J1356">
        <v>1</v>
      </c>
      <c r="K1356" s="133">
        <v>12450</v>
      </c>
      <c r="L1356" s="133">
        <v>12450</v>
      </c>
      <c r="M1356" s="150">
        <v>0.61762731481481481</v>
      </c>
      <c r="N1356" s="150">
        <v>0.61780092592592595</v>
      </c>
      <c r="O1356" t="s">
        <v>172</v>
      </c>
      <c r="Q1356">
        <v>2522185</v>
      </c>
      <c r="R1356">
        <v>2522185</v>
      </c>
      <c r="S1356">
        <v>2522112</v>
      </c>
      <c r="T1356">
        <v>19</v>
      </c>
      <c r="U1356" t="s">
        <v>173</v>
      </c>
      <c r="V1356">
        <v>0</v>
      </c>
      <c r="W1356" t="s">
        <v>174</v>
      </c>
      <c r="X1356">
        <v>2522112</v>
      </c>
      <c r="Z1356" t="s">
        <v>173</v>
      </c>
      <c r="AA1356" t="s">
        <v>173</v>
      </c>
    </row>
    <row r="1357" spans="1:27" x14ac:dyDescent="0.3">
      <c r="A1357">
        <v>1356</v>
      </c>
      <c r="B1357" t="s">
        <v>169</v>
      </c>
      <c r="C1357">
        <v>99019875</v>
      </c>
      <c r="D1357" s="7" t="s">
        <v>102</v>
      </c>
      <c r="E1357" t="s">
        <v>103</v>
      </c>
      <c r="F1357" t="s">
        <v>170</v>
      </c>
      <c r="G1357" t="s">
        <v>177</v>
      </c>
      <c r="H1357">
        <v>54</v>
      </c>
      <c r="I1357">
        <v>0</v>
      </c>
      <c r="J1357">
        <v>54</v>
      </c>
      <c r="K1357" s="133">
        <v>26855</v>
      </c>
      <c r="L1357" s="133">
        <v>26855</v>
      </c>
      <c r="M1357" s="150">
        <v>0.61762731481481481</v>
      </c>
      <c r="N1357" s="150">
        <v>0.61767361111111108</v>
      </c>
      <c r="O1357" t="s">
        <v>172</v>
      </c>
      <c r="Q1357">
        <v>2522187</v>
      </c>
      <c r="R1357">
        <v>2522187</v>
      </c>
      <c r="S1357">
        <v>2522123</v>
      </c>
      <c r="T1357">
        <v>0</v>
      </c>
      <c r="U1357" t="s">
        <v>173</v>
      </c>
      <c r="V1357">
        <v>0</v>
      </c>
      <c r="W1357" t="s">
        <v>174</v>
      </c>
      <c r="X1357">
        <v>2522123</v>
      </c>
      <c r="Z1357" t="s">
        <v>173</v>
      </c>
      <c r="AA1357" t="s">
        <v>173</v>
      </c>
    </row>
    <row r="1358" spans="1:27" x14ac:dyDescent="0.3">
      <c r="A1358">
        <v>1357</v>
      </c>
      <c r="B1358" t="s">
        <v>169</v>
      </c>
      <c r="C1358">
        <v>99019875</v>
      </c>
      <c r="D1358" s="7" t="s">
        <v>62</v>
      </c>
      <c r="E1358" t="s">
        <v>63</v>
      </c>
      <c r="F1358" t="s">
        <v>176</v>
      </c>
      <c r="G1358" t="s">
        <v>177</v>
      </c>
      <c r="H1358">
        <v>89</v>
      </c>
      <c r="I1358">
        <v>0</v>
      </c>
      <c r="J1358">
        <v>89</v>
      </c>
      <c r="K1358" s="133">
        <v>34055</v>
      </c>
      <c r="L1358" s="133">
        <v>34055</v>
      </c>
      <c r="M1358" s="150">
        <v>0.61767361111111108</v>
      </c>
      <c r="N1358" s="150">
        <v>0.6177083333333333</v>
      </c>
      <c r="O1358" t="s">
        <v>172</v>
      </c>
      <c r="Q1358">
        <v>2522331</v>
      </c>
      <c r="R1358">
        <v>2522331</v>
      </c>
      <c r="S1358">
        <v>2522166</v>
      </c>
      <c r="T1358">
        <v>0</v>
      </c>
      <c r="U1358" t="s">
        <v>173</v>
      </c>
      <c r="V1358">
        <v>0</v>
      </c>
      <c r="W1358" t="s">
        <v>174</v>
      </c>
      <c r="X1358">
        <v>2522166</v>
      </c>
      <c r="Z1358" t="s">
        <v>173</v>
      </c>
      <c r="AA1358" t="s">
        <v>173</v>
      </c>
    </row>
    <row r="1359" spans="1:27" x14ac:dyDescent="0.3">
      <c r="A1359">
        <v>1358</v>
      </c>
      <c r="B1359" t="s">
        <v>169</v>
      </c>
      <c r="C1359">
        <v>99019875</v>
      </c>
      <c r="D1359" s="7" t="s">
        <v>128</v>
      </c>
      <c r="E1359" t="s">
        <v>129</v>
      </c>
      <c r="F1359" t="s">
        <v>170</v>
      </c>
      <c r="G1359" t="s">
        <v>171</v>
      </c>
      <c r="H1359">
        <v>1</v>
      </c>
      <c r="I1359">
        <v>0</v>
      </c>
      <c r="J1359">
        <v>1</v>
      </c>
      <c r="K1359" s="133">
        <v>6505</v>
      </c>
      <c r="L1359" s="133">
        <v>6505</v>
      </c>
      <c r="M1359" s="150">
        <v>0.61774305555555553</v>
      </c>
      <c r="N1359" s="150">
        <v>0.61890046296296297</v>
      </c>
      <c r="O1359" t="s">
        <v>172</v>
      </c>
      <c r="Q1359">
        <v>2522510</v>
      </c>
      <c r="R1359">
        <v>2522510</v>
      </c>
      <c r="S1359">
        <v>0</v>
      </c>
      <c r="T1359">
        <v>0</v>
      </c>
      <c r="U1359" t="s">
        <v>173</v>
      </c>
      <c r="V1359">
        <v>0</v>
      </c>
      <c r="W1359" t="s">
        <v>174</v>
      </c>
      <c r="X1359">
        <v>0</v>
      </c>
      <c r="Z1359" t="s">
        <v>173</v>
      </c>
      <c r="AA1359" t="s">
        <v>173</v>
      </c>
    </row>
    <row r="1360" spans="1:27" x14ac:dyDescent="0.3">
      <c r="A1360">
        <v>1359</v>
      </c>
      <c r="B1360" t="s">
        <v>169</v>
      </c>
      <c r="C1360">
        <v>99019875</v>
      </c>
      <c r="D1360" s="7" t="s">
        <v>118</v>
      </c>
      <c r="E1360" t="s">
        <v>119</v>
      </c>
      <c r="F1360" t="s">
        <v>176</v>
      </c>
      <c r="G1360" t="s">
        <v>177</v>
      </c>
      <c r="H1360">
        <v>19</v>
      </c>
      <c r="I1360">
        <v>0</v>
      </c>
      <c r="J1360">
        <v>19</v>
      </c>
      <c r="K1360" s="133">
        <v>12445</v>
      </c>
      <c r="L1360" s="133">
        <v>12445</v>
      </c>
      <c r="M1360" s="150">
        <v>0.61781249999999999</v>
      </c>
      <c r="N1360" s="150">
        <v>0.61873842592592598</v>
      </c>
      <c r="O1360" t="s">
        <v>172</v>
      </c>
      <c r="Q1360">
        <v>2522727</v>
      </c>
      <c r="R1360">
        <v>2522727</v>
      </c>
      <c r="S1360">
        <v>2522185</v>
      </c>
      <c r="T1360">
        <v>0</v>
      </c>
      <c r="U1360" t="s">
        <v>173</v>
      </c>
      <c r="V1360">
        <v>0</v>
      </c>
      <c r="W1360" t="s">
        <v>174</v>
      </c>
      <c r="X1360">
        <v>2522185</v>
      </c>
      <c r="Z1360" t="s">
        <v>173</v>
      </c>
      <c r="AA1360" t="s">
        <v>173</v>
      </c>
    </row>
    <row r="1361" spans="1:27" x14ac:dyDescent="0.3">
      <c r="A1361">
        <v>1360</v>
      </c>
      <c r="B1361" t="s">
        <v>169</v>
      </c>
      <c r="C1361">
        <v>99019875</v>
      </c>
      <c r="D1361" s="7" t="s">
        <v>62</v>
      </c>
      <c r="E1361" t="s">
        <v>63</v>
      </c>
      <c r="F1361" t="s">
        <v>176</v>
      </c>
      <c r="G1361" t="s">
        <v>171</v>
      </c>
      <c r="H1361">
        <v>88</v>
      </c>
      <c r="I1361">
        <v>0</v>
      </c>
      <c r="J1361">
        <v>88</v>
      </c>
      <c r="K1361" s="133">
        <v>34055</v>
      </c>
      <c r="L1361" s="133">
        <v>34055</v>
      </c>
      <c r="M1361" s="150">
        <v>0.61789351851851848</v>
      </c>
      <c r="N1361" s="150">
        <v>0.61796296296296294</v>
      </c>
      <c r="O1361" t="s">
        <v>172</v>
      </c>
      <c r="Q1361">
        <v>2522947</v>
      </c>
      <c r="R1361">
        <v>2522947</v>
      </c>
      <c r="S1361">
        <v>0</v>
      </c>
      <c r="T1361">
        <v>0</v>
      </c>
      <c r="U1361" t="s">
        <v>173</v>
      </c>
      <c r="V1361">
        <v>0</v>
      </c>
      <c r="W1361" t="s">
        <v>174</v>
      </c>
      <c r="X1361">
        <v>0</v>
      </c>
      <c r="Z1361" t="s">
        <v>173</v>
      </c>
      <c r="AA1361" t="s">
        <v>173</v>
      </c>
    </row>
    <row r="1362" spans="1:27" x14ac:dyDescent="0.3">
      <c r="A1362">
        <v>1361</v>
      </c>
      <c r="B1362" t="s">
        <v>169</v>
      </c>
      <c r="C1362">
        <v>99019875</v>
      </c>
      <c r="D1362" s="7" t="s">
        <v>75</v>
      </c>
      <c r="E1362" t="s">
        <v>76</v>
      </c>
      <c r="F1362" t="s">
        <v>170</v>
      </c>
      <c r="G1362" t="s">
        <v>171</v>
      </c>
      <c r="H1362">
        <v>82</v>
      </c>
      <c r="I1362">
        <v>0</v>
      </c>
      <c r="J1362">
        <v>82</v>
      </c>
      <c r="K1362" s="133">
        <v>20785</v>
      </c>
      <c r="L1362" s="133">
        <v>20785</v>
      </c>
      <c r="M1362" s="150">
        <v>0.61789351851851848</v>
      </c>
      <c r="N1362" s="150">
        <v>0.6184722222222222</v>
      </c>
      <c r="O1362" t="s">
        <v>172</v>
      </c>
      <c r="Q1362">
        <v>2522949</v>
      </c>
      <c r="R1362">
        <v>2522949</v>
      </c>
      <c r="S1362">
        <v>0</v>
      </c>
      <c r="T1362">
        <v>0</v>
      </c>
      <c r="U1362" t="s">
        <v>173</v>
      </c>
      <c r="V1362">
        <v>0</v>
      </c>
      <c r="W1362" t="s">
        <v>174</v>
      </c>
      <c r="X1362">
        <v>0</v>
      </c>
      <c r="Z1362" t="s">
        <v>173</v>
      </c>
      <c r="AA1362" t="s">
        <v>173</v>
      </c>
    </row>
    <row r="1363" spans="1:27" x14ac:dyDescent="0.3">
      <c r="A1363">
        <v>1362</v>
      </c>
      <c r="B1363" t="s">
        <v>169</v>
      </c>
      <c r="C1363">
        <v>99019875</v>
      </c>
      <c r="D1363" s="7" t="s">
        <v>110</v>
      </c>
      <c r="E1363" t="s">
        <v>179</v>
      </c>
      <c r="F1363" t="s">
        <v>170</v>
      </c>
      <c r="G1363" t="s">
        <v>171</v>
      </c>
      <c r="H1363">
        <v>3</v>
      </c>
      <c r="I1363">
        <v>0</v>
      </c>
      <c r="J1363">
        <v>3</v>
      </c>
      <c r="K1363" s="133">
        <v>48495</v>
      </c>
      <c r="L1363" s="133">
        <v>48495</v>
      </c>
      <c r="M1363" s="150">
        <v>0.61789351851851848</v>
      </c>
      <c r="N1363" s="150">
        <v>0.61805555555555558</v>
      </c>
      <c r="O1363" t="s">
        <v>172</v>
      </c>
      <c r="Q1363">
        <v>2522952</v>
      </c>
      <c r="R1363">
        <v>2522952</v>
      </c>
      <c r="S1363">
        <v>0</v>
      </c>
      <c r="T1363">
        <v>0</v>
      </c>
      <c r="U1363" t="s">
        <v>173</v>
      </c>
      <c r="V1363">
        <v>0</v>
      </c>
      <c r="W1363" t="s">
        <v>174</v>
      </c>
      <c r="X1363">
        <v>0</v>
      </c>
      <c r="Z1363" t="s">
        <v>173</v>
      </c>
      <c r="AA1363" t="s">
        <v>173</v>
      </c>
    </row>
    <row r="1364" spans="1:27" x14ac:dyDescent="0.3">
      <c r="A1364">
        <v>1363</v>
      </c>
      <c r="B1364" t="s">
        <v>169</v>
      </c>
      <c r="C1364">
        <v>99019875</v>
      </c>
      <c r="D1364" s="7" t="s">
        <v>100</v>
      </c>
      <c r="E1364" t="s">
        <v>101</v>
      </c>
      <c r="F1364" t="s">
        <v>170</v>
      </c>
      <c r="G1364" t="s">
        <v>171</v>
      </c>
      <c r="H1364">
        <v>5</v>
      </c>
      <c r="I1364">
        <v>0</v>
      </c>
      <c r="J1364">
        <v>5</v>
      </c>
      <c r="K1364" s="133">
        <v>15515</v>
      </c>
      <c r="L1364" s="133">
        <v>15515</v>
      </c>
      <c r="M1364" s="150">
        <v>0.61789351851851848</v>
      </c>
      <c r="N1364" s="150">
        <v>0.61886574074074074</v>
      </c>
      <c r="O1364" t="s">
        <v>172</v>
      </c>
      <c r="Q1364">
        <v>2522954</v>
      </c>
      <c r="R1364">
        <v>2522954</v>
      </c>
      <c r="S1364">
        <v>0</v>
      </c>
      <c r="T1364">
        <v>0</v>
      </c>
      <c r="U1364" t="s">
        <v>173</v>
      </c>
      <c r="V1364">
        <v>0</v>
      </c>
      <c r="W1364" t="s">
        <v>174</v>
      </c>
      <c r="X1364">
        <v>0</v>
      </c>
      <c r="Z1364" t="s">
        <v>173</v>
      </c>
      <c r="AA1364" t="s">
        <v>173</v>
      </c>
    </row>
    <row r="1365" spans="1:27" x14ac:dyDescent="0.3">
      <c r="A1365">
        <v>1364</v>
      </c>
      <c r="B1365" t="s">
        <v>169</v>
      </c>
      <c r="C1365">
        <v>99019875</v>
      </c>
      <c r="D1365" s="7" t="s">
        <v>87</v>
      </c>
      <c r="E1365" t="s">
        <v>88</v>
      </c>
      <c r="F1365" t="s">
        <v>170</v>
      </c>
      <c r="G1365" t="s">
        <v>171</v>
      </c>
      <c r="H1365">
        <v>5</v>
      </c>
      <c r="I1365">
        <v>0</v>
      </c>
      <c r="J1365">
        <v>5</v>
      </c>
      <c r="K1365" s="133">
        <v>12150</v>
      </c>
      <c r="L1365" s="133">
        <v>12150</v>
      </c>
      <c r="M1365" s="150">
        <v>0.61789351851851848</v>
      </c>
      <c r="N1365" s="150">
        <v>0.61831018518518521</v>
      </c>
      <c r="O1365" t="s">
        <v>172</v>
      </c>
      <c r="Q1365">
        <v>2522955</v>
      </c>
      <c r="R1365">
        <v>2522955</v>
      </c>
      <c r="S1365">
        <v>0</v>
      </c>
      <c r="T1365">
        <v>0</v>
      </c>
      <c r="U1365" t="s">
        <v>173</v>
      </c>
      <c r="V1365">
        <v>0</v>
      </c>
      <c r="W1365" t="s">
        <v>174</v>
      </c>
      <c r="X1365">
        <v>0</v>
      </c>
      <c r="Z1365" t="s">
        <v>173</v>
      </c>
      <c r="AA1365" t="s">
        <v>173</v>
      </c>
    </row>
    <row r="1366" spans="1:27" x14ac:dyDescent="0.3">
      <c r="A1366">
        <v>1365</v>
      </c>
      <c r="B1366" t="s">
        <v>169</v>
      </c>
      <c r="C1366">
        <v>99019875</v>
      </c>
      <c r="D1366" s="7" t="s">
        <v>108</v>
      </c>
      <c r="E1366" t="s">
        <v>109</v>
      </c>
      <c r="F1366" t="s">
        <v>170</v>
      </c>
      <c r="G1366" t="s">
        <v>171</v>
      </c>
      <c r="H1366">
        <v>24</v>
      </c>
      <c r="I1366">
        <v>0</v>
      </c>
      <c r="J1366">
        <v>24</v>
      </c>
      <c r="K1366" s="133">
        <v>2715</v>
      </c>
      <c r="L1366" s="133">
        <v>2715</v>
      </c>
      <c r="M1366" s="150">
        <v>0.61789351851851848</v>
      </c>
      <c r="N1366" s="150">
        <v>0.62351851851851847</v>
      </c>
      <c r="O1366" t="s">
        <v>172</v>
      </c>
      <c r="Q1366">
        <v>2522956</v>
      </c>
      <c r="R1366">
        <v>2522956</v>
      </c>
      <c r="S1366">
        <v>0</v>
      </c>
      <c r="T1366">
        <v>0</v>
      </c>
      <c r="U1366" t="s">
        <v>173</v>
      </c>
      <c r="V1366">
        <v>0</v>
      </c>
      <c r="W1366" t="s">
        <v>174</v>
      </c>
      <c r="X1366">
        <v>0</v>
      </c>
      <c r="Z1366" t="s">
        <v>173</v>
      </c>
      <c r="AA1366" t="s">
        <v>173</v>
      </c>
    </row>
    <row r="1367" spans="1:27" x14ac:dyDescent="0.3">
      <c r="A1367">
        <v>1366</v>
      </c>
      <c r="B1367" t="s">
        <v>169</v>
      </c>
      <c r="C1367">
        <v>99019875</v>
      </c>
      <c r="D1367" s="7" t="s">
        <v>98</v>
      </c>
      <c r="E1367" t="s">
        <v>99</v>
      </c>
      <c r="F1367" t="s">
        <v>170</v>
      </c>
      <c r="G1367" t="s">
        <v>171</v>
      </c>
      <c r="H1367">
        <v>38</v>
      </c>
      <c r="I1367">
        <v>0</v>
      </c>
      <c r="J1367">
        <v>38</v>
      </c>
      <c r="K1367" s="133">
        <v>14285</v>
      </c>
      <c r="L1367" s="133">
        <v>14285</v>
      </c>
      <c r="M1367" s="150">
        <v>0.61789351851851848</v>
      </c>
      <c r="N1367" s="150">
        <v>0.61811342592592589</v>
      </c>
      <c r="O1367" t="s">
        <v>172</v>
      </c>
      <c r="Q1367">
        <v>2522958</v>
      </c>
      <c r="R1367">
        <v>2522958</v>
      </c>
      <c r="S1367">
        <v>0</v>
      </c>
      <c r="T1367">
        <v>0</v>
      </c>
      <c r="U1367" t="s">
        <v>173</v>
      </c>
      <c r="V1367">
        <v>0</v>
      </c>
      <c r="W1367" t="s">
        <v>174</v>
      </c>
      <c r="X1367">
        <v>0</v>
      </c>
      <c r="Z1367" t="s">
        <v>173</v>
      </c>
      <c r="AA1367" t="s">
        <v>173</v>
      </c>
    </row>
    <row r="1368" spans="1:27" x14ac:dyDescent="0.3">
      <c r="A1368">
        <v>1367</v>
      </c>
      <c r="B1368" t="s">
        <v>169</v>
      </c>
      <c r="C1368">
        <v>99019875</v>
      </c>
      <c r="D1368" s="7" t="s">
        <v>65</v>
      </c>
      <c r="E1368" t="s">
        <v>66</v>
      </c>
      <c r="F1368" t="s">
        <v>176</v>
      </c>
      <c r="G1368" t="s">
        <v>171</v>
      </c>
      <c r="H1368">
        <v>57</v>
      </c>
      <c r="I1368">
        <v>0</v>
      </c>
      <c r="J1368">
        <v>57</v>
      </c>
      <c r="K1368" s="133">
        <v>4750</v>
      </c>
      <c r="L1368" s="133">
        <v>4750</v>
      </c>
      <c r="M1368" s="150">
        <v>0.61789351851851848</v>
      </c>
      <c r="N1368" s="150">
        <v>0.61793981481481486</v>
      </c>
      <c r="O1368" t="s">
        <v>172</v>
      </c>
      <c r="Q1368">
        <v>2522961</v>
      </c>
      <c r="R1368">
        <v>2522961</v>
      </c>
      <c r="S1368">
        <v>0</v>
      </c>
      <c r="T1368">
        <v>0</v>
      </c>
      <c r="U1368" t="s">
        <v>173</v>
      </c>
      <c r="V1368">
        <v>0</v>
      </c>
      <c r="W1368" t="s">
        <v>174</v>
      </c>
      <c r="X1368">
        <v>0</v>
      </c>
      <c r="Z1368" t="s">
        <v>173</v>
      </c>
      <c r="AA1368" t="s">
        <v>173</v>
      </c>
    </row>
    <row r="1369" spans="1:27" x14ac:dyDescent="0.3">
      <c r="A1369">
        <v>1368</v>
      </c>
      <c r="B1369" t="s">
        <v>169</v>
      </c>
      <c r="C1369">
        <v>99019875</v>
      </c>
      <c r="D1369" s="7" t="s">
        <v>118</v>
      </c>
      <c r="E1369" t="s">
        <v>119</v>
      </c>
      <c r="F1369" t="s">
        <v>176</v>
      </c>
      <c r="G1369" t="s">
        <v>171</v>
      </c>
      <c r="H1369">
        <v>20</v>
      </c>
      <c r="I1369">
        <v>0</v>
      </c>
      <c r="J1369">
        <v>20</v>
      </c>
      <c r="K1369" s="133">
        <v>12445</v>
      </c>
      <c r="L1369" s="133">
        <v>12445</v>
      </c>
      <c r="M1369" s="150">
        <v>0.61789351851851848</v>
      </c>
      <c r="N1369" s="150">
        <v>0.61875000000000002</v>
      </c>
      <c r="O1369" t="s">
        <v>172</v>
      </c>
      <c r="Q1369">
        <v>2522962</v>
      </c>
      <c r="R1369">
        <v>2522962</v>
      </c>
      <c r="S1369">
        <v>0</v>
      </c>
      <c r="T1369">
        <v>0</v>
      </c>
      <c r="U1369" t="s">
        <v>173</v>
      </c>
      <c r="V1369">
        <v>0</v>
      </c>
      <c r="W1369" t="s">
        <v>174</v>
      </c>
      <c r="X1369">
        <v>0</v>
      </c>
      <c r="Z1369" t="s">
        <v>173</v>
      </c>
      <c r="AA1369" t="s">
        <v>173</v>
      </c>
    </row>
    <row r="1370" spans="1:27" x14ac:dyDescent="0.3">
      <c r="A1370">
        <v>1369</v>
      </c>
      <c r="B1370" t="s">
        <v>169</v>
      </c>
      <c r="C1370">
        <v>99019875</v>
      </c>
      <c r="D1370" s="7" t="s">
        <v>114</v>
      </c>
      <c r="E1370" t="s">
        <v>115</v>
      </c>
      <c r="F1370" t="s">
        <v>176</v>
      </c>
      <c r="G1370" t="s">
        <v>177</v>
      </c>
      <c r="H1370">
        <v>65</v>
      </c>
      <c r="I1370">
        <v>0</v>
      </c>
      <c r="J1370">
        <v>65</v>
      </c>
      <c r="K1370" s="133">
        <v>53805</v>
      </c>
      <c r="L1370" s="133">
        <v>53805</v>
      </c>
      <c r="M1370" s="150">
        <v>0.61791666666666667</v>
      </c>
      <c r="N1370" s="150">
        <v>0.61796296296296294</v>
      </c>
      <c r="O1370" t="s">
        <v>172</v>
      </c>
      <c r="Q1370">
        <v>2523024</v>
      </c>
      <c r="R1370">
        <v>2523024</v>
      </c>
      <c r="S1370">
        <v>2523014</v>
      </c>
      <c r="T1370">
        <v>0</v>
      </c>
      <c r="U1370" t="s">
        <v>173</v>
      </c>
      <c r="V1370">
        <v>0</v>
      </c>
      <c r="W1370" t="s">
        <v>174</v>
      </c>
      <c r="X1370">
        <v>2523014</v>
      </c>
      <c r="Z1370" t="s">
        <v>173</v>
      </c>
      <c r="AA1370" t="s">
        <v>173</v>
      </c>
    </row>
    <row r="1371" spans="1:27" x14ac:dyDescent="0.3">
      <c r="A1371">
        <v>1370</v>
      </c>
      <c r="B1371" t="s">
        <v>169</v>
      </c>
      <c r="C1371">
        <v>99019875</v>
      </c>
      <c r="D1371" s="7" t="s">
        <v>114</v>
      </c>
      <c r="E1371" t="s">
        <v>115</v>
      </c>
      <c r="F1371" t="s">
        <v>176</v>
      </c>
      <c r="G1371" t="s">
        <v>177</v>
      </c>
      <c r="H1371">
        <v>65</v>
      </c>
      <c r="I1371">
        <v>0</v>
      </c>
      <c r="J1371">
        <v>65</v>
      </c>
      <c r="K1371" s="133">
        <v>53805</v>
      </c>
      <c r="L1371" s="133">
        <v>53805</v>
      </c>
      <c r="M1371" s="150">
        <v>0.61791666666666667</v>
      </c>
      <c r="N1371" s="150">
        <v>0.61796296296296294</v>
      </c>
      <c r="O1371" t="s">
        <v>172</v>
      </c>
      <c r="Q1371">
        <v>2523025</v>
      </c>
      <c r="R1371">
        <v>2523025</v>
      </c>
      <c r="S1371">
        <v>2523015</v>
      </c>
      <c r="T1371">
        <v>0</v>
      </c>
      <c r="U1371" t="s">
        <v>173</v>
      </c>
      <c r="V1371">
        <v>0</v>
      </c>
      <c r="W1371" t="s">
        <v>174</v>
      </c>
      <c r="X1371">
        <v>2523015</v>
      </c>
      <c r="Z1371" t="s">
        <v>173</v>
      </c>
      <c r="AA1371" t="s">
        <v>173</v>
      </c>
    </row>
    <row r="1372" spans="1:27" x14ac:dyDescent="0.3">
      <c r="A1372">
        <v>1371</v>
      </c>
      <c r="B1372" t="s">
        <v>169</v>
      </c>
      <c r="C1372">
        <v>99019875</v>
      </c>
      <c r="D1372" s="7" t="s">
        <v>77</v>
      </c>
      <c r="E1372" t="s">
        <v>78</v>
      </c>
      <c r="F1372" t="s">
        <v>170</v>
      </c>
      <c r="G1372" t="s">
        <v>177</v>
      </c>
      <c r="H1372">
        <v>73</v>
      </c>
      <c r="I1372">
        <v>0</v>
      </c>
      <c r="J1372">
        <v>72</v>
      </c>
      <c r="K1372" s="133">
        <v>7360</v>
      </c>
      <c r="L1372" s="133">
        <v>7360</v>
      </c>
      <c r="M1372" s="150">
        <v>0.61799768518518516</v>
      </c>
      <c r="N1372" s="150">
        <v>0.61800925925925931</v>
      </c>
      <c r="O1372" t="s">
        <v>172</v>
      </c>
      <c r="Q1372">
        <v>2523233</v>
      </c>
      <c r="R1372">
        <v>2523233</v>
      </c>
      <c r="S1372">
        <v>2523227</v>
      </c>
      <c r="T1372">
        <v>1</v>
      </c>
      <c r="U1372" t="s">
        <v>173</v>
      </c>
      <c r="V1372">
        <v>0</v>
      </c>
      <c r="W1372" t="s">
        <v>174</v>
      </c>
      <c r="X1372">
        <v>2523227</v>
      </c>
      <c r="Z1372" t="s">
        <v>173</v>
      </c>
      <c r="AA1372" t="s">
        <v>173</v>
      </c>
    </row>
    <row r="1373" spans="1:27" x14ac:dyDescent="0.3">
      <c r="A1373">
        <v>1372</v>
      </c>
      <c r="B1373" t="s">
        <v>169</v>
      </c>
      <c r="C1373">
        <v>99019875</v>
      </c>
      <c r="D1373" s="7" t="s">
        <v>89</v>
      </c>
      <c r="E1373" t="s">
        <v>90</v>
      </c>
      <c r="F1373" t="s">
        <v>176</v>
      </c>
      <c r="G1373" t="s">
        <v>177</v>
      </c>
      <c r="H1373">
        <v>30</v>
      </c>
      <c r="I1373">
        <v>0</v>
      </c>
      <c r="J1373">
        <v>30</v>
      </c>
      <c r="K1373" s="133">
        <v>3090</v>
      </c>
      <c r="L1373" s="133">
        <v>3090</v>
      </c>
      <c r="M1373" s="150">
        <v>0.61803240740740739</v>
      </c>
      <c r="N1373" s="150">
        <v>0.6189351851851852</v>
      </c>
      <c r="O1373" t="s">
        <v>172</v>
      </c>
      <c r="Q1373">
        <v>2523306</v>
      </c>
      <c r="R1373">
        <v>2523306</v>
      </c>
      <c r="S1373">
        <v>2522722</v>
      </c>
      <c r="T1373">
        <v>0</v>
      </c>
      <c r="U1373" t="s">
        <v>173</v>
      </c>
      <c r="V1373">
        <v>0</v>
      </c>
      <c r="W1373" t="s">
        <v>174</v>
      </c>
      <c r="X1373">
        <v>2522722</v>
      </c>
      <c r="Z1373" t="s">
        <v>173</v>
      </c>
      <c r="AA1373" t="s">
        <v>173</v>
      </c>
    </row>
    <row r="1374" spans="1:27" x14ac:dyDescent="0.3">
      <c r="A1374">
        <v>1373</v>
      </c>
      <c r="B1374" t="s">
        <v>169</v>
      </c>
      <c r="C1374">
        <v>99019875</v>
      </c>
      <c r="D1374" s="7" t="s">
        <v>89</v>
      </c>
      <c r="E1374" t="s">
        <v>90</v>
      </c>
      <c r="F1374" t="s">
        <v>176</v>
      </c>
      <c r="G1374" t="s">
        <v>177</v>
      </c>
      <c r="H1374">
        <v>31</v>
      </c>
      <c r="I1374">
        <v>0</v>
      </c>
      <c r="J1374">
        <v>31</v>
      </c>
      <c r="K1374" s="133">
        <v>3090</v>
      </c>
      <c r="L1374" s="133">
        <v>3090</v>
      </c>
      <c r="M1374" s="150">
        <v>0.61803240740740739</v>
      </c>
      <c r="N1374" s="150">
        <v>0.6189351851851852</v>
      </c>
      <c r="O1374" t="s">
        <v>172</v>
      </c>
      <c r="Q1374">
        <v>2523307</v>
      </c>
      <c r="R1374">
        <v>2523307</v>
      </c>
      <c r="S1374">
        <v>2522723</v>
      </c>
      <c r="T1374">
        <v>0</v>
      </c>
      <c r="U1374" t="s">
        <v>173</v>
      </c>
      <c r="V1374">
        <v>0</v>
      </c>
      <c r="W1374" t="s">
        <v>174</v>
      </c>
      <c r="X1374">
        <v>2522723</v>
      </c>
      <c r="Z1374" t="s">
        <v>173</v>
      </c>
      <c r="AA1374" t="s">
        <v>173</v>
      </c>
    </row>
    <row r="1375" spans="1:27" x14ac:dyDescent="0.3">
      <c r="A1375">
        <v>1374</v>
      </c>
      <c r="B1375" t="s">
        <v>169</v>
      </c>
      <c r="C1375">
        <v>99019875</v>
      </c>
      <c r="D1375" s="7" t="s">
        <v>89</v>
      </c>
      <c r="E1375" t="s">
        <v>90</v>
      </c>
      <c r="F1375" t="s">
        <v>176</v>
      </c>
      <c r="G1375" t="s">
        <v>177</v>
      </c>
      <c r="H1375">
        <v>30</v>
      </c>
      <c r="I1375">
        <v>0</v>
      </c>
      <c r="J1375">
        <v>30</v>
      </c>
      <c r="K1375" s="133">
        <v>3090</v>
      </c>
      <c r="L1375" s="133">
        <v>3090</v>
      </c>
      <c r="M1375" s="150">
        <v>0.61803240740740739</v>
      </c>
      <c r="N1375" s="150">
        <v>0.6189351851851852</v>
      </c>
      <c r="O1375" t="s">
        <v>172</v>
      </c>
      <c r="Q1375">
        <v>2523308</v>
      </c>
      <c r="R1375">
        <v>2523308</v>
      </c>
      <c r="S1375">
        <v>2522724</v>
      </c>
      <c r="T1375">
        <v>0</v>
      </c>
      <c r="U1375" t="s">
        <v>173</v>
      </c>
      <c r="V1375">
        <v>0</v>
      </c>
      <c r="W1375" t="s">
        <v>174</v>
      </c>
      <c r="X1375">
        <v>2522724</v>
      </c>
      <c r="Z1375" t="s">
        <v>173</v>
      </c>
      <c r="AA1375" t="s">
        <v>173</v>
      </c>
    </row>
    <row r="1376" spans="1:27" x14ac:dyDescent="0.3">
      <c r="A1376">
        <v>1375</v>
      </c>
      <c r="B1376" t="s">
        <v>169</v>
      </c>
      <c r="C1376">
        <v>99019875</v>
      </c>
      <c r="D1376" s="7" t="s">
        <v>89</v>
      </c>
      <c r="E1376" t="s">
        <v>90</v>
      </c>
      <c r="F1376" t="s">
        <v>176</v>
      </c>
      <c r="G1376" t="s">
        <v>177</v>
      </c>
      <c r="H1376">
        <v>31</v>
      </c>
      <c r="I1376">
        <v>0</v>
      </c>
      <c r="J1376">
        <v>31</v>
      </c>
      <c r="K1376" s="133">
        <v>3090</v>
      </c>
      <c r="L1376" s="133">
        <v>3090</v>
      </c>
      <c r="M1376" s="150">
        <v>0.61803240740740739</v>
      </c>
      <c r="N1376" s="150">
        <v>0.6189930555555555</v>
      </c>
      <c r="O1376" t="s">
        <v>172</v>
      </c>
      <c r="Q1376">
        <v>2523309</v>
      </c>
      <c r="R1376">
        <v>2523309</v>
      </c>
      <c r="S1376">
        <v>2522953</v>
      </c>
      <c r="T1376">
        <v>0</v>
      </c>
      <c r="U1376" t="s">
        <v>173</v>
      </c>
      <c r="V1376">
        <v>0</v>
      </c>
      <c r="W1376" t="s">
        <v>174</v>
      </c>
      <c r="X1376">
        <v>2522953</v>
      </c>
      <c r="Z1376" t="s">
        <v>173</v>
      </c>
      <c r="AA1376" t="s">
        <v>173</v>
      </c>
    </row>
    <row r="1377" spans="1:27" x14ac:dyDescent="0.3">
      <c r="A1377">
        <v>1376</v>
      </c>
      <c r="B1377" t="s">
        <v>169</v>
      </c>
      <c r="C1377">
        <v>99019875</v>
      </c>
      <c r="D1377" s="7" t="s">
        <v>102</v>
      </c>
      <c r="E1377" t="s">
        <v>103</v>
      </c>
      <c r="F1377" t="s">
        <v>170</v>
      </c>
      <c r="G1377" t="s">
        <v>177</v>
      </c>
      <c r="H1377">
        <v>53</v>
      </c>
      <c r="I1377">
        <v>0</v>
      </c>
      <c r="J1377">
        <v>53</v>
      </c>
      <c r="K1377" s="133">
        <v>26855</v>
      </c>
      <c r="L1377" s="133">
        <v>26855</v>
      </c>
      <c r="M1377" s="150">
        <v>0.61805555555555558</v>
      </c>
      <c r="N1377" s="150">
        <v>0.61806712962962962</v>
      </c>
      <c r="O1377" t="s">
        <v>172</v>
      </c>
      <c r="Q1377">
        <v>2523373</v>
      </c>
      <c r="R1377">
        <v>2523373</v>
      </c>
      <c r="S1377">
        <v>2522950</v>
      </c>
      <c r="T1377">
        <v>0</v>
      </c>
      <c r="U1377" t="s">
        <v>173</v>
      </c>
      <c r="V1377">
        <v>0</v>
      </c>
      <c r="W1377" t="s">
        <v>174</v>
      </c>
      <c r="X1377">
        <v>2522950</v>
      </c>
      <c r="Z1377" t="s">
        <v>173</v>
      </c>
      <c r="AA1377" t="s">
        <v>173</v>
      </c>
    </row>
    <row r="1378" spans="1:27" x14ac:dyDescent="0.3">
      <c r="A1378">
        <v>1377</v>
      </c>
      <c r="B1378" t="s">
        <v>169</v>
      </c>
      <c r="C1378">
        <v>99019875</v>
      </c>
      <c r="D1378" s="7" t="s">
        <v>140</v>
      </c>
      <c r="E1378" t="s">
        <v>178</v>
      </c>
      <c r="F1378" t="s">
        <v>170</v>
      </c>
      <c r="G1378" t="s">
        <v>177</v>
      </c>
      <c r="H1378">
        <v>20</v>
      </c>
      <c r="I1378">
        <v>0</v>
      </c>
      <c r="J1378">
        <v>20</v>
      </c>
      <c r="K1378" s="133">
        <v>8645</v>
      </c>
      <c r="L1378" s="133">
        <v>8645</v>
      </c>
      <c r="M1378" s="150">
        <v>0.61812500000000004</v>
      </c>
      <c r="N1378" s="150">
        <v>0.61814814814814811</v>
      </c>
      <c r="O1378" t="s">
        <v>172</v>
      </c>
      <c r="Q1378">
        <v>2523611</v>
      </c>
      <c r="R1378">
        <v>2523611</v>
      </c>
      <c r="S1378">
        <v>2522964</v>
      </c>
      <c r="T1378">
        <v>0</v>
      </c>
      <c r="U1378" t="s">
        <v>173</v>
      </c>
      <c r="V1378">
        <v>0</v>
      </c>
      <c r="W1378" t="s">
        <v>174</v>
      </c>
      <c r="X1378">
        <v>2522964</v>
      </c>
      <c r="Z1378" t="s">
        <v>173</v>
      </c>
      <c r="AA1378" t="s">
        <v>173</v>
      </c>
    </row>
    <row r="1379" spans="1:27" x14ac:dyDescent="0.3">
      <c r="A1379">
        <v>1378</v>
      </c>
      <c r="B1379" t="s">
        <v>169</v>
      </c>
      <c r="C1379">
        <v>99019875</v>
      </c>
      <c r="D1379" s="7" t="s">
        <v>128</v>
      </c>
      <c r="E1379" t="s">
        <v>129</v>
      </c>
      <c r="F1379" t="s">
        <v>170</v>
      </c>
      <c r="G1379" t="s">
        <v>171</v>
      </c>
      <c r="H1379">
        <v>1</v>
      </c>
      <c r="I1379">
        <v>0</v>
      </c>
      <c r="J1379">
        <v>1</v>
      </c>
      <c r="K1379" s="133">
        <v>6505</v>
      </c>
      <c r="L1379" s="133">
        <v>6505</v>
      </c>
      <c r="M1379" s="150">
        <v>0.61813657407407407</v>
      </c>
      <c r="N1379" s="150">
        <v>0.62015046296296295</v>
      </c>
      <c r="O1379" t="s">
        <v>172</v>
      </c>
      <c r="Q1379">
        <v>2523636</v>
      </c>
      <c r="R1379">
        <v>2523636</v>
      </c>
      <c r="S1379">
        <v>0</v>
      </c>
      <c r="T1379">
        <v>0</v>
      </c>
      <c r="U1379" t="s">
        <v>173</v>
      </c>
      <c r="V1379">
        <v>0</v>
      </c>
      <c r="W1379" t="s">
        <v>174</v>
      </c>
      <c r="X1379">
        <v>0</v>
      </c>
      <c r="Z1379" t="s">
        <v>173</v>
      </c>
      <c r="AA1379" t="s">
        <v>173</v>
      </c>
    </row>
    <row r="1380" spans="1:27" x14ac:dyDescent="0.3">
      <c r="A1380">
        <v>1379</v>
      </c>
      <c r="B1380" t="s">
        <v>169</v>
      </c>
      <c r="C1380">
        <v>99019875</v>
      </c>
      <c r="D1380" s="7" t="s">
        <v>69</v>
      </c>
      <c r="E1380" t="s">
        <v>70</v>
      </c>
      <c r="F1380" t="s">
        <v>170</v>
      </c>
      <c r="G1380" t="s">
        <v>177</v>
      </c>
      <c r="H1380">
        <v>16</v>
      </c>
      <c r="I1380">
        <v>0</v>
      </c>
      <c r="J1380">
        <v>16</v>
      </c>
      <c r="K1380" s="133">
        <v>10280</v>
      </c>
      <c r="L1380" s="133">
        <v>10280</v>
      </c>
      <c r="M1380" s="150">
        <v>0.61814814814814811</v>
      </c>
      <c r="N1380" s="150">
        <v>0.61818287037037034</v>
      </c>
      <c r="O1380" t="s">
        <v>172</v>
      </c>
      <c r="Q1380">
        <v>2523668</v>
      </c>
      <c r="R1380">
        <v>2523668</v>
      </c>
      <c r="S1380">
        <v>2522965</v>
      </c>
      <c r="T1380">
        <v>0</v>
      </c>
      <c r="U1380" t="s">
        <v>173</v>
      </c>
      <c r="V1380">
        <v>0</v>
      </c>
      <c r="W1380" t="s">
        <v>174</v>
      </c>
      <c r="X1380">
        <v>2522965</v>
      </c>
      <c r="Z1380" t="s">
        <v>173</v>
      </c>
      <c r="AA1380" t="s">
        <v>173</v>
      </c>
    </row>
    <row r="1381" spans="1:27" x14ac:dyDescent="0.3">
      <c r="A1381">
        <v>1380</v>
      </c>
      <c r="B1381" t="s">
        <v>169</v>
      </c>
      <c r="C1381">
        <v>99019875</v>
      </c>
      <c r="D1381" s="7" t="s">
        <v>114</v>
      </c>
      <c r="E1381" t="s">
        <v>115</v>
      </c>
      <c r="F1381" t="s">
        <v>176</v>
      </c>
      <c r="G1381" t="s">
        <v>171</v>
      </c>
      <c r="H1381">
        <v>66</v>
      </c>
      <c r="I1381">
        <v>0</v>
      </c>
      <c r="J1381">
        <v>66</v>
      </c>
      <c r="K1381" s="133">
        <v>53840</v>
      </c>
      <c r="L1381" s="133">
        <v>53840</v>
      </c>
      <c r="M1381" s="150">
        <v>0.61819444444444438</v>
      </c>
      <c r="N1381" s="150">
        <v>0.61835648148148148</v>
      </c>
      <c r="O1381" t="s">
        <v>172</v>
      </c>
      <c r="Q1381">
        <v>2523785</v>
      </c>
      <c r="R1381">
        <v>2523785</v>
      </c>
      <c r="S1381">
        <v>0</v>
      </c>
      <c r="T1381">
        <v>0</v>
      </c>
      <c r="U1381" t="s">
        <v>173</v>
      </c>
      <c r="V1381">
        <v>0</v>
      </c>
      <c r="W1381" t="s">
        <v>174</v>
      </c>
      <c r="X1381">
        <v>0</v>
      </c>
      <c r="Z1381" t="s">
        <v>173</v>
      </c>
      <c r="AA1381" t="s">
        <v>173</v>
      </c>
    </row>
    <row r="1382" spans="1:27" x14ac:dyDescent="0.3">
      <c r="A1382">
        <v>1381</v>
      </c>
      <c r="B1382" t="s">
        <v>169</v>
      </c>
      <c r="C1382">
        <v>99019875</v>
      </c>
      <c r="D1382" s="7" t="s">
        <v>62</v>
      </c>
      <c r="E1382" t="s">
        <v>63</v>
      </c>
      <c r="F1382" t="s">
        <v>176</v>
      </c>
      <c r="G1382" t="s">
        <v>171</v>
      </c>
      <c r="H1382">
        <v>89</v>
      </c>
      <c r="I1382">
        <v>0</v>
      </c>
      <c r="J1382">
        <v>89</v>
      </c>
      <c r="K1382" s="133">
        <v>34055</v>
      </c>
      <c r="L1382" s="133">
        <v>34055</v>
      </c>
      <c r="M1382" s="150">
        <v>0.61819444444444438</v>
      </c>
      <c r="N1382" s="150">
        <v>0.61819444444444438</v>
      </c>
      <c r="O1382" t="s">
        <v>172</v>
      </c>
      <c r="Q1382">
        <v>2523786</v>
      </c>
      <c r="R1382">
        <v>2523786</v>
      </c>
      <c r="S1382">
        <v>0</v>
      </c>
      <c r="T1382">
        <v>0</v>
      </c>
      <c r="U1382" t="s">
        <v>173</v>
      </c>
      <c r="V1382">
        <v>0</v>
      </c>
      <c r="W1382" t="s">
        <v>174</v>
      </c>
      <c r="X1382">
        <v>0</v>
      </c>
      <c r="Z1382" t="s">
        <v>173</v>
      </c>
      <c r="AA1382" t="s">
        <v>173</v>
      </c>
    </row>
    <row r="1383" spans="1:27" x14ac:dyDescent="0.3">
      <c r="A1383">
        <v>1382</v>
      </c>
      <c r="B1383" t="s">
        <v>169</v>
      </c>
      <c r="C1383">
        <v>99019875</v>
      </c>
      <c r="D1383" s="7" t="s">
        <v>75</v>
      </c>
      <c r="E1383" t="s">
        <v>76</v>
      </c>
      <c r="F1383" t="s">
        <v>170</v>
      </c>
      <c r="G1383" t="s">
        <v>171</v>
      </c>
      <c r="H1383">
        <v>83</v>
      </c>
      <c r="I1383">
        <v>0</v>
      </c>
      <c r="J1383">
        <v>83</v>
      </c>
      <c r="K1383" s="133">
        <v>20785</v>
      </c>
      <c r="L1383" s="133">
        <v>20785</v>
      </c>
      <c r="M1383" s="150">
        <v>0.61819444444444438</v>
      </c>
      <c r="N1383" s="150">
        <v>0.6184722222222222</v>
      </c>
      <c r="O1383" t="s">
        <v>172</v>
      </c>
      <c r="Q1383">
        <v>2523788</v>
      </c>
      <c r="R1383">
        <v>2523788</v>
      </c>
      <c r="S1383">
        <v>0</v>
      </c>
      <c r="T1383">
        <v>0</v>
      </c>
      <c r="U1383" t="s">
        <v>173</v>
      </c>
      <c r="V1383">
        <v>0</v>
      </c>
      <c r="W1383" t="s">
        <v>174</v>
      </c>
      <c r="X1383">
        <v>0</v>
      </c>
      <c r="Z1383" t="s">
        <v>173</v>
      </c>
      <c r="AA1383" t="s">
        <v>173</v>
      </c>
    </row>
    <row r="1384" spans="1:27" x14ac:dyDescent="0.3">
      <c r="A1384">
        <v>1383</v>
      </c>
      <c r="B1384" t="s">
        <v>169</v>
      </c>
      <c r="C1384">
        <v>99019875</v>
      </c>
      <c r="D1384" s="7" t="s">
        <v>102</v>
      </c>
      <c r="E1384" t="s">
        <v>103</v>
      </c>
      <c r="F1384" t="s">
        <v>170</v>
      </c>
      <c r="G1384" t="s">
        <v>171</v>
      </c>
      <c r="H1384">
        <v>53</v>
      </c>
      <c r="I1384">
        <v>0</v>
      </c>
      <c r="J1384">
        <v>53</v>
      </c>
      <c r="K1384" s="133">
        <v>26850</v>
      </c>
      <c r="L1384" s="133">
        <v>26850</v>
      </c>
      <c r="M1384" s="150">
        <v>0.61819444444444438</v>
      </c>
      <c r="N1384" s="150">
        <v>0.61853009259259262</v>
      </c>
      <c r="O1384" t="s">
        <v>172</v>
      </c>
      <c r="Q1384">
        <v>2523789</v>
      </c>
      <c r="R1384">
        <v>2523789</v>
      </c>
      <c r="S1384">
        <v>0</v>
      </c>
      <c r="T1384">
        <v>0</v>
      </c>
      <c r="U1384" t="s">
        <v>173</v>
      </c>
      <c r="V1384">
        <v>0</v>
      </c>
      <c r="W1384" t="s">
        <v>174</v>
      </c>
      <c r="X1384">
        <v>0</v>
      </c>
      <c r="Z1384" t="s">
        <v>173</v>
      </c>
      <c r="AA1384" t="s">
        <v>173</v>
      </c>
    </row>
    <row r="1385" spans="1:27" x14ac:dyDescent="0.3">
      <c r="A1385">
        <v>1384</v>
      </c>
      <c r="B1385" t="s">
        <v>169</v>
      </c>
      <c r="C1385">
        <v>99019875</v>
      </c>
      <c r="D1385" s="7" t="s">
        <v>89</v>
      </c>
      <c r="E1385" t="s">
        <v>90</v>
      </c>
      <c r="F1385" t="s">
        <v>176</v>
      </c>
      <c r="G1385" t="s">
        <v>171</v>
      </c>
      <c r="H1385">
        <v>30</v>
      </c>
      <c r="I1385">
        <v>0</v>
      </c>
      <c r="J1385">
        <v>30</v>
      </c>
      <c r="K1385" s="133">
        <v>3090</v>
      </c>
      <c r="L1385" s="133">
        <v>3090</v>
      </c>
      <c r="M1385" s="150">
        <v>0.61819444444444438</v>
      </c>
      <c r="N1385" s="150">
        <v>0.61934027777777778</v>
      </c>
      <c r="O1385" t="s">
        <v>172</v>
      </c>
      <c r="Q1385">
        <v>2523794</v>
      </c>
      <c r="R1385">
        <v>2523794</v>
      </c>
      <c r="S1385">
        <v>0</v>
      </c>
      <c r="T1385">
        <v>0</v>
      </c>
      <c r="U1385" t="s">
        <v>173</v>
      </c>
      <c r="V1385">
        <v>0</v>
      </c>
      <c r="W1385" t="s">
        <v>174</v>
      </c>
      <c r="X1385">
        <v>0</v>
      </c>
      <c r="Z1385" t="s">
        <v>173</v>
      </c>
      <c r="AA1385" t="s">
        <v>173</v>
      </c>
    </row>
    <row r="1386" spans="1:27" x14ac:dyDescent="0.3">
      <c r="A1386">
        <v>1385</v>
      </c>
      <c r="B1386" t="s">
        <v>169</v>
      </c>
      <c r="C1386">
        <v>99019875</v>
      </c>
      <c r="D1386" s="7" t="s">
        <v>100</v>
      </c>
      <c r="E1386" t="s">
        <v>101</v>
      </c>
      <c r="F1386" t="s">
        <v>170</v>
      </c>
      <c r="G1386" t="s">
        <v>171</v>
      </c>
      <c r="H1386">
        <v>4</v>
      </c>
      <c r="I1386">
        <v>0</v>
      </c>
      <c r="J1386">
        <v>4</v>
      </c>
      <c r="K1386" s="133">
        <v>15515</v>
      </c>
      <c r="L1386" s="133">
        <v>15515</v>
      </c>
      <c r="M1386" s="150">
        <v>0.61819444444444438</v>
      </c>
      <c r="N1386" s="150">
        <v>0.61886574074074074</v>
      </c>
      <c r="O1386" t="s">
        <v>172</v>
      </c>
      <c r="Q1386">
        <v>2523795</v>
      </c>
      <c r="R1386">
        <v>2523795</v>
      </c>
      <c r="S1386">
        <v>0</v>
      </c>
      <c r="T1386">
        <v>0</v>
      </c>
      <c r="U1386" t="s">
        <v>173</v>
      </c>
      <c r="V1386">
        <v>0</v>
      </c>
      <c r="W1386" t="s">
        <v>174</v>
      </c>
      <c r="X1386">
        <v>0</v>
      </c>
      <c r="Z1386" t="s">
        <v>173</v>
      </c>
      <c r="AA1386" t="s">
        <v>173</v>
      </c>
    </row>
    <row r="1387" spans="1:27" x14ac:dyDescent="0.3">
      <c r="A1387">
        <v>1386</v>
      </c>
      <c r="B1387" t="s">
        <v>169</v>
      </c>
      <c r="C1387">
        <v>99019875</v>
      </c>
      <c r="D1387" s="7" t="s">
        <v>87</v>
      </c>
      <c r="E1387" t="s">
        <v>88</v>
      </c>
      <c r="F1387" t="s">
        <v>170</v>
      </c>
      <c r="G1387" t="s">
        <v>171</v>
      </c>
      <c r="H1387">
        <v>6</v>
      </c>
      <c r="I1387">
        <v>0</v>
      </c>
      <c r="J1387">
        <v>6</v>
      </c>
      <c r="K1387" s="133">
        <v>12150</v>
      </c>
      <c r="L1387" s="133">
        <v>12150</v>
      </c>
      <c r="M1387" s="150">
        <v>0.61819444444444438</v>
      </c>
      <c r="N1387" s="150">
        <v>0.61831018518518521</v>
      </c>
      <c r="O1387" t="s">
        <v>172</v>
      </c>
      <c r="Q1387">
        <v>2523796</v>
      </c>
      <c r="R1387">
        <v>2523796</v>
      </c>
      <c r="S1387">
        <v>0</v>
      </c>
      <c r="T1387">
        <v>0</v>
      </c>
      <c r="U1387" t="s">
        <v>173</v>
      </c>
      <c r="V1387">
        <v>0</v>
      </c>
      <c r="W1387" t="s">
        <v>174</v>
      </c>
      <c r="X1387">
        <v>0</v>
      </c>
      <c r="Z1387" t="s">
        <v>173</v>
      </c>
      <c r="AA1387" t="s">
        <v>173</v>
      </c>
    </row>
    <row r="1388" spans="1:27" x14ac:dyDescent="0.3">
      <c r="A1388">
        <v>1387</v>
      </c>
      <c r="B1388" t="s">
        <v>169</v>
      </c>
      <c r="C1388">
        <v>99019875</v>
      </c>
      <c r="D1388" s="7" t="s">
        <v>108</v>
      </c>
      <c r="E1388" t="s">
        <v>109</v>
      </c>
      <c r="F1388" t="s">
        <v>170</v>
      </c>
      <c r="G1388" t="s">
        <v>171</v>
      </c>
      <c r="H1388">
        <v>23</v>
      </c>
      <c r="I1388">
        <v>0</v>
      </c>
      <c r="J1388">
        <v>23</v>
      </c>
      <c r="K1388" s="133">
        <v>2715</v>
      </c>
      <c r="L1388" s="133">
        <v>2715</v>
      </c>
      <c r="M1388" s="150">
        <v>0.61819444444444438</v>
      </c>
      <c r="N1388" s="150">
        <v>0.62351851851851847</v>
      </c>
      <c r="O1388" t="s">
        <v>172</v>
      </c>
      <c r="Q1388">
        <v>2523797</v>
      </c>
      <c r="R1388">
        <v>2523797</v>
      </c>
      <c r="S1388">
        <v>0</v>
      </c>
      <c r="T1388">
        <v>0</v>
      </c>
      <c r="U1388" t="s">
        <v>173</v>
      </c>
      <c r="V1388">
        <v>0</v>
      </c>
      <c r="W1388" t="s">
        <v>174</v>
      </c>
      <c r="X1388">
        <v>0</v>
      </c>
      <c r="Z1388" t="s">
        <v>173</v>
      </c>
      <c r="AA1388" t="s">
        <v>173</v>
      </c>
    </row>
    <row r="1389" spans="1:27" x14ac:dyDescent="0.3">
      <c r="A1389">
        <v>1388</v>
      </c>
      <c r="B1389" t="s">
        <v>169</v>
      </c>
      <c r="C1389">
        <v>99019875</v>
      </c>
      <c r="D1389" s="7" t="s">
        <v>118</v>
      </c>
      <c r="E1389" t="s">
        <v>119</v>
      </c>
      <c r="F1389" t="s">
        <v>176</v>
      </c>
      <c r="G1389" t="s">
        <v>171</v>
      </c>
      <c r="H1389">
        <v>19</v>
      </c>
      <c r="I1389">
        <v>0</v>
      </c>
      <c r="J1389">
        <v>19</v>
      </c>
      <c r="K1389" s="133">
        <v>12445</v>
      </c>
      <c r="L1389" s="133">
        <v>12445</v>
      </c>
      <c r="M1389" s="150">
        <v>0.61819444444444438</v>
      </c>
      <c r="N1389" s="150">
        <v>0.61875000000000002</v>
      </c>
      <c r="O1389" t="s">
        <v>172</v>
      </c>
      <c r="Q1389">
        <v>2523803</v>
      </c>
      <c r="R1389">
        <v>2523803</v>
      </c>
      <c r="S1389">
        <v>0</v>
      </c>
      <c r="T1389">
        <v>0</v>
      </c>
      <c r="U1389" t="s">
        <v>173</v>
      </c>
      <c r="V1389">
        <v>0</v>
      </c>
      <c r="W1389" t="s">
        <v>174</v>
      </c>
      <c r="X1389">
        <v>0</v>
      </c>
      <c r="Z1389" t="s">
        <v>173</v>
      </c>
      <c r="AA1389" t="s">
        <v>173</v>
      </c>
    </row>
    <row r="1390" spans="1:27" x14ac:dyDescent="0.3">
      <c r="A1390">
        <v>1389</v>
      </c>
      <c r="B1390" t="s">
        <v>169</v>
      </c>
      <c r="C1390">
        <v>99019875</v>
      </c>
      <c r="D1390" s="7" t="s">
        <v>69</v>
      </c>
      <c r="E1390" t="s">
        <v>70</v>
      </c>
      <c r="F1390" t="s">
        <v>170</v>
      </c>
      <c r="G1390" t="s">
        <v>171</v>
      </c>
      <c r="H1390">
        <v>17</v>
      </c>
      <c r="I1390">
        <v>0</v>
      </c>
      <c r="J1390">
        <v>17</v>
      </c>
      <c r="K1390" s="133">
        <v>10275</v>
      </c>
      <c r="L1390" s="133">
        <v>10275</v>
      </c>
      <c r="M1390" s="150">
        <v>0.61819444444444438</v>
      </c>
      <c r="N1390" s="150">
        <v>0.61835648148148148</v>
      </c>
      <c r="O1390" t="s">
        <v>172</v>
      </c>
      <c r="Q1390">
        <v>2523806</v>
      </c>
      <c r="R1390">
        <v>2523806</v>
      </c>
      <c r="S1390">
        <v>0</v>
      </c>
      <c r="T1390">
        <v>0</v>
      </c>
      <c r="U1390" t="s">
        <v>173</v>
      </c>
      <c r="V1390">
        <v>0</v>
      </c>
      <c r="W1390" t="s">
        <v>174</v>
      </c>
      <c r="X1390">
        <v>0</v>
      </c>
      <c r="Z1390" t="s">
        <v>173</v>
      </c>
      <c r="AA1390" t="s">
        <v>173</v>
      </c>
    </row>
    <row r="1391" spans="1:27" x14ac:dyDescent="0.3">
      <c r="A1391">
        <v>1390</v>
      </c>
      <c r="B1391" t="s">
        <v>169</v>
      </c>
      <c r="C1391">
        <v>99019875</v>
      </c>
      <c r="D1391" s="7" t="s">
        <v>94</v>
      </c>
      <c r="E1391" t="s">
        <v>95</v>
      </c>
      <c r="F1391" t="s">
        <v>170</v>
      </c>
      <c r="G1391" t="s">
        <v>177</v>
      </c>
      <c r="H1391">
        <v>1</v>
      </c>
      <c r="I1391">
        <v>0</v>
      </c>
      <c r="J1391">
        <v>1</v>
      </c>
      <c r="K1391" s="133">
        <v>21985</v>
      </c>
      <c r="L1391" s="133">
        <v>21985</v>
      </c>
      <c r="M1391" s="150">
        <v>0.61819444444444438</v>
      </c>
      <c r="N1391" s="150">
        <v>0.61974537037037036</v>
      </c>
      <c r="O1391" t="s">
        <v>172</v>
      </c>
      <c r="Q1391">
        <v>2523823</v>
      </c>
      <c r="R1391">
        <v>2523823</v>
      </c>
      <c r="S1391">
        <v>2521035</v>
      </c>
      <c r="T1391">
        <v>0</v>
      </c>
      <c r="U1391" t="s">
        <v>173</v>
      </c>
      <c r="V1391">
        <v>0</v>
      </c>
      <c r="W1391" t="s">
        <v>174</v>
      </c>
      <c r="X1391">
        <v>2521035</v>
      </c>
      <c r="Z1391" t="s">
        <v>173</v>
      </c>
      <c r="AA1391" t="s">
        <v>173</v>
      </c>
    </row>
    <row r="1392" spans="1:27" x14ac:dyDescent="0.3">
      <c r="A1392">
        <v>1391</v>
      </c>
      <c r="B1392" t="s">
        <v>169</v>
      </c>
      <c r="C1392">
        <v>99019875</v>
      </c>
      <c r="D1392" s="7" t="s">
        <v>94</v>
      </c>
      <c r="E1392" t="s">
        <v>95</v>
      </c>
      <c r="F1392" t="s">
        <v>170</v>
      </c>
      <c r="G1392" t="s">
        <v>171</v>
      </c>
      <c r="H1392">
        <v>1</v>
      </c>
      <c r="I1392">
        <v>0</v>
      </c>
      <c r="J1392">
        <v>1</v>
      </c>
      <c r="K1392" s="133">
        <v>21985</v>
      </c>
      <c r="L1392" s="133">
        <v>21985</v>
      </c>
      <c r="M1392" s="150">
        <v>0.61821759259259257</v>
      </c>
      <c r="N1392" s="150">
        <v>0.61974537037037036</v>
      </c>
      <c r="O1392" t="s">
        <v>172</v>
      </c>
      <c r="Q1392">
        <v>2523870</v>
      </c>
      <c r="R1392">
        <v>2523870</v>
      </c>
      <c r="S1392">
        <v>0</v>
      </c>
      <c r="T1392">
        <v>0</v>
      </c>
      <c r="U1392" t="s">
        <v>173</v>
      </c>
      <c r="V1392">
        <v>0</v>
      </c>
      <c r="W1392" t="s">
        <v>174</v>
      </c>
      <c r="X1392">
        <v>0</v>
      </c>
      <c r="Z1392" t="s">
        <v>173</v>
      </c>
      <c r="AA1392" t="s">
        <v>173</v>
      </c>
    </row>
    <row r="1393" spans="1:27" x14ac:dyDescent="0.3">
      <c r="A1393">
        <v>1392</v>
      </c>
      <c r="B1393" t="s">
        <v>169</v>
      </c>
      <c r="C1393">
        <v>99019875</v>
      </c>
      <c r="D1393" s="7" t="s">
        <v>65</v>
      </c>
      <c r="E1393" t="s">
        <v>66</v>
      </c>
      <c r="F1393" t="s">
        <v>176</v>
      </c>
      <c r="G1393" t="s">
        <v>177</v>
      </c>
      <c r="H1393">
        <v>58</v>
      </c>
      <c r="I1393">
        <v>0</v>
      </c>
      <c r="J1393">
        <v>58</v>
      </c>
      <c r="K1393" s="133">
        <v>4750</v>
      </c>
      <c r="L1393" s="133">
        <v>4750</v>
      </c>
      <c r="M1393" s="150">
        <v>0.61824074074074076</v>
      </c>
      <c r="N1393" s="150">
        <v>0.61827546296296299</v>
      </c>
      <c r="O1393" t="s">
        <v>172</v>
      </c>
      <c r="Q1393">
        <v>2523922</v>
      </c>
      <c r="R1393">
        <v>2523922</v>
      </c>
      <c r="S1393">
        <v>2523802</v>
      </c>
      <c r="T1393">
        <v>0</v>
      </c>
      <c r="U1393" t="s">
        <v>173</v>
      </c>
      <c r="V1393">
        <v>0</v>
      </c>
      <c r="W1393" t="s">
        <v>174</v>
      </c>
      <c r="X1393">
        <v>2523802</v>
      </c>
      <c r="Z1393" t="s">
        <v>173</v>
      </c>
      <c r="AA1393" t="s">
        <v>173</v>
      </c>
    </row>
    <row r="1394" spans="1:27" x14ac:dyDescent="0.3">
      <c r="A1394">
        <v>1393</v>
      </c>
      <c r="B1394" t="s">
        <v>169</v>
      </c>
      <c r="C1394">
        <v>99019875</v>
      </c>
      <c r="D1394" s="7" t="s">
        <v>71</v>
      </c>
      <c r="E1394" t="s">
        <v>72</v>
      </c>
      <c r="F1394" t="s">
        <v>176</v>
      </c>
      <c r="G1394" t="s">
        <v>177</v>
      </c>
      <c r="H1394">
        <v>18</v>
      </c>
      <c r="I1394">
        <v>0</v>
      </c>
      <c r="J1394">
        <v>18</v>
      </c>
      <c r="K1394" s="133">
        <v>18025</v>
      </c>
      <c r="L1394" s="133">
        <v>18025</v>
      </c>
      <c r="M1394" s="150">
        <v>0.6182523148148148</v>
      </c>
      <c r="N1394" s="150">
        <v>0.61834490740740744</v>
      </c>
      <c r="O1394" t="s">
        <v>172</v>
      </c>
      <c r="Q1394">
        <v>2523939</v>
      </c>
      <c r="R1394">
        <v>2523939</v>
      </c>
      <c r="S1394">
        <v>2522960</v>
      </c>
      <c r="T1394">
        <v>0</v>
      </c>
      <c r="U1394" t="s">
        <v>173</v>
      </c>
      <c r="V1394">
        <v>0</v>
      </c>
      <c r="W1394" t="s">
        <v>174</v>
      </c>
      <c r="X1394">
        <v>2522960</v>
      </c>
      <c r="Z1394" t="s">
        <v>173</v>
      </c>
      <c r="AA1394" t="s">
        <v>173</v>
      </c>
    </row>
    <row r="1395" spans="1:27" x14ac:dyDescent="0.3">
      <c r="A1395">
        <v>1394</v>
      </c>
      <c r="B1395" t="s">
        <v>169</v>
      </c>
      <c r="C1395">
        <v>99019875</v>
      </c>
      <c r="D1395" s="7" t="s">
        <v>71</v>
      </c>
      <c r="E1395" t="s">
        <v>72</v>
      </c>
      <c r="F1395" t="s">
        <v>176</v>
      </c>
      <c r="G1395" t="s">
        <v>177</v>
      </c>
      <c r="H1395">
        <v>19</v>
      </c>
      <c r="I1395">
        <v>0</v>
      </c>
      <c r="J1395">
        <v>19</v>
      </c>
      <c r="K1395" s="133">
        <v>18025</v>
      </c>
      <c r="L1395" s="133">
        <v>18025</v>
      </c>
      <c r="M1395" s="150">
        <v>0.6182523148148148</v>
      </c>
      <c r="N1395" s="150">
        <v>0.61834490740740744</v>
      </c>
      <c r="O1395" t="s">
        <v>172</v>
      </c>
      <c r="Q1395">
        <v>2523940</v>
      </c>
      <c r="R1395">
        <v>2523940</v>
      </c>
      <c r="S1395">
        <v>2523801</v>
      </c>
      <c r="T1395">
        <v>0</v>
      </c>
      <c r="U1395" t="s">
        <v>173</v>
      </c>
      <c r="V1395">
        <v>0</v>
      </c>
      <c r="W1395" t="s">
        <v>174</v>
      </c>
      <c r="X1395">
        <v>2523801</v>
      </c>
      <c r="Z1395" t="s">
        <v>173</v>
      </c>
      <c r="AA1395" t="s">
        <v>173</v>
      </c>
    </row>
    <row r="1396" spans="1:27" x14ac:dyDescent="0.3">
      <c r="A1396">
        <v>1395</v>
      </c>
      <c r="B1396" t="s">
        <v>169</v>
      </c>
      <c r="C1396">
        <v>99019875</v>
      </c>
      <c r="D1396" s="7" t="s">
        <v>110</v>
      </c>
      <c r="E1396" t="s">
        <v>179</v>
      </c>
      <c r="F1396" t="s">
        <v>170</v>
      </c>
      <c r="G1396" t="s">
        <v>177</v>
      </c>
      <c r="H1396">
        <v>3</v>
      </c>
      <c r="I1396">
        <v>0</v>
      </c>
      <c r="J1396">
        <v>3</v>
      </c>
      <c r="K1396" s="133">
        <v>48495</v>
      </c>
      <c r="L1396" s="133">
        <v>48495</v>
      </c>
      <c r="M1396" s="150">
        <v>0.61832175925925925</v>
      </c>
      <c r="N1396" s="150">
        <v>0.6187731481481481</v>
      </c>
      <c r="O1396" t="s">
        <v>172</v>
      </c>
      <c r="Q1396">
        <v>2524122</v>
      </c>
      <c r="R1396">
        <v>2524122</v>
      </c>
      <c r="S1396">
        <v>2523793</v>
      </c>
      <c r="T1396">
        <v>0</v>
      </c>
      <c r="U1396" t="s">
        <v>173</v>
      </c>
      <c r="V1396">
        <v>0</v>
      </c>
      <c r="W1396" t="s">
        <v>174</v>
      </c>
      <c r="X1396">
        <v>2523793</v>
      </c>
      <c r="Z1396" t="s">
        <v>173</v>
      </c>
      <c r="AA1396" t="s">
        <v>173</v>
      </c>
    </row>
    <row r="1397" spans="1:27" x14ac:dyDescent="0.3">
      <c r="A1397">
        <v>1396</v>
      </c>
      <c r="B1397" t="s">
        <v>169</v>
      </c>
      <c r="C1397">
        <v>99019875</v>
      </c>
      <c r="D1397" s="7" t="s">
        <v>122</v>
      </c>
      <c r="E1397" t="s">
        <v>123</v>
      </c>
      <c r="F1397" t="s">
        <v>170</v>
      </c>
      <c r="G1397" t="s">
        <v>177</v>
      </c>
      <c r="H1397">
        <v>20</v>
      </c>
      <c r="I1397">
        <v>0</v>
      </c>
      <c r="J1397">
        <v>20</v>
      </c>
      <c r="K1397" s="133">
        <v>36045</v>
      </c>
      <c r="L1397" s="133">
        <v>36045</v>
      </c>
      <c r="M1397" s="150">
        <v>0.61833333333333329</v>
      </c>
      <c r="N1397" s="150">
        <v>0.61966435185185187</v>
      </c>
      <c r="O1397" t="s">
        <v>172</v>
      </c>
      <c r="Q1397">
        <v>2524156</v>
      </c>
      <c r="R1397">
        <v>2524156</v>
      </c>
      <c r="S1397">
        <v>2517916</v>
      </c>
      <c r="T1397">
        <v>0</v>
      </c>
      <c r="U1397" t="s">
        <v>173</v>
      </c>
      <c r="V1397">
        <v>0</v>
      </c>
      <c r="W1397" t="s">
        <v>174</v>
      </c>
      <c r="X1397">
        <v>2517916</v>
      </c>
      <c r="Z1397" t="s">
        <v>173</v>
      </c>
      <c r="AA1397" t="s">
        <v>173</v>
      </c>
    </row>
    <row r="1398" spans="1:27" x14ac:dyDescent="0.3">
      <c r="A1398">
        <v>1397</v>
      </c>
      <c r="B1398" t="s">
        <v>169</v>
      </c>
      <c r="C1398">
        <v>99019875</v>
      </c>
      <c r="D1398" s="7" t="s">
        <v>122</v>
      </c>
      <c r="E1398" t="s">
        <v>123</v>
      </c>
      <c r="F1398" t="s">
        <v>170</v>
      </c>
      <c r="G1398" t="s">
        <v>177</v>
      </c>
      <c r="H1398">
        <v>20</v>
      </c>
      <c r="I1398">
        <v>0</v>
      </c>
      <c r="J1398">
        <v>20</v>
      </c>
      <c r="K1398" s="133">
        <v>36045</v>
      </c>
      <c r="L1398" s="133">
        <v>36045</v>
      </c>
      <c r="M1398" s="150">
        <v>0.61833333333333329</v>
      </c>
      <c r="N1398" s="150">
        <v>0.61966435185185187</v>
      </c>
      <c r="O1398" t="s">
        <v>172</v>
      </c>
      <c r="Q1398">
        <v>2524157</v>
      </c>
      <c r="R1398">
        <v>2524157</v>
      </c>
      <c r="S1398">
        <v>2517917</v>
      </c>
      <c r="T1398">
        <v>0</v>
      </c>
      <c r="U1398" t="s">
        <v>173</v>
      </c>
      <c r="V1398">
        <v>0</v>
      </c>
      <c r="W1398" t="s">
        <v>174</v>
      </c>
      <c r="X1398">
        <v>2517917</v>
      </c>
      <c r="Z1398" t="s">
        <v>173</v>
      </c>
      <c r="AA1398" t="s">
        <v>173</v>
      </c>
    </row>
    <row r="1399" spans="1:27" x14ac:dyDescent="0.3">
      <c r="A1399">
        <v>1398</v>
      </c>
      <c r="B1399" t="s">
        <v>169</v>
      </c>
      <c r="C1399">
        <v>99019875</v>
      </c>
      <c r="D1399" s="7" t="s">
        <v>122</v>
      </c>
      <c r="E1399" t="s">
        <v>123</v>
      </c>
      <c r="F1399" t="s">
        <v>170</v>
      </c>
      <c r="G1399" t="s">
        <v>177</v>
      </c>
      <c r="H1399">
        <v>19</v>
      </c>
      <c r="I1399">
        <v>0</v>
      </c>
      <c r="J1399">
        <v>19</v>
      </c>
      <c r="K1399" s="133">
        <v>36045</v>
      </c>
      <c r="L1399" s="133">
        <v>36045</v>
      </c>
      <c r="M1399" s="150">
        <v>0.61833333333333329</v>
      </c>
      <c r="N1399" s="150">
        <v>0.61966435185185187</v>
      </c>
      <c r="O1399" t="s">
        <v>172</v>
      </c>
      <c r="Q1399">
        <v>2524158</v>
      </c>
      <c r="R1399">
        <v>2524158</v>
      </c>
      <c r="S1399">
        <v>2518421</v>
      </c>
      <c r="T1399">
        <v>0</v>
      </c>
      <c r="U1399" t="s">
        <v>173</v>
      </c>
      <c r="V1399">
        <v>0</v>
      </c>
      <c r="W1399" t="s">
        <v>174</v>
      </c>
      <c r="X1399">
        <v>2518421</v>
      </c>
      <c r="Z1399" t="s">
        <v>173</v>
      </c>
      <c r="AA1399" t="s">
        <v>173</v>
      </c>
    </row>
    <row r="1400" spans="1:27" x14ac:dyDescent="0.3">
      <c r="A1400">
        <v>1399</v>
      </c>
      <c r="B1400" t="s">
        <v>169</v>
      </c>
      <c r="C1400">
        <v>99019875</v>
      </c>
      <c r="D1400" s="7" t="s">
        <v>122</v>
      </c>
      <c r="E1400" t="s">
        <v>123</v>
      </c>
      <c r="F1400" t="s">
        <v>170</v>
      </c>
      <c r="G1400" t="s">
        <v>177</v>
      </c>
      <c r="H1400">
        <v>20</v>
      </c>
      <c r="I1400">
        <v>0</v>
      </c>
      <c r="J1400">
        <v>20</v>
      </c>
      <c r="K1400" s="133">
        <v>36045</v>
      </c>
      <c r="L1400" s="133">
        <v>36045</v>
      </c>
      <c r="M1400" s="150">
        <v>0.61833333333333329</v>
      </c>
      <c r="N1400" s="150">
        <v>0.61966435185185187</v>
      </c>
      <c r="O1400" t="s">
        <v>172</v>
      </c>
      <c r="Q1400">
        <v>2524159</v>
      </c>
      <c r="R1400">
        <v>2524159</v>
      </c>
      <c r="S1400">
        <v>2519156</v>
      </c>
      <c r="T1400">
        <v>0</v>
      </c>
      <c r="U1400" t="s">
        <v>173</v>
      </c>
      <c r="V1400">
        <v>0</v>
      </c>
      <c r="W1400" t="s">
        <v>174</v>
      </c>
      <c r="X1400">
        <v>2519156</v>
      </c>
      <c r="Z1400" t="s">
        <v>173</v>
      </c>
      <c r="AA1400" t="s">
        <v>173</v>
      </c>
    </row>
    <row r="1401" spans="1:27" x14ac:dyDescent="0.3">
      <c r="A1401">
        <v>1400</v>
      </c>
      <c r="B1401" t="s">
        <v>169</v>
      </c>
      <c r="C1401">
        <v>99019875</v>
      </c>
      <c r="D1401" s="7" t="s">
        <v>122</v>
      </c>
      <c r="E1401" t="s">
        <v>123</v>
      </c>
      <c r="F1401" t="s">
        <v>170</v>
      </c>
      <c r="G1401" t="s">
        <v>177</v>
      </c>
      <c r="H1401">
        <v>19</v>
      </c>
      <c r="I1401">
        <v>0</v>
      </c>
      <c r="J1401">
        <v>19</v>
      </c>
      <c r="K1401" s="133">
        <v>36045</v>
      </c>
      <c r="L1401" s="133">
        <v>36045</v>
      </c>
      <c r="M1401" s="150">
        <v>0.61833333333333329</v>
      </c>
      <c r="N1401" s="150">
        <v>0.61966435185185187</v>
      </c>
      <c r="O1401" t="s">
        <v>172</v>
      </c>
      <c r="Q1401">
        <v>2524160</v>
      </c>
      <c r="R1401">
        <v>2524160</v>
      </c>
      <c r="S1401">
        <v>2520248</v>
      </c>
      <c r="T1401">
        <v>0</v>
      </c>
      <c r="U1401" t="s">
        <v>173</v>
      </c>
      <c r="V1401">
        <v>0</v>
      </c>
      <c r="W1401" t="s">
        <v>174</v>
      </c>
      <c r="X1401">
        <v>2520248</v>
      </c>
      <c r="Z1401" t="s">
        <v>173</v>
      </c>
      <c r="AA1401" t="s">
        <v>173</v>
      </c>
    </row>
    <row r="1402" spans="1:27" x14ac:dyDescent="0.3">
      <c r="A1402">
        <v>1401</v>
      </c>
      <c r="B1402" t="s">
        <v>169</v>
      </c>
      <c r="C1402">
        <v>99019875</v>
      </c>
      <c r="D1402" s="7" t="s">
        <v>122</v>
      </c>
      <c r="E1402" t="s">
        <v>123</v>
      </c>
      <c r="F1402" t="s">
        <v>170</v>
      </c>
      <c r="G1402" t="s">
        <v>177</v>
      </c>
      <c r="H1402">
        <v>20</v>
      </c>
      <c r="I1402">
        <v>0</v>
      </c>
      <c r="J1402">
        <v>20</v>
      </c>
      <c r="K1402" s="133">
        <v>36045</v>
      </c>
      <c r="L1402" s="133">
        <v>36045</v>
      </c>
      <c r="M1402" s="150">
        <v>0.61833333333333329</v>
      </c>
      <c r="N1402" s="150">
        <v>0.61966435185185187</v>
      </c>
      <c r="O1402" t="s">
        <v>172</v>
      </c>
      <c r="Q1402">
        <v>2524161</v>
      </c>
      <c r="R1402">
        <v>2524161</v>
      </c>
      <c r="S1402">
        <v>2521212</v>
      </c>
      <c r="T1402">
        <v>0</v>
      </c>
      <c r="U1402" t="s">
        <v>173</v>
      </c>
      <c r="V1402">
        <v>0</v>
      </c>
      <c r="W1402" t="s">
        <v>174</v>
      </c>
      <c r="X1402">
        <v>2521212</v>
      </c>
      <c r="Z1402" t="s">
        <v>173</v>
      </c>
      <c r="AA1402" t="s">
        <v>173</v>
      </c>
    </row>
    <row r="1403" spans="1:27" x14ac:dyDescent="0.3">
      <c r="A1403">
        <v>1402</v>
      </c>
      <c r="B1403" t="s">
        <v>169</v>
      </c>
      <c r="C1403">
        <v>99019875</v>
      </c>
      <c r="D1403" s="7" t="s">
        <v>122</v>
      </c>
      <c r="E1403" t="s">
        <v>123</v>
      </c>
      <c r="F1403" t="s">
        <v>170</v>
      </c>
      <c r="G1403" t="s">
        <v>177</v>
      </c>
      <c r="H1403">
        <v>20</v>
      </c>
      <c r="I1403">
        <v>0</v>
      </c>
      <c r="J1403">
        <v>20</v>
      </c>
      <c r="K1403" s="133">
        <v>36045</v>
      </c>
      <c r="L1403" s="133">
        <v>36045</v>
      </c>
      <c r="M1403" s="150">
        <v>0.61833333333333329</v>
      </c>
      <c r="N1403" s="150">
        <v>0.61966435185185187</v>
      </c>
      <c r="O1403" t="s">
        <v>172</v>
      </c>
      <c r="Q1403">
        <v>2524162</v>
      </c>
      <c r="R1403">
        <v>2524162</v>
      </c>
      <c r="S1403">
        <v>2522107</v>
      </c>
      <c r="T1403">
        <v>0</v>
      </c>
      <c r="U1403" t="s">
        <v>173</v>
      </c>
      <c r="V1403">
        <v>0</v>
      </c>
      <c r="W1403" t="s">
        <v>174</v>
      </c>
      <c r="X1403">
        <v>2522107</v>
      </c>
      <c r="Z1403" t="s">
        <v>173</v>
      </c>
      <c r="AA1403" t="s">
        <v>173</v>
      </c>
    </row>
    <row r="1404" spans="1:27" x14ac:dyDescent="0.3">
      <c r="A1404">
        <v>1403</v>
      </c>
      <c r="B1404" t="s">
        <v>169</v>
      </c>
      <c r="C1404">
        <v>99019875</v>
      </c>
      <c r="D1404" s="7" t="s">
        <v>122</v>
      </c>
      <c r="E1404" t="s">
        <v>123</v>
      </c>
      <c r="F1404" t="s">
        <v>170</v>
      </c>
      <c r="G1404" t="s">
        <v>177</v>
      </c>
      <c r="H1404">
        <v>19</v>
      </c>
      <c r="I1404">
        <v>0</v>
      </c>
      <c r="J1404">
        <v>19</v>
      </c>
      <c r="K1404" s="133">
        <v>36045</v>
      </c>
      <c r="L1404" s="133">
        <v>36045</v>
      </c>
      <c r="M1404" s="150">
        <v>0.61833333333333329</v>
      </c>
      <c r="N1404" s="150">
        <v>0.61966435185185187</v>
      </c>
      <c r="O1404" t="s">
        <v>172</v>
      </c>
      <c r="Q1404">
        <v>2524163</v>
      </c>
      <c r="R1404">
        <v>2524163</v>
      </c>
      <c r="S1404">
        <v>2522957</v>
      </c>
      <c r="T1404">
        <v>0</v>
      </c>
      <c r="U1404" t="s">
        <v>173</v>
      </c>
      <c r="V1404">
        <v>0</v>
      </c>
      <c r="W1404" t="s">
        <v>174</v>
      </c>
      <c r="X1404">
        <v>2522957</v>
      </c>
      <c r="Z1404" t="s">
        <v>173</v>
      </c>
      <c r="AA1404" t="s">
        <v>173</v>
      </c>
    </row>
    <row r="1405" spans="1:27" x14ac:dyDescent="0.3">
      <c r="A1405">
        <v>1404</v>
      </c>
      <c r="B1405" t="s">
        <v>169</v>
      </c>
      <c r="C1405">
        <v>99019875</v>
      </c>
      <c r="D1405" s="7" t="s">
        <v>122</v>
      </c>
      <c r="E1405" t="s">
        <v>123</v>
      </c>
      <c r="F1405" t="s">
        <v>170</v>
      </c>
      <c r="G1405" t="s">
        <v>177</v>
      </c>
      <c r="H1405">
        <v>20</v>
      </c>
      <c r="I1405">
        <v>0</v>
      </c>
      <c r="J1405">
        <v>20</v>
      </c>
      <c r="K1405" s="133">
        <v>36045</v>
      </c>
      <c r="L1405" s="133">
        <v>36045</v>
      </c>
      <c r="M1405" s="150">
        <v>0.61833333333333329</v>
      </c>
      <c r="N1405" s="150">
        <v>0.61966435185185187</v>
      </c>
      <c r="O1405" t="s">
        <v>172</v>
      </c>
      <c r="Q1405">
        <v>2524164</v>
      </c>
      <c r="R1405">
        <v>2524164</v>
      </c>
      <c r="S1405">
        <v>2523798</v>
      </c>
      <c r="T1405">
        <v>0</v>
      </c>
      <c r="U1405" t="s">
        <v>173</v>
      </c>
      <c r="V1405">
        <v>0</v>
      </c>
      <c r="W1405" t="s">
        <v>174</v>
      </c>
      <c r="X1405">
        <v>2523798</v>
      </c>
      <c r="Z1405" t="s">
        <v>173</v>
      </c>
      <c r="AA1405" t="s">
        <v>173</v>
      </c>
    </row>
    <row r="1406" spans="1:27" x14ac:dyDescent="0.3">
      <c r="A1406">
        <v>1405</v>
      </c>
      <c r="B1406" t="s">
        <v>169</v>
      </c>
      <c r="C1406">
        <v>99019875</v>
      </c>
      <c r="D1406" s="7" t="s">
        <v>96</v>
      </c>
      <c r="E1406" t="s">
        <v>97</v>
      </c>
      <c r="F1406" t="s">
        <v>170</v>
      </c>
      <c r="G1406" t="s">
        <v>177</v>
      </c>
      <c r="H1406">
        <v>11</v>
      </c>
      <c r="I1406">
        <v>0</v>
      </c>
      <c r="J1406">
        <v>11</v>
      </c>
      <c r="K1406" s="133">
        <v>8320</v>
      </c>
      <c r="L1406" s="133">
        <v>8320</v>
      </c>
      <c r="M1406" s="150">
        <v>0.61835648148148148</v>
      </c>
      <c r="N1406" s="150">
        <v>0.61849537037037039</v>
      </c>
      <c r="O1406" t="s">
        <v>172</v>
      </c>
      <c r="Q1406">
        <v>2524246</v>
      </c>
      <c r="R1406">
        <v>2524246</v>
      </c>
      <c r="S1406">
        <v>2513231</v>
      </c>
      <c r="T1406">
        <v>0</v>
      </c>
      <c r="U1406" t="s">
        <v>173</v>
      </c>
      <c r="V1406">
        <v>0</v>
      </c>
      <c r="W1406" t="s">
        <v>174</v>
      </c>
      <c r="X1406">
        <v>2513231</v>
      </c>
      <c r="Z1406" t="s">
        <v>173</v>
      </c>
      <c r="AA1406" t="s">
        <v>173</v>
      </c>
    </row>
    <row r="1407" spans="1:27" x14ac:dyDescent="0.3">
      <c r="A1407">
        <v>1406</v>
      </c>
      <c r="B1407" t="s">
        <v>169</v>
      </c>
      <c r="C1407">
        <v>99019875</v>
      </c>
      <c r="D1407" s="7" t="s">
        <v>96</v>
      </c>
      <c r="E1407" t="s">
        <v>97</v>
      </c>
      <c r="F1407" t="s">
        <v>170</v>
      </c>
      <c r="G1407" t="s">
        <v>177</v>
      </c>
      <c r="H1407">
        <v>28</v>
      </c>
      <c r="I1407">
        <v>0</v>
      </c>
      <c r="J1407">
        <v>28</v>
      </c>
      <c r="K1407" s="133">
        <v>8320</v>
      </c>
      <c r="L1407" s="133">
        <v>8320</v>
      </c>
      <c r="M1407" s="150">
        <v>0.61835648148148148</v>
      </c>
      <c r="N1407" s="150">
        <v>0.61849537037037039</v>
      </c>
      <c r="O1407" t="s">
        <v>172</v>
      </c>
      <c r="Q1407">
        <v>2524247</v>
      </c>
      <c r="R1407">
        <v>2524247</v>
      </c>
      <c r="S1407">
        <v>2513232</v>
      </c>
      <c r="T1407">
        <v>0</v>
      </c>
      <c r="U1407" t="s">
        <v>173</v>
      </c>
      <c r="V1407">
        <v>0</v>
      </c>
      <c r="W1407" t="s">
        <v>174</v>
      </c>
      <c r="X1407">
        <v>2513232</v>
      </c>
      <c r="Z1407" t="s">
        <v>173</v>
      </c>
      <c r="AA1407" t="s">
        <v>173</v>
      </c>
    </row>
    <row r="1408" spans="1:27" x14ac:dyDescent="0.3">
      <c r="A1408">
        <v>1407</v>
      </c>
      <c r="B1408" t="s">
        <v>169</v>
      </c>
      <c r="C1408">
        <v>99019875</v>
      </c>
      <c r="D1408" s="7" t="s">
        <v>96</v>
      </c>
      <c r="E1408" t="s">
        <v>97</v>
      </c>
      <c r="F1408" t="s">
        <v>170</v>
      </c>
      <c r="G1408" t="s">
        <v>177</v>
      </c>
      <c r="H1408">
        <v>27</v>
      </c>
      <c r="I1408">
        <v>0</v>
      </c>
      <c r="J1408">
        <v>27</v>
      </c>
      <c r="K1408" s="133">
        <v>8320</v>
      </c>
      <c r="L1408" s="133">
        <v>8320</v>
      </c>
      <c r="M1408" s="150">
        <v>0.61835648148148148</v>
      </c>
      <c r="N1408" s="150">
        <v>0.61849537037037039</v>
      </c>
      <c r="O1408" t="s">
        <v>172</v>
      </c>
      <c r="Q1408">
        <v>2524248</v>
      </c>
      <c r="R1408">
        <v>2524248</v>
      </c>
      <c r="S1408">
        <v>2513233</v>
      </c>
      <c r="T1408">
        <v>0</v>
      </c>
      <c r="U1408" t="s">
        <v>173</v>
      </c>
      <c r="V1408">
        <v>0</v>
      </c>
      <c r="W1408" t="s">
        <v>174</v>
      </c>
      <c r="X1408">
        <v>2513233</v>
      </c>
      <c r="Z1408" t="s">
        <v>173</v>
      </c>
      <c r="AA1408" t="s">
        <v>173</v>
      </c>
    </row>
    <row r="1409" spans="1:27" x14ac:dyDescent="0.3">
      <c r="A1409">
        <v>1408</v>
      </c>
      <c r="B1409" t="s">
        <v>169</v>
      </c>
      <c r="C1409">
        <v>99019875</v>
      </c>
      <c r="D1409" s="7" t="s">
        <v>96</v>
      </c>
      <c r="E1409" t="s">
        <v>97</v>
      </c>
      <c r="F1409" t="s">
        <v>170</v>
      </c>
      <c r="G1409" t="s">
        <v>177</v>
      </c>
      <c r="H1409">
        <v>27</v>
      </c>
      <c r="I1409">
        <v>0</v>
      </c>
      <c r="J1409">
        <v>27</v>
      </c>
      <c r="K1409" s="133">
        <v>8320</v>
      </c>
      <c r="L1409" s="133">
        <v>8320</v>
      </c>
      <c r="M1409" s="150">
        <v>0.61835648148148148</v>
      </c>
      <c r="N1409" s="150">
        <v>0.61849537037037039</v>
      </c>
      <c r="O1409" t="s">
        <v>172</v>
      </c>
      <c r="Q1409">
        <v>2524249</v>
      </c>
      <c r="R1409">
        <v>2524249</v>
      </c>
      <c r="S1409">
        <v>2513234</v>
      </c>
      <c r="T1409">
        <v>0</v>
      </c>
      <c r="U1409" t="s">
        <v>173</v>
      </c>
      <c r="V1409">
        <v>0</v>
      </c>
      <c r="W1409" t="s">
        <v>174</v>
      </c>
      <c r="X1409">
        <v>2513234</v>
      </c>
      <c r="Z1409" t="s">
        <v>173</v>
      </c>
      <c r="AA1409" t="s">
        <v>173</v>
      </c>
    </row>
    <row r="1410" spans="1:27" x14ac:dyDescent="0.3">
      <c r="A1410">
        <v>1409</v>
      </c>
      <c r="B1410" t="s">
        <v>169</v>
      </c>
      <c r="C1410">
        <v>99019875</v>
      </c>
      <c r="D1410" s="7" t="s">
        <v>96</v>
      </c>
      <c r="E1410" t="s">
        <v>97</v>
      </c>
      <c r="F1410" t="s">
        <v>170</v>
      </c>
      <c r="G1410" t="s">
        <v>177</v>
      </c>
      <c r="H1410">
        <v>27</v>
      </c>
      <c r="I1410">
        <v>0</v>
      </c>
      <c r="J1410">
        <v>27</v>
      </c>
      <c r="K1410" s="133">
        <v>8320</v>
      </c>
      <c r="L1410" s="133">
        <v>8320</v>
      </c>
      <c r="M1410" s="150">
        <v>0.61835648148148148</v>
      </c>
      <c r="N1410" s="150">
        <v>0.61849537037037039</v>
      </c>
      <c r="O1410" t="s">
        <v>172</v>
      </c>
      <c r="Q1410">
        <v>2524250</v>
      </c>
      <c r="R1410">
        <v>2524250</v>
      </c>
      <c r="S1410">
        <v>2513235</v>
      </c>
      <c r="T1410">
        <v>0</v>
      </c>
      <c r="U1410" t="s">
        <v>173</v>
      </c>
      <c r="V1410">
        <v>0</v>
      </c>
      <c r="W1410" t="s">
        <v>174</v>
      </c>
      <c r="X1410">
        <v>2513235</v>
      </c>
      <c r="Z1410" t="s">
        <v>173</v>
      </c>
      <c r="AA1410" t="s">
        <v>173</v>
      </c>
    </row>
    <row r="1411" spans="1:27" x14ac:dyDescent="0.3">
      <c r="A1411">
        <v>1410</v>
      </c>
      <c r="B1411" t="s">
        <v>169</v>
      </c>
      <c r="C1411">
        <v>99019875</v>
      </c>
      <c r="D1411" s="7" t="s">
        <v>96</v>
      </c>
      <c r="E1411" t="s">
        <v>97</v>
      </c>
      <c r="F1411" t="s">
        <v>170</v>
      </c>
      <c r="G1411" t="s">
        <v>177</v>
      </c>
      <c r="H1411">
        <v>27</v>
      </c>
      <c r="I1411">
        <v>0</v>
      </c>
      <c r="J1411">
        <v>27</v>
      </c>
      <c r="K1411" s="133">
        <v>8320</v>
      </c>
      <c r="L1411" s="133">
        <v>8320</v>
      </c>
      <c r="M1411" s="150">
        <v>0.61835648148148148</v>
      </c>
      <c r="N1411" s="150">
        <v>0.61849537037037039</v>
      </c>
      <c r="O1411" t="s">
        <v>172</v>
      </c>
      <c r="Q1411">
        <v>2524251</v>
      </c>
      <c r="R1411">
        <v>2524251</v>
      </c>
      <c r="S1411">
        <v>2513236</v>
      </c>
      <c r="T1411">
        <v>0</v>
      </c>
      <c r="U1411" t="s">
        <v>173</v>
      </c>
      <c r="V1411">
        <v>0</v>
      </c>
      <c r="W1411" t="s">
        <v>174</v>
      </c>
      <c r="X1411">
        <v>2513236</v>
      </c>
      <c r="Z1411" t="s">
        <v>173</v>
      </c>
      <c r="AA1411" t="s">
        <v>173</v>
      </c>
    </row>
    <row r="1412" spans="1:27" x14ac:dyDescent="0.3">
      <c r="A1412">
        <v>1411</v>
      </c>
      <c r="B1412" t="s">
        <v>169</v>
      </c>
      <c r="C1412">
        <v>99019875</v>
      </c>
      <c r="D1412" s="7" t="s">
        <v>96</v>
      </c>
      <c r="E1412" t="s">
        <v>97</v>
      </c>
      <c r="F1412" t="s">
        <v>170</v>
      </c>
      <c r="G1412" t="s">
        <v>177</v>
      </c>
      <c r="H1412">
        <v>27</v>
      </c>
      <c r="I1412">
        <v>0</v>
      </c>
      <c r="J1412">
        <v>27</v>
      </c>
      <c r="K1412" s="133">
        <v>8320</v>
      </c>
      <c r="L1412" s="133">
        <v>8320</v>
      </c>
      <c r="M1412" s="150">
        <v>0.61835648148148148</v>
      </c>
      <c r="N1412" s="150">
        <v>0.61849537037037039</v>
      </c>
      <c r="O1412" t="s">
        <v>172</v>
      </c>
      <c r="Q1412">
        <v>2524252</v>
      </c>
      <c r="R1412">
        <v>2524252</v>
      </c>
      <c r="S1412">
        <v>2513237</v>
      </c>
      <c r="T1412">
        <v>0</v>
      </c>
      <c r="U1412" t="s">
        <v>173</v>
      </c>
      <c r="V1412">
        <v>0</v>
      </c>
      <c r="W1412" t="s">
        <v>174</v>
      </c>
      <c r="X1412">
        <v>2513237</v>
      </c>
      <c r="Z1412" t="s">
        <v>173</v>
      </c>
      <c r="AA1412" t="s">
        <v>173</v>
      </c>
    </row>
    <row r="1413" spans="1:27" x14ac:dyDescent="0.3">
      <c r="A1413">
        <v>1412</v>
      </c>
      <c r="B1413" t="s">
        <v>169</v>
      </c>
      <c r="C1413">
        <v>99019875</v>
      </c>
      <c r="D1413" s="7" t="s">
        <v>96</v>
      </c>
      <c r="E1413" t="s">
        <v>97</v>
      </c>
      <c r="F1413" t="s">
        <v>170</v>
      </c>
      <c r="G1413" t="s">
        <v>177</v>
      </c>
      <c r="H1413">
        <v>27</v>
      </c>
      <c r="I1413">
        <v>0</v>
      </c>
      <c r="J1413">
        <v>27</v>
      </c>
      <c r="K1413" s="133">
        <v>8320</v>
      </c>
      <c r="L1413" s="133">
        <v>8320</v>
      </c>
      <c r="M1413" s="150">
        <v>0.61835648148148148</v>
      </c>
      <c r="N1413" s="150">
        <v>0.61849537037037039</v>
      </c>
      <c r="O1413" t="s">
        <v>172</v>
      </c>
      <c r="Q1413">
        <v>2524253</v>
      </c>
      <c r="R1413">
        <v>2524253</v>
      </c>
      <c r="S1413">
        <v>2513238</v>
      </c>
      <c r="T1413">
        <v>0</v>
      </c>
      <c r="U1413" t="s">
        <v>173</v>
      </c>
      <c r="V1413">
        <v>0</v>
      </c>
      <c r="W1413" t="s">
        <v>174</v>
      </c>
      <c r="X1413">
        <v>2513238</v>
      </c>
      <c r="Z1413" t="s">
        <v>173</v>
      </c>
      <c r="AA1413" t="s">
        <v>173</v>
      </c>
    </row>
    <row r="1414" spans="1:27" x14ac:dyDescent="0.3">
      <c r="A1414">
        <v>1413</v>
      </c>
      <c r="B1414" t="s">
        <v>169</v>
      </c>
      <c r="C1414">
        <v>99019875</v>
      </c>
      <c r="D1414" s="7" t="s">
        <v>96</v>
      </c>
      <c r="E1414" t="s">
        <v>97</v>
      </c>
      <c r="F1414" t="s">
        <v>170</v>
      </c>
      <c r="G1414" t="s">
        <v>177</v>
      </c>
      <c r="H1414">
        <v>27</v>
      </c>
      <c r="I1414">
        <v>0</v>
      </c>
      <c r="J1414">
        <v>27</v>
      </c>
      <c r="K1414" s="133">
        <v>8320</v>
      </c>
      <c r="L1414" s="133">
        <v>8320</v>
      </c>
      <c r="M1414" s="150">
        <v>0.61835648148148148</v>
      </c>
      <c r="N1414" s="150">
        <v>0.61849537037037039</v>
      </c>
      <c r="O1414" t="s">
        <v>172</v>
      </c>
      <c r="Q1414">
        <v>2524254</v>
      </c>
      <c r="R1414">
        <v>2524254</v>
      </c>
      <c r="S1414">
        <v>2514016</v>
      </c>
      <c r="T1414">
        <v>0</v>
      </c>
      <c r="U1414" t="s">
        <v>173</v>
      </c>
      <c r="V1414">
        <v>0</v>
      </c>
      <c r="W1414" t="s">
        <v>174</v>
      </c>
      <c r="X1414">
        <v>2514016</v>
      </c>
      <c r="Z1414" t="s">
        <v>173</v>
      </c>
      <c r="AA1414" t="s">
        <v>173</v>
      </c>
    </row>
    <row r="1415" spans="1:27" x14ac:dyDescent="0.3">
      <c r="A1415">
        <v>1414</v>
      </c>
      <c r="B1415" t="s">
        <v>169</v>
      </c>
      <c r="C1415">
        <v>99019875</v>
      </c>
      <c r="D1415" s="7" t="s">
        <v>96</v>
      </c>
      <c r="E1415" t="s">
        <v>97</v>
      </c>
      <c r="F1415" t="s">
        <v>170</v>
      </c>
      <c r="G1415" t="s">
        <v>177</v>
      </c>
      <c r="H1415">
        <v>28</v>
      </c>
      <c r="I1415">
        <v>0</v>
      </c>
      <c r="J1415">
        <v>28</v>
      </c>
      <c r="K1415" s="133">
        <v>8320</v>
      </c>
      <c r="L1415" s="133">
        <v>8320</v>
      </c>
      <c r="M1415" s="150">
        <v>0.61835648148148148</v>
      </c>
      <c r="N1415" s="150">
        <v>0.61849537037037039</v>
      </c>
      <c r="O1415" t="s">
        <v>172</v>
      </c>
      <c r="Q1415">
        <v>2524255</v>
      </c>
      <c r="R1415">
        <v>2524255</v>
      </c>
      <c r="S1415">
        <v>2514916</v>
      </c>
      <c r="T1415">
        <v>0</v>
      </c>
      <c r="U1415" t="s">
        <v>173</v>
      </c>
      <c r="V1415">
        <v>0</v>
      </c>
      <c r="W1415" t="s">
        <v>174</v>
      </c>
      <c r="X1415">
        <v>2514916</v>
      </c>
      <c r="Z1415" t="s">
        <v>173</v>
      </c>
      <c r="AA1415" t="s">
        <v>173</v>
      </c>
    </row>
    <row r="1416" spans="1:27" x14ac:dyDescent="0.3">
      <c r="A1416">
        <v>1415</v>
      </c>
      <c r="B1416" t="s">
        <v>169</v>
      </c>
      <c r="C1416">
        <v>99019875</v>
      </c>
      <c r="D1416" s="7" t="s">
        <v>96</v>
      </c>
      <c r="E1416" t="s">
        <v>97</v>
      </c>
      <c r="F1416" t="s">
        <v>170</v>
      </c>
      <c r="G1416" t="s">
        <v>177</v>
      </c>
      <c r="H1416">
        <v>27</v>
      </c>
      <c r="I1416">
        <v>0</v>
      </c>
      <c r="J1416">
        <v>27</v>
      </c>
      <c r="K1416" s="133">
        <v>8320</v>
      </c>
      <c r="L1416" s="133">
        <v>8320</v>
      </c>
      <c r="M1416" s="150">
        <v>0.61835648148148148</v>
      </c>
      <c r="N1416" s="150">
        <v>0.61849537037037039</v>
      </c>
      <c r="O1416" t="s">
        <v>172</v>
      </c>
      <c r="Q1416">
        <v>2524256</v>
      </c>
      <c r="R1416">
        <v>2524256</v>
      </c>
      <c r="S1416">
        <v>2515750</v>
      </c>
      <c r="T1416">
        <v>0</v>
      </c>
      <c r="U1416" t="s">
        <v>173</v>
      </c>
      <c r="V1416">
        <v>0</v>
      </c>
      <c r="W1416" t="s">
        <v>174</v>
      </c>
      <c r="X1416">
        <v>2515750</v>
      </c>
      <c r="Z1416" t="s">
        <v>173</v>
      </c>
      <c r="AA1416" t="s">
        <v>173</v>
      </c>
    </row>
    <row r="1417" spans="1:27" x14ac:dyDescent="0.3">
      <c r="A1417">
        <v>1416</v>
      </c>
      <c r="B1417" t="s">
        <v>169</v>
      </c>
      <c r="C1417">
        <v>99019875</v>
      </c>
      <c r="D1417" s="7" t="s">
        <v>96</v>
      </c>
      <c r="E1417" t="s">
        <v>97</v>
      </c>
      <c r="F1417" t="s">
        <v>170</v>
      </c>
      <c r="G1417" t="s">
        <v>177</v>
      </c>
      <c r="H1417">
        <v>27</v>
      </c>
      <c r="I1417">
        <v>0</v>
      </c>
      <c r="J1417">
        <v>27</v>
      </c>
      <c r="K1417" s="133">
        <v>8320</v>
      </c>
      <c r="L1417" s="133">
        <v>8320</v>
      </c>
      <c r="M1417" s="150">
        <v>0.61835648148148148</v>
      </c>
      <c r="N1417" s="150">
        <v>0.61849537037037039</v>
      </c>
      <c r="O1417" t="s">
        <v>172</v>
      </c>
      <c r="Q1417">
        <v>2524257</v>
      </c>
      <c r="R1417">
        <v>2524257</v>
      </c>
      <c r="S1417">
        <v>2516682</v>
      </c>
      <c r="T1417">
        <v>0</v>
      </c>
      <c r="U1417" t="s">
        <v>173</v>
      </c>
      <c r="V1417">
        <v>0</v>
      </c>
      <c r="W1417" t="s">
        <v>174</v>
      </c>
      <c r="X1417">
        <v>2516682</v>
      </c>
      <c r="Z1417" t="s">
        <v>173</v>
      </c>
      <c r="AA1417" t="s">
        <v>173</v>
      </c>
    </row>
    <row r="1418" spans="1:27" x14ac:dyDescent="0.3">
      <c r="A1418">
        <v>1417</v>
      </c>
      <c r="B1418" t="s">
        <v>169</v>
      </c>
      <c r="C1418">
        <v>99019875</v>
      </c>
      <c r="D1418" s="7" t="s">
        <v>96</v>
      </c>
      <c r="E1418" t="s">
        <v>97</v>
      </c>
      <c r="F1418" t="s">
        <v>170</v>
      </c>
      <c r="G1418" t="s">
        <v>177</v>
      </c>
      <c r="H1418">
        <v>27</v>
      </c>
      <c r="I1418">
        <v>0</v>
      </c>
      <c r="J1418">
        <v>27</v>
      </c>
      <c r="K1418" s="133">
        <v>8320</v>
      </c>
      <c r="L1418" s="133">
        <v>8320</v>
      </c>
      <c r="M1418" s="150">
        <v>0.61835648148148148</v>
      </c>
      <c r="N1418" s="150">
        <v>0.61849537037037039</v>
      </c>
      <c r="O1418" t="s">
        <v>172</v>
      </c>
      <c r="Q1418">
        <v>2524258</v>
      </c>
      <c r="R1418">
        <v>2524258</v>
      </c>
      <c r="S1418">
        <v>2517507</v>
      </c>
      <c r="T1418">
        <v>0</v>
      </c>
      <c r="U1418" t="s">
        <v>173</v>
      </c>
      <c r="V1418">
        <v>0</v>
      </c>
      <c r="W1418" t="s">
        <v>174</v>
      </c>
      <c r="X1418">
        <v>2517507</v>
      </c>
      <c r="Z1418" t="s">
        <v>173</v>
      </c>
      <c r="AA1418" t="s">
        <v>173</v>
      </c>
    </row>
    <row r="1419" spans="1:27" x14ac:dyDescent="0.3">
      <c r="A1419">
        <v>1418</v>
      </c>
      <c r="B1419" t="s">
        <v>169</v>
      </c>
      <c r="C1419">
        <v>99019875</v>
      </c>
      <c r="D1419" s="7" t="s">
        <v>96</v>
      </c>
      <c r="E1419" t="s">
        <v>97</v>
      </c>
      <c r="F1419" t="s">
        <v>170</v>
      </c>
      <c r="G1419" t="s">
        <v>177</v>
      </c>
      <c r="H1419">
        <v>27</v>
      </c>
      <c r="I1419">
        <v>0</v>
      </c>
      <c r="J1419">
        <v>27</v>
      </c>
      <c r="K1419" s="133">
        <v>8320</v>
      </c>
      <c r="L1419" s="133">
        <v>8320</v>
      </c>
      <c r="M1419" s="150">
        <v>0.61835648148148148</v>
      </c>
      <c r="N1419" s="150">
        <v>0.61849537037037039</v>
      </c>
      <c r="O1419" t="s">
        <v>172</v>
      </c>
      <c r="Q1419">
        <v>2524259</v>
      </c>
      <c r="R1419">
        <v>2524259</v>
      </c>
      <c r="S1419">
        <v>2518427</v>
      </c>
      <c r="T1419">
        <v>0</v>
      </c>
      <c r="U1419" t="s">
        <v>173</v>
      </c>
      <c r="V1419">
        <v>0</v>
      </c>
      <c r="W1419" t="s">
        <v>174</v>
      </c>
      <c r="X1419">
        <v>2518427</v>
      </c>
      <c r="Z1419" t="s">
        <v>173</v>
      </c>
      <c r="AA1419" t="s">
        <v>173</v>
      </c>
    </row>
    <row r="1420" spans="1:27" x14ac:dyDescent="0.3">
      <c r="A1420">
        <v>1419</v>
      </c>
      <c r="B1420" t="s">
        <v>169</v>
      </c>
      <c r="C1420">
        <v>99019875</v>
      </c>
      <c r="D1420" s="7" t="s">
        <v>96</v>
      </c>
      <c r="E1420" t="s">
        <v>97</v>
      </c>
      <c r="F1420" t="s">
        <v>170</v>
      </c>
      <c r="G1420" t="s">
        <v>177</v>
      </c>
      <c r="H1420">
        <v>27</v>
      </c>
      <c r="I1420">
        <v>0</v>
      </c>
      <c r="J1420">
        <v>27</v>
      </c>
      <c r="K1420" s="133">
        <v>8320</v>
      </c>
      <c r="L1420" s="133">
        <v>8320</v>
      </c>
      <c r="M1420" s="150">
        <v>0.61835648148148148</v>
      </c>
      <c r="N1420" s="150">
        <v>0.61849537037037039</v>
      </c>
      <c r="O1420" t="s">
        <v>172</v>
      </c>
      <c r="Q1420">
        <v>2524260</v>
      </c>
      <c r="R1420">
        <v>2524260</v>
      </c>
      <c r="S1420">
        <v>2519162</v>
      </c>
      <c r="T1420">
        <v>0</v>
      </c>
      <c r="U1420" t="s">
        <v>173</v>
      </c>
      <c r="V1420">
        <v>0</v>
      </c>
      <c r="W1420" t="s">
        <v>174</v>
      </c>
      <c r="X1420">
        <v>2519162</v>
      </c>
      <c r="Z1420" t="s">
        <v>173</v>
      </c>
      <c r="AA1420" t="s">
        <v>173</v>
      </c>
    </row>
    <row r="1421" spans="1:27" x14ac:dyDescent="0.3">
      <c r="A1421">
        <v>1420</v>
      </c>
      <c r="B1421" t="s">
        <v>169</v>
      </c>
      <c r="C1421">
        <v>99019875</v>
      </c>
      <c r="D1421" s="7" t="s">
        <v>96</v>
      </c>
      <c r="E1421" t="s">
        <v>97</v>
      </c>
      <c r="F1421" t="s">
        <v>170</v>
      </c>
      <c r="G1421" t="s">
        <v>177</v>
      </c>
      <c r="H1421">
        <v>27</v>
      </c>
      <c r="I1421">
        <v>0</v>
      </c>
      <c r="J1421">
        <v>27</v>
      </c>
      <c r="K1421" s="133">
        <v>8320</v>
      </c>
      <c r="L1421" s="133">
        <v>8320</v>
      </c>
      <c r="M1421" s="150">
        <v>0.61835648148148148</v>
      </c>
      <c r="N1421" s="150">
        <v>0.61849537037037039</v>
      </c>
      <c r="O1421" t="s">
        <v>172</v>
      </c>
      <c r="Q1421">
        <v>2524261</v>
      </c>
      <c r="R1421">
        <v>2524261</v>
      </c>
      <c r="S1421">
        <v>2520254</v>
      </c>
      <c r="T1421">
        <v>0</v>
      </c>
      <c r="U1421" t="s">
        <v>173</v>
      </c>
      <c r="V1421">
        <v>0</v>
      </c>
      <c r="W1421" t="s">
        <v>174</v>
      </c>
      <c r="X1421">
        <v>2520254</v>
      </c>
      <c r="Z1421" t="s">
        <v>173</v>
      </c>
      <c r="AA1421" t="s">
        <v>173</v>
      </c>
    </row>
    <row r="1422" spans="1:27" x14ac:dyDescent="0.3">
      <c r="A1422">
        <v>1421</v>
      </c>
      <c r="B1422" t="s">
        <v>169</v>
      </c>
      <c r="C1422">
        <v>99019875</v>
      </c>
      <c r="D1422" s="7" t="s">
        <v>96</v>
      </c>
      <c r="E1422" t="s">
        <v>97</v>
      </c>
      <c r="F1422" t="s">
        <v>170</v>
      </c>
      <c r="G1422" t="s">
        <v>177</v>
      </c>
      <c r="H1422">
        <v>27</v>
      </c>
      <c r="I1422">
        <v>0</v>
      </c>
      <c r="J1422">
        <v>27</v>
      </c>
      <c r="K1422" s="133">
        <v>8320</v>
      </c>
      <c r="L1422" s="133">
        <v>8320</v>
      </c>
      <c r="M1422" s="150">
        <v>0.61835648148148148</v>
      </c>
      <c r="N1422" s="150">
        <v>0.61849537037037039</v>
      </c>
      <c r="O1422" t="s">
        <v>172</v>
      </c>
      <c r="Q1422">
        <v>2524262</v>
      </c>
      <c r="R1422">
        <v>2524262</v>
      </c>
      <c r="S1422">
        <v>2521218</v>
      </c>
      <c r="T1422">
        <v>0</v>
      </c>
      <c r="U1422" t="s">
        <v>173</v>
      </c>
      <c r="V1422">
        <v>0</v>
      </c>
      <c r="W1422" t="s">
        <v>174</v>
      </c>
      <c r="X1422">
        <v>2521218</v>
      </c>
      <c r="Z1422" t="s">
        <v>173</v>
      </c>
      <c r="AA1422" t="s">
        <v>173</v>
      </c>
    </row>
    <row r="1423" spans="1:27" x14ac:dyDescent="0.3">
      <c r="A1423">
        <v>1422</v>
      </c>
      <c r="B1423" t="s">
        <v>169</v>
      </c>
      <c r="C1423">
        <v>99019875</v>
      </c>
      <c r="D1423" s="7" t="s">
        <v>96</v>
      </c>
      <c r="E1423" t="s">
        <v>97</v>
      </c>
      <c r="F1423" t="s">
        <v>170</v>
      </c>
      <c r="G1423" t="s">
        <v>177</v>
      </c>
      <c r="H1423">
        <v>28</v>
      </c>
      <c r="I1423">
        <v>0</v>
      </c>
      <c r="J1423">
        <v>28</v>
      </c>
      <c r="K1423" s="133">
        <v>8320</v>
      </c>
      <c r="L1423" s="133">
        <v>8320</v>
      </c>
      <c r="M1423" s="150">
        <v>0.61835648148148148</v>
      </c>
      <c r="N1423" s="150">
        <v>0.61849537037037039</v>
      </c>
      <c r="O1423" t="s">
        <v>172</v>
      </c>
      <c r="Q1423">
        <v>2524263</v>
      </c>
      <c r="R1423">
        <v>2524263</v>
      </c>
      <c r="S1423">
        <v>2522113</v>
      </c>
      <c r="T1423">
        <v>0</v>
      </c>
      <c r="U1423" t="s">
        <v>173</v>
      </c>
      <c r="V1423">
        <v>0</v>
      </c>
      <c r="W1423" t="s">
        <v>174</v>
      </c>
      <c r="X1423">
        <v>2522113</v>
      </c>
      <c r="Z1423" t="s">
        <v>173</v>
      </c>
      <c r="AA1423" t="s">
        <v>173</v>
      </c>
    </row>
    <row r="1424" spans="1:27" x14ac:dyDescent="0.3">
      <c r="A1424">
        <v>1423</v>
      </c>
      <c r="B1424" t="s">
        <v>169</v>
      </c>
      <c r="C1424">
        <v>99019875</v>
      </c>
      <c r="D1424" s="7" t="s">
        <v>96</v>
      </c>
      <c r="E1424" t="s">
        <v>97</v>
      </c>
      <c r="F1424" t="s">
        <v>170</v>
      </c>
      <c r="G1424" t="s">
        <v>177</v>
      </c>
      <c r="H1424">
        <v>27</v>
      </c>
      <c r="I1424">
        <v>0</v>
      </c>
      <c r="J1424">
        <v>27</v>
      </c>
      <c r="K1424" s="133">
        <v>8320</v>
      </c>
      <c r="L1424" s="133">
        <v>8320</v>
      </c>
      <c r="M1424" s="150">
        <v>0.61835648148148148</v>
      </c>
      <c r="N1424" s="150">
        <v>0.61849537037037039</v>
      </c>
      <c r="O1424" t="s">
        <v>172</v>
      </c>
      <c r="Q1424">
        <v>2524264</v>
      </c>
      <c r="R1424">
        <v>2524264</v>
      </c>
      <c r="S1424">
        <v>2522963</v>
      </c>
      <c r="T1424">
        <v>0</v>
      </c>
      <c r="U1424" t="s">
        <v>173</v>
      </c>
      <c r="V1424">
        <v>0</v>
      </c>
      <c r="W1424" t="s">
        <v>174</v>
      </c>
      <c r="X1424">
        <v>2522963</v>
      </c>
      <c r="Z1424" t="s">
        <v>173</v>
      </c>
      <c r="AA1424" t="s">
        <v>173</v>
      </c>
    </row>
    <row r="1425" spans="1:27" x14ac:dyDescent="0.3">
      <c r="A1425">
        <v>1424</v>
      </c>
      <c r="B1425" t="s">
        <v>169</v>
      </c>
      <c r="C1425">
        <v>99019875</v>
      </c>
      <c r="D1425" s="7" t="s">
        <v>96</v>
      </c>
      <c r="E1425" t="s">
        <v>97</v>
      </c>
      <c r="F1425" t="s">
        <v>170</v>
      </c>
      <c r="G1425" t="s">
        <v>177</v>
      </c>
      <c r="H1425">
        <v>27</v>
      </c>
      <c r="I1425">
        <v>0</v>
      </c>
      <c r="J1425">
        <v>27</v>
      </c>
      <c r="K1425" s="133">
        <v>8320</v>
      </c>
      <c r="L1425" s="133">
        <v>8320</v>
      </c>
      <c r="M1425" s="150">
        <v>0.61835648148148148</v>
      </c>
      <c r="N1425" s="150">
        <v>0.61849537037037039</v>
      </c>
      <c r="O1425" t="s">
        <v>172</v>
      </c>
      <c r="Q1425">
        <v>2524265</v>
      </c>
      <c r="R1425">
        <v>2524265</v>
      </c>
      <c r="S1425">
        <v>2523804</v>
      </c>
      <c r="T1425">
        <v>0</v>
      </c>
      <c r="U1425" t="s">
        <v>173</v>
      </c>
      <c r="V1425">
        <v>0</v>
      </c>
      <c r="W1425" t="s">
        <v>174</v>
      </c>
      <c r="X1425">
        <v>2523804</v>
      </c>
      <c r="Z1425" t="s">
        <v>173</v>
      </c>
      <c r="AA1425" t="s">
        <v>173</v>
      </c>
    </row>
    <row r="1426" spans="1:27" x14ac:dyDescent="0.3">
      <c r="A1426">
        <v>1425</v>
      </c>
      <c r="B1426" t="s">
        <v>169</v>
      </c>
      <c r="C1426">
        <v>99019875</v>
      </c>
      <c r="D1426" s="7" t="s">
        <v>67</v>
      </c>
      <c r="E1426" t="s">
        <v>68</v>
      </c>
      <c r="F1426" t="s">
        <v>170</v>
      </c>
      <c r="G1426" t="s">
        <v>177</v>
      </c>
      <c r="H1426">
        <v>35</v>
      </c>
      <c r="I1426">
        <v>0</v>
      </c>
      <c r="J1426">
        <v>35</v>
      </c>
      <c r="K1426" s="133">
        <v>4815</v>
      </c>
      <c r="L1426" s="133">
        <v>4815</v>
      </c>
      <c r="M1426" s="150">
        <v>0.61837962962962967</v>
      </c>
      <c r="N1426" s="150">
        <v>0.61851851851851858</v>
      </c>
      <c r="O1426" t="s">
        <v>172</v>
      </c>
      <c r="Q1426">
        <v>2524303</v>
      </c>
      <c r="R1426">
        <v>2524303</v>
      </c>
      <c r="S1426">
        <v>2522951</v>
      </c>
      <c r="T1426">
        <v>0</v>
      </c>
      <c r="U1426" t="s">
        <v>173</v>
      </c>
      <c r="V1426">
        <v>0</v>
      </c>
      <c r="W1426" t="s">
        <v>174</v>
      </c>
      <c r="X1426">
        <v>2522951</v>
      </c>
      <c r="Z1426" t="s">
        <v>173</v>
      </c>
      <c r="AA1426" t="s">
        <v>173</v>
      </c>
    </row>
    <row r="1427" spans="1:27" x14ac:dyDescent="0.3">
      <c r="A1427">
        <v>1426</v>
      </c>
      <c r="B1427" t="s">
        <v>169</v>
      </c>
      <c r="C1427">
        <v>99019875</v>
      </c>
      <c r="D1427" s="7" t="s">
        <v>67</v>
      </c>
      <c r="E1427" t="s">
        <v>68</v>
      </c>
      <c r="F1427" t="s">
        <v>170</v>
      </c>
      <c r="G1427" t="s">
        <v>177</v>
      </c>
      <c r="H1427">
        <v>36</v>
      </c>
      <c r="I1427">
        <v>0</v>
      </c>
      <c r="J1427">
        <v>36</v>
      </c>
      <c r="K1427" s="133">
        <v>4815</v>
      </c>
      <c r="L1427" s="133">
        <v>4815</v>
      </c>
      <c r="M1427" s="150">
        <v>0.61837962962962967</v>
      </c>
      <c r="N1427" s="150">
        <v>0.61851851851851858</v>
      </c>
      <c r="O1427" t="s">
        <v>172</v>
      </c>
      <c r="Q1427">
        <v>2524304</v>
      </c>
      <c r="R1427">
        <v>2524304</v>
      </c>
      <c r="S1427">
        <v>2523792</v>
      </c>
      <c r="T1427">
        <v>0</v>
      </c>
      <c r="U1427" t="s">
        <v>173</v>
      </c>
      <c r="V1427">
        <v>0</v>
      </c>
      <c r="W1427" t="s">
        <v>174</v>
      </c>
      <c r="X1427">
        <v>2523792</v>
      </c>
      <c r="Z1427" t="s">
        <v>173</v>
      </c>
      <c r="AA1427" t="s">
        <v>173</v>
      </c>
    </row>
    <row r="1428" spans="1:27" x14ac:dyDescent="0.3">
      <c r="A1428">
        <v>1427</v>
      </c>
      <c r="B1428" t="s">
        <v>169</v>
      </c>
      <c r="C1428">
        <v>99019875</v>
      </c>
      <c r="D1428" s="7" t="s">
        <v>102</v>
      </c>
      <c r="E1428" t="s">
        <v>103</v>
      </c>
      <c r="F1428" t="s">
        <v>170</v>
      </c>
      <c r="G1428" t="s">
        <v>171</v>
      </c>
      <c r="H1428">
        <v>54</v>
      </c>
      <c r="I1428">
        <v>0</v>
      </c>
      <c r="J1428">
        <v>54</v>
      </c>
      <c r="K1428" s="133">
        <v>26850</v>
      </c>
      <c r="L1428" s="133">
        <v>26850</v>
      </c>
      <c r="M1428" s="150">
        <v>0.61848379629629624</v>
      </c>
      <c r="N1428" s="150">
        <v>0.61853009259259262</v>
      </c>
      <c r="O1428" t="s">
        <v>172</v>
      </c>
      <c r="Q1428">
        <v>2524613</v>
      </c>
      <c r="R1428">
        <v>2524613</v>
      </c>
      <c r="S1428">
        <v>0</v>
      </c>
      <c r="T1428">
        <v>0</v>
      </c>
      <c r="U1428" t="s">
        <v>173</v>
      </c>
      <c r="V1428">
        <v>0</v>
      </c>
      <c r="W1428" t="s">
        <v>174</v>
      </c>
      <c r="X1428">
        <v>0</v>
      </c>
      <c r="Z1428" t="s">
        <v>173</v>
      </c>
      <c r="AA1428" t="s">
        <v>173</v>
      </c>
    </row>
    <row r="1429" spans="1:27" x14ac:dyDescent="0.3">
      <c r="A1429">
        <v>1428</v>
      </c>
      <c r="B1429" t="s">
        <v>169</v>
      </c>
      <c r="C1429">
        <v>99019875</v>
      </c>
      <c r="D1429" s="7" t="s">
        <v>67</v>
      </c>
      <c r="E1429" t="s">
        <v>68</v>
      </c>
      <c r="F1429" t="s">
        <v>170</v>
      </c>
      <c r="G1429" t="s">
        <v>171</v>
      </c>
      <c r="H1429">
        <v>35</v>
      </c>
      <c r="I1429">
        <v>0</v>
      </c>
      <c r="J1429">
        <v>35</v>
      </c>
      <c r="K1429" s="133">
        <v>4815</v>
      </c>
      <c r="L1429" s="133">
        <v>4815</v>
      </c>
      <c r="M1429" s="150">
        <v>0.61848379629629624</v>
      </c>
      <c r="N1429" s="150">
        <v>0.61851851851851858</v>
      </c>
      <c r="O1429" t="s">
        <v>172</v>
      </c>
      <c r="Q1429">
        <v>2524614</v>
      </c>
      <c r="R1429">
        <v>2524614</v>
      </c>
      <c r="S1429">
        <v>0</v>
      </c>
      <c r="T1429">
        <v>0</v>
      </c>
      <c r="U1429" t="s">
        <v>173</v>
      </c>
      <c r="V1429">
        <v>0</v>
      </c>
      <c r="W1429" t="s">
        <v>174</v>
      </c>
      <c r="X1429">
        <v>0</v>
      </c>
      <c r="Z1429" t="s">
        <v>173</v>
      </c>
      <c r="AA1429" t="s">
        <v>173</v>
      </c>
    </row>
    <row r="1430" spans="1:27" x14ac:dyDescent="0.3">
      <c r="A1430">
        <v>1429</v>
      </c>
      <c r="B1430" t="s">
        <v>169</v>
      </c>
      <c r="C1430">
        <v>99019875</v>
      </c>
      <c r="D1430" s="7" t="s">
        <v>110</v>
      </c>
      <c r="E1430" t="s">
        <v>179</v>
      </c>
      <c r="F1430" t="s">
        <v>170</v>
      </c>
      <c r="G1430" t="s">
        <v>171</v>
      </c>
      <c r="H1430">
        <v>4</v>
      </c>
      <c r="I1430">
        <v>0</v>
      </c>
      <c r="J1430">
        <v>4</v>
      </c>
      <c r="K1430" s="133">
        <v>48495</v>
      </c>
      <c r="L1430" s="133">
        <v>48495</v>
      </c>
      <c r="M1430" s="150">
        <v>0.61848379629629624</v>
      </c>
      <c r="N1430" s="150">
        <v>0.6187731481481481</v>
      </c>
      <c r="O1430" t="s">
        <v>172</v>
      </c>
      <c r="Q1430">
        <v>2524615</v>
      </c>
      <c r="R1430">
        <v>2524615</v>
      </c>
      <c r="S1430">
        <v>0</v>
      </c>
      <c r="T1430">
        <v>0</v>
      </c>
      <c r="U1430" t="s">
        <v>173</v>
      </c>
      <c r="V1430">
        <v>0</v>
      </c>
      <c r="W1430" t="s">
        <v>174</v>
      </c>
      <c r="X1430">
        <v>0</v>
      </c>
      <c r="Z1430" t="s">
        <v>173</v>
      </c>
      <c r="AA1430" t="s">
        <v>173</v>
      </c>
    </row>
    <row r="1431" spans="1:27" x14ac:dyDescent="0.3">
      <c r="A1431">
        <v>1430</v>
      </c>
      <c r="B1431" t="s">
        <v>169</v>
      </c>
      <c r="C1431">
        <v>99019875</v>
      </c>
      <c r="D1431" s="7" t="s">
        <v>89</v>
      </c>
      <c r="E1431" t="s">
        <v>90</v>
      </c>
      <c r="F1431" t="s">
        <v>176</v>
      </c>
      <c r="G1431" t="s">
        <v>171</v>
      </c>
      <c r="H1431">
        <v>31</v>
      </c>
      <c r="I1431">
        <v>0</v>
      </c>
      <c r="J1431">
        <v>31</v>
      </c>
      <c r="K1431" s="133">
        <v>3090</v>
      </c>
      <c r="L1431" s="133">
        <v>3090</v>
      </c>
      <c r="M1431" s="150">
        <v>0.61848379629629624</v>
      </c>
      <c r="N1431" s="150">
        <v>0.61934027777777778</v>
      </c>
      <c r="O1431" t="s">
        <v>172</v>
      </c>
      <c r="Q1431">
        <v>2524616</v>
      </c>
      <c r="R1431">
        <v>2524616</v>
      </c>
      <c r="S1431">
        <v>0</v>
      </c>
      <c r="T1431">
        <v>0</v>
      </c>
      <c r="U1431" t="s">
        <v>173</v>
      </c>
      <c r="V1431">
        <v>0</v>
      </c>
      <c r="W1431" t="s">
        <v>174</v>
      </c>
      <c r="X1431">
        <v>0</v>
      </c>
      <c r="Z1431" t="s">
        <v>173</v>
      </c>
      <c r="AA1431" t="s">
        <v>173</v>
      </c>
    </row>
    <row r="1432" spans="1:27" x14ac:dyDescent="0.3">
      <c r="A1432">
        <v>1431</v>
      </c>
      <c r="B1432" t="s">
        <v>169</v>
      </c>
      <c r="C1432">
        <v>99019875</v>
      </c>
      <c r="D1432" s="7" t="s">
        <v>100</v>
      </c>
      <c r="E1432" t="s">
        <v>101</v>
      </c>
      <c r="F1432" t="s">
        <v>170</v>
      </c>
      <c r="G1432" t="s">
        <v>171</v>
      </c>
      <c r="H1432">
        <v>5</v>
      </c>
      <c r="I1432">
        <v>0</v>
      </c>
      <c r="J1432">
        <v>5</v>
      </c>
      <c r="K1432" s="133">
        <v>15515</v>
      </c>
      <c r="L1432" s="133">
        <v>15515</v>
      </c>
      <c r="M1432" s="150">
        <v>0.61848379629629624</v>
      </c>
      <c r="N1432" s="150">
        <v>0.61886574074074074</v>
      </c>
      <c r="O1432" t="s">
        <v>172</v>
      </c>
      <c r="Q1432">
        <v>2524617</v>
      </c>
      <c r="R1432">
        <v>2524617</v>
      </c>
      <c r="S1432">
        <v>0</v>
      </c>
      <c r="T1432">
        <v>0</v>
      </c>
      <c r="U1432" t="s">
        <v>173</v>
      </c>
      <c r="V1432">
        <v>0</v>
      </c>
      <c r="W1432" t="s">
        <v>174</v>
      </c>
      <c r="X1432">
        <v>0</v>
      </c>
      <c r="Z1432" t="s">
        <v>173</v>
      </c>
      <c r="AA1432" t="s">
        <v>173</v>
      </c>
    </row>
    <row r="1433" spans="1:27" x14ac:dyDescent="0.3">
      <c r="A1433">
        <v>1432</v>
      </c>
      <c r="B1433" t="s">
        <v>169</v>
      </c>
      <c r="C1433">
        <v>99019875</v>
      </c>
      <c r="D1433" s="7" t="s">
        <v>108</v>
      </c>
      <c r="E1433" t="s">
        <v>109</v>
      </c>
      <c r="F1433" t="s">
        <v>170</v>
      </c>
      <c r="G1433" t="s">
        <v>171</v>
      </c>
      <c r="H1433">
        <v>24</v>
      </c>
      <c r="I1433">
        <v>0</v>
      </c>
      <c r="J1433">
        <v>24</v>
      </c>
      <c r="K1433" s="133">
        <v>2715</v>
      </c>
      <c r="L1433" s="133">
        <v>2715</v>
      </c>
      <c r="M1433" s="150">
        <v>0.61848379629629624</v>
      </c>
      <c r="N1433" s="150">
        <v>0.62351851851851847</v>
      </c>
      <c r="O1433" t="s">
        <v>172</v>
      </c>
      <c r="Q1433">
        <v>2524619</v>
      </c>
      <c r="R1433">
        <v>2524619</v>
      </c>
      <c r="S1433">
        <v>0</v>
      </c>
      <c r="T1433">
        <v>0</v>
      </c>
      <c r="U1433" t="s">
        <v>173</v>
      </c>
      <c r="V1433">
        <v>0</v>
      </c>
      <c r="W1433" t="s">
        <v>174</v>
      </c>
      <c r="X1433">
        <v>0</v>
      </c>
      <c r="Z1433" t="s">
        <v>173</v>
      </c>
      <c r="AA1433" t="s">
        <v>173</v>
      </c>
    </row>
    <row r="1434" spans="1:27" x14ac:dyDescent="0.3">
      <c r="A1434">
        <v>1433</v>
      </c>
      <c r="B1434" t="s">
        <v>169</v>
      </c>
      <c r="C1434">
        <v>99019875</v>
      </c>
      <c r="D1434" s="7" t="s">
        <v>122</v>
      </c>
      <c r="E1434" t="s">
        <v>123</v>
      </c>
      <c r="F1434" t="s">
        <v>170</v>
      </c>
      <c r="G1434" t="s">
        <v>171</v>
      </c>
      <c r="H1434">
        <v>19</v>
      </c>
      <c r="I1434">
        <v>0</v>
      </c>
      <c r="J1434">
        <v>19</v>
      </c>
      <c r="K1434" s="133">
        <v>36045</v>
      </c>
      <c r="L1434" s="133">
        <v>36045</v>
      </c>
      <c r="M1434" s="150">
        <v>0.61848379629629624</v>
      </c>
      <c r="N1434" s="150">
        <v>0.61966435185185187</v>
      </c>
      <c r="O1434" t="s">
        <v>172</v>
      </c>
      <c r="Q1434">
        <v>2524621</v>
      </c>
      <c r="R1434">
        <v>2524621</v>
      </c>
      <c r="S1434">
        <v>0</v>
      </c>
      <c r="T1434">
        <v>0</v>
      </c>
      <c r="U1434" t="s">
        <v>173</v>
      </c>
      <c r="V1434">
        <v>0</v>
      </c>
      <c r="W1434" t="s">
        <v>174</v>
      </c>
      <c r="X1434">
        <v>0</v>
      </c>
      <c r="Z1434" t="s">
        <v>173</v>
      </c>
      <c r="AA1434" t="s">
        <v>173</v>
      </c>
    </row>
    <row r="1435" spans="1:27" x14ac:dyDescent="0.3">
      <c r="A1435">
        <v>1434</v>
      </c>
      <c r="B1435" t="s">
        <v>169</v>
      </c>
      <c r="C1435">
        <v>99019875</v>
      </c>
      <c r="D1435" s="7" t="s">
        <v>71</v>
      </c>
      <c r="E1435" t="s">
        <v>72</v>
      </c>
      <c r="F1435" t="s">
        <v>176</v>
      </c>
      <c r="G1435" t="s">
        <v>171</v>
      </c>
      <c r="H1435">
        <v>18</v>
      </c>
      <c r="I1435">
        <v>0</v>
      </c>
      <c r="J1435">
        <v>18</v>
      </c>
      <c r="K1435" s="133">
        <v>18025</v>
      </c>
      <c r="L1435" s="133">
        <v>18025</v>
      </c>
      <c r="M1435" s="150">
        <v>0.61848379629629624</v>
      </c>
      <c r="N1435" s="150">
        <v>0.61875000000000002</v>
      </c>
      <c r="O1435" t="s">
        <v>172</v>
      </c>
      <c r="Q1435">
        <v>2524624</v>
      </c>
      <c r="R1435">
        <v>2524624</v>
      </c>
      <c r="S1435">
        <v>0</v>
      </c>
      <c r="T1435">
        <v>0</v>
      </c>
      <c r="U1435" t="s">
        <v>173</v>
      </c>
      <c r="V1435">
        <v>0</v>
      </c>
      <c r="W1435" t="s">
        <v>174</v>
      </c>
      <c r="X1435">
        <v>0</v>
      </c>
      <c r="Z1435" t="s">
        <v>173</v>
      </c>
      <c r="AA1435" t="s">
        <v>173</v>
      </c>
    </row>
    <row r="1436" spans="1:27" x14ac:dyDescent="0.3">
      <c r="A1436">
        <v>1435</v>
      </c>
      <c r="B1436" t="s">
        <v>169</v>
      </c>
      <c r="C1436">
        <v>99019875</v>
      </c>
      <c r="D1436" s="7" t="s">
        <v>65</v>
      </c>
      <c r="E1436" t="s">
        <v>66</v>
      </c>
      <c r="F1436" t="s">
        <v>176</v>
      </c>
      <c r="G1436" t="s">
        <v>171</v>
      </c>
      <c r="H1436">
        <v>57</v>
      </c>
      <c r="I1436">
        <v>0</v>
      </c>
      <c r="J1436">
        <v>57</v>
      </c>
      <c r="K1436" s="133">
        <v>4750</v>
      </c>
      <c r="L1436" s="133">
        <v>4750</v>
      </c>
      <c r="M1436" s="150">
        <v>0.61848379629629624</v>
      </c>
      <c r="N1436" s="150">
        <v>0.61851851851851858</v>
      </c>
      <c r="O1436" t="s">
        <v>172</v>
      </c>
      <c r="Q1436">
        <v>2524625</v>
      </c>
      <c r="R1436">
        <v>2524625</v>
      </c>
      <c r="S1436">
        <v>0</v>
      </c>
      <c r="T1436">
        <v>0</v>
      </c>
      <c r="U1436" t="s">
        <v>173</v>
      </c>
      <c r="V1436">
        <v>0</v>
      </c>
      <c r="W1436" t="s">
        <v>174</v>
      </c>
      <c r="X1436">
        <v>0</v>
      </c>
      <c r="Z1436" t="s">
        <v>173</v>
      </c>
      <c r="AA1436" t="s">
        <v>173</v>
      </c>
    </row>
    <row r="1437" spans="1:27" x14ac:dyDescent="0.3">
      <c r="A1437">
        <v>1436</v>
      </c>
      <c r="B1437" t="s">
        <v>169</v>
      </c>
      <c r="C1437">
        <v>99019875</v>
      </c>
      <c r="D1437" s="7" t="s">
        <v>118</v>
      </c>
      <c r="E1437" t="s">
        <v>119</v>
      </c>
      <c r="F1437" t="s">
        <v>176</v>
      </c>
      <c r="G1437" t="s">
        <v>171</v>
      </c>
      <c r="H1437">
        <v>20</v>
      </c>
      <c r="I1437">
        <v>0</v>
      </c>
      <c r="J1437">
        <v>20</v>
      </c>
      <c r="K1437" s="133">
        <v>12445</v>
      </c>
      <c r="L1437" s="133">
        <v>12445</v>
      </c>
      <c r="M1437" s="150">
        <v>0.61848379629629624</v>
      </c>
      <c r="N1437" s="150">
        <v>0.61875000000000002</v>
      </c>
      <c r="O1437" t="s">
        <v>172</v>
      </c>
      <c r="Q1437">
        <v>2524626</v>
      </c>
      <c r="R1437">
        <v>2524626</v>
      </c>
      <c r="S1437">
        <v>0</v>
      </c>
      <c r="T1437">
        <v>0</v>
      </c>
      <c r="U1437" t="s">
        <v>173</v>
      </c>
      <c r="V1437">
        <v>0</v>
      </c>
      <c r="W1437" t="s">
        <v>174</v>
      </c>
      <c r="X1437">
        <v>0</v>
      </c>
      <c r="Z1437" t="s">
        <v>173</v>
      </c>
      <c r="AA1437" t="s">
        <v>173</v>
      </c>
    </row>
    <row r="1438" spans="1:27" x14ac:dyDescent="0.3">
      <c r="A1438">
        <v>1437</v>
      </c>
      <c r="B1438" t="s">
        <v>169</v>
      </c>
      <c r="C1438">
        <v>99019875</v>
      </c>
      <c r="D1438" s="7" t="s">
        <v>96</v>
      </c>
      <c r="E1438" t="s">
        <v>97</v>
      </c>
      <c r="F1438" t="s">
        <v>170</v>
      </c>
      <c r="G1438" t="s">
        <v>171</v>
      </c>
      <c r="H1438">
        <v>27</v>
      </c>
      <c r="I1438">
        <v>0</v>
      </c>
      <c r="J1438">
        <v>27</v>
      </c>
      <c r="K1438" s="133">
        <v>8310</v>
      </c>
      <c r="L1438" s="133">
        <v>8310</v>
      </c>
      <c r="M1438" s="150">
        <v>0.61848379629629624</v>
      </c>
      <c r="N1438" s="150">
        <v>0.61957175925925922</v>
      </c>
      <c r="O1438" t="s">
        <v>172</v>
      </c>
      <c r="Q1438">
        <v>2524627</v>
      </c>
      <c r="R1438">
        <v>2524627</v>
      </c>
      <c r="S1438">
        <v>0</v>
      </c>
      <c r="T1438">
        <v>0</v>
      </c>
      <c r="U1438" t="s">
        <v>173</v>
      </c>
      <c r="V1438">
        <v>0</v>
      </c>
      <c r="W1438" t="s">
        <v>174</v>
      </c>
      <c r="X1438">
        <v>0</v>
      </c>
      <c r="Z1438" t="s">
        <v>173</v>
      </c>
      <c r="AA1438" t="s">
        <v>173</v>
      </c>
    </row>
    <row r="1439" spans="1:27" x14ac:dyDescent="0.3">
      <c r="A1439">
        <v>1438</v>
      </c>
      <c r="B1439" t="s">
        <v>169</v>
      </c>
      <c r="C1439">
        <v>99019875</v>
      </c>
      <c r="D1439" s="7" t="s">
        <v>69</v>
      </c>
      <c r="E1439" t="s">
        <v>70</v>
      </c>
      <c r="F1439" t="s">
        <v>170</v>
      </c>
      <c r="G1439" t="s">
        <v>171</v>
      </c>
      <c r="H1439">
        <v>17</v>
      </c>
      <c r="I1439">
        <v>0</v>
      </c>
      <c r="J1439">
        <v>17</v>
      </c>
      <c r="K1439" s="133">
        <v>10275</v>
      </c>
      <c r="L1439" s="133">
        <v>10275</v>
      </c>
      <c r="M1439" s="150">
        <v>0.61848379629629624</v>
      </c>
      <c r="N1439" s="150">
        <v>0.61851851851851858</v>
      </c>
      <c r="O1439" t="s">
        <v>172</v>
      </c>
      <c r="Q1439">
        <v>2524629</v>
      </c>
      <c r="R1439">
        <v>2524629</v>
      </c>
      <c r="S1439">
        <v>0</v>
      </c>
      <c r="T1439">
        <v>0</v>
      </c>
      <c r="U1439" t="s">
        <v>173</v>
      </c>
      <c r="V1439">
        <v>0</v>
      </c>
      <c r="W1439" t="s">
        <v>174</v>
      </c>
      <c r="X1439">
        <v>0</v>
      </c>
      <c r="Z1439" t="s">
        <v>173</v>
      </c>
      <c r="AA1439" t="s">
        <v>173</v>
      </c>
    </row>
    <row r="1440" spans="1:27" x14ac:dyDescent="0.3">
      <c r="A1440">
        <v>1439</v>
      </c>
      <c r="B1440" t="s">
        <v>169</v>
      </c>
      <c r="C1440">
        <v>99019875</v>
      </c>
      <c r="D1440" s="7" t="s">
        <v>62</v>
      </c>
      <c r="E1440" t="s">
        <v>63</v>
      </c>
      <c r="F1440" t="s">
        <v>176</v>
      </c>
      <c r="G1440" t="s">
        <v>177</v>
      </c>
      <c r="H1440">
        <v>89</v>
      </c>
      <c r="I1440">
        <v>0</v>
      </c>
      <c r="J1440">
        <v>89</v>
      </c>
      <c r="K1440" s="133">
        <v>34065</v>
      </c>
      <c r="L1440" s="133">
        <v>34065</v>
      </c>
      <c r="M1440" s="150">
        <v>0.61849537037037039</v>
      </c>
      <c r="N1440" s="150">
        <v>0.61859953703703707</v>
      </c>
      <c r="O1440" t="s">
        <v>172</v>
      </c>
      <c r="Q1440">
        <v>2524648</v>
      </c>
      <c r="R1440">
        <v>2524648</v>
      </c>
      <c r="S1440">
        <v>2524610</v>
      </c>
      <c r="T1440">
        <v>0</v>
      </c>
      <c r="U1440" t="s">
        <v>173</v>
      </c>
      <c r="V1440">
        <v>0</v>
      </c>
      <c r="W1440" t="s">
        <v>174</v>
      </c>
      <c r="X1440">
        <v>2524610</v>
      </c>
      <c r="Z1440" t="s">
        <v>173</v>
      </c>
      <c r="AA1440" t="s">
        <v>173</v>
      </c>
    </row>
    <row r="1441" spans="1:27" x14ac:dyDescent="0.3">
      <c r="A1441">
        <v>1440</v>
      </c>
      <c r="B1441" t="s">
        <v>169</v>
      </c>
      <c r="C1441">
        <v>99019875</v>
      </c>
      <c r="D1441" s="7" t="s">
        <v>128</v>
      </c>
      <c r="E1441" t="s">
        <v>129</v>
      </c>
      <c r="F1441" t="s">
        <v>170</v>
      </c>
      <c r="G1441" t="s">
        <v>171</v>
      </c>
      <c r="H1441">
        <v>1</v>
      </c>
      <c r="I1441">
        <v>0</v>
      </c>
      <c r="J1441">
        <v>1</v>
      </c>
      <c r="K1441" s="133">
        <v>6505</v>
      </c>
      <c r="L1441" s="133">
        <v>6505</v>
      </c>
      <c r="M1441" s="150">
        <v>0.61854166666666666</v>
      </c>
      <c r="N1441" s="150">
        <v>0.62015046296296295</v>
      </c>
      <c r="O1441" t="s">
        <v>172</v>
      </c>
      <c r="Q1441">
        <v>2524815</v>
      </c>
      <c r="R1441">
        <v>2524815</v>
      </c>
      <c r="S1441">
        <v>0</v>
      </c>
      <c r="T1441">
        <v>0</v>
      </c>
      <c r="U1441" t="s">
        <v>173</v>
      </c>
      <c r="V1441">
        <v>0</v>
      </c>
      <c r="W1441" t="s">
        <v>174</v>
      </c>
      <c r="X1441">
        <v>0</v>
      </c>
      <c r="Z1441" t="s">
        <v>173</v>
      </c>
      <c r="AA1441" t="s">
        <v>173</v>
      </c>
    </row>
    <row r="1442" spans="1:27" x14ac:dyDescent="0.3">
      <c r="A1442">
        <v>1441</v>
      </c>
      <c r="B1442" t="s">
        <v>169</v>
      </c>
      <c r="C1442">
        <v>99019875</v>
      </c>
      <c r="D1442" s="7" t="s">
        <v>114</v>
      </c>
      <c r="E1442" t="s">
        <v>115</v>
      </c>
      <c r="F1442" t="s">
        <v>176</v>
      </c>
      <c r="G1442" t="s">
        <v>177</v>
      </c>
      <c r="H1442">
        <v>65</v>
      </c>
      <c r="I1442">
        <v>0</v>
      </c>
      <c r="J1442">
        <v>65</v>
      </c>
      <c r="K1442" s="133">
        <v>53820</v>
      </c>
      <c r="L1442" s="133">
        <v>53820</v>
      </c>
      <c r="M1442" s="150">
        <v>0.61856481481481485</v>
      </c>
      <c r="N1442" s="150">
        <v>0.61858796296296303</v>
      </c>
      <c r="O1442" t="s">
        <v>172</v>
      </c>
      <c r="Q1442">
        <v>2524860</v>
      </c>
      <c r="R1442">
        <v>2524860</v>
      </c>
      <c r="S1442">
        <v>2524825</v>
      </c>
      <c r="T1442">
        <v>0</v>
      </c>
      <c r="U1442" t="s">
        <v>173</v>
      </c>
      <c r="V1442">
        <v>0</v>
      </c>
      <c r="W1442" t="s">
        <v>174</v>
      </c>
      <c r="X1442">
        <v>2524825</v>
      </c>
      <c r="Z1442" t="s">
        <v>173</v>
      </c>
      <c r="AA1442" t="s">
        <v>173</v>
      </c>
    </row>
    <row r="1443" spans="1:27" x14ac:dyDescent="0.3">
      <c r="A1443">
        <v>1442</v>
      </c>
      <c r="B1443" t="s">
        <v>169</v>
      </c>
      <c r="C1443">
        <v>99019875</v>
      </c>
      <c r="D1443" s="7" t="s">
        <v>87</v>
      </c>
      <c r="E1443" t="s">
        <v>88</v>
      </c>
      <c r="F1443" t="s">
        <v>170</v>
      </c>
      <c r="G1443" t="s">
        <v>177</v>
      </c>
      <c r="H1443">
        <v>6</v>
      </c>
      <c r="I1443">
        <v>0</v>
      </c>
      <c r="J1443">
        <v>6</v>
      </c>
      <c r="K1443" s="133">
        <v>12150</v>
      </c>
      <c r="L1443" s="133">
        <v>12150</v>
      </c>
      <c r="M1443" s="150">
        <v>0.61862268518518515</v>
      </c>
      <c r="N1443" s="150">
        <v>0.61885416666666659</v>
      </c>
      <c r="O1443" t="s">
        <v>172</v>
      </c>
      <c r="Q1443">
        <v>2525005</v>
      </c>
      <c r="R1443">
        <v>2525005</v>
      </c>
      <c r="S1443">
        <v>2524618</v>
      </c>
      <c r="T1443">
        <v>0</v>
      </c>
      <c r="U1443" t="s">
        <v>173</v>
      </c>
      <c r="V1443">
        <v>0</v>
      </c>
      <c r="W1443" t="s">
        <v>174</v>
      </c>
      <c r="X1443">
        <v>2524618</v>
      </c>
      <c r="Z1443" t="s">
        <v>173</v>
      </c>
      <c r="AA1443" t="s">
        <v>173</v>
      </c>
    </row>
    <row r="1444" spans="1:27" x14ac:dyDescent="0.3">
      <c r="A1444">
        <v>1443</v>
      </c>
      <c r="B1444" t="s">
        <v>169</v>
      </c>
      <c r="C1444">
        <v>99019875</v>
      </c>
      <c r="D1444" s="7" t="s">
        <v>77</v>
      </c>
      <c r="E1444" t="s">
        <v>78</v>
      </c>
      <c r="F1444" t="s">
        <v>170</v>
      </c>
      <c r="G1444" t="s">
        <v>177</v>
      </c>
      <c r="H1444">
        <v>1</v>
      </c>
      <c r="I1444">
        <v>0</v>
      </c>
      <c r="J1444">
        <v>1</v>
      </c>
      <c r="K1444" s="133">
        <v>7365</v>
      </c>
      <c r="L1444" s="133">
        <v>7365</v>
      </c>
      <c r="M1444" s="150">
        <v>0.61872685185185183</v>
      </c>
      <c r="N1444" s="150">
        <v>0.61873842592592598</v>
      </c>
      <c r="O1444" t="s">
        <v>172</v>
      </c>
      <c r="Q1444">
        <v>2525277</v>
      </c>
      <c r="R1444">
        <v>2525277</v>
      </c>
      <c r="S1444">
        <v>2523233</v>
      </c>
      <c r="T1444">
        <v>0</v>
      </c>
      <c r="U1444" t="s">
        <v>173</v>
      </c>
      <c r="V1444">
        <v>0</v>
      </c>
      <c r="W1444" t="s">
        <v>174</v>
      </c>
      <c r="X1444">
        <v>2523233</v>
      </c>
      <c r="Z1444" t="s">
        <v>173</v>
      </c>
      <c r="AA1444" t="s">
        <v>173</v>
      </c>
    </row>
    <row r="1445" spans="1:27" x14ac:dyDescent="0.3">
      <c r="A1445">
        <v>1444</v>
      </c>
      <c r="B1445" t="s">
        <v>169</v>
      </c>
      <c r="C1445">
        <v>99019875</v>
      </c>
      <c r="D1445" s="7" t="s">
        <v>77</v>
      </c>
      <c r="E1445" t="s">
        <v>78</v>
      </c>
      <c r="F1445" t="s">
        <v>170</v>
      </c>
      <c r="G1445" t="s">
        <v>177</v>
      </c>
      <c r="H1445">
        <v>74</v>
      </c>
      <c r="I1445">
        <v>0</v>
      </c>
      <c r="J1445">
        <v>74</v>
      </c>
      <c r="K1445" s="133">
        <v>7365</v>
      </c>
      <c r="L1445" s="133">
        <v>7365</v>
      </c>
      <c r="M1445" s="150">
        <v>0.61872685185185183</v>
      </c>
      <c r="N1445" s="150">
        <v>0.61873842592592598</v>
      </c>
      <c r="O1445" t="s">
        <v>172</v>
      </c>
      <c r="Q1445">
        <v>2525278</v>
      </c>
      <c r="R1445">
        <v>2525278</v>
      </c>
      <c r="S1445">
        <v>2523800</v>
      </c>
      <c r="T1445">
        <v>0</v>
      </c>
      <c r="U1445" t="s">
        <v>173</v>
      </c>
      <c r="V1445">
        <v>0</v>
      </c>
      <c r="W1445" t="s">
        <v>174</v>
      </c>
      <c r="X1445">
        <v>2523800</v>
      </c>
      <c r="Z1445" t="s">
        <v>173</v>
      </c>
      <c r="AA1445" t="s">
        <v>173</v>
      </c>
    </row>
    <row r="1446" spans="1:27" x14ac:dyDescent="0.3">
      <c r="A1446">
        <v>1445</v>
      </c>
      <c r="B1446" t="s">
        <v>169</v>
      </c>
      <c r="C1446">
        <v>99019875</v>
      </c>
      <c r="D1446" s="7" t="s">
        <v>77</v>
      </c>
      <c r="E1446" t="s">
        <v>78</v>
      </c>
      <c r="F1446" t="s">
        <v>170</v>
      </c>
      <c r="G1446" t="s">
        <v>177</v>
      </c>
      <c r="H1446">
        <v>73</v>
      </c>
      <c r="I1446">
        <v>0</v>
      </c>
      <c r="J1446">
        <v>73</v>
      </c>
      <c r="K1446" s="133">
        <v>7365</v>
      </c>
      <c r="L1446" s="133">
        <v>7365</v>
      </c>
      <c r="M1446" s="150">
        <v>0.61872685185185183</v>
      </c>
      <c r="N1446" s="150">
        <v>0.6189351851851852</v>
      </c>
      <c r="O1446" t="s">
        <v>172</v>
      </c>
      <c r="Q1446">
        <v>2525279</v>
      </c>
      <c r="R1446">
        <v>2525279</v>
      </c>
      <c r="S1446">
        <v>2524623</v>
      </c>
      <c r="T1446">
        <v>0</v>
      </c>
      <c r="U1446" t="s">
        <v>173</v>
      </c>
      <c r="V1446">
        <v>0</v>
      </c>
      <c r="W1446" t="s">
        <v>174</v>
      </c>
      <c r="X1446">
        <v>2524623</v>
      </c>
      <c r="Z1446" t="s">
        <v>173</v>
      </c>
      <c r="AA1446" t="s">
        <v>173</v>
      </c>
    </row>
    <row r="1447" spans="1:27" x14ac:dyDescent="0.3">
      <c r="A1447">
        <v>1446</v>
      </c>
      <c r="B1447" t="s">
        <v>169</v>
      </c>
      <c r="C1447">
        <v>99019875</v>
      </c>
      <c r="D1447" s="7" t="s">
        <v>140</v>
      </c>
      <c r="E1447" t="s">
        <v>178</v>
      </c>
      <c r="F1447" t="s">
        <v>170</v>
      </c>
      <c r="G1447" t="s">
        <v>177</v>
      </c>
      <c r="H1447">
        <v>20</v>
      </c>
      <c r="I1447">
        <v>0</v>
      </c>
      <c r="J1447">
        <v>20</v>
      </c>
      <c r="K1447" s="133">
        <v>8645</v>
      </c>
      <c r="L1447" s="133">
        <v>8645</v>
      </c>
      <c r="M1447" s="150">
        <v>0.61876157407407406</v>
      </c>
      <c r="N1447" s="150">
        <v>0.61894675925925924</v>
      </c>
      <c r="O1447" t="s">
        <v>172</v>
      </c>
      <c r="Q1447">
        <v>2525389</v>
      </c>
      <c r="R1447">
        <v>2525389</v>
      </c>
      <c r="S1447">
        <v>2523805</v>
      </c>
      <c r="T1447">
        <v>0</v>
      </c>
      <c r="U1447" t="s">
        <v>173</v>
      </c>
      <c r="V1447">
        <v>0</v>
      </c>
      <c r="W1447" t="s">
        <v>174</v>
      </c>
      <c r="X1447">
        <v>2523805</v>
      </c>
      <c r="Z1447" t="s">
        <v>173</v>
      </c>
      <c r="AA1447" t="s">
        <v>173</v>
      </c>
    </row>
    <row r="1448" spans="1:27" x14ac:dyDescent="0.3">
      <c r="A1448">
        <v>1447</v>
      </c>
      <c r="B1448" t="s">
        <v>169</v>
      </c>
      <c r="C1448">
        <v>99019875</v>
      </c>
      <c r="D1448" s="7" t="s">
        <v>140</v>
      </c>
      <c r="E1448" t="s">
        <v>178</v>
      </c>
      <c r="F1448" t="s">
        <v>170</v>
      </c>
      <c r="G1448" t="s">
        <v>177</v>
      </c>
      <c r="H1448">
        <v>20</v>
      </c>
      <c r="I1448">
        <v>0</v>
      </c>
      <c r="J1448">
        <v>20</v>
      </c>
      <c r="K1448" s="133">
        <v>8645</v>
      </c>
      <c r="L1448" s="133">
        <v>8645</v>
      </c>
      <c r="M1448" s="150">
        <v>0.61876157407407406</v>
      </c>
      <c r="N1448" s="150">
        <v>0.61894675925925924</v>
      </c>
      <c r="O1448" t="s">
        <v>172</v>
      </c>
      <c r="Q1448">
        <v>2525390</v>
      </c>
      <c r="R1448">
        <v>2525390</v>
      </c>
      <c r="S1448">
        <v>2524628</v>
      </c>
      <c r="T1448">
        <v>0</v>
      </c>
      <c r="U1448" t="s">
        <v>173</v>
      </c>
      <c r="V1448">
        <v>0</v>
      </c>
      <c r="W1448" t="s">
        <v>174</v>
      </c>
      <c r="X1448">
        <v>2524628</v>
      </c>
      <c r="Z1448" t="s">
        <v>173</v>
      </c>
      <c r="AA1448" t="s">
        <v>173</v>
      </c>
    </row>
    <row r="1449" spans="1:27" x14ac:dyDescent="0.3">
      <c r="A1449">
        <v>1448</v>
      </c>
      <c r="B1449" t="s">
        <v>169</v>
      </c>
      <c r="C1449">
        <v>99019875</v>
      </c>
      <c r="D1449" s="7" t="s">
        <v>62</v>
      </c>
      <c r="E1449" t="s">
        <v>63</v>
      </c>
      <c r="F1449" t="s">
        <v>176</v>
      </c>
      <c r="G1449" t="s">
        <v>171</v>
      </c>
      <c r="H1449">
        <v>89</v>
      </c>
      <c r="I1449">
        <v>0</v>
      </c>
      <c r="J1449">
        <v>89</v>
      </c>
      <c r="K1449" s="133">
        <v>34075</v>
      </c>
      <c r="L1449" s="133">
        <v>34075</v>
      </c>
      <c r="M1449" s="150">
        <v>0.61878472222222225</v>
      </c>
      <c r="N1449" s="150">
        <v>0.61879629629629629</v>
      </c>
      <c r="O1449" t="s">
        <v>172</v>
      </c>
      <c r="Q1449">
        <v>2525451</v>
      </c>
      <c r="R1449">
        <v>2525451</v>
      </c>
      <c r="S1449">
        <v>0</v>
      </c>
      <c r="T1449">
        <v>0</v>
      </c>
      <c r="U1449" t="s">
        <v>173</v>
      </c>
      <c r="V1449">
        <v>0</v>
      </c>
      <c r="W1449" t="s">
        <v>174</v>
      </c>
      <c r="X1449">
        <v>0</v>
      </c>
      <c r="Z1449" t="s">
        <v>173</v>
      </c>
      <c r="AA1449" t="s">
        <v>173</v>
      </c>
    </row>
    <row r="1450" spans="1:27" x14ac:dyDescent="0.3">
      <c r="A1450">
        <v>1449</v>
      </c>
      <c r="B1450" t="s">
        <v>169</v>
      </c>
      <c r="C1450">
        <v>99019875</v>
      </c>
      <c r="D1450" s="7" t="s">
        <v>75</v>
      </c>
      <c r="E1450" t="s">
        <v>76</v>
      </c>
      <c r="F1450" t="s">
        <v>170</v>
      </c>
      <c r="G1450" t="s">
        <v>177</v>
      </c>
      <c r="H1450">
        <v>83</v>
      </c>
      <c r="I1450">
        <v>0</v>
      </c>
      <c r="J1450">
        <v>83</v>
      </c>
      <c r="K1450" s="133">
        <v>20790</v>
      </c>
      <c r="L1450" s="133">
        <v>20790</v>
      </c>
      <c r="M1450" s="150">
        <v>0.61878472222222225</v>
      </c>
      <c r="N1450" s="150">
        <v>0.61880787037037044</v>
      </c>
      <c r="O1450" t="s">
        <v>172</v>
      </c>
      <c r="Q1450">
        <v>2525452</v>
      </c>
      <c r="R1450">
        <v>2525452</v>
      </c>
      <c r="S1450">
        <v>2524612</v>
      </c>
      <c r="T1450">
        <v>0</v>
      </c>
      <c r="U1450" t="s">
        <v>173</v>
      </c>
      <c r="V1450">
        <v>0</v>
      </c>
      <c r="W1450" t="s">
        <v>174</v>
      </c>
      <c r="X1450">
        <v>2524612</v>
      </c>
      <c r="Z1450" t="s">
        <v>173</v>
      </c>
      <c r="AA1450" t="s">
        <v>173</v>
      </c>
    </row>
    <row r="1451" spans="1:27" x14ac:dyDescent="0.3">
      <c r="A1451">
        <v>1450</v>
      </c>
      <c r="B1451" t="s">
        <v>169</v>
      </c>
      <c r="C1451">
        <v>99019875</v>
      </c>
      <c r="D1451" s="7" t="s">
        <v>75</v>
      </c>
      <c r="E1451" t="s">
        <v>76</v>
      </c>
      <c r="F1451" t="s">
        <v>170</v>
      </c>
      <c r="G1451" t="s">
        <v>171</v>
      </c>
      <c r="H1451">
        <v>83</v>
      </c>
      <c r="I1451">
        <v>0</v>
      </c>
      <c r="J1451">
        <v>83</v>
      </c>
      <c r="K1451" s="133">
        <v>20790</v>
      </c>
      <c r="L1451" s="133">
        <v>20790</v>
      </c>
      <c r="M1451" s="150">
        <v>0.61878472222222225</v>
      </c>
      <c r="N1451" s="150">
        <v>0.61880787037037044</v>
      </c>
      <c r="O1451" t="s">
        <v>172</v>
      </c>
      <c r="Q1451">
        <v>2525454</v>
      </c>
      <c r="R1451">
        <v>2525454</v>
      </c>
      <c r="S1451">
        <v>0</v>
      </c>
      <c r="T1451">
        <v>0</v>
      </c>
      <c r="U1451" t="s">
        <v>173</v>
      </c>
      <c r="V1451">
        <v>0</v>
      </c>
      <c r="W1451" t="s">
        <v>174</v>
      </c>
      <c r="X1451">
        <v>0</v>
      </c>
      <c r="Z1451" t="s">
        <v>173</v>
      </c>
      <c r="AA1451" t="s">
        <v>173</v>
      </c>
    </row>
    <row r="1452" spans="1:27" x14ac:dyDescent="0.3">
      <c r="A1452">
        <v>1451</v>
      </c>
      <c r="B1452" t="s">
        <v>169</v>
      </c>
      <c r="C1452">
        <v>99019875</v>
      </c>
      <c r="D1452" s="7" t="s">
        <v>102</v>
      </c>
      <c r="E1452" t="s">
        <v>103</v>
      </c>
      <c r="F1452" t="s">
        <v>170</v>
      </c>
      <c r="G1452" t="s">
        <v>171</v>
      </c>
      <c r="H1452">
        <v>53</v>
      </c>
      <c r="I1452">
        <v>0</v>
      </c>
      <c r="J1452">
        <v>53</v>
      </c>
      <c r="K1452" s="133">
        <v>26840</v>
      </c>
      <c r="L1452" s="133">
        <v>26840</v>
      </c>
      <c r="M1452" s="150">
        <v>0.61878472222222225</v>
      </c>
      <c r="N1452" s="150">
        <v>0.61886574074074074</v>
      </c>
      <c r="O1452" t="s">
        <v>172</v>
      </c>
      <c r="Q1452">
        <v>2525455</v>
      </c>
      <c r="R1452">
        <v>2525455</v>
      </c>
      <c r="S1452">
        <v>0</v>
      </c>
      <c r="T1452">
        <v>0</v>
      </c>
      <c r="U1452" t="s">
        <v>173</v>
      </c>
      <c r="V1452">
        <v>0</v>
      </c>
      <c r="W1452" t="s">
        <v>174</v>
      </c>
      <c r="X1452">
        <v>0</v>
      </c>
      <c r="Z1452" t="s">
        <v>173</v>
      </c>
      <c r="AA1452" t="s">
        <v>173</v>
      </c>
    </row>
    <row r="1453" spans="1:27" x14ac:dyDescent="0.3">
      <c r="A1453">
        <v>1452</v>
      </c>
      <c r="B1453" t="s">
        <v>169</v>
      </c>
      <c r="C1453">
        <v>99019875</v>
      </c>
      <c r="D1453" s="7" t="s">
        <v>110</v>
      </c>
      <c r="E1453" t="s">
        <v>179</v>
      </c>
      <c r="F1453" t="s">
        <v>170</v>
      </c>
      <c r="G1453" t="s">
        <v>171</v>
      </c>
      <c r="H1453">
        <v>3</v>
      </c>
      <c r="I1453">
        <v>0</v>
      </c>
      <c r="J1453">
        <v>3</v>
      </c>
      <c r="K1453" s="133">
        <v>48490</v>
      </c>
      <c r="L1453" s="133">
        <v>48490</v>
      </c>
      <c r="M1453" s="150">
        <v>0.61878472222222225</v>
      </c>
      <c r="N1453" s="150">
        <v>0.61900462962962965</v>
      </c>
      <c r="O1453" t="s">
        <v>172</v>
      </c>
      <c r="Q1453">
        <v>2525457</v>
      </c>
      <c r="R1453">
        <v>2525457</v>
      </c>
      <c r="S1453">
        <v>0</v>
      </c>
      <c r="T1453">
        <v>0</v>
      </c>
      <c r="U1453" t="s">
        <v>173</v>
      </c>
      <c r="V1453">
        <v>0</v>
      </c>
      <c r="W1453" t="s">
        <v>174</v>
      </c>
      <c r="X1453">
        <v>0</v>
      </c>
      <c r="Z1453" t="s">
        <v>173</v>
      </c>
      <c r="AA1453" t="s">
        <v>173</v>
      </c>
    </row>
    <row r="1454" spans="1:27" x14ac:dyDescent="0.3">
      <c r="A1454">
        <v>1453</v>
      </c>
      <c r="B1454" t="s">
        <v>169</v>
      </c>
      <c r="C1454">
        <v>99019875</v>
      </c>
      <c r="D1454" s="7" t="s">
        <v>89</v>
      </c>
      <c r="E1454" t="s">
        <v>90</v>
      </c>
      <c r="F1454" t="s">
        <v>176</v>
      </c>
      <c r="G1454" t="s">
        <v>171</v>
      </c>
      <c r="H1454">
        <v>30</v>
      </c>
      <c r="I1454">
        <v>0</v>
      </c>
      <c r="J1454">
        <v>30</v>
      </c>
      <c r="K1454" s="133">
        <v>3090</v>
      </c>
      <c r="L1454" s="133">
        <v>3090</v>
      </c>
      <c r="M1454" s="150">
        <v>0.61878472222222225</v>
      </c>
      <c r="N1454" s="150">
        <v>0.61934027777777778</v>
      </c>
      <c r="O1454" t="s">
        <v>172</v>
      </c>
      <c r="Q1454">
        <v>2525458</v>
      </c>
      <c r="R1454">
        <v>2525458</v>
      </c>
      <c r="S1454">
        <v>0</v>
      </c>
      <c r="T1454">
        <v>0</v>
      </c>
      <c r="U1454" t="s">
        <v>173</v>
      </c>
      <c r="V1454">
        <v>0</v>
      </c>
      <c r="W1454" t="s">
        <v>174</v>
      </c>
      <c r="X1454">
        <v>0</v>
      </c>
      <c r="Z1454" t="s">
        <v>173</v>
      </c>
      <c r="AA1454" t="s">
        <v>173</v>
      </c>
    </row>
    <row r="1455" spans="1:27" x14ac:dyDescent="0.3">
      <c r="A1455">
        <v>1454</v>
      </c>
      <c r="B1455" t="s">
        <v>169</v>
      </c>
      <c r="C1455">
        <v>99019875</v>
      </c>
      <c r="D1455" s="7" t="s">
        <v>100</v>
      </c>
      <c r="E1455" t="s">
        <v>101</v>
      </c>
      <c r="F1455" t="s">
        <v>170</v>
      </c>
      <c r="G1455" t="s">
        <v>171</v>
      </c>
      <c r="H1455">
        <v>5</v>
      </c>
      <c r="I1455">
        <v>0</v>
      </c>
      <c r="J1455">
        <v>5</v>
      </c>
      <c r="K1455" s="133">
        <v>15515</v>
      </c>
      <c r="L1455" s="133">
        <v>15515</v>
      </c>
      <c r="M1455" s="150">
        <v>0.61878472222222225</v>
      </c>
      <c r="N1455" s="150">
        <v>0.61896990740740743</v>
      </c>
      <c r="O1455" t="s">
        <v>172</v>
      </c>
      <c r="Q1455">
        <v>2525459</v>
      </c>
      <c r="R1455">
        <v>2525459</v>
      </c>
      <c r="S1455">
        <v>0</v>
      </c>
      <c r="T1455">
        <v>0</v>
      </c>
      <c r="U1455" t="s">
        <v>173</v>
      </c>
      <c r="V1455">
        <v>0</v>
      </c>
      <c r="W1455" t="s">
        <v>174</v>
      </c>
      <c r="X1455">
        <v>0</v>
      </c>
      <c r="Z1455" t="s">
        <v>173</v>
      </c>
      <c r="AA1455" t="s">
        <v>173</v>
      </c>
    </row>
    <row r="1456" spans="1:27" x14ac:dyDescent="0.3">
      <c r="A1456">
        <v>1455</v>
      </c>
      <c r="B1456" t="s">
        <v>169</v>
      </c>
      <c r="C1456">
        <v>99019875</v>
      </c>
      <c r="D1456" s="7" t="s">
        <v>87</v>
      </c>
      <c r="E1456" t="s">
        <v>88</v>
      </c>
      <c r="F1456" t="s">
        <v>170</v>
      </c>
      <c r="G1456" t="s">
        <v>171</v>
      </c>
      <c r="H1456">
        <v>6</v>
      </c>
      <c r="I1456">
        <v>0</v>
      </c>
      <c r="J1456">
        <v>6</v>
      </c>
      <c r="K1456" s="133">
        <v>12150</v>
      </c>
      <c r="L1456" s="133">
        <v>12150</v>
      </c>
      <c r="M1456" s="150">
        <v>0.61878472222222225</v>
      </c>
      <c r="N1456" s="150">
        <v>0.61885416666666659</v>
      </c>
      <c r="O1456" t="s">
        <v>172</v>
      </c>
      <c r="Q1456">
        <v>2525460</v>
      </c>
      <c r="R1456">
        <v>2525460</v>
      </c>
      <c r="S1456">
        <v>0</v>
      </c>
      <c r="T1456">
        <v>0</v>
      </c>
      <c r="U1456" t="s">
        <v>173</v>
      </c>
      <c r="V1456">
        <v>0</v>
      </c>
      <c r="W1456" t="s">
        <v>174</v>
      </c>
      <c r="X1456">
        <v>0</v>
      </c>
      <c r="Z1456" t="s">
        <v>173</v>
      </c>
      <c r="AA1456" t="s">
        <v>173</v>
      </c>
    </row>
    <row r="1457" spans="1:27" x14ac:dyDescent="0.3">
      <c r="A1457">
        <v>1456</v>
      </c>
      <c r="B1457" t="s">
        <v>169</v>
      </c>
      <c r="C1457">
        <v>99019875</v>
      </c>
      <c r="D1457" s="7" t="s">
        <v>108</v>
      </c>
      <c r="E1457" t="s">
        <v>109</v>
      </c>
      <c r="F1457" t="s">
        <v>170</v>
      </c>
      <c r="G1457" t="s">
        <v>171</v>
      </c>
      <c r="H1457">
        <v>23</v>
      </c>
      <c r="I1457">
        <v>0</v>
      </c>
      <c r="J1457">
        <v>23</v>
      </c>
      <c r="K1457" s="133">
        <v>2715</v>
      </c>
      <c r="L1457" s="133">
        <v>2715</v>
      </c>
      <c r="M1457" s="150">
        <v>0.61878472222222225</v>
      </c>
      <c r="N1457" s="150">
        <v>0.62351851851851847</v>
      </c>
      <c r="O1457" t="s">
        <v>172</v>
      </c>
      <c r="Q1457">
        <v>2525461</v>
      </c>
      <c r="R1457">
        <v>2525461</v>
      </c>
      <c r="S1457">
        <v>0</v>
      </c>
      <c r="T1457">
        <v>0</v>
      </c>
      <c r="U1457" t="s">
        <v>173</v>
      </c>
      <c r="V1457">
        <v>0</v>
      </c>
      <c r="W1457" t="s">
        <v>174</v>
      </c>
      <c r="X1457">
        <v>0</v>
      </c>
      <c r="Z1457" t="s">
        <v>173</v>
      </c>
      <c r="AA1457" t="s">
        <v>173</v>
      </c>
    </row>
    <row r="1458" spans="1:27" x14ac:dyDescent="0.3">
      <c r="A1458">
        <v>1457</v>
      </c>
      <c r="B1458" t="s">
        <v>169</v>
      </c>
      <c r="C1458">
        <v>99019875</v>
      </c>
      <c r="D1458" s="7" t="s">
        <v>122</v>
      </c>
      <c r="E1458" t="s">
        <v>123</v>
      </c>
      <c r="F1458" t="s">
        <v>170</v>
      </c>
      <c r="G1458" t="s">
        <v>171</v>
      </c>
      <c r="H1458">
        <v>20</v>
      </c>
      <c r="I1458">
        <v>0</v>
      </c>
      <c r="J1458">
        <v>20</v>
      </c>
      <c r="K1458" s="133">
        <v>36045</v>
      </c>
      <c r="L1458" s="133">
        <v>36045</v>
      </c>
      <c r="M1458" s="150">
        <v>0.61878472222222225</v>
      </c>
      <c r="N1458" s="150">
        <v>0.61980324074074067</v>
      </c>
      <c r="O1458" t="s">
        <v>172</v>
      </c>
      <c r="Q1458">
        <v>2525462</v>
      </c>
      <c r="R1458">
        <v>2525462</v>
      </c>
      <c r="S1458">
        <v>0</v>
      </c>
      <c r="T1458">
        <v>0</v>
      </c>
      <c r="U1458" t="s">
        <v>173</v>
      </c>
      <c r="V1458">
        <v>0</v>
      </c>
      <c r="W1458" t="s">
        <v>174</v>
      </c>
      <c r="X1458">
        <v>0</v>
      </c>
      <c r="Z1458" t="s">
        <v>173</v>
      </c>
      <c r="AA1458" t="s">
        <v>173</v>
      </c>
    </row>
    <row r="1459" spans="1:27" x14ac:dyDescent="0.3">
      <c r="A1459">
        <v>1458</v>
      </c>
      <c r="B1459" t="s">
        <v>169</v>
      </c>
      <c r="C1459">
        <v>99019875</v>
      </c>
      <c r="D1459" s="7" t="s">
        <v>77</v>
      </c>
      <c r="E1459" t="s">
        <v>78</v>
      </c>
      <c r="F1459" t="s">
        <v>170</v>
      </c>
      <c r="G1459" t="s">
        <v>171</v>
      </c>
      <c r="H1459">
        <v>73</v>
      </c>
      <c r="I1459">
        <v>0</v>
      </c>
      <c r="J1459">
        <v>73</v>
      </c>
      <c r="K1459" s="133">
        <v>7365</v>
      </c>
      <c r="L1459" s="133">
        <v>7365</v>
      </c>
      <c r="M1459" s="150">
        <v>0.61878472222222225</v>
      </c>
      <c r="N1459" s="150">
        <v>0.6189351851851852</v>
      </c>
      <c r="O1459" t="s">
        <v>172</v>
      </c>
      <c r="Q1459">
        <v>2525464</v>
      </c>
      <c r="R1459">
        <v>2525464</v>
      </c>
      <c r="S1459">
        <v>0</v>
      </c>
      <c r="T1459">
        <v>0</v>
      </c>
      <c r="U1459" t="s">
        <v>173</v>
      </c>
      <c r="V1459">
        <v>0</v>
      </c>
      <c r="W1459" t="s">
        <v>174</v>
      </c>
      <c r="X1459">
        <v>0</v>
      </c>
      <c r="Z1459" t="s">
        <v>173</v>
      </c>
      <c r="AA1459" t="s">
        <v>173</v>
      </c>
    </row>
    <row r="1460" spans="1:27" x14ac:dyDescent="0.3">
      <c r="A1460">
        <v>1459</v>
      </c>
      <c r="B1460" t="s">
        <v>169</v>
      </c>
      <c r="C1460">
        <v>99019875</v>
      </c>
      <c r="D1460" s="7" t="s">
        <v>96</v>
      </c>
      <c r="E1460" t="s">
        <v>97</v>
      </c>
      <c r="F1460" t="s">
        <v>170</v>
      </c>
      <c r="G1460" t="s">
        <v>171</v>
      </c>
      <c r="H1460">
        <v>27</v>
      </c>
      <c r="I1460">
        <v>0</v>
      </c>
      <c r="J1460">
        <v>27</v>
      </c>
      <c r="K1460" s="133">
        <v>8310</v>
      </c>
      <c r="L1460" s="133">
        <v>8310</v>
      </c>
      <c r="M1460" s="150">
        <v>0.61878472222222225</v>
      </c>
      <c r="N1460" s="150">
        <v>0.61964120370370368</v>
      </c>
      <c r="O1460" t="s">
        <v>172</v>
      </c>
      <c r="Q1460">
        <v>2525468</v>
      </c>
      <c r="R1460">
        <v>2525468</v>
      </c>
      <c r="S1460">
        <v>0</v>
      </c>
      <c r="T1460">
        <v>0</v>
      </c>
      <c r="U1460" t="s">
        <v>173</v>
      </c>
      <c r="V1460">
        <v>0</v>
      </c>
      <c r="W1460" t="s">
        <v>174</v>
      </c>
      <c r="X1460">
        <v>0</v>
      </c>
      <c r="Z1460" t="s">
        <v>173</v>
      </c>
      <c r="AA1460" t="s">
        <v>173</v>
      </c>
    </row>
    <row r="1461" spans="1:27" x14ac:dyDescent="0.3">
      <c r="A1461">
        <v>1460</v>
      </c>
      <c r="B1461" t="s">
        <v>169</v>
      </c>
      <c r="C1461">
        <v>99019875</v>
      </c>
      <c r="D1461" s="7" t="s">
        <v>140</v>
      </c>
      <c r="E1461" t="s">
        <v>178</v>
      </c>
      <c r="F1461" t="s">
        <v>170</v>
      </c>
      <c r="G1461" t="s">
        <v>171</v>
      </c>
      <c r="H1461">
        <v>20</v>
      </c>
      <c r="I1461">
        <v>0</v>
      </c>
      <c r="J1461">
        <v>20</v>
      </c>
      <c r="K1461" s="133">
        <v>8645</v>
      </c>
      <c r="L1461" s="133">
        <v>8645</v>
      </c>
      <c r="M1461" s="150">
        <v>0.61878472222222225</v>
      </c>
      <c r="N1461" s="150">
        <v>0.61894675925925924</v>
      </c>
      <c r="O1461" t="s">
        <v>172</v>
      </c>
      <c r="Q1461">
        <v>2525469</v>
      </c>
      <c r="R1461">
        <v>2525469</v>
      </c>
      <c r="S1461">
        <v>0</v>
      </c>
      <c r="T1461">
        <v>0</v>
      </c>
      <c r="U1461" t="s">
        <v>173</v>
      </c>
      <c r="V1461">
        <v>0</v>
      </c>
      <c r="W1461" t="s">
        <v>174</v>
      </c>
      <c r="X1461">
        <v>0</v>
      </c>
      <c r="Z1461" t="s">
        <v>173</v>
      </c>
      <c r="AA1461" t="s">
        <v>173</v>
      </c>
    </row>
    <row r="1462" spans="1:27" x14ac:dyDescent="0.3">
      <c r="A1462">
        <v>1461</v>
      </c>
      <c r="B1462" t="s">
        <v>169</v>
      </c>
      <c r="C1462">
        <v>99019875</v>
      </c>
      <c r="D1462" s="7" t="s">
        <v>69</v>
      </c>
      <c r="E1462" t="s">
        <v>70</v>
      </c>
      <c r="F1462" t="s">
        <v>170</v>
      </c>
      <c r="G1462" t="s">
        <v>177</v>
      </c>
      <c r="H1462">
        <v>17</v>
      </c>
      <c r="I1462">
        <v>0</v>
      </c>
      <c r="J1462">
        <v>17</v>
      </c>
      <c r="K1462" s="133">
        <v>10270</v>
      </c>
      <c r="L1462" s="133">
        <v>10270</v>
      </c>
      <c r="M1462" s="150">
        <v>0.61879629629629629</v>
      </c>
      <c r="N1462" s="150">
        <v>0.61885416666666659</v>
      </c>
      <c r="O1462" t="s">
        <v>172</v>
      </c>
      <c r="Q1462">
        <v>2525514</v>
      </c>
      <c r="R1462">
        <v>2525514</v>
      </c>
      <c r="S1462">
        <v>2525470</v>
      </c>
      <c r="T1462">
        <v>0</v>
      </c>
      <c r="U1462" t="s">
        <v>173</v>
      </c>
      <c r="V1462">
        <v>0</v>
      </c>
      <c r="W1462" t="s">
        <v>174</v>
      </c>
      <c r="X1462">
        <v>2525470</v>
      </c>
      <c r="Z1462" t="s">
        <v>173</v>
      </c>
      <c r="AA1462" t="s">
        <v>173</v>
      </c>
    </row>
    <row r="1463" spans="1:27" x14ac:dyDescent="0.3">
      <c r="A1463">
        <v>1462</v>
      </c>
      <c r="B1463" t="s">
        <v>169</v>
      </c>
      <c r="C1463">
        <v>99019875</v>
      </c>
      <c r="D1463" s="7" t="s">
        <v>67</v>
      </c>
      <c r="E1463" t="s">
        <v>68</v>
      </c>
      <c r="F1463" t="s">
        <v>170</v>
      </c>
      <c r="G1463" t="s">
        <v>177</v>
      </c>
      <c r="H1463">
        <v>35</v>
      </c>
      <c r="I1463">
        <v>0</v>
      </c>
      <c r="J1463">
        <v>35</v>
      </c>
      <c r="K1463" s="133">
        <v>4815</v>
      </c>
      <c r="L1463" s="133">
        <v>4815</v>
      </c>
      <c r="M1463" s="150">
        <v>0.61879629629629629</v>
      </c>
      <c r="N1463" s="150">
        <v>0.61886574074074074</v>
      </c>
      <c r="O1463" t="s">
        <v>172</v>
      </c>
      <c r="Q1463">
        <v>2525515</v>
      </c>
      <c r="R1463">
        <v>2525515</v>
      </c>
      <c r="S1463">
        <v>2525456</v>
      </c>
      <c r="T1463">
        <v>0</v>
      </c>
      <c r="U1463" t="s">
        <v>173</v>
      </c>
      <c r="V1463">
        <v>0</v>
      </c>
      <c r="W1463" t="s">
        <v>174</v>
      </c>
      <c r="X1463">
        <v>2525456</v>
      </c>
      <c r="Z1463" t="s">
        <v>173</v>
      </c>
      <c r="AA1463" t="s">
        <v>173</v>
      </c>
    </row>
    <row r="1464" spans="1:27" x14ac:dyDescent="0.3">
      <c r="A1464">
        <v>1463</v>
      </c>
      <c r="B1464" t="s">
        <v>169</v>
      </c>
      <c r="C1464">
        <v>99019875</v>
      </c>
      <c r="D1464" s="7" t="s">
        <v>128</v>
      </c>
      <c r="E1464" t="s">
        <v>129</v>
      </c>
      <c r="F1464" t="s">
        <v>170</v>
      </c>
      <c r="G1464" t="s">
        <v>171</v>
      </c>
      <c r="H1464">
        <v>1</v>
      </c>
      <c r="I1464">
        <v>0</v>
      </c>
      <c r="J1464">
        <v>1</v>
      </c>
      <c r="K1464" s="133">
        <v>6505</v>
      </c>
      <c r="L1464" s="133">
        <v>6505</v>
      </c>
      <c r="M1464" s="150">
        <v>0.61894675925925924</v>
      </c>
      <c r="N1464" s="150">
        <v>0.62118055555555551</v>
      </c>
      <c r="O1464" t="s">
        <v>172</v>
      </c>
      <c r="Q1464">
        <v>2525946</v>
      </c>
      <c r="R1464">
        <v>2525946</v>
      </c>
      <c r="S1464">
        <v>0</v>
      </c>
      <c r="T1464">
        <v>0</v>
      </c>
      <c r="U1464" t="s">
        <v>173</v>
      </c>
      <c r="V1464">
        <v>0</v>
      </c>
      <c r="W1464" t="s">
        <v>174</v>
      </c>
      <c r="X1464">
        <v>0</v>
      </c>
      <c r="Z1464" t="s">
        <v>173</v>
      </c>
      <c r="AA1464" t="s">
        <v>173</v>
      </c>
    </row>
    <row r="1465" spans="1:27" x14ac:dyDescent="0.3">
      <c r="A1465">
        <v>1464</v>
      </c>
      <c r="B1465" t="s">
        <v>169</v>
      </c>
      <c r="C1465">
        <v>99019875</v>
      </c>
      <c r="D1465" s="7" t="s">
        <v>114</v>
      </c>
      <c r="E1465" t="s">
        <v>115</v>
      </c>
      <c r="F1465" t="s">
        <v>176</v>
      </c>
      <c r="G1465" t="s">
        <v>177</v>
      </c>
      <c r="H1465">
        <v>66</v>
      </c>
      <c r="I1465">
        <v>0</v>
      </c>
      <c r="J1465">
        <v>66</v>
      </c>
      <c r="K1465" s="133">
        <v>53815</v>
      </c>
      <c r="L1465" s="133">
        <v>53815</v>
      </c>
      <c r="M1465" s="150">
        <v>0.61898148148148147</v>
      </c>
      <c r="N1465" s="150">
        <v>0.61916666666666664</v>
      </c>
      <c r="O1465" t="s">
        <v>172</v>
      </c>
      <c r="Q1465">
        <v>2526041</v>
      </c>
      <c r="R1465">
        <v>2526041</v>
      </c>
      <c r="S1465">
        <v>2525972</v>
      </c>
      <c r="T1465">
        <v>0</v>
      </c>
      <c r="U1465" t="s">
        <v>173</v>
      </c>
      <c r="V1465">
        <v>0</v>
      </c>
      <c r="W1465" t="s">
        <v>174</v>
      </c>
      <c r="X1465">
        <v>2525972</v>
      </c>
      <c r="Z1465" t="s">
        <v>173</v>
      </c>
      <c r="AA1465" t="s">
        <v>173</v>
      </c>
    </row>
    <row r="1466" spans="1:27" x14ac:dyDescent="0.3">
      <c r="A1466">
        <v>1465</v>
      </c>
      <c r="B1466" t="s">
        <v>169</v>
      </c>
      <c r="C1466">
        <v>99019875</v>
      </c>
      <c r="D1466" s="7" t="s">
        <v>106</v>
      </c>
      <c r="E1466" t="s">
        <v>107</v>
      </c>
      <c r="F1466" t="s">
        <v>170</v>
      </c>
      <c r="G1466" t="s">
        <v>177</v>
      </c>
      <c r="H1466">
        <v>1</v>
      </c>
      <c r="I1466">
        <v>0</v>
      </c>
      <c r="J1466">
        <v>1</v>
      </c>
      <c r="K1466" s="133">
        <v>3520</v>
      </c>
      <c r="L1466" s="133">
        <v>3520</v>
      </c>
      <c r="M1466" s="150">
        <v>0.61901620370370369</v>
      </c>
      <c r="N1466" s="150">
        <v>0.61909722222222219</v>
      </c>
      <c r="O1466" t="s">
        <v>172</v>
      </c>
      <c r="Q1466">
        <v>2526176</v>
      </c>
      <c r="R1466">
        <v>2526176</v>
      </c>
      <c r="S1466">
        <v>2506557</v>
      </c>
      <c r="T1466">
        <v>0</v>
      </c>
      <c r="U1466" t="s">
        <v>173</v>
      </c>
      <c r="V1466">
        <v>0</v>
      </c>
      <c r="W1466" t="s">
        <v>174</v>
      </c>
      <c r="X1466">
        <v>2506557</v>
      </c>
      <c r="Z1466" t="s">
        <v>173</v>
      </c>
      <c r="AA1466" t="s">
        <v>173</v>
      </c>
    </row>
    <row r="1467" spans="1:27" x14ac:dyDescent="0.3">
      <c r="A1467">
        <v>1466</v>
      </c>
      <c r="B1467" t="s">
        <v>169</v>
      </c>
      <c r="C1467">
        <v>99019875</v>
      </c>
      <c r="D1467" s="7" t="s">
        <v>106</v>
      </c>
      <c r="E1467" t="s">
        <v>107</v>
      </c>
      <c r="F1467" t="s">
        <v>170</v>
      </c>
      <c r="G1467" t="s">
        <v>177</v>
      </c>
      <c r="H1467">
        <v>1</v>
      </c>
      <c r="I1467">
        <v>0</v>
      </c>
      <c r="J1467">
        <v>1</v>
      </c>
      <c r="K1467" s="133">
        <v>3520</v>
      </c>
      <c r="L1467" s="133">
        <v>3520</v>
      </c>
      <c r="M1467" s="150">
        <v>0.61901620370370369</v>
      </c>
      <c r="N1467" s="150">
        <v>0.61909722222222219</v>
      </c>
      <c r="O1467" t="s">
        <v>172</v>
      </c>
      <c r="Q1467">
        <v>2526177</v>
      </c>
      <c r="R1467">
        <v>2526177</v>
      </c>
      <c r="S1467">
        <v>2507963</v>
      </c>
      <c r="T1467">
        <v>0</v>
      </c>
      <c r="U1467" t="s">
        <v>173</v>
      </c>
      <c r="V1467">
        <v>0</v>
      </c>
      <c r="W1467" t="s">
        <v>174</v>
      </c>
      <c r="X1467">
        <v>2507963</v>
      </c>
      <c r="Z1467" t="s">
        <v>173</v>
      </c>
      <c r="AA1467" t="s">
        <v>173</v>
      </c>
    </row>
    <row r="1468" spans="1:27" x14ac:dyDescent="0.3">
      <c r="A1468">
        <v>1467</v>
      </c>
      <c r="B1468" t="s">
        <v>169</v>
      </c>
      <c r="C1468">
        <v>99019875</v>
      </c>
      <c r="D1468" s="7" t="s">
        <v>106</v>
      </c>
      <c r="E1468" t="s">
        <v>107</v>
      </c>
      <c r="F1468" t="s">
        <v>170</v>
      </c>
      <c r="G1468" t="s">
        <v>177</v>
      </c>
      <c r="H1468">
        <v>1</v>
      </c>
      <c r="I1468">
        <v>0</v>
      </c>
      <c r="J1468">
        <v>1</v>
      </c>
      <c r="K1468" s="133">
        <v>3520</v>
      </c>
      <c r="L1468" s="133">
        <v>3520</v>
      </c>
      <c r="M1468" s="150">
        <v>0.61901620370370369</v>
      </c>
      <c r="N1468" s="150">
        <v>0.61909722222222219</v>
      </c>
      <c r="O1468" t="s">
        <v>172</v>
      </c>
      <c r="Q1468">
        <v>2526178</v>
      </c>
      <c r="R1468">
        <v>2526178</v>
      </c>
      <c r="S1468">
        <v>2509626</v>
      </c>
      <c r="T1468">
        <v>0</v>
      </c>
      <c r="U1468" t="s">
        <v>173</v>
      </c>
      <c r="V1468">
        <v>0</v>
      </c>
      <c r="W1468" t="s">
        <v>174</v>
      </c>
      <c r="X1468">
        <v>2509626</v>
      </c>
      <c r="Z1468" t="s">
        <v>173</v>
      </c>
      <c r="AA1468" t="s">
        <v>173</v>
      </c>
    </row>
    <row r="1469" spans="1:27" x14ac:dyDescent="0.3">
      <c r="A1469">
        <v>1468</v>
      </c>
      <c r="B1469" t="s">
        <v>169</v>
      </c>
      <c r="C1469">
        <v>99019875</v>
      </c>
      <c r="D1469" s="7" t="s">
        <v>106</v>
      </c>
      <c r="E1469" t="s">
        <v>107</v>
      </c>
      <c r="F1469" t="s">
        <v>170</v>
      </c>
      <c r="G1469" t="s">
        <v>177</v>
      </c>
      <c r="H1469">
        <v>1</v>
      </c>
      <c r="I1469">
        <v>0</v>
      </c>
      <c r="J1469">
        <v>1</v>
      </c>
      <c r="K1469" s="133">
        <v>3520</v>
      </c>
      <c r="L1469" s="133">
        <v>3520</v>
      </c>
      <c r="M1469" s="150">
        <v>0.61901620370370369</v>
      </c>
      <c r="N1469" s="150">
        <v>0.61909722222222219</v>
      </c>
      <c r="O1469" t="s">
        <v>172</v>
      </c>
      <c r="Q1469">
        <v>2526179</v>
      </c>
      <c r="R1469">
        <v>2526179</v>
      </c>
      <c r="S1469">
        <v>2511083</v>
      </c>
      <c r="T1469">
        <v>0</v>
      </c>
      <c r="U1469" t="s">
        <v>173</v>
      </c>
      <c r="V1469">
        <v>0</v>
      </c>
      <c r="W1469" t="s">
        <v>174</v>
      </c>
      <c r="X1469">
        <v>2511083</v>
      </c>
      <c r="Z1469" t="s">
        <v>173</v>
      </c>
      <c r="AA1469" t="s">
        <v>173</v>
      </c>
    </row>
    <row r="1470" spans="1:27" x14ac:dyDescent="0.3">
      <c r="A1470">
        <v>1469</v>
      </c>
      <c r="B1470" t="s">
        <v>169</v>
      </c>
      <c r="C1470">
        <v>99019875</v>
      </c>
      <c r="D1470" s="7" t="s">
        <v>106</v>
      </c>
      <c r="E1470" t="s">
        <v>107</v>
      </c>
      <c r="F1470" t="s">
        <v>170</v>
      </c>
      <c r="G1470" t="s">
        <v>177</v>
      </c>
      <c r="H1470">
        <v>1</v>
      </c>
      <c r="I1470">
        <v>0</v>
      </c>
      <c r="J1470">
        <v>1</v>
      </c>
      <c r="K1470" s="133">
        <v>3520</v>
      </c>
      <c r="L1470" s="133">
        <v>3520</v>
      </c>
      <c r="M1470" s="150">
        <v>0.61901620370370369</v>
      </c>
      <c r="N1470" s="150">
        <v>0.61909722222222219</v>
      </c>
      <c r="O1470" t="s">
        <v>172</v>
      </c>
      <c r="Q1470">
        <v>2526180</v>
      </c>
      <c r="R1470">
        <v>2526180</v>
      </c>
      <c r="S1470">
        <v>2512678</v>
      </c>
      <c r="T1470">
        <v>0</v>
      </c>
      <c r="U1470" t="s">
        <v>173</v>
      </c>
      <c r="V1470">
        <v>0</v>
      </c>
      <c r="W1470" t="s">
        <v>174</v>
      </c>
      <c r="X1470">
        <v>2512678</v>
      </c>
      <c r="Z1470" t="s">
        <v>173</v>
      </c>
      <c r="AA1470" t="s">
        <v>173</v>
      </c>
    </row>
    <row r="1471" spans="1:27" x14ac:dyDescent="0.3">
      <c r="A1471">
        <v>1470</v>
      </c>
      <c r="B1471" t="s">
        <v>169</v>
      </c>
      <c r="C1471">
        <v>99019875</v>
      </c>
      <c r="D1471" s="7" t="s">
        <v>106</v>
      </c>
      <c r="E1471" t="s">
        <v>107</v>
      </c>
      <c r="F1471" t="s">
        <v>170</v>
      </c>
      <c r="G1471" t="s">
        <v>177</v>
      </c>
      <c r="H1471">
        <v>1</v>
      </c>
      <c r="I1471">
        <v>0</v>
      </c>
      <c r="J1471">
        <v>1</v>
      </c>
      <c r="K1471" s="133">
        <v>3520</v>
      </c>
      <c r="L1471" s="133">
        <v>3520</v>
      </c>
      <c r="M1471" s="150">
        <v>0.61901620370370369</v>
      </c>
      <c r="N1471" s="150">
        <v>0.61909722222222219</v>
      </c>
      <c r="O1471" t="s">
        <v>172</v>
      </c>
      <c r="Q1471">
        <v>2526181</v>
      </c>
      <c r="R1471">
        <v>2526181</v>
      </c>
      <c r="S1471">
        <v>2514153</v>
      </c>
      <c r="T1471">
        <v>0</v>
      </c>
      <c r="U1471" t="s">
        <v>173</v>
      </c>
      <c r="V1471">
        <v>0</v>
      </c>
      <c r="W1471" t="s">
        <v>174</v>
      </c>
      <c r="X1471">
        <v>2514153</v>
      </c>
      <c r="Z1471" t="s">
        <v>173</v>
      </c>
      <c r="AA1471" t="s">
        <v>173</v>
      </c>
    </row>
    <row r="1472" spans="1:27" x14ac:dyDescent="0.3">
      <c r="A1472">
        <v>1471</v>
      </c>
      <c r="B1472" t="s">
        <v>169</v>
      </c>
      <c r="C1472">
        <v>99019875</v>
      </c>
      <c r="D1472" s="7" t="s">
        <v>106</v>
      </c>
      <c r="E1472" t="s">
        <v>107</v>
      </c>
      <c r="F1472" t="s">
        <v>170</v>
      </c>
      <c r="G1472" t="s">
        <v>177</v>
      </c>
      <c r="H1472">
        <v>1</v>
      </c>
      <c r="I1472">
        <v>0</v>
      </c>
      <c r="J1472">
        <v>1</v>
      </c>
      <c r="K1472" s="133">
        <v>3520</v>
      </c>
      <c r="L1472" s="133">
        <v>3520</v>
      </c>
      <c r="M1472" s="150">
        <v>0.61901620370370369</v>
      </c>
      <c r="N1472" s="150">
        <v>0.61909722222222219</v>
      </c>
      <c r="O1472" t="s">
        <v>172</v>
      </c>
      <c r="Q1472">
        <v>2526182</v>
      </c>
      <c r="R1472">
        <v>2526182</v>
      </c>
      <c r="S1472">
        <v>2515644</v>
      </c>
      <c r="T1472">
        <v>0</v>
      </c>
      <c r="U1472" t="s">
        <v>173</v>
      </c>
      <c r="V1472">
        <v>0</v>
      </c>
      <c r="W1472" t="s">
        <v>174</v>
      </c>
      <c r="X1472">
        <v>2515644</v>
      </c>
      <c r="Z1472" t="s">
        <v>173</v>
      </c>
      <c r="AA1472" t="s">
        <v>173</v>
      </c>
    </row>
    <row r="1473" spans="1:27" x14ac:dyDescent="0.3">
      <c r="A1473">
        <v>1472</v>
      </c>
      <c r="B1473" t="s">
        <v>169</v>
      </c>
      <c r="C1473">
        <v>99019875</v>
      </c>
      <c r="D1473" s="7" t="s">
        <v>106</v>
      </c>
      <c r="E1473" t="s">
        <v>107</v>
      </c>
      <c r="F1473" t="s">
        <v>170</v>
      </c>
      <c r="G1473" t="s">
        <v>177</v>
      </c>
      <c r="H1473">
        <v>1</v>
      </c>
      <c r="I1473">
        <v>0</v>
      </c>
      <c r="J1473">
        <v>1</v>
      </c>
      <c r="K1473" s="133">
        <v>3520</v>
      </c>
      <c r="L1473" s="133">
        <v>3520</v>
      </c>
      <c r="M1473" s="150">
        <v>0.61901620370370369</v>
      </c>
      <c r="N1473" s="150">
        <v>0.61909722222222219</v>
      </c>
      <c r="O1473" t="s">
        <v>172</v>
      </c>
      <c r="Q1473">
        <v>2526183</v>
      </c>
      <c r="R1473">
        <v>2526183</v>
      </c>
      <c r="S1473">
        <v>2517075</v>
      </c>
      <c r="T1473">
        <v>0</v>
      </c>
      <c r="U1473" t="s">
        <v>173</v>
      </c>
      <c r="V1473">
        <v>0</v>
      </c>
      <c r="W1473" t="s">
        <v>174</v>
      </c>
      <c r="X1473">
        <v>2517075</v>
      </c>
      <c r="Z1473" t="s">
        <v>173</v>
      </c>
      <c r="AA1473" t="s">
        <v>173</v>
      </c>
    </row>
    <row r="1474" spans="1:27" x14ac:dyDescent="0.3">
      <c r="A1474">
        <v>1473</v>
      </c>
      <c r="B1474" t="s">
        <v>169</v>
      </c>
      <c r="C1474">
        <v>99019875</v>
      </c>
      <c r="D1474" s="7" t="s">
        <v>106</v>
      </c>
      <c r="E1474" t="s">
        <v>107</v>
      </c>
      <c r="F1474" t="s">
        <v>170</v>
      </c>
      <c r="G1474" t="s">
        <v>177</v>
      </c>
      <c r="H1474">
        <v>1</v>
      </c>
      <c r="I1474">
        <v>0</v>
      </c>
      <c r="J1474">
        <v>1</v>
      </c>
      <c r="K1474" s="133">
        <v>3520</v>
      </c>
      <c r="L1474" s="133">
        <v>3520</v>
      </c>
      <c r="M1474" s="150">
        <v>0.61901620370370369</v>
      </c>
      <c r="N1474" s="150">
        <v>0.61909722222222219</v>
      </c>
      <c r="O1474" t="s">
        <v>172</v>
      </c>
      <c r="Q1474">
        <v>2526184</v>
      </c>
      <c r="R1474">
        <v>2526184</v>
      </c>
      <c r="S1474">
        <v>2518616</v>
      </c>
      <c r="T1474">
        <v>0</v>
      </c>
      <c r="U1474" t="s">
        <v>173</v>
      </c>
      <c r="V1474">
        <v>0</v>
      </c>
      <c r="W1474" t="s">
        <v>174</v>
      </c>
      <c r="X1474">
        <v>2518616</v>
      </c>
      <c r="Z1474" t="s">
        <v>173</v>
      </c>
      <c r="AA1474" t="s">
        <v>173</v>
      </c>
    </row>
    <row r="1475" spans="1:27" x14ac:dyDescent="0.3">
      <c r="A1475">
        <v>1474</v>
      </c>
      <c r="B1475" t="s">
        <v>169</v>
      </c>
      <c r="C1475">
        <v>99019875</v>
      </c>
      <c r="D1475" s="7" t="s">
        <v>106</v>
      </c>
      <c r="E1475" t="s">
        <v>107</v>
      </c>
      <c r="F1475" t="s">
        <v>170</v>
      </c>
      <c r="G1475" t="s">
        <v>177</v>
      </c>
      <c r="H1475">
        <v>1</v>
      </c>
      <c r="I1475">
        <v>0</v>
      </c>
      <c r="J1475">
        <v>1</v>
      </c>
      <c r="K1475" s="133">
        <v>3520</v>
      </c>
      <c r="L1475" s="133">
        <v>3520</v>
      </c>
      <c r="M1475" s="150">
        <v>0.61901620370370369</v>
      </c>
      <c r="N1475" s="150">
        <v>0.61909722222222219</v>
      </c>
      <c r="O1475" t="s">
        <v>172</v>
      </c>
      <c r="Q1475">
        <v>2526185</v>
      </c>
      <c r="R1475">
        <v>2526185</v>
      </c>
      <c r="S1475">
        <v>2520155</v>
      </c>
      <c r="T1475">
        <v>0</v>
      </c>
      <c r="U1475" t="s">
        <v>173</v>
      </c>
      <c r="V1475">
        <v>0</v>
      </c>
      <c r="W1475" t="s">
        <v>174</v>
      </c>
      <c r="X1475">
        <v>2520155</v>
      </c>
      <c r="Z1475" t="s">
        <v>173</v>
      </c>
      <c r="AA1475" t="s">
        <v>173</v>
      </c>
    </row>
    <row r="1476" spans="1:27" x14ac:dyDescent="0.3">
      <c r="A1476">
        <v>1475</v>
      </c>
      <c r="B1476" t="s">
        <v>169</v>
      </c>
      <c r="C1476">
        <v>99019875</v>
      </c>
      <c r="D1476" s="7" t="s">
        <v>106</v>
      </c>
      <c r="E1476" t="s">
        <v>107</v>
      </c>
      <c r="F1476" t="s">
        <v>170</v>
      </c>
      <c r="G1476" t="s">
        <v>177</v>
      </c>
      <c r="H1476">
        <v>1</v>
      </c>
      <c r="I1476">
        <v>0</v>
      </c>
      <c r="J1476">
        <v>1</v>
      </c>
      <c r="K1476" s="133">
        <v>3520</v>
      </c>
      <c r="L1476" s="133">
        <v>3520</v>
      </c>
      <c r="M1476" s="150">
        <v>0.61901620370370369</v>
      </c>
      <c r="N1476" s="150">
        <v>0.61909722222222219</v>
      </c>
      <c r="O1476" t="s">
        <v>172</v>
      </c>
      <c r="Q1476">
        <v>2526186</v>
      </c>
      <c r="R1476">
        <v>2526186</v>
      </c>
      <c r="S1476">
        <v>2521776</v>
      </c>
      <c r="T1476">
        <v>0</v>
      </c>
      <c r="U1476" t="s">
        <v>173</v>
      </c>
      <c r="V1476">
        <v>0</v>
      </c>
      <c r="W1476" t="s">
        <v>174</v>
      </c>
      <c r="X1476">
        <v>2521776</v>
      </c>
      <c r="Z1476" t="s">
        <v>173</v>
      </c>
      <c r="AA1476" t="s">
        <v>173</v>
      </c>
    </row>
    <row r="1477" spans="1:27" x14ac:dyDescent="0.3">
      <c r="A1477">
        <v>1476</v>
      </c>
      <c r="B1477" t="s">
        <v>169</v>
      </c>
      <c r="C1477">
        <v>99019875</v>
      </c>
      <c r="D1477" s="7" t="s">
        <v>106</v>
      </c>
      <c r="E1477" t="s">
        <v>107</v>
      </c>
      <c r="F1477" t="s">
        <v>170</v>
      </c>
      <c r="G1477" t="s">
        <v>177</v>
      </c>
      <c r="H1477">
        <v>1</v>
      </c>
      <c r="I1477">
        <v>0</v>
      </c>
      <c r="J1477">
        <v>1</v>
      </c>
      <c r="K1477" s="133">
        <v>3520</v>
      </c>
      <c r="L1477" s="133">
        <v>3520</v>
      </c>
      <c r="M1477" s="150">
        <v>0.61901620370370369</v>
      </c>
      <c r="N1477" s="150">
        <v>0.61909722222222219</v>
      </c>
      <c r="O1477" t="s">
        <v>172</v>
      </c>
      <c r="Q1477">
        <v>2526187</v>
      </c>
      <c r="R1477">
        <v>2526187</v>
      </c>
      <c r="S1477">
        <v>2523215</v>
      </c>
      <c r="T1477">
        <v>0</v>
      </c>
      <c r="U1477" t="s">
        <v>173</v>
      </c>
      <c r="V1477">
        <v>0</v>
      </c>
      <c r="W1477" t="s">
        <v>174</v>
      </c>
      <c r="X1477">
        <v>2523215</v>
      </c>
      <c r="Z1477" t="s">
        <v>173</v>
      </c>
      <c r="AA1477" t="s">
        <v>173</v>
      </c>
    </row>
    <row r="1478" spans="1:27" x14ac:dyDescent="0.3">
      <c r="A1478">
        <v>1477</v>
      </c>
      <c r="B1478" t="s">
        <v>169</v>
      </c>
      <c r="C1478">
        <v>99019875</v>
      </c>
      <c r="D1478" s="7" t="s">
        <v>106</v>
      </c>
      <c r="E1478" t="s">
        <v>107</v>
      </c>
      <c r="F1478" t="s">
        <v>170</v>
      </c>
      <c r="G1478" t="s">
        <v>177</v>
      </c>
      <c r="H1478">
        <v>1</v>
      </c>
      <c r="I1478">
        <v>0</v>
      </c>
      <c r="J1478">
        <v>1</v>
      </c>
      <c r="K1478" s="133">
        <v>3520</v>
      </c>
      <c r="L1478" s="133">
        <v>3520</v>
      </c>
      <c r="M1478" s="150">
        <v>0.61901620370370369</v>
      </c>
      <c r="N1478" s="150">
        <v>0.61909722222222219</v>
      </c>
      <c r="O1478" t="s">
        <v>172</v>
      </c>
      <c r="Q1478">
        <v>2526188</v>
      </c>
      <c r="R1478">
        <v>2526188</v>
      </c>
      <c r="S1478">
        <v>2524606</v>
      </c>
      <c r="T1478">
        <v>0</v>
      </c>
      <c r="U1478" t="s">
        <v>173</v>
      </c>
      <c r="V1478">
        <v>0</v>
      </c>
      <c r="W1478" t="s">
        <v>174</v>
      </c>
      <c r="X1478">
        <v>2524606</v>
      </c>
      <c r="Z1478" t="s">
        <v>173</v>
      </c>
      <c r="AA1478" t="s">
        <v>173</v>
      </c>
    </row>
    <row r="1479" spans="1:27" x14ac:dyDescent="0.3">
      <c r="A1479">
        <v>1478</v>
      </c>
      <c r="B1479" t="s">
        <v>169</v>
      </c>
      <c r="C1479">
        <v>99019875</v>
      </c>
      <c r="D1479" s="7" t="s">
        <v>106</v>
      </c>
      <c r="E1479" t="s">
        <v>107</v>
      </c>
      <c r="F1479" t="s">
        <v>170</v>
      </c>
      <c r="G1479" t="s">
        <v>177</v>
      </c>
      <c r="H1479">
        <v>1</v>
      </c>
      <c r="I1479">
        <v>0</v>
      </c>
      <c r="J1479">
        <v>1</v>
      </c>
      <c r="K1479" s="133">
        <v>3520</v>
      </c>
      <c r="L1479" s="133">
        <v>3520</v>
      </c>
      <c r="M1479" s="150">
        <v>0.61901620370370369</v>
      </c>
      <c r="N1479" s="150">
        <v>0.62015046296296295</v>
      </c>
      <c r="O1479" t="s">
        <v>172</v>
      </c>
      <c r="Q1479">
        <v>2526189</v>
      </c>
      <c r="R1479">
        <v>2526189</v>
      </c>
      <c r="S1479">
        <v>2526064</v>
      </c>
      <c r="T1479">
        <v>0</v>
      </c>
      <c r="U1479" t="s">
        <v>173</v>
      </c>
      <c r="V1479">
        <v>0</v>
      </c>
      <c r="W1479" t="s">
        <v>174</v>
      </c>
      <c r="X1479">
        <v>2526064</v>
      </c>
      <c r="Z1479" t="s">
        <v>173</v>
      </c>
      <c r="AA1479" t="s">
        <v>173</v>
      </c>
    </row>
    <row r="1480" spans="1:27" x14ac:dyDescent="0.3">
      <c r="A1480">
        <v>1479</v>
      </c>
      <c r="B1480" t="s">
        <v>169</v>
      </c>
      <c r="C1480">
        <v>99019875</v>
      </c>
      <c r="D1480" s="7" t="s">
        <v>114</v>
      </c>
      <c r="E1480" t="s">
        <v>115</v>
      </c>
      <c r="F1480" t="s">
        <v>176</v>
      </c>
      <c r="G1480" t="s">
        <v>171</v>
      </c>
      <c r="H1480">
        <v>65</v>
      </c>
      <c r="I1480">
        <v>0</v>
      </c>
      <c r="J1480">
        <v>65</v>
      </c>
      <c r="K1480" s="133">
        <v>53815</v>
      </c>
      <c r="L1480" s="133">
        <v>53815</v>
      </c>
      <c r="M1480" s="150">
        <v>0.61907407407407411</v>
      </c>
      <c r="N1480" s="150">
        <v>0.61916666666666664</v>
      </c>
      <c r="O1480" t="s">
        <v>172</v>
      </c>
      <c r="Q1480">
        <v>2526318</v>
      </c>
      <c r="R1480">
        <v>2526318</v>
      </c>
      <c r="S1480">
        <v>0</v>
      </c>
      <c r="T1480">
        <v>0</v>
      </c>
      <c r="U1480" t="s">
        <v>173</v>
      </c>
      <c r="V1480">
        <v>0</v>
      </c>
      <c r="W1480" t="s">
        <v>174</v>
      </c>
      <c r="X1480">
        <v>0</v>
      </c>
      <c r="Z1480" t="s">
        <v>173</v>
      </c>
      <c r="AA1480" t="s">
        <v>173</v>
      </c>
    </row>
    <row r="1481" spans="1:27" x14ac:dyDescent="0.3">
      <c r="A1481">
        <v>1480</v>
      </c>
      <c r="B1481" t="s">
        <v>169</v>
      </c>
      <c r="C1481">
        <v>99019875</v>
      </c>
      <c r="D1481" s="7" t="s">
        <v>75</v>
      </c>
      <c r="E1481" t="s">
        <v>76</v>
      </c>
      <c r="F1481" t="s">
        <v>170</v>
      </c>
      <c r="G1481" t="s">
        <v>171</v>
      </c>
      <c r="H1481">
        <v>83</v>
      </c>
      <c r="I1481">
        <v>0</v>
      </c>
      <c r="J1481">
        <v>83</v>
      </c>
      <c r="K1481" s="133">
        <v>20770</v>
      </c>
      <c r="L1481" s="133">
        <v>20770</v>
      </c>
      <c r="M1481" s="150">
        <v>0.61907407407407411</v>
      </c>
      <c r="N1481" s="150">
        <v>0.61920138888888887</v>
      </c>
      <c r="O1481" t="s">
        <v>172</v>
      </c>
      <c r="Q1481">
        <v>2526321</v>
      </c>
      <c r="R1481">
        <v>2526321</v>
      </c>
      <c r="S1481">
        <v>0</v>
      </c>
      <c r="T1481">
        <v>0</v>
      </c>
      <c r="U1481" t="s">
        <v>173</v>
      </c>
      <c r="V1481">
        <v>0</v>
      </c>
      <c r="W1481" t="s">
        <v>174</v>
      </c>
      <c r="X1481">
        <v>0</v>
      </c>
      <c r="Z1481" t="s">
        <v>173</v>
      </c>
      <c r="AA1481" t="s">
        <v>173</v>
      </c>
    </row>
    <row r="1482" spans="1:27" x14ac:dyDescent="0.3">
      <c r="A1482">
        <v>1481</v>
      </c>
      <c r="B1482" t="s">
        <v>169</v>
      </c>
      <c r="C1482">
        <v>99019875</v>
      </c>
      <c r="D1482" s="7" t="s">
        <v>67</v>
      </c>
      <c r="E1482" t="s">
        <v>68</v>
      </c>
      <c r="F1482" t="s">
        <v>170</v>
      </c>
      <c r="G1482" t="s">
        <v>171</v>
      </c>
      <c r="H1482">
        <v>36</v>
      </c>
      <c r="I1482">
        <v>0</v>
      </c>
      <c r="J1482">
        <v>36</v>
      </c>
      <c r="K1482" s="133">
        <v>4810</v>
      </c>
      <c r="L1482" s="133">
        <v>4810</v>
      </c>
      <c r="M1482" s="150">
        <v>0.61907407407407411</v>
      </c>
      <c r="N1482" s="150">
        <v>0.61936342592592586</v>
      </c>
      <c r="O1482" t="s">
        <v>172</v>
      </c>
      <c r="Q1482">
        <v>2526325</v>
      </c>
      <c r="R1482">
        <v>2526325</v>
      </c>
      <c r="S1482">
        <v>0</v>
      </c>
      <c r="T1482">
        <v>0</v>
      </c>
      <c r="U1482" t="s">
        <v>173</v>
      </c>
      <c r="V1482">
        <v>0</v>
      </c>
      <c r="W1482" t="s">
        <v>174</v>
      </c>
      <c r="X1482">
        <v>0</v>
      </c>
      <c r="Z1482" t="s">
        <v>173</v>
      </c>
      <c r="AA1482" t="s">
        <v>173</v>
      </c>
    </row>
    <row r="1483" spans="1:27" x14ac:dyDescent="0.3">
      <c r="A1483">
        <v>1482</v>
      </c>
      <c r="B1483" t="s">
        <v>169</v>
      </c>
      <c r="C1483">
        <v>99019875</v>
      </c>
      <c r="D1483" s="7" t="s">
        <v>110</v>
      </c>
      <c r="E1483" t="s">
        <v>179</v>
      </c>
      <c r="F1483" t="s">
        <v>170</v>
      </c>
      <c r="G1483" t="s">
        <v>171</v>
      </c>
      <c r="H1483">
        <v>3</v>
      </c>
      <c r="I1483">
        <v>0</v>
      </c>
      <c r="J1483">
        <v>3</v>
      </c>
      <c r="K1483" s="133">
        <v>48500</v>
      </c>
      <c r="L1483" s="133">
        <v>48500</v>
      </c>
      <c r="M1483" s="150">
        <v>0.61907407407407411</v>
      </c>
      <c r="N1483" s="150">
        <v>0.61942129629629628</v>
      </c>
      <c r="O1483" t="s">
        <v>172</v>
      </c>
      <c r="Q1483">
        <v>2526326</v>
      </c>
      <c r="R1483">
        <v>2526326</v>
      </c>
      <c r="S1483">
        <v>0</v>
      </c>
      <c r="T1483">
        <v>0</v>
      </c>
      <c r="U1483" t="s">
        <v>173</v>
      </c>
      <c r="V1483">
        <v>0</v>
      </c>
      <c r="W1483" t="s">
        <v>174</v>
      </c>
      <c r="X1483">
        <v>0</v>
      </c>
      <c r="Z1483" t="s">
        <v>173</v>
      </c>
      <c r="AA1483" t="s">
        <v>173</v>
      </c>
    </row>
    <row r="1484" spans="1:27" x14ac:dyDescent="0.3">
      <c r="A1484">
        <v>1483</v>
      </c>
      <c r="B1484" t="s">
        <v>169</v>
      </c>
      <c r="C1484">
        <v>99019875</v>
      </c>
      <c r="D1484" s="7" t="s">
        <v>89</v>
      </c>
      <c r="E1484" t="s">
        <v>90</v>
      </c>
      <c r="F1484" t="s">
        <v>176</v>
      </c>
      <c r="G1484" t="s">
        <v>171</v>
      </c>
      <c r="H1484">
        <v>31</v>
      </c>
      <c r="I1484">
        <v>0</v>
      </c>
      <c r="J1484">
        <v>31</v>
      </c>
      <c r="K1484" s="133">
        <v>3090</v>
      </c>
      <c r="L1484" s="133">
        <v>3090</v>
      </c>
      <c r="M1484" s="150">
        <v>0.61907407407407411</v>
      </c>
      <c r="N1484" s="150">
        <v>0.61934027777777778</v>
      </c>
      <c r="O1484" t="s">
        <v>172</v>
      </c>
      <c r="Q1484">
        <v>2526327</v>
      </c>
      <c r="R1484">
        <v>2526327</v>
      </c>
      <c r="S1484">
        <v>0</v>
      </c>
      <c r="T1484">
        <v>0</v>
      </c>
      <c r="U1484" t="s">
        <v>173</v>
      </c>
      <c r="V1484">
        <v>0</v>
      </c>
      <c r="W1484" t="s">
        <v>174</v>
      </c>
      <c r="X1484">
        <v>0</v>
      </c>
      <c r="Z1484" t="s">
        <v>173</v>
      </c>
      <c r="AA1484" t="s">
        <v>173</v>
      </c>
    </row>
    <row r="1485" spans="1:27" x14ac:dyDescent="0.3">
      <c r="A1485">
        <v>1484</v>
      </c>
      <c r="B1485" t="s">
        <v>169</v>
      </c>
      <c r="C1485">
        <v>99019875</v>
      </c>
      <c r="D1485" s="7" t="s">
        <v>100</v>
      </c>
      <c r="E1485" t="s">
        <v>101</v>
      </c>
      <c r="F1485" t="s">
        <v>170</v>
      </c>
      <c r="G1485" t="s">
        <v>171</v>
      </c>
      <c r="H1485">
        <v>4</v>
      </c>
      <c r="I1485">
        <v>0</v>
      </c>
      <c r="J1485">
        <v>4</v>
      </c>
      <c r="K1485" s="133">
        <v>15510</v>
      </c>
      <c r="L1485" s="133">
        <v>15510</v>
      </c>
      <c r="M1485" s="150">
        <v>0.61907407407407411</v>
      </c>
      <c r="N1485" s="150">
        <v>0.61952546296296296</v>
      </c>
      <c r="O1485" t="s">
        <v>172</v>
      </c>
      <c r="Q1485">
        <v>2526328</v>
      </c>
      <c r="R1485">
        <v>2526328</v>
      </c>
      <c r="S1485">
        <v>0</v>
      </c>
      <c r="T1485">
        <v>0</v>
      </c>
      <c r="U1485" t="s">
        <v>173</v>
      </c>
      <c r="V1485">
        <v>0</v>
      </c>
      <c r="W1485" t="s">
        <v>174</v>
      </c>
      <c r="X1485">
        <v>0</v>
      </c>
      <c r="Z1485" t="s">
        <v>173</v>
      </c>
      <c r="AA1485" t="s">
        <v>173</v>
      </c>
    </row>
    <row r="1486" spans="1:27" x14ac:dyDescent="0.3">
      <c r="A1486">
        <v>1485</v>
      </c>
      <c r="B1486" t="s">
        <v>169</v>
      </c>
      <c r="C1486">
        <v>99019875</v>
      </c>
      <c r="D1486" s="7" t="s">
        <v>87</v>
      </c>
      <c r="E1486" t="s">
        <v>88</v>
      </c>
      <c r="F1486" t="s">
        <v>170</v>
      </c>
      <c r="G1486" t="s">
        <v>171</v>
      </c>
      <c r="H1486">
        <v>5</v>
      </c>
      <c r="I1486">
        <v>0</v>
      </c>
      <c r="J1486">
        <v>5</v>
      </c>
      <c r="K1486" s="133">
        <v>12145</v>
      </c>
      <c r="L1486" s="133">
        <v>12145</v>
      </c>
      <c r="M1486" s="150">
        <v>0.61907407407407411</v>
      </c>
      <c r="N1486" s="150">
        <v>0.61917824074074079</v>
      </c>
      <c r="O1486" t="s">
        <v>172</v>
      </c>
      <c r="Q1486">
        <v>2526329</v>
      </c>
      <c r="R1486">
        <v>2526329</v>
      </c>
      <c r="S1486">
        <v>0</v>
      </c>
      <c r="T1486">
        <v>0</v>
      </c>
      <c r="U1486" t="s">
        <v>173</v>
      </c>
      <c r="V1486">
        <v>0</v>
      </c>
      <c r="W1486" t="s">
        <v>174</v>
      </c>
      <c r="X1486">
        <v>0</v>
      </c>
      <c r="Z1486" t="s">
        <v>173</v>
      </c>
      <c r="AA1486" t="s">
        <v>173</v>
      </c>
    </row>
    <row r="1487" spans="1:27" x14ac:dyDescent="0.3">
      <c r="A1487">
        <v>1486</v>
      </c>
      <c r="B1487" t="s">
        <v>169</v>
      </c>
      <c r="C1487">
        <v>99019875</v>
      </c>
      <c r="D1487" s="7" t="s">
        <v>108</v>
      </c>
      <c r="E1487" t="s">
        <v>109</v>
      </c>
      <c r="F1487" t="s">
        <v>170</v>
      </c>
      <c r="G1487" t="s">
        <v>171</v>
      </c>
      <c r="H1487">
        <v>24</v>
      </c>
      <c r="I1487">
        <v>0</v>
      </c>
      <c r="J1487">
        <v>24</v>
      </c>
      <c r="K1487" s="133">
        <v>2715</v>
      </c>
      <c r="L1487" s="133">
        <v>2715</v>
      </c>
      <c r="M1487" s="150">
        <v>0.61907407407407411</v>
      </c>
      <c r="N1487" s="150">
        <v>0.62351851851851847</v>
      </c>
      <c r="O1487" t="s">
        <v>172</v>
      </c>
      <c r="Q1487">
        <v>2526330</v>
      </c>
      <c r="R1487">
        <v>2526330</v>
      </c>
      <c r="S1487">
        <v>0</v>
      </c>
      <c r="T1487">
        <v>0</v>
      </c>
      <c r="U1487" t="s">
        <v>173</v>
      </c>
      <c r="V1487">
        <v>0</v>
      </c>
      <c r="W1487" t="s">
        <v>174</v>
      </c>
      <c r="X1487">
        <v>0</v>
      </c>
      <c r="Z1487" t="s">
        <v>173</v>
      </c>
      <c r="AA1487" t="s">
        <v>173</v>
      </c>
    </row>
    <row r="1488" spans="1:27" x14ac:dyDescent="0.3">
      <c r="A1488">
        <v>1487</v>
      </c>
      <c r="B1488" t="s">
        <v>169</v>
      </c>
      <c r="C1488">
        <v>99019875</v>
      </c>
      <c r="D1488" s="7" t="s">
        <v>122</v>
      </c>
      <c r="E1488" t="s">
        <v>123</v>
      </c>
      <c r="F1488" t="s">
        <v>170</v>
      </c>
      <c r="G1488" t="s">
        <v>171</v>
      </c>
      <c r="H1488">
        <v>20</v>
      </c>
      <c r="I1488">
        <v>0</v>
      </c>
      <c r="J1488">
        <v>20</v>
      </c>
      <c r="K1488" s="133">
        <v>36045</v>
      </c>
      <c r="L1488" s="133">
        <v>36045</v>
      </c>
      <c r="M1488" s="150">
        <v>0.61907407407407411</v>
      </c>
      <c r="N1488" s="150">
        <v>0.61980324074074067</v>
      </c>
      <c r="O1488" t="s">
        <v>172</v>
      </c>
      <c r="Q1488">
        <v>2526331</v>
      </c>
      <c r="R1488">
        <v>2526331</v>
      </c>
      <c r="S1488">
        <v>0</v>
      </c>
      <c r="T1488">
        <v>0</v>
      </c>
      <c r="U1488" t="s">
        <v>173</v>
      </c>
      <c r="V1488">
        <v>0</v>
      </c>
      <c r="W1488" t="s">
        <v>174</v>
      </c>
      <c r="X1488">
        <v>0</v>
      </c>
      <c r="Z1488" t="s">
        <v>173</v>
      </c>
      <c r="AA1488" t="s">
        <v>173</v>
      </c>
    </row>
    <row r="1489" spans="1:27" x14ac:dyDescent="0.3">
      <c r="A1489">
        <v>1488</v>
      </c>
      <c r="B1489" t="s">
        <v>169</v>
      </c>
      <c r="C1489">
        <v>99019875</v>
      </c>
      <c r="D1489" s="7" t="s">
        <v>77</v>
      </c>
      <c r="E1489" t="s">
        <v>78</v>
      </c>
      <c r="F1489" t="s">
        <v>170</v>
      </c>
      <c r="G1489" t="s">
        <v>171</v>
      </c>
      <c r="H1489">
        <v>73</v>
      </c>
      <c r="I1489">
        <v>0</v>
      </c>
      <c r="J1489">
        <v>73</v>
      </c>
      <c r="K1489" s="133">
        <v>7360</v>
      </c>
      <c r="L1489" s="133">
        <v>7360</v>
      </c>
      <c r="M1489" s="150">
        <v>0.61907407407407411</v>
      </c>
      <c r="N1489" s="150">
        <v>0.61922453703703706</v>
      </c>
      <c r="O1489" t="s">
        <v>172</v>
      </c>
      <c r="Q1489">
        <v>2526333</v>
      </c>
      <c r="R1489">
        <v>2526333</v>
      </c>
      <c r="S1489">
        <v>0</v>
      </c>
      <c r="T1489">
        <v>0</v>
      </c>
      <c r="U1489" t="s">
        <v>173</v>
      </c>
      <c r="V1489">
        <v>0</v>
      </c>
      <c r="W1489" t="s">
        <v>174</v>
      </c>
      <c r="X1489">
        <v>0</v>
      </c>
      <c r="Z1489" t="s">
        <v>173</v>
      </c>
      <c r="AA1489" t="s">
        <v>173</v>
      </c>
    </row>
    <row r="1490" spans="1:27" x14ac:dyDescent="0.3">
      <c r="A1490">
        <v>1489</v>
      </c>
      <c r="B1490" t="s">
        <v>169</v>
      </c>
      <c r="C1490">
        <v>99019875</v>
      </c>
      <c r="D1490" s="7" t="s">
        <v>96</v>
      </c>
      <c r="E1490" t="s">
        <v>97</v>
      </c>
      <c r="F1490" t="s">
        <v>170</v>
      </c>
      <c r="G1490" t="s">
        <v>171</v>
      </c>
      <c r="H1490">
        <v>27</v>
      </c>
      <c r="I1490">
        <v>0</v>
      </c>
      <c r="J1490">
        <v>27</v>
      </c>
      <c r="K1490" s="133">
        <v>8310</v>
      </c>
      <c r="L1490" s="133">
        <v>8310</v>
      </c>
      <c r="M1490" s="150">
        <v>0.61907407407407411</v>
      </c>
      <c r="N1490" s="150">
        <v>0.61971064814814814</v>
      </c>
      <c r="O1490" t="s">
        <v>172</v>
      </c>
      <c r="Q1490">
        <v>2526337</v>
      </c>
      <c r="R1490">
        <v>2526337</v>
      </c>
      <c r="S1490">
        <v>0</v>
      </c>
      <c r="T1490">
        <v>0</v>
      </c>
      <c r="U1490" t="s">
        <v>173</v>
      </c>
      <c r="V1490">
        <v>0</v>
      </c>
      <c r="W1490" t="s">
        <v>174</v>
      </c>
      <c r="X1490">
        <v>0</v>
      </c>
      <c r="Z1490" t="s">
        <v>173</v>
      </c>
      <c r="AA1490" t="s">
        <v>173</v>
      </c>
    </row>
    <row r="1491" spans="1:27" x14ac:dyDescent="0.3">
      <c r="A1491">
        <v>1490</v>
      </c>
      <c r="B1491" t="s">
        <v>169</v>
      </c>
      <c r="C1491">
        <v>99019875</v>
      </c>
      <c r="D1491" s="7" t="s">
        <v>69</v>
      </c>
      <c r="E1491" t="s">
        <v>70</v>
      </c>
      <c r="F1491" t="s">
        <v>170</v>
      </c>
      <c r="G1491" t="s">
        <v>171</v>
      </c>
      <c r="H1491">
        <v>16</v>
      </c>
      <c r="I1491">
        <v>0</v>
      </c>
      <c r="J1491">
        <v>16</v>
      </c>
      <c r="K1491" s="133">
        <v>10265</v>
      </c>
      <c r="L1491" s="133">
        <v>10265</v>
      </c>
      <c r="M1491" s="150">
        <v>0.61907407407407411</v>
      </c>
      <c r="N1491" s="150">
        <v>0.61910879629629634</v>
      </c>
      <c r="O1491" t="s">
        <v>172</v>
      </c>
      <c r="Q1491">
        <v>2526339</v>
      </c>
      <c r="R1491">
        <v>2526339</v>
      </c>
      <c r="S1491">
        <v>0</v>
      </c>
      <c r="T1491">
        <v>0</v>
      </c>
      <c r="U1491" t="s">
        <v>173</v>
      </c>
      <c r="V1491">
        <v>0</v>
      </c>
      <c r="W1491" t="s">
        <v>174</v>
      </c>
      <c r="X1491">
        <v>0</v>
      </c>
      <c r="Z1491" t="s">
        <v>173</v>
      </c>
      <c r="AA1491" t="s">
        <v>173</v>
      </c>
    </row>
    <row r="1492" spans="1:27" x14ac:dyDescent="0.3">
      <c r="A1492">
        <v>1491</v>
      </c>
      <c r="B1492" t="s">
        <v>169</v>
      </c>
      <c r="C1492">
        <v>99019875</v>
      </c>
      <c r="D1492" s="7" t="s">
        <v>62</v>
      </c>
      <c r="E1492" t="s">
        <v>63</v>
      </c>
      <c r="F1492" t="s">
        <v>176</v>
      </c>
      <c r="G1492" t="s">
        <v>177</v>
      </c>
      <c r="H1492">
        <v>89</v>
      </c>
      <c r="I1492">
        <v>0</v>
      </c>
      <c r="J1492">
        <v>89</v>
      </c>
      <c r="K1492" s="133">
        <v>34055</v>
      </c>
      <c r="L1492" s="133">
        <v>34055</v>
      </c>
      <c r="M1492" s="150">
        <v>0.61909722222222219</v>
      </c>
      <c r="N1492" s="150">
        <v>0.61910879629629634</v>
      </c>
      <c r="O1492" t="s">
        <v>172</v>
      </c>
      <c r="Q1492">
        <v>2526389</v>
      </c>
      <c r="R1492">
        <v>2526389</v>
      </c>
      <c r="S1492">
        <v>2526319</v>
      </c>
      <c r="T1492">
        <v>0</v>
      </c>
      <c r="U1492" t="s">
        <v>173</v>
      </c>
      <c r="V1492">
        <v>0</v>
      </c>
      <c r="W1492" t="s">
        <v>174</v>
      </c>
      <c r="X1492">
        <v>2526319</v>
      </c>
      <c r="Z1492" t="s">
        <v>173</v>
      </c>
      <c r="AA1492" t="s">
        <v>173</v>
      </c>
    </row>
    <row r="1493" spans="1:27" x14ac:dyDescent="0.3">
      <c r="A1493">
        <v>1492</v>
      </c>
      <c r="B1493" t="s">
        <v>169</v>
      </c>
      <c r="C1493">
        <v>99019875</v>
      </c>
      <c r="D1493" s="7" t="s">
        <v>81</v>
      </c>
      <c r="E1493" t="s">
        <v>82</v>
      </c>
      <c r="F1493" t="s">
        <v>176</v>
      </c>
      <c r="G1493" t="s">
        <v>177</v>
      </c>
      <c r="H1493">
        <v>12</v>
      </c>
      <c r="I1493">
        <v>0</v>
      </c>
      <c r="J1493">
        <v>12</v>
      </c>
      <c r="K1493" s="133">
        <v>36425</v>
      </c>
      <c r="L1493" s="133">
        <v>36425</v>
      </c>
      <c r="M1493" s="150">
        <v>0.61910879629629634</v>
      </c>
      <c r="N1493" s="150">
        <v>0.61938657407407405</v>
      </c>
      <c r="O1493" t="s">
        <v>172</v>
      </c>
      <c r="Q1493">
        <v>2526401</v>
      </c>
      <c r="R1493">
        <v>2526401</v>
      </c>
      <c r="S1493">
        <v>2522096</v>
      </c>
      <c r="T1493">
        <v>0</v>
      </c>
      <c r="U1493" t="s">
        <v>173</v>
      </c>
      <c r="V1493">
        <v>0</v>
      </c>
      <c r="W1493" t="s">
        <v>174</v>
      </c>
      <c r="X1493">
        <v>2522096</v>
      </c>
      <c r="Z1493" t="s">
        <v>173</v>
      </c>
      <c r="AA1493" t="s">
        <v>173</v>
      </c>
    </row>
    <row r="1494" spans="1:27" x14ac:dyDescent="0.3">
      <c r="A1494">
        <v>1493</v>
      </c>
      <c r="B1494" t="s">
        <v>169</v>
      </c>
      <c r="C1494">
        <v>99019875</v>
      </c>
      <c r="D1494" s="7" t="s">
        <v>81</v>
      </c>
      <c r="E1494" t="s">
        <v>82</v>
      </c>
      <c r="F1494" t="s">
        <v>176</v>
      </c>
      <c r="G1494" t="s">
        <v>177</v>
      </c>
      <c r="H1494">
        <v>75</v>
      </c>
      <c r="I1494">
        <v>0</v>
      </c>
      <c r="J1494">
        <v>75</v>
      </c>
      <c r="K1494" s="133">
        <v>36425</v>
      </c>
      <c r="L1494" s="133">
        <v>36425</v>
      </c>
      <c r="M1494" s="150">
        <v>0.61910879629629634</v>
      </c>
      <c r="N1494" s="150">
        <v>0.61938657407407405</v>
      </c>
      <c r="O1494" t="s">
        <v>172</v>
      </c>
      <c r="Q1494">
        <v>2526402</v>
      </c>
      <c r="R1494">
        <v>2526402</v>
      </c>
      <c r="S1494">
        <v>2522948</v>
      </c>
      <c r="T1494">
        <v>0</v>
      </c>
      <c r="U1494" t="s">
        <v>173</v>
      </c>
      <c r="V1494">
        <v>0</v>
      </c>
      <c r="W1494" t="s">
        <v>174</v>
      </c>
      <c r="X1494">
        <v>2522948</v>
      </c>
      <c r="Z1494" t="s">
        <v>173</v>
      </c>
      <c r="AA1494" t="s">
        <v>173</v>
      </c>
    </row>
    <row r="1495" spans="1:27" x14ac:dyDescent="0.3">
      <c r="A1495">
        <v>1494</v>
      </c>
      <c r="B1495" t="s">
        <v>169</v>
      </c>
      <c r="C1495">
        <v>99019875</v>
      </c>
      <c r="D1495" s="7" t="s">
        <v>81</v>
      </c>
      <c r="E1495" t="s">
        <v>82</v>
      </c>
      <c r="F1495" t="s">
        <v>176</v>
      </c>
      <c r="G1495" t="s">
        <v>177</v>
      </c>
      <c r="H1495">
        <v>75</v>
      </c>
      <c r="I1495">
        <v>0</v>
      </c>
      <c r="J1495">
        <v>75</v>
      </c>
      <c r="K1495" s="133">
        <v>36425</v>
      </c>
      <c r="L1495" s="133">
        <v>36425</v>
      </c>
      <c r="M1495" s="150">
        <v>0.61910879629629634</v>
      </c>
      <c r="N1495" s="150">
        <v>0.61938657407407405</v>
      </c>
      <c r="O1495" t="s">
        <v>172</v>
      </c>
      <c r="Q1495">
        <v>2526403</v>
      </c>
      <c r="R1495">
        <v>2526403</v>
      </c>
      <c r="S1495">
        <v>2523787</v>
      </c>
      <c r="T1495">
        <v>0</v>
      </c>
      <c r="U1495" t="s">
        <v>173</v>
      </c>
      <c r="V1495">
        <v>0</v>
      </c>
      <c r="W1495" t="s">
        <v>174</v>
      </c>
      <c r="X1495">
        <v>2523787</v>
      </c>
      <c r="Z1495" t="s">
        <v>173</v>
      </c>
      <c r="AA1495" t="s">
        <v>173</v>
      </c>
    </row>
    <row r="1496" spans="1:27" x14ac:dyDescent="0.3">
      <c r="A1496">
        <v>1495</v>
      </c>
      <c r="B1496" t="s">
        <v>169</v>
      </c>
      <c r="C1496">
        <v>99019875</v>
      </c>
      <c r="D1496" s="7" t="s">
        <v>81</v>
      </c>
      <c r="E1496" t="s">
        <v>82</v>
      </c>
      <c r="F1496" t="s">
        <v>176</v>
      </c>
      <c r="G1496" t="s">
        <v>177</v>
      </c>
      <c r="H1496">
        <v>75</v>
      </c>
      <c r="I1496">
        <v>0</v>
      </c>
      <c r="J1496">
        <v>75</v>
      </c>
      <c r="K1496" s="133">
        <v>36425</v>
      </c>
      <c r="L1496" s="133">
        <v>36425</v>
      </c>
      <c r="M1496" s="150">
        <v>0.61910879629629634</v>
      </c>
      <c r="N1496" s="150">
        <v>0.61938657407407405</v>
      </c>
      <c r="O1496" t="s">
        <v>172</v>
      </c>
      <c r="Q1496">
        <v>2526404</v>
      </c>
      <c r="R1496">
        <v>2526404</v>
      </c>
      <c r="S1496">
        <v>2524611</v>
      </c>
      <c r="T1496">
        <v>0</v>
      </c>
      <c r="U1496" t="s">
        <v>173</v>
      </c>
      <c r="V1496">
        <v>0</v>
      </c>
      <c r="W1496" t="s">
        <v>174</v>
      </c>
      <c r="X1496">
        <v>2524611</v>
      </c>
      <c r="Z1496" t="s">
        <v>173</v>
      </c>
      <c r="AA1496" t="s">
        <v>173</v>
      </c>
    </row>
    <row r="1497" spans="1:27" x14ac:dyDescent="0.3">
      <c r="A1497">
        <v>1496</v>
      </c>
      <c r="B1497" t="s">
        <v>169</v>
      </c>
      <c r="C1497">
        <v>99019875</v>
      </c>
      <c r="D1497" s="7" t="s">
        <v>81</v>
      </c>
      <c r="E1497" t="s">
        <v>82</v>
      </c>
      <c r="F1497" t="s">
        <v>176</v>
      </c>
      <c r="G1497" t="s">
        <v>177</v>
      </c>
      <c r="H1497">
        <v>75</v>
      </c>
      <c r="I1497">
        <v>0</v>
      </c>
      <c r="J1497">
        <v>75</v>
      </c>
      <c r="K1497" s="133">
        <v>36425</v>
      </c>
      <c r="L1497" s="133">
        <v>36425</v>
      </c>
      <c r="M1497" s="150">
        <v>0.61910879629629634</v>
      </c>
      <c r="N1497" s="150">
        <v>0.61938657407407405</v>
      </c>
      <c r="O1497" t="s">
        <v>172</v>
      </c>
      <c r="Q1497">
        <v>2526405</v>
      </c>
      <c r="R1497">
        <v>2526405</v>
      </c>
      <c r="S1497">
        <v>2525453</v>
      </c>
      <c r="T1497">
        <v>0</v>
      </c>
      <c r="U1497" t="s">
        <v>173</v>
      </c>
      <c r="V1497">
        <v>0</v>
      </c>
      <c r="W1497" t="s">
        <v>174</v>
      </c>
      <c r="X1497">
        <v>2525453</v>
      </c>
      <c r="Z1497" t="s">
        <v>173</v>
      </c>
      <c r="AA1497" t="s">
        <v>173</v>
      </c>
    </row>
    <row r="1498" spans="1:27" x14ac:dyDescent="0.3">
      <c r="A1498">
        <v>1497</v>
      </c>
      <c r="B1498" t="s">
        <v>169</v>
      </c>
      <c r="C1498">
        <v>99019875</v>
      </c>
      <c r="D1498" s="7" t="s">
        <v>81</v>
      </c>
      <c r="E1498" t="s">
        <v>82</v>
      </c>
      <c r="F1498" t="s">
        <v>176</v>
      </c>
      <c r="G1498" t="s">
        <v>177</v>
      </c>
      <c r="H1498">
        <v>75</v>
      </c>
      <c r="I1498">
        <v>0</v>
      </c>
      <c r="J1498">
        <v>75</v>
      </c>
      <c r="K1498" s="133">
        <v>36425</v>
      </c>
      <c r="L1498" s="133">
        <v>36425</v>
      </c>
      <c r="M1498" s="150">
        <v>0.61910879629629634</v>
      </c>
      <c r="N1498" s="150">
        <v>0.61938657407407405</v>
      </c>
      <c r="O1498" t="s">
        <v>172</v>
      </c>
      <c r="Q1498">
        <v>2526406</v>
      </c>
      <c r="R1498">
        <v>2526406</v>
      </c>
      <c r="S1498">
        <v>2526320</v>
      </c>
      <c r="T1498">
        <v>0</v>
      </c>
      <c r="U1498" t="s">
        <v>173</v>
      </c>
      <c r="V1498">
        <v>0</v>
      </c>
      <c r="W1498" t="s">
        <v>174</v>
      </c>
      <c r="X1498">
        <v>2526320</v>
      </c>
      <c r="Z1498" t="s">
        <v>173</v>
      </c>
      <c r="AA1498" t="s">
        <v>173</v>
      </c>
    </row>
    <row r="1499" spans="1:27" x14ac:dyDescent="0.3">
      <c r="A1499">
        <v>1498</v>
      </c>
      <c r="B1499" t="s">
        <v>169</v>
      </c>
      <c r="C1499">
        <v>99019875</v>
      </c>
      <c r="D1499" s="7" t="s">
        <v>102</v>
      </c>
      <c r="E1499" t="s">
        <v>103</v>
      </c>
      <c r="F1499" t="s">
        <v>170</v>
      </c>
      <c r="G1499" t="s">
        <v>177</v>
      </c>
      <c r="H1499">
        <v>54</v>
      </c>
      <c r="I1499">
        <v>0</v>
      </c>
      <c r="J1499">
        <v>54</v>
      </c>
      <c r="K1499" s="133">
        <v>26820</v>
      </c>
      <c r="L1499" s="133">
        <v>26820</v>
      </c>
      <c r="M1499" s="150">
        <v>0.61914351851851845</v>
      </c>
      <c r="N1499" s="150">
        <v>0.61914351851851845</v>
      </c>
      <c r="O1499" t="s">
        <v>172</v>
      </c>
      <c r="Q1499">
        <v>2526472</v>
      </c>
      <c r="R1499">
        <v>2526472</v>
      </c>
      <c r="S1499">
        <v>2526322</v>
      </c>
      <c r="T1499">
        <v>0</v>
      </c>
      <c r="U1499" t="s">
        <v>173</v>
      </c>
      <c r="V1499">
        <v>0</v>
      </c>
      <c r="W1499" t="s">
        <v>174</v>
      </c>
      <c r="X1499">
        <v>2526322</v>
      </c>
      <c r="Z1499" t="s">
        <v>173</v>
      </c>
      <c r="AA1499" t="s">
        <v>173</v>
      </c>
    </row>
    <row r="1500" spans="1:27" x14ac:dyDescent="0.3">
      <c r="A1500">
        <v>1499</v>
      </c>
      <c r="B1500" t="s">
        <v>169</v>
      </c>
      <c r="C1500">
        <v>99019875</v>
      </c>
      <c r="D1500" s="7" t="s">
        <v>140</v>
      </c>
      <c r="E1500" t="s">
        <v>178</v>
      </c>
      <c r="F1500" t="s">
        <v>170</v>
      </c>
      <c r="G1500" t="s">
        <v>177</v>
      </c>
      <c r="H1500">
        <v>20</v>
      </c>
      <c r="I1500">
        <v>0</v>
      </c>
      <c r="J1500">
        <v>20</v>
      </c>
      <c r="K1500" s="133">
        <v>8645</v>
      </c>
      <c r="L1500" s="133">
        <v>8645</v>
      </c>
      <c r="M1500" s="150">
        <v>0.61916666666666664</v>
      </c>
      <c r="N1500" s="150">
        <v>0.61929398148148151</v>
      </c>
      <c r="O1500" t="s">
        <v>172</v>
      </c>
      <c r="Q1500">
        <v>2526546</v>
      </c>
      <c r="R1500">
        <v>2526546</v>
      </c>
      <c r="S1500">
        <v>2526338</v>
      </c>
      <c r="T1500">
        <v>0</v>
      </c>
      <c r="U1500" t="s">
        <v>173</v>
      </c>
      <c r="V1500">
        <v>0</v>
      </c>
      <c r="W1500" t="s">
        <v>174</v>
      </c>
      <c r="X1500">
        <v>2526338</v>
      </c>
      <c r="Z1500" t="s">
        <v>173</v>
      </c>
      <c r="AA1500" t="s">
        <v>173</v>
      </c>
    </row>
    <row r="1501" spans="1:27" x14ac:dyDescent="0.3">
      <c r="A1501">
        <v>1500</v>
      </c>
      <c r="B1501" t="s">
        <v>169</v>
      </c>
      <c r="C1501">
        <v>99019875</v>
      </c>
      <c r="D1501" s="7" t="s">
        <v>94</v>
      </c>
      <c r="E1501" t="s">
        <v>95</v>
      </c>
      <c r="F1501" t="s">
        <v>170</v>
      </c>
      <c r="G1501" t="s">
        <v>171</v>
      </c>
      <c r="H1501">
        <v>1</v>
      </c>
      <c r="I1501">
        <v>0</v>
      </c>
      <c r="J1501">
        <v>1</v>
      </c>
      <c r="K1501" s="133">
        <v>21985</v>
      </c>
      <c r="L1501" s="133">
        <v>21985</v>
      </c>
      <c r="M1501" s="150">
        <v>0.61917824074074079</v>
      </c>
      <c r="N1501" s="150">
        <v>0.61974537037037036</v>
      </c>
      <c r="O1501" t="s">
        <v>172</v>
      </c>
      <c r="Q1501">
        <v>2526712</v>
      </c>
      <c r="R1501">
        <v>2526712</v>
      </c>
      <c r="S1501">
        <v>0</v>
      </c>
      <c r="T1501">
        <v>0</v>
      </c>
      <c r="U1501" t="s">
        <v>173</v>
      </c>
      <c r="V1501">
        <v>0</v>
      </c>
      <c r="W1501" t="s">
        <v>174</v>
      </c>
      <c r="X1501">
        <v>0</v>
      </c>
      <c r="Z1501" t="s">
        <v>173</v>
      </c>
      <c r="AA1501" t="s">
        <v>173</v>
      </c>
    </row>
    <row r="1502" spans="1:27" x14ac:dyDescent="0.3">
      <c r="A1502">
        <v>1501</v>
      </c>
      <c r="B1502" t="s">
        <v>169</v>
      </c>
      <c r="C1502">
        <v>99019875</v>
      </c>
      <c r="D1502" s="7" t="s">
        <v>98</v>
      </c>
      <c r="E1502" t="s">
        <v>99</v>
      </c>
      <c r="F1502" t="s">
        <v>170</v>
      </c>
      <c r="G1502" t="s">
        <v>177</v>
      </c>
      <c r="H1502">
        <v>39</v>
      </c>
      <c r="I1502">
        <v>0</v>
      </c>
      <c r="J1502">
        <v>39</v>
      </c>
      <c r="K1502" s="133">
        <v>14300</v>
      </c>
      <c r="L1502" s="133">
        <v>14300</v>
      </c>
      <c r="M1502" s="150">
        <v>0.61921296296296291</v>
      </c>
      <c r="N1502" s="150">
        <v>0.61928240740740736</v>
      </c>
      <c r="O1502" t="s">
        <v>172</v>
      </c>
      <c r="Q1502">
        <v>2526809</v>
      </c>
      <c r="R1502">
        <v>2526809</v>
      </c>
      <c r="S1502">
        <v>2525391</v>
      </c>
      <c r="T1502">
        <v>0</v>
      </c>
      <c r="U1502" t="s">
        <v>173</v>
      </c>
      <c r="V1502">
        <v>0</v>
      </c>
      <c r="W1502" t="s">
        <v>174</v>
      </c>
      <c r="X1502">
        <v>2525391</v>
      </c>
      <c r="Z1502" t="s">
        <v>173</v>
      </c>
      <c r="AA1502" t="s">
        <v>173</v>
      </c>
    </row>
    <row r="1503" spans="1:27" x14ac:dyDescent="0.3">
      <c r="A1503">
        <v>1502</v>
      </c>
      <c r="B1503" t="s">
        <v>169</v>
      </c>
      <c r="C1503">
        <v>99019875</v>
      </c>
      <c r="D1503" s="7" t="s">
        <v>98</v>
      </c>
      <c r="E1503" t="s">
        <v>99</v>
      </c>
      <c r="F1503" t="s">
        <v>170</v>
      </c>
      <c r="G1503" t="s">
        <v>177</v>
      </c>
      <c r="H1503">
        <v>38</v>
      </c>
      <c r="I1503">
        <v>0</v>
      </c>
      <c r="J1503">
        <v>38</v>
      </c>
      <c r="K1503" s="133">
        <v>14300</v>
      </c>
      <c r="L1503" s="133">
        <v>14300</v>
      </c>
      <c r="M1503" s="150">
        <v>0.61921296296296291</v>
      </c>
      <c r="N1503" s="150">
        <v>0.61928240740740736</v>
      </c>
      <c r="O1503" t="s">
        <v>172</v>
      </c>
      <c r="Q1503">
        <v>2526810</v>
      </c>
      <c r="R1503">
        <v>2526810</v>
      </c>
      <c r="S1503">
        <v>2525392</v>
      </c>
      <c r="T1503">
        <v>0</v>
      </c>
      <c r="U1503" t="s">
        <v>173</v>
      </c>
      <c r="V1503">
        <v>0</v>
      </c>
      <c r="W1503" t="s">
        <v>174</v>
      </c>
      <c r="X1503">
        <v>2525392</v>
      </c>
      <c r="Z1503" t="s">
        <v>173</v>
      </c>
      <c r="AA1503" t="s">
        <v>173</v>
      </c>
    </row>
    <row r="1504" spans="1:27" x14ac:dyDescent="0.3">
      <c r="A1504">
        <v>1503</v>
      </c>
      <c r="B1504" t="s">
        <v>169</v>
      </c>
      <c r="C1504">
        <v>99019875</v>
      </c>
      <c r="D1504" s="7" t="s">
        <v>98</v>
      </c>
      <c r="E1504" t="s">
        <v>99</v>
      </c>
      <c r="F1504" t="s">
        <v>170</v>
      </c>
      <c r="G1504" t="s">
        <v>177</v>
      </c>
      <c r="H1504">
        <v>39</v>
      </c>
      <c r="I1504">
        <v>0</v>
      </c>
      <c r="J1504">
        <v>39</v>
      </c>
      <c r="K1504" s="133">
        <v>14300</v>
      </c>
      <c r="L1504" s="133">
        <v>14300</v>
      </c>
      <c r="M1504" s="150">
        <v>0.61921296296296291</v>
      </c>
      <c r="N1504" s="150">
        <v>0.61928240740740736</v>
      </c>
      <c r="O1504" t="s">
        <v>172</v>
      </c>
      <c r="Q1504">
        <v>2526811</v>
      </c>
      <c r="R1504">
        <v>2526811</v>
      </c>
      <c r="S1504">
        <v>2525463</v>
      </c>
      <c r="T1504">
        <v>0</v>
      </c>
      <c r="U1504" t="s">
        <v>173</v>
      </c>
      <c r="V1504">
        <v>0</v>
      </c>
      <c r="W1504" t="s">
        <v>174</v>
      </c>
      <c r="X1504">
        <v>2525463</v>
      </c>
      <c r="Z1504" t="s">
        <v>173</v>
      </c>
      <c r="AA1504" t="s">
        <v>173</v>
      </c>
    </row>
    <row r="1505" spans="1:27" x14ac:dyDescent="0.3">
      <c r="A1505">
        <v>1504</v>
      </c>
      <c r="B1505" t="s">
        <v>169</v>
      </c>
      <c r="C1505">
        <v>99019875</v>
      </c>
      <c r="D1505" s="7" t="s">
        <v>98</v>
      </c>
      <c r="E1505" t="s">
        <v>99</v>
      </c>
      <c r="F1505" t="s">
        <v>170</v>
      </c>
      <c r="G1505" t="s">
        <v>177</v>
      </c>
      <c r="H1505">
        <v>38</v>
      </c>
      <c r="I1505">
        <v>0</v>
      </c>
      <c r="J1505">
        <v>38</v>
      </c>
      <c r="K1505" s="133">
        <v>14300</v>
      </c>
      <c r="L1505" s="133">
        <v>14300</v>
      </c>
      <c r="M1505" s="150">
        <v>0.61921296296296291</v>
      </c>
      <c r="N1505" s="150">
        <v>0.61928240740740736</v>
      </c>
      <c r="O1505" t="s">
        <v>172</v>
      </c>
      <c r="Q1505">
        <v>2526812</v>
      </c>
      <c r="R1505">
        <v>2526812</v>
      </c>
      <c r="S1505">
        <v>2526332</v>
      </c>
      <c r="T1505">
        <v>0</v>
      </c>
      <c r="U1505" t="s">
        <v>173</v>
      </c>
      <c r="V1505">
        <v>0</v>
      </c>
      <c r="W1505" t="s">
        <v>174</v>
      </c>
      <c r="X1505">
        <v>2526332</v>
      </c>
      <c r="Z1505" t="s">
        <v>173</v>
      </c>
      <c r="AA1505" t="s">
        <v>173</v>
      </c>
    </row>
    <row r="1506" spans="1:27" x14ac:dyDescent="0.3">
      <c r="A1506">
        <v>1505</v>
      </c>
      <c r="B1506" t="s">
        <v>169</v>
      </c>
      <c r="C1506">
        <v>99019875</v>
      </c>
      <c r="D1506" s="7" t="s">
        <v>128</v>
      </c>
      <c r="E1506" t="s">
        <v>129</v>
      </c>
      <c r="F1506" t="s">
        <v>170</v>
      </c>
      <c r="G1506" t="s">
        <v>171</v>
      </c>
      <c r="H1506">
        <v>1</v>
      </c>
      <c r="I1506">
        <v>0</v>
      </c>
      <c r="J1506">
        <v>1</v>
      </c>
      <c r="K1506" s="133">
        <v>6505</v>
      </c>
      <c r="L1506" s="133">
        <v>6505</v>
      </c>
      <c r="M1506" s="150">
        <v>0.61934027777777778</v>
      </c>
      <c r="N1506" s="150">
        <v>0.62118055555555551</v>
      </c>
      <c r="O1506" t="s">
        <v>172</v>
      </c>
      <c r="Q1506">
        <v>2527087</v>
      </c>
      <c r="R1506">
        <v>2527087</v>
      </c>
      <c r="S1506">
        <v>0</v>
      </c>
      <c r="T1506">
        <v>0</v>
      </c>
      <c r="U1506" t="s">
        <v>173</v>
      </c>
      <c r="V1506">
        <v>0</v>
      </c>
      <c r="W1506" t="s">
        <v>174</v>
      </c>
      <c r="X1506">
        <v>0</v>
      </c>
      <c r="Z1506" t="s">
        <v>173</v>
      </c>
      <c r="AA1506" t="s">
        <v>173</v>
      </c>
    </row>
    <row r="1507" spans="1:27" x14ac:dyDescent="0.3">
      <c r="A1507">
        <v>1506</v>
      </c>
      <c r="B1507" t="s">
        <v>169</v>
      </c>
      <c r="C1507">
        <v>99019875</v>
      </c>
      <c r="D1507" s="7" t="s">
        <v>62</v>
      </c>
      <c r="E1507" t="s">
        <v>63</v>
      </c>
      <c r="F1507" t="s">
        <v>176</v>
      </c>
      <c r="G1507" t="s">
        <v>171</v>
      </c>
      <c r="H1507">
        <v>89</v>
      </c>
      <c r="I1507">
        <v>0</v>
      </c>
      <c r="J1507">
        <v>89</v>
      </c>
      <c r="K1507" s="133">
        <v>34080</v>
      </c>
      <c r="L1507" s="133">
        <v>34080</v>
      </c>
      <c r="M1507" s="150">
        <v>0.61937500000000001</v>
      </c>
      <c r="N1507" s="150">
        <v>0.6193981481481482</v>
      </c>
      <c r="O1507" t="s">
        <v>172</v>
      </c>
      <c r="Q1507">
        <v>2527124</v>
      </c>
      <c r="R1507">
        <v>2527124</v>
      </c>
      <c r="S1507">
        <v>0</v>
      </c>
      <c r="T1507">
        <v>0</v>
      </c>
      <c r="U1507" t="s">
        <v>173</v>
      </c>
      <c r="V1507">
        <v>0</v>
      </c>
      <c r="W1507" t="s">
        <v>174</v>
      </c>
      <c r="X1507">
        <v>0</v>
      </c>
      <c r="Z1507" t="s">
        <v>173</v>
      </c>
      <c r="AA1507" t="s">
        <v>173</v>
      </c>
    </row>
    <row r="1508" spans="1:27" x14ac:dyDescent="0.3">
      <c r="A1508">
        <v>1507</v>
      </c>
      <c r="B1508" t="s">
        <v>169</v>
      </c>
      <c r="C1508">
        <v>99019875</v>
      </c>
      <c r="D1508" s="7" t="s">
        <v>81</v>
      </c>
      <c r="E1508" t="s">
        <v>82</v>
      </c>
      <c r="F1508" t="s">
        <v>176</v>
      </c>
      <c r="G1508" t="s">
        <v>171</v>
      </c>
      <c r="H1508">
        <v>75</v>
      </c>
      <c r="I1508">
        <v>0</v>
      </c>
      <c r="J1508">
        <v>75</v>
      </c>
      <c r="K1508" s="133">
        <v>36425</v>
      </c>
      <c r="L1508" s="133">
        <v>36425</v>
      </c>
      <c r="M1508" s="150">
        <v>0.61937500000000001</v>
      </c>
      <c r="N1508" s="150">
        <v>0.61938657407407405</v>
      </c>
      <c r="O1508" t="s">
        <v>172</v>
      </c>
      <c r="Q1508">
        <v>2527125</v>
      </c>
      <c r="R1508">
        <v>2527125</v>
      </c>
      <c r="S1508">
        <v>0</v>
      </c>
      <c r="T1508">
        <v>0</v>
      </c>
      <c r="U1508" t="s">
        <v>173</v>
      </c>
      <c r="V1508">
        <v>0</v>
      </c>
      <c r="W1508" t="s">
        <v>174</v>
      </c>
      <c r="X1508">
        <v>0</v>
      </c>
      <c r="Z1508" t="s">
        <v>173</v>
      </c>
      <c r="AA1508" t="s">
        <v>173</v>
      </c>
    </row>
    <row r="1509" spans="1:27" x14ac:dyDescent="0.3">
      <c r="A1509">
        <v>1508</v>
      </c>
      <c r="B1509" t="s">
        <v>169</v>
      </c>
      <c r="C1509">
        <v>99019875</v>
      </c>
      <c r="D1509" s="7" t="s">
        <v>75</v>
      </c>
      <c r="E1509" t="s">
        <v>76</v>
      </c>
      <c r="F1509" t="s">
        <v>170</v>
      </c>
      <c r="G1509" t="s">
        <v>171</v>
      </c>
      <c r="H1509">
        <v>83</v>
      </c>
      <c r="I1509">
        <v>0</v>
      </c>
      <c r="J1509">
        <v>83</v>
      </c>
      <c r="K1509" s="133">
        <v>20775</v>
      </c>
      <c r="L1509" s="133">
        <v>20775</v>
      </c>
      <c r="M1509" s="150">
        <v>0.61937500000000001</v>
      </c>
      <c r="N1509" s="150">
        <v>0.61983796296296301</v>
      </c>
      <c r="O1509" t="s">
        <v>172</v>
      </c>
      <c r="Q1509">
        <v>2527126</v>
      </c>
      <c r="R1509">
        <v>2527126</v>
      </c>
      <c r="S1509">
        <v>0</v>
      </c>
      <c r="T1509">
        <v>0</v>
      </c>
      <c r="U1509" t="s">
        <v>173</v>
      </c>
      <c r="V1509">
        <v>0</v>
      </c>
      <c r="W1509" t="s">
        <v>174</v>
      </c>
      <c r="X1509">
        <v>0</v>
      </c>
      <c r="Z1509" t="s">
        <v>173</v>
      </c>
      <c r="AA1509" t="s">
        <v>173</v>
      </c>
    </row>
    <row r="1510" spans="1:27" x14ac:dyDescent="0.3">
      <c r="A1510">
        <v>1509</v>
      </c>
      <c r="B1510" t="s">
        <v>169</v>
      </c>
      <c r="C1510">
        <v>99019875</v>
      </c>
      <c r="D1510" s="7" t="s">
        <v>102</v>
      </c>
      <c r="E1510" t="s">
        <v>103</v>
      </c>
      <c r="F1510" t="s">
        <v>170</v>
      </c>
      <c r="G1510" t="s">
        <v>171</v>
      </c>
      <c r="H1510">
        <v>53</v>
      </c>
      <c r="I1510">
        <v>0</v>
      </c>
      <c r="J1510">
        <v>53</v>
      </c>
      <c r="K1510" s="133">
        <v>26795</v>
      </c>
      <c r="L1510" s="133">
        <v>26795</v>
      </c>
      <c r="M1510" s="150">
        <v>0.61937500000000001</v>
      </c>
      <c r="N1510" s="150">
        <v>0.61946759259259265</v>
      </c>
      <c r="O1510" t="s">
        <v>172</v>
      </c>
      <c r="Q1510">
        <v>2527127</v>
      </c>
      <c r="R1510">
        <v>2527127</v>
      </c>
      <c r="S1510">
        <v>0</v>
      </c>
      <c r="T1510">
        <v>0</v>
      </c>
      <c r="U1510" t="s">
        <v>173</v>
      </c>
      <c r="V1510">
        <v>0</v>
      </c>
      <c r="W1510" t="s">
        <v>174</v>
      </c>
      <c r="X1510">
        <v>0</v>
      </c>
      <c r="Z1510" t="s">
        <v>173</v>
      </c>
      <c r="AA1510" t="s">
        <v>173</v>
      </c>
    </row>
    <row r="1511" spans="1:27" x14ac:dyDescent="0.3">
      <c r="A1511">
        <v>1510</v>
      </c>
      <c r="B1511" t="s">
        <v>169</v>
      </c>
      <c r="C1511">
        <v>99019875</v>
      </c>
      <c r="D1511" s="7" t="s">
        <v>67</v>
      </c>
      <c r="E1511" t="s">
        <v>68</v>
      </c>
      <c r="F1511" t="s">
        <v>170</v>
      </c>
      <c r="G1511" t="s">
        <v>171</v>
      </c>
      <c r="H1511">
        <v>35</v>
      </c>
      <c r="I1511">
        <v>0</v>
      </c>
      <c r="J1511">
        <v>35</v>
      </c>
      <c r="K1511" s="133">
        <v>4805</v>
      </c>
      <c r="L1511" s="133">
        <v>4805</v>
      </c>
      <c r="M1511" s="150">
        <v>0.61937500000000001</v>
      </c>
      <c r="N1511" s="150">
        <v>0.61976851851851855</v>
      </c>
      <c r="O1511" t="s">
        <v>172</v>
      </c>
      <c r="Q1511">
        <v>2527130</v>
      </c>
      <c r="R1511">
        <v>2527130</v>
      </c>
      <c r="S1511">
        <v>0</v>
      </c>
      <c r="T1511">
        <v>0</v>
      </c>
      <c r="U1511" t="s">
        <v>173</v>
      </c>
      <c r="V1511">
        <v>0</v>
      </c>
      <c r="W1511" t="s">
        <v>174</v>
      </c>
      <c r="X1511">
        <v>0</v>
      </c>
      <c r="Z1511" t="s">
        <v>173</v>
      </c>
      <c r="AA1511" t="s">
        <v>173</v>
      </c>
    </row>
    <row r="1512" spans="1:27" x14ac:dyDescent="0.3">
      <c r="A1512">
        <v>1511</v>
      </c>
      <c r="B1512" t="s">
        <v>169</v>
      </c>
      <c r="C1512">
        <v>99019875</v>
      </c>
      <c r="D1512" s="7" t="s">
        <v>110</v>
      </c>
      <c r="E1512" t="s">
        <v>179</v>
      </c>
      <c r="F1512" t="s">
        <v>170</v>
      </c>
      <c r="G1512" t="s">
        <v>171</v>
      </c>
      <c r="H1512">
        <v>3</v>
      </c>
      <c r="I1512">
        <v>0</v>
      </c>
      <c r="J1512">
        <v>3</v>
      </c>
      <c r="K1512" s="133">
        <v>48500</v>
      </c>
      <c r="L1512" s="133">
        <v>48500</v>
      </c>
      <c r="M1512" s="150">
        <v>0.61937500000000001</v>
      </c>
      <c r="N1512" s="150">
        <v>0.61942129629629628</v>
      </c>
      <c r="O1512" t="s">
        <v>172</v>
      </c>
      <c r="Q1512">
        <v>2527131</v>
      </c>
      <c r="R1512">
        <v>2527131</v>
      </c>
      <c r="S1512">
        <v>0</v>
      </c>
      <c r="T1512">
        <v>0</v>
      </c>
      <c r="U1512" t="s">
        <v>173</v>
      </c>
      <c r="V1512">
        <v>0</v>
      </c>
      <c r="W1512" t="s">
        <v>174</v>
      </c>
      <c r="X1512">
        <v>0</v>
      </c>
      <c r="Z1512" t="s">
        <v>173</v>
      </c>
      <c r="AA1512" t="s">
        <v>173</v>
      </c>
    </row>
    <row r="1513" spans="1:27" x14ac:dyDescent="0.3">
      <c r="A1513">
        <v>1512</v>
      </c>
      <c r="B1513" t="s">
        <v>169</v>
      </c>
      <c r="C1513">
        <v>99019875</v>
      </c>
      <c r="D1513" s="7" t="s">
        <v>100</v>
      </c>
      <c r="E1513" t="s">
        <v>101</v>
      </c>
      <c r="F1513" t="s">
        <v>170</v>
      </c>
      <c r="G1513" t="s">
        <v>171</v>
      </c>
      <c r="H1513">
        <v>5</v>
      </c>
      <c r="I1513">
        <v>0</v>
      </c>
      <c r="J1513">
        <v>5</v>
      </c>
      <c r="K1513" s="133">
        <v>15510</v>
      </c>
      <c r="L1513" s="133">
        <v>15510</v>
      </c>
      <c r="M1513" s="150">
        <v>0.61937500000000001</v>
      </c>
      <c r="N1513" s="150">
        <v>0.61952546296296296</v>
      </c>
      <c r="O1513" t="s">
        <v>172</v>
      </c>
      <c r="Q1513">
        <v>2527133</v>
      </c>
      <c r="R1513">
        <v>2527133</v>
      </c>
      <c r="S1513">
        <v>0</v>
      </c>
      <c r="T1513">
        <v>0</v>
      </c>
      <c r="U1513" t="s">
        <v>173</v>
      </c>
      <c r="V1513">
        <v>0</v>
      </c>
      <c r="W1513" t="s">
        <v>174</v>
      </c>
      <c r="X1513">
        <v>0</v>
      </c>
      <c r="Z1513" t="s">
        <v>173</v>
      </c>
      <c r="AA1513" t="s">
        <v>173</v>
      </c>
    </row>
    <row r="1514" spans="1:27" x14ac:dyDescent="0.3">
      <c r="A1514">
        <v>1513</v>
      </c>
      <c r="B1514" t="s">
        <v>169</v>
      </c>
      <c r="C1514">
        <v>99019875</v>
      </c>
      <c r="D1514" s="7" t="s">
        <v>87</v>
      </c>
      <c r="E1514" t="s">
        <v>88</v>
      </c>
      <c r="F1514" t="s">
        <v>170</v>
      </c>
      <c r="G1514" t="s">
        <v>171</v>
      </c>
      <c r="H1514">
        <v>6</v>
      </c>
      <c r="I1514">
        <v>0</v>
      </c>
      <c r="J1514">
        <v>6</v>
      </c>
      <c r="K1514" s="133">
        <v>12140</v>
      </c>
      <c r="L1514" s="133">
        <v>12140</v>
      </c>
      <c r="M1514" s="150">
        <v>0.61937500000000001</v>
      </c>
      <c r="N1514" s="150">
        <v>0.61983796296296301</v>
      </c>
      <c r="O1514" t="s">
        <v>172</v>
      </c>
      <c r="Q1514">
        <v>2527134</v>
      </c>
      <c r="R1514">
        <v>2527134</v>
      </c>
      <c r="S1514">
        <v>0</v>
      </c>
      <c r="T1514">
        <v>0</v>
      </c>
      <c r="U1514" t="s">
        <v>173</v>
      </c>
      <c r="V1514">
        <v>0</v>
      </c>
      <c r="W1514" t="s">
        <v>174</v>
      </c>
      <c r="X1514">
        <v>0</v>
      </c>
      <c r="Z1514" t="s">
        <v>173</v>
      </c>
      <c r="AA1514" t="s">
        <v>173</v>
      </c>
    </row>
    <row r="1515" spans="1:27" x14ac:dyDescent="0.3">
      <c r="A1515">
        <v>1514</v>
      </c>
      <c r="B1515" t="s">
        <v>169</v>
      </c>
      <c r="C1515">
        <v>99019875</v>
      </c>
      <c r="D1515" s="7" t="s">
        <v>108</v>
      </c>
      <c r="E1515" t="s">
        <v>109</v>
      </c>
      <c r="F1515" t="s">
        <v>170</v>
      </c>
      <c r="G1515" t="s">
        <v>171</v>
      </c>
      <c r="H1515">
        <v>23</v>
      </c>
      <c r="I1515">
        <v>0</v>
      </c>
      <c r="J1515">
        <v>23</v>
      </c>
      <c r="K1515" s="133">
        <v>2715</v>
      </c>
      <c r="L1515" s="133">
        <v>2715</v>
      </c>
      <c r="M1515" s="150">
        <v>0.61937500000000001</v>
      </c>
      <c r="N1515" s="150">
        <v>0.62351851851851847</v>
      </c>
      <c r="O1515" t="s">
        <v>172</v>
      </c>
      <c r="Q1515">
        <v>2527135</v>
      </c>
      <c r="R1515">
        <v>2527135</v>
      </c>
      <c r="S1515">
        <v>0</v>
      </c>
      <c r="T1515">
        <v>0</v>
      </c>
      <c r="U1515" t="s">
        <v>173</v>
      </c>
      <c r="V1515">
        <v>0</v>
      </c>
      <c r="W1515" t="s">
        <v>174</v>
      </c>
      <c r="X1515">
        <v>0</v>
      </c>
      <c r="Z1515" t="s">
        <v>173</v>
      </c>
      <c r="AA1515" t="s">
        <v>173</v>
      </c>
    </row>
    <row r="1516" spans="1:27" x14ac:dyDescent="0.3">
      <c r="A1516">
        <v>1515</v>
      </c>
      <c r="B1516" t="s">
        <v>169</v>
      </c>
      <c r="C1516">
        <v>99019875</v>
      </c>
      <c r="D1516" s="7" t="s">
        <v>122</v>
      </c>
      <c r="E1516" t="s">
        <v>123</v>
      </c>
      <c r="F1516" t="s">
        <v>170</v>
      </c>
      <c r="G1516" t="s">
        <v>171</v>
      </c>
      <c r="H1516">
        <v>19</v>
      </c>
      <c r="I1516">
        <v>0</v>
      </c>
      <c r="J1516">
        <v>19</v>
      </c>
      <c r="K1516" s="133">
        <v>36045</v>
      </c>
      <c r="L1516" s="133">
        <v>36045</v>
      </c>
      <c r="M1516" s="150">
        <v>0.61937500000000001</v>
      </c>
      <c r="N1516" s="150">
        <v>0.61980324074074067</v>
      </c>
      <c r="O1516" t="s">
        <v>172</v>
      </c>
      <c r="Q1516">
        <v>2527136</v>
      </c>
      <c r="R1516">
        <v>2527136</v>
      </c>
      <c r="S1516">
        <v>0</v>
      </c>
      <c r="T1516">
        <v>0</v>
      </c>
      <c r="U1516" t="s">
        <v>173</v>
      </c>
      <c r="V1516">
        <v>0</v>
      </c>
      <c r="W1516" t="s">
        <v>174</v>
      </c>
      <c r="X1516">
        <v>0</v>
      </c>
      <c r="Z1516" t="s">
        <v>173</v>
      </c>
      <c r="AA1516" t="s">
        <v>173</v>
      </c>
    </row>
    <row r="1517" spans="1:27" x14ac:dyDescent="0.3">
      <c r="A1517">
        <v>1516</v>
      </c>
      <c r="B1517" t="s">
        <v>169</v>
      </c>
      <c r="C1517">
        <v>99019875</v>
      </c>
      <c r="D1517" s="7" t="s">
        <v>98</v>
      </c>
      <c r="E1517" t="s">
        <v>99</v>
      </c>
      <c r="F1517" t="s">
        <v>170</v>
      </c>
      <c r="G1517" t="s">
        <v>171</v>
      </c>
      <c r="H1517">
        <v>39</v>
      </c>
      <c r="I1517">
        <v>0</v>
      </c>
      <c r="J1517">
        <v>39</v>
      </c>
      <c r="K1517" s="133">
        <v>14300</v>
      </c>
      <c r="L1517" s="133">
        <v>14300</v>
      </c>
      <c r="M1517" s="150">
        <v>0.61937500000000001</v>
      </c>
      <c r="N1517" s="150">
        <v>0.61967592592592591</v>
      </c>
      <c r="O1517" t="s">
        <v>172</v>
      </c>
      <c r="Q1517">
        <v>2527137</v>
      </c>
      <c r="R1517">
        <v>2527137</v>
      </c>
      <c r="S1517">
        <v>0</v>
      </c>
      <c r="T1517">
        <v>0</v>
      </c>
      <c r="U1517" t="s">
        <v>173</v>
      </c>
      <c r="V1517">
        <v>0</v>
      </c>
      <c r="W1517" t="s">
        <v>174</v>
      </c>
      <c r="X1517">
        <v>0</v>
      </c>
      <c r="Z1517" t="s">
        <v>173</v>
      </c>
      <c r="AA1517" t="s">
        <v>173</v>
      </c>
    </row>
    <row r="1518" spans="1:27" x14ac:dyDescent="0.3">
      <c r="A1518">
        <v>1517</v>
      </c>
      <c r="B1518" t="s">
        <v>169</v>
      </c>
      <c r="C1518">
        <v>99019875</v>
      </c>
      <c r="D1518" s="7" t="s">
        <v>96</v>
      </c>
      <c r="E1518" t="s">
        <v>97</v>
      </c>
      <c r="F1518" t="s">
        <v>170</v>
      </c>
      <c r="G1518" t="s">
        <v>171</v>
      </c>
      <c r="H1518">
        <v>27</v>
      </c>
      <c r="I1518">
        <v>0</v>
      </c>
      <c r="J1518">
        <v>27</v>
      </c>
      <c r="K1518" s="133">
        <v>8310</v>
      </c>
      <c r="L1518" s="133">
        <v>8310</v>
      </c>
      <c r="M1518" s="150">
        <v>0.61937500000000001</v>
      </c>
      <c r="N1518" s="150">
        <v>0.61971064814814814</v>
      </c>
      <c r="O1518" t="s">
        <v>172</v>
      </c>
      <c r="Q1518">
        <v>2527142</v>
      </c>
      <c r="R1518">
        <v>2527142</v>
      </c>
      <c r="S1518">
        <v>0</v>
      </c>
      <c r="T1518">
        <v>0</v>
      </c>
      <c r="U1518" t="s">
        <v>173</v>
      </c>
      <c r="V1518">
        <v>0</v>
      </c>
      <c r="W1518" t="s">
        <v>174</v>
      </c>
      <c r="X1518">
        <v>0</v>
      </c>
      <c r="Z1518" t="s">
        <v>173</v>
      </c>
      <c r="AA1518" t="s">
        <v>173</v>
      </c>
    </row>
    <row r="1519" spans="1:27" x14ac:dyDescent="0.3">
      <c r="A1519">
        <v>1518</v>
      </c>
      <c r="B1519" t="s">
        <v>169</v>
      </c>
      <c r="C1519">
        <v>99019875</v>
      </c>
      <c r="D1519" s="7" t="s">
        <v>140</v>
      </c>
      <c r="E1519" t="s">
        <v>178</v>
      </c>
      <c r="F1519" t="s">
        <v>170</v>
      </c>
      <c r="G1519" t="s">
        <v>171</v>
      </c>
      <c r="H1519">
        <v>20</v>
      </c>
      <c r="I1519">
        <v>0</v>
      </c>
      <c r="J1519">
        <v>20</v>
      </c>
      <c r="K1519" s="133">
        <v>8645</v>
      </c>
      <c r="L1519" s="133">
        <v>8645</v>
      </c>
      <c r="M1519" s="150">
        <v>0.61937500000000001</v>
      </c>
      <c r="N1519" s="150">
        <v>0.61960648148148145</v>
      </c>
      <c r="O1519" t="s">
        <v>172</v>
      </c>
      <c r="Q1519">
        <v>2527143</v>
      </c>
      <c r="R1519">
        <v>2527143</v>
      </c>
      <c r="S1519">
        <v>0</v>
      </c>
      <c r="T1519">
        <v>0</v>
      </c>
      <c r="U1519" t="s">
        <v>173</v>
      </c>
      <c r="V1519">
        <v>0</v>
      </c>
      <c r="W1519" t="s">
        <v>174</v>
      </c>
      <c r="X1519">
        <v>0</v>
      </c>
      <c r="Z1519" t="s">
        <v>173</v>
      </c>
      <c r="AA1519" t="s">
        <v>173</v>
      </c>
    </row>
    <row r="1520" spans="1:27" x14ac:dyDescent="0.3">
      <c r="A1520">
        <v>1519</v>
      </c>
      <c r="B1520" t="s">
        <v>169</v>
      </c>
      <c r="C1520">
        <v>99019875</v>
      </c>
      <c r="D1520" s="7" t="s">
        <v>114</v>
      </c>
      <c r="E1520" t="s">
        <v>115</v>
      </c>
      <c r="F1520" t="s">
        <v>176</v>
      </c>
      <c r="G1520" t="s">
        <v>177</v>
      </c>
      <c r="H1520">
        <v>66</v>
      </c>
      <c r="I1520">
        <v>0</v>
      </c>
      <c r="J1520">
        <v>66</v>
      </c>
      <c r="K1520" s="133">
        <v>53850</v>
      </c>
      <c r="L1520" s="133">
        <v>53850</v>
      </c>
      <c r="M1520" s="150">
        <v>0.61937500000000001</v>
      </c>
      <c r="N1520" s="150">
        <v>0.61946759259259265</v>
      </c>
      <c r="O1520" t="s">
        <v>172</v>
      </c>
      <c r="Q1520">
        <v>2527187</v>
      </c>
      <c r="R1520">
        <v>2527187</v>
      </c>
      <c r="S1520">
        <v>2527123</v>
      </c>
      <c r="T1520">
        <v>0</v>
      </c>
      <c r="U1520" t="s">
        <v>173</v>
      </c>
      <c r="V1520">
        <v>0</v>
      </c>
      <c r="W1520" t="s">
        <v>174</v>
      </c>
      <c r="X1520">
        <v>2527123</v>
      </c>
      <c r="Z1520" t="s">
        <v>173</v>
      </c>
      <c r="AA1520" t="s">
        <v>173</v>
      </c>
    </row>
    <row r="1521" spans="1:27" x14ac:dyDescent="0.3">
      <c r="A1521">
        <v>1520</v>
      </c>
      <c r="B1521" t="s">
        <v>169</v>
      </c>
      <c r="C1521">
        <v>99019875</v>
      </c>
      <c r="D1521" s="7" t="s">
        <v>69</v>
      </c>
      <c r="E1521" t="s">
        <v>70</v>
      </c>
      <c r="F1521" t="s">
        <v>170</v>
      </c>
      <c r="G1521" t="s">
        <v>177</v>
      </c>
      <c r="H1521">
        <v>17</v>
      </c>
      <c r="I1521">
        <v>0</v>
      </c>
      <c r="J1521">
        <v>17</v>
      </c>
      <c r="K1521" s="133">
        <v>10265</v>
      </c>
      <c r="L1521" s="133">
        <v>10265</v>
      </c>
      <c r="M1521" s="150">
        <v>0.6193981481481482</v>
      </c>
      <c r="N1521" s="150">
        <v>0.61943287037037031</v>
      </c>
      <c r="O1521" t="s">
        <v>172</v>
      </c>
      <c r="Q1521">
        <v>2527226</v>
      </c>
      <c r="R1521">
        <v>2527226</v>
      </c>
      <c r="S1521">
        <v>2527144</v>
      </c>
      <c r="T1521">
        <v>0</v>
      </c>
      <c r="U1521" t="s">
        <v>173</v>
      </c>
      <c r="V1521">
        <v>0</v>
      </c>
      <c r="W1521" t="s">
        <v>174</v>
      </c>
      <c r="X1521">
        <v>2527144</v>
      </c>
      <c r="Z1521" t="s">
        <v>173</v>
      </c>
      <c r="AA1521" t="s">
        <v>173</v>
      </c>
    </row>
    <row r="1522" spans="1:27" x14ac:dyDescent="0.3">
      <c r="A1522">
        <v>1521</v>
      </c>
      <c r="B1522" t="s">
        <v>169</v>
      </c>
      <c r="C1522">
        <v>99019875</v>
      </c>
      <c r="D1522" s="7" t="s">
        <v>77</v>
      </c>
      <c r="E1522" t="s">
        <v>78</v>
      </c>
      <c r="F1522" t="s">
        <v>170</v>
      </c>
      <c r="G1522" t="s">
        <v>177</v>
      </c>
      <c r="H1522">
        <v>74</v>
      </c>
      <c r="I1522">
        <v>0</v>
      </c>
      <c r="J1522">
        <v>74</v>
      </c>
      <c r="K1522" s="133">
        <v>7360</v>
      </c>
      <c r="L1522" s="133">
        <v>7360</v>
      </c>
      <c r="M1522" s="150">
        <v>0.61940972222222224</v>
      </c>
      <c r="N1522" s="150">
        <v>0.61966435185185187</v>
      </c>
      <c r="O1522" t="s">
        <v>172</v>
      </c>
      <c r="Q1522">
        <v>2527257</v>
      </c>
      <c r="R1522">
        <v>2527257</v>
      </c>
      <c r="S1522">
        <v>2527138</v>
      </c>
      <c r="T1522">
        <v>0</v>
      </c>
      <c r="U1522" t="s">
        <v>173</v>
      </c>
      <c r="V1522">
        <v>0</v>
      </c>
      <c r="W1522" t="s">
        <v>174</v>
      </c>
      <c r="X1522">
        <v>2527138</v>
      </c>
      <c r="Z1522" t="s">
        <v>173</v>
      </c>
      <c r="AA1522" t="s">
        <v>173</v>
      </c>
    </row>
    <row r="1523" spans="1:27" x14ac:dyDescent="0.3">
      <c r="A1523">
        <v>1522</v>
      </c>
      <c r="B1523" t="s">
        <v>169</v>
      </c>
      <c r="C1523">
        <v>99019875</v>
      </c>
      <c r="D1523" s="7" t="s">
        <v>106</v>
      </c>
      <c r="E1523" t="s">
        <v>107</v>
      </c>
      <c r="F1523" t="s">
        <v>170</v>
      </c>
      <c r="G1523" t="s">
        <v>171</v>
      </c>
      <c r="H1523">
        <v>1</v>
      </c>
      <c r="I1523">
        <v>0</v>
      </c>
      <c r="J1523">
        <v>1</v>
      </c>
      <c r="K1523" s="133">
        <v>3520</v>
      </c>
      <c r="L1523" s="133">
        <v>3520</v>
      </c>
      <c r="M1523" s="150">
        <v>0.61947916666666669</v>
      </c>
      <c r="N1523" s="150">
        <v>0.62015046296296295</v>
      </c>
      <c r="O1523" t="s">
        <v>172</v>
      </c>
      <c r="Q1523">
        <v>2527438</v>
      </c>
      <c r="R1523">
        <v>2527438</v>
      </c>
      <c r="S1523">
        <v>0</v>
      </c>
      <c r="T1523">
        <v>0</v>
      </c>
      <c r="U1523" t="s">
        <v>173</v>
      </c>
      <c r="V1523">
        <v>0</v>
      </c>
      <c r="W1523" t="s">
        <v>174</v>
      </c>
      <c r="X1523">
        <v>0</v>
      </c>
      <c r="Z1523" t="s">
        <v>173</v>
      </c>
      <c r="AA1523" t="s">
        <v>173</v>
      </c>
    </row>
    <row r="1524" spans="1:27" x14ac:dyDescent="0.3">
      <c r="A1524">
        <v>1523</v>
      </c>
      <c r="B1524" t="s">
        <v>169</v>
      </c>
      <c r="C1524">
        <v>99019875</v>
      </c>
      <c r="D1524" s="7" t="s">
        <v>71</v>
      </c>
      <c r="E1524" t="s">
        <v>72</v>
      </c>
      <c r="F1524" t="s">
        <v>176</v>
      </c>
      <c r="G1524" t="s">
        <v>177</v>
      </c>
      <c r="H1524">
        <v>18</v>
      </c>
      <c r="I1524">
        <v>0</v>
      </c>
      <c r="J1524">
        <v>18</v>
      </c>
      <c r="K1524" s="133">
        <v>18020</v>
      </c>
      <c r="L1524" s="133">
        <v>18020</v>
      </c>
      <c r="M1524" s="150">
        <v>0.61959490740740741</v>
      </c>
      <c r="N1524" s="150">
        <v>0.61965277777777772</v>
      </c>
      <c r="O1524" t="s">
        <v>172</v>
      </c>
      <c r="Q1524">
        <v>2527734</v>
      </c>
      <c r="R1524">
        <v>2527734</v>
      </c>
      <c r="S1524">
        <v>2527629</v>
      </c>
      <c r="T1524">
        <v>0</v>
      </c>
      <c r="U1524" t="s">
        <v>173</v>
      </c>
      <c r="V1524">
        <v>0</v>
      </c>
      <c r="W1524" t="s">
        <v>174</v>
      </c>
      <c r="X1524">
        <v>2527629</v>
      </c>
      <c r="Z1524" t="s">
        <v>173</v>
      </c>
      <c r="AA1524" t="s">
        <v>173</v>
      </c>
    </row>
    <row r="1525" spans="1:27" x14ac:dyDescent="0.3">
      <c r="A1525">
        <v>1524</v>
      </c>
      <c r="B1525" t="s">
        <v>169</v>
      </c>
      <c r="C1525">
        <v>99019875</v>
      </c>
      <c r="D1525" s="7" t="s">
        <v>71</v>
      </c>
      <c r="E1525" t="s">
        <v>72</v>
      </c>
      <c r="F1525" t="s">
        <v>176</v>
      </c>
      <c r="G1525" t="s">
        <v>177</v>
      </c>
      <c r="H1525">
        <v>19</v>
      </c>
      <c r="I1525">
        <v>0</v>
      </c>
      <c r="J1525">
        <v>19</v>
      </c>
      <c r="K1525" s="133">
        <v>18020</v>
      </c>
      <c r="L1525" s="133">
        <v>18020</v>
      </c>
      <c r="M1525" s="150">
        <v>0.61959490740740741</v>
      </c>
      <c r="N1525" s="150">
        <v>0.61965277777777772</v>
      </c>
      <c r="O1525" t="s">
        <v>172</v>
      </c>
      <c r="Q1525">
        <v>2527735</v>
      </c>
      <c r="R1525">
        <v>2527735</v>
      </c>
      <c r="S1525">
        <v>2527630</v>
      </c>
      <c r="T1525">
        <v>0</v>
      </c>
      <c r="U1525" t="s">
        <v>173</v>
      </c>
      <c r="V1525">
        <v>0</v>
      </c>
      <c r="W1525" t="s">
        <v>174</v>
      </c>
      <c r="X1525">
        <v>2527630</v>
      </c>
      <c r="Z1525" t="s">
        <v>173</v>
      </c>
      <c r="AA1525" t="s">
        <v>173</v>
      </c>
    </row>
    <row r="1526" spans="1:27" x14ac:dyDescent="0.3">
      <c r="A1526">
        <v>1525</v>
      </c>
      <c r="B1526" t="s">
        <v>169</v>
      </c>
      <c r="C1526">
        <v>99019875</v>
      </c>
      <c r="D1526" s="7" t="s">
        <v>71</v>
      </c>
      <c r="E1526" t="s">
        <v>72</v>
      </c>
      <c r="F1526" t="s">
        <v>176</v>
      </c>
      <c r="G1526" t="s">
        <v>177</v>
      </c>
      <c r="H1526">
        <v>18</v>
      </c>
      <c r="I1526">
        <v>0</v>
      </c>
      <c r="J1526">
        <v>18</v>
      </c>
      <c r="K1526" s="133">
        <v>18020</v>
      </c>
      <c r="L1526" s="133">
        <v>18020</v>
      </c>
      <c r="M1526" s="150">
        <v>0.61959490740740741</v>
      </c>
      <c r="N1526" s="150">
        <v>0.61965277777777772</v>
      </c>
      <c r="O1526" t="s">
        <v>172</v>
      </c>
      <c r="Q1526">
        <v>2527736</v>
      </c>
      <c r="R1526">
        <v>2527736</v>
      </c>
      <c r="S1526">
        <v>2527631</v>
      </c>
      <c r="T1526">
        <v>0</v>
      </c>
      <c r="U1526" t="s">
        <v>173</v>
      </c>
      <c r="V1526">
        <v>0</v>
      </c>
      <c r="W1526" t="s">
        <v>174</v>
      </c>
      <c r="X1526">
        <v>2527631</v>
      </c>
      <c r="Z1526" t="s">
        <v>173</v>
      </c>
      <c r="AA1526" t="s">
        <v>173</v>
      </c>
    </row>
    <row r="1527" spans="1:27" x14ac:dyDescent="0.3">
      <c r="A1527">
        <v>1526</v>
      </c>
      <c r="B1527" t="s">
        <v>169</v>
      </c>
      <c r="C1527">
        <v>99019875</v>
      </c>
      <c r="D1527" s="7" t="s">
        <v>89</v>
      </c>
      <c r="E1527" t="s">
        <v>90</v>
      </c>
      <c r="F1527" t="s">
        <v>176</v>
      </c>
      <c r="G1527" t="s">
        <v>177</v>
      </c>
      <c r="H1527">
        <v>30</v>
      </c>
      <c r="I1527">
        <v>0</v>
      </c>
      <c r="J1527">
        <v>22</v>
      </c>
      <c r="K1527" s="133">
        <v>3090</v>
      </c>
      <c r="L1527" s="133">
        <v>3090</v>
      </c>
      <c r="M1527" s="150">
        <v>0.61960648148148145</v>
      </c>
      <c r="N1527" s="150">
        <v>0.62079861111111112</v>
      </c>
      <c r="O1527" t="s">
        <v>172</v>
      </c>
      <c r="Q1527">
        <v>2527743</v>
      </c>
      <c r="R1527">
        <v>2527743</v>
      </c>
      <c r="S1527">
        <v>2527132</v>
      </c>
      <c r="T1527">
        <v>8</v>
      </c>
      <c r="U1527" t="s">
        <v>173</v>
      </c>
      <c r="V1527">
        <v>0</v>
      </c>
      <c r="W1527" t="s">
        <v>174</v>
      </c>
      <c r="X1527">
        <v>2527132</v>
      </c>
      <c r="Z1527" t="s">
        <v>173</v>
      </c>
      <c r="AA1527" t="s">
        <v>173</v>
      </c>
    </row>
    <row r="1528" spans="1:27" x14ac:dyDescent="0.3">
      <c r="A1528">
        <v>1527</v>
      </c>
      <c r="B1528" t="s">
        <v>169</v>
      </c>
      <c r="C1528">
        <v>99019875</v>
      </c>
      <c r="D1528" s="7" t="s">
        <v>75</v>
      </c>
      <c r="E1528" t="s">
        <v>76</v>
      </c>
      <c r="F1528" t="s">
        <v>170</v>
      </c>
      <c r="G1528" t="s">
        <v>171</v>
      </c>
      <c r="H1528">
        <v>82</v>
      </c>
      <c r="I1528">
        <v>0</v>
      </c>
      <c r="J1528">
        <v>82</v>
      </c>
      <c r="K1528" s="133">
        <v>20775</v>
      </c>
      <c r="L1528" s="133">
        <v>20775</v>
      </c>
      <c r="M1528" s="150">
        <v>0.61966435185185187</v>
      </c>
      <c r="N1528" s="150">
        <v>0.61983796296296301</v>
      </c>
      <c r="O1528" t="s">
        <v>172</v>
      </c>
      <c r="Q1528">
        <v>2527906</v>
      </c>
      <c r="R1528">
        <v>2527906</v>
      </c>
      <c r="S1528">
        <v>0</v>
      </c>
      <c r="T1528">
        <v>0</v>
      </c>
      <c r="U1528" t="s">
        <v>173</v>
      </c>
      <c r="V1528">
        <v>0</v>
      </c>
      <c r="W1528" t="s">
        <v>174</v>
      </c>
      <c r="X1528">
        <v>0</v>
      </c>
      <c r="Z1528" t="s">
        <v>173</v>
      </c>
      <c r="AA1528" t="s">
        <v>173</v>
      </c>
    </row>
    <row r="1529" spans="1:27" x14ac:dyDescent="0.3">
      <c r="A1529">
        <v>1528</v>
      </c>
      <c r="B1529" t="s">
        <v>169</v>
      </c>
      <c r="C1529">
        <v>99019875</v>
      </c>
      <c r="D1529" s="7" t="s">
        <v>67</v>
      </c>
      <c r="E1529" t="s">
        <v>68</v>
      </c>
      <c r="F1529" t="s">
        <v>170</v>
      </c>
      <c r="G1529" t="s">
        <v>171</v>
      </c>
      <c r="H1529">
        <v>35</v>
      </c>
      <c r="I1529">
        <v>0</v>
      </c>
      <c r="J1529">
        <v>35</v>
      </c>
      <c r="K1529" s="133">
        <v>4805</v>
      </c>
      <c r="L1529" s="133">
        <v>4805</v>
      </c>
      <c r="M1529" s="150">
        <v>0.61966435185185187</v>
      </c>
      <c r="N1529" s="150">
        <v>0.61976851851851855</v>
      </c>
      <c r="O1529" t="s">
        <v>172</v>
      </c>
      <c r="Q1529">
        <v>2527908</v>
      </c>
      <c r="R1529">
        <v>2527908</v>
      </c>
      <c r="S1529">
        <v>0</v>
      </c>
      <c r="T1529">
        <v>0</v>
      </c>
      <c r="U1529" t="s">
        <v>173</v>
      </c>
      <c r="V1529">
        <v>0</v>
      </c>
      <c r="W1529" t="s">
        <v>174</v>
      </c>
      <c r="X1529">
        <v>0</v>
      </c>
      <c r="Z1529" t="s">
        <v>173</v>
      </c>
      <c r="AA1529" t="s">
        <v>173</v>
      </c>
    </row>
    <row r="1530" spans="1:27" x14ac:dyDescent="0.3">
      <c r="A1530">
        <v>1529</v>
      </c>
      <c r="B1530" t="s">
        <v>169</v>
      </c>
      <c r="C1530">
        <v>99019875</v>
      </c>
      <c r="D1530" s="7" t="s">
        <v>110</v>
      </c>
      <c r="E1530" t="s">
        <v>179</v>
      </c>
      <c r="F1530" t="s">
        <v>170</v>
      </c>
      <c r="G1530" t="s">
        <v>171</v>
      </c>
      <c r="H1530">
        <v>3</v>
      </c>
      <c r="I1530">
        <v>0</v>
      </c>
      <c r="J1530">
        <v>3</v>
      </c>
      <c r="K1530" s="133">
        <v>48460</v>
      </c>
      <c r="L1530" s="133">
        <v>48460</v>
      </c>
      <c r="M1530" s="150">
        <v>0.61966435185185187</v>
      </c>
      <c r="N1530" s="150">
        <v>0.61971064814814814</v>
      </c>
      <c r="O1530" t="s">
        <v>172</v>
      </c>
      <c r="Q1530">
        <v>2527909</v>
      </c>
      <c r="R1530">
        <v>2527909</v>
      </c>
      <c r="S1530">
        <v>0</v>
      </c>
      <c r="T1530">
        <v>0</v>
      </c>
      <c r="U1530" t="s">
        <v>173</v>
      </c>
      <c r="V1530">
        <v>0</v>
      </c>
      <c r="W1530" t="s">
        <v>174</v>
      </c>
      <c r="X1530">
        <v>0</v>
      </c>
      <c r="Z1530" t="s">
        <v>173</v>
      </c>
      <c r="AA1530" t="s">
        <v>173</v>
      </c>
    </row>
    <row r="1531" spans="1:27" x14ac:dyDescent="0.3">
      <c r="A1531">
        <v>1530</v>
      </c>
      <c r="B1531" t="s">
        <v>169</v>
      </c>
      <c r="C1531">
        <v>99019875</v>
      </c>
      <c r="D1531" s="7" t="s">
        <v>100</v>
      </c>
      <c r="E1531" t="s">
        <v>101</v>
      </c>
      <c r="F1531" t="s">
        <v>170</v>
      </c>
      <c r="G1531" t="s">
        <v>171</v>
      </c>
      <c r="H1531">
        <v>5</v>
      </c>
      <c r="I1531">
        <v>0</v>
      </c>
      <c r="J1531">
        <v>5</v>
      </c>
      <c r="K1531" s="133">
        <v>15505</v>
      </c>
      <c r="L1531" s="133">
        <v>15505</v>
      </c>
      <c r="M1531" s="150">
        <v>0.61966435185185187</v>
      </c>
      <c r="N1531" s="150">
        <v>0.62202546296296302</v>
      </c>
      <c r="O1531" t="s">
        <v>172</v>
      </c>
      <c r="Q1531">
        <v>2527911</v>
      </c>
      <c r="R1531">
        <v>2527911</v>
      </c>
      <c r="S1531">
        <v>0</v>
      </c>
      <c r="T1531">
        <v>0</v>
      </c>
      <c r="U1531" t="s">
        <v>173</v>
      </c>
      <c r="V1531">
        <v>0</v>
      </c>
      <c r="W1531" t="s">
        <v>174</v>
      </c>
      <c r="X1531">
        <v>0</v>
      </c>
      <c r="Z1531" t="s">
        <v>173</v>
      </c>
      <c r="AA1531" t="s">
        <v>173</v>
      </c>
    </row>
    <row r="1532" spans="1:27" x14ac:dyDescent="0.3">
      <c r="A1532">
        <v>1531</v>
      </c>
      <c r="B1532" t="s">
        <v>169</v>
      </c>
      <c r="C1532">
        <v>99019875</v>
      </c>
      <c r="D1532" s="7" t="s">
        <v>87</v>
      </c>
      <c r="E1532" t="s">
        <v>88</v>
      </c>
      <c r="F1532" t="s">
        <v>170</v>
      </c>
      <c r="G1532" t="s">
        <v>171</v>
      </c>
      <c r="H1532">
        <v>6</v>
      </c>
      <c r="I1532">
        <v>0</v>
      </c>
      <c r="J1532">
        <v>6</v>
      </c>
      <c r="K1532" s="133">
        <v>12140</v>
      </c>
      <c r="L1532" s="133">
        <v>12140</v>
      </c>
      <c r="M1532" s="150">
        <v>0.61966435185185187</v>
      </c>
      <c r="N1532" s="150">
        <v>0.61983796296296301</v>
      </c>
      <c r="O1532" t="s">
        <v>172</v>
      </c>
      <c r="Q1532">
        <v>2527912</v>
      </c>
      <c r="R1532">
        <v>2527912</v>
      </c>
      <c r="S1532">
        <v>0</v>
      </c>
      <c r="T1532">
        <v>0</v>
      </c>
      <c r="U1532" t="s">
        <v>173</v>
      </c>
      <c r="V1532">
        <v>0</v>
      </c>
      <c r="W1532" t="s">
        <v>174</v>
      </c>
      <c r="X1532">
        <v>0</v>
      </c>
      <c r="Z1532" t="s">
        <v>173</v>
      </c>
      <c r="AA1532" t="s">
        <v>173</v>
      </c>
    </row>
    <row r="1533" spans="1:27" x14ac:dyDescent="0.3">
      <c r="A1533">
        <v>1532</v>
      </c>
      <c r="B1533" t="s">
        <v>169</v>
      </c>
      <c r="C1533">
        <v>99019875</v>
      </c>
      <c r="D1533" s="7" t="s">
        <v>108</v>
      </c>
      <c r="E1533" t="s">
        <v>109</v>
      </c>
      <c r="F1533" t="s">
        <v>170</v>
      </c>
      <c r="G1533" t="s">
        <v>171</v>
      </c>
      <c r="H1533">
        <v>24</v>
      </c>
      <c r="I1533">
        <v>0</v>
      </c>
      <c r="J1533">
        <v>24</v>
      </c>
      <c r="K1533" s="133">
        <v>2715</v>
      </c>
      <c r="L1533" s="133">
        <v>2715</v>
      </c>
      <c r="M1533" s="150">
        <v>0.61966435185185187</v>
      </c>
      <c r="N1533" s="150">
        <v>0.62351851851851847</v>
      </c>
      <c r="O1533" t="s">
        <v>172</v>
      </c>
      <c r="Q1533">
        <v>2527913</v>
      </c>
      <c r="R1533">
        <v>2527913</v>
      </c>
      <c r="S1533">
        <v>0</v>
      </c>
      <c r="T1533">
        <v>0</v>
      </c>
      <c r="U1533" t="s">
        <v>173</v>
      </c>
      <c r="V1533">
        <v>0</v>
      </c>
      <c r="W1533" t="s">
        <v>174</v>
      </c>
      <c r="X1533">
        <v>0</v>
      </c>
      <c r="Z1533" t="s">
        <v>173</v>
      </c>
      <c r="AA1533" t="s">
        <v>173</v>
      </c>
    </row>
    <row r="1534" spans="1:27" x14ac:dyDescent="0.3">
      <c r="A1534">
        <v>1533</v>
      </c>
      <c r="B1534" t="s">
        <v>169</v>
      </c>
      <c r="C1534">
        <v>99019875</v>
      </c>
      <c r="D1534" s="7" t="s">
        <v>122</v>
      </c>
      <c r="E1534" t="s">
        <v>123</v>
      </c>
      <c r="F1534" t="s">
        <v>170</v>
      </c>
      <c r="G1534" t="s">
        <v>171</v>
      </c>
      <c r="H1534">
        <v>20</v>
      </c>
      <c r="I1534">
        <v>0</v>
      </c>
      <c r="J1534">
        <v>20</v>
      </c>
      <c r="K1534" s="133">
        <v>36045</v>
      </c>
      <c r="L1534" s="133">
        <v>36045</v>
      </c>
      <c r="M1534" s="150">
        <v>0.61966435185185187</v>
      </c>
      <c r="N1534" s="150">
        <v>0.61980324074074067</v>
      </c>
      <c r="O1534" t="s">
        <v>172</v>
      </c>
      <c r="Q1534">
        <v>2527914</v>
      </c>
      <c r="R1534">
        <v>2527914</v>
      </c>
      <c r="S1534">
        <v>0</v>
      </c>
      <c r="T1534">
        <v>0</v>
      </c>
      <c r="U1534" t="s">
        <v>173</v>
      </c>
      <c r="V1534">
        <v>0</v>
      </c>
      <c r="W1534" t="s">
        <v>174</v>
      </c>
      <c r="X1534">
        <v>0</v>
      </c>
      <c r="Z1534" t="s">
        <v>173</v>
      </c>
      <c r="AA1534" t="s">
        <v>173</v>
      </c>
    </row>
    <row r="1535" spans="1:27" x14ac:dyDescent="0.3">
      <c r="A1535">
        <v>1534</v>
      </c>
      <c r="B1535" t="s">
        <v>169</v>
      </c>
      <c r="C1535">
        <v>99019875</v>
      </c>
      <c r="D1535" s="7" t="s">
        <v>98</v>
      </c>
      <c r="E1535" t="s">
        <v>99</v>
      </c>
      <c r="F1535" t="s">
        <v>170</v>
      </c>
      <c r="G1535" t="s">
        <v>171</v>
      </c>
      <c r="H1535">
        <v>38</v>
      </c>
      <c r="I1535">
        <v>0</v>
      </c>
      <c r="J1535">
        <v>38</v>
      </c>
      <c r="K1535" s="133">
        <v>14300</v>
      </c>
      <c r="L1535" s="133">
        <v>14300</v>
      </c>
      <c r="M1535" s="150">
        <v>0.61966435185185187</v>
      </c>
      <c r="N1535" s="150">
        <v>0.61967592592592591</v>
      </c>
      <c r="O1535" t="s">
        <v>172</v>
      </c>
      <c r="Q1535">
        <v>2527915</v>
      </c>
      <c r="R1535">
        <v>2527915</v>
      </c>
      <c r="S1535">
        <v>0</v>
      </c>
      <c r="T1535">
        <v>0</v>
      </c>
      <c r="U1535" t="s">
        <v>173</v>
      </c>
      <c r="V1535">
        <v>0</v>
      </c>
      <c r="W1535" t="s">
        <v>174</v>
      </c>
      <c r="X1535">
        <v>0</v>
      </c>
      <c r="Z1535" t="s">
        <v>173</v>
      </c>
      <c r="AA1535" t="s">
        <v>173</v>
      </c>
    </row>
    <row r="1536" spans="1:27" x14ac:dyDescent="0.3">
      <c r="A1536">
        <v>1535</v>
      </c>
      <c r="B1536" t="s">
        <v>169</v>
      </c>
      <c r="C1536">
        <v>99019875</v>
      </c>
      <c r="D1536" s="7" t="s">
        <v>77</v>
      </c>
      <c r="E1536" t="s">
        <v>78</v>
      </c>
      <c r="F1536" t="s">
        <v>170</v>
      </c>
      <c r="G1536" t="s">
        <v>171</v>
      </c>
      <c r="H1536">
        <v>73</v>
      </c>
      <c r="I1536">
        <v>0</v>
      </c>
      <c r="J1536">
        <v>73</v>
      </c>
      <c r="K1536" s="133">
        <v>7360</v>
      </c>
      <c r="L1536" s="133">
        <v>7360</v>
      </c>
      <c r="M1536" s="150">
        <v>0.61966435185185187</v>
      </c>
      <c r="N1536" s="150">
        <v>0.61967592592592591</v>
      </c>
      <c r="O1536" t="s">
        <v>172</v>
      </c>
      <c r="Q1536">
        <v>2527916</v>
      </c>
      <c r="R1536">
        <v>2527916</v>
      </c>
      <c r="S1536">
        <v>0</v>
      </c>
      <c r="T1536">
        <v>0</v>
      </c>
      <c r="U1536" t="s">
        <v>173</v>
      </c>
      <c r="V1536">
        <v>0</v>
      </c>
      <c r="W1536" t="s">
        <v>174</v>
      </c>
      <c r="X1536">
        <v>0</v>
      </c>
      <c r="Z1536" t="s">
        <v>173</v>
      </c>
      <c r="AA1536" t="s">
        <v>173</v>
      </c>
    </row>
    <row r="1537" spans="1:27" x14ac:dyDescent="0.3">
      <c r="A1537">
        <v>1536</v>
      </c>
      <c r="B1537" t="s">
        <v>169</v>
      </c>
      <c r="C1537">
        <v>99019875</v>
      </c>
      <c r="D1537" s="7" t="s">
        <v>96</v>
      </c>
      <c r="E1537" t="s">
        <v>97</v>
      </c>
      <c r="F1537" t="s">
        <v>170</v>
      </c>
      <c r="G1537" t="s">
        <v>171</v>
      </c>
      <c r="H1537">
        <v>27</v>
      </c>
      <c r="I1537">
        <v>0</v>
      </c>
      <c r="J1537">
        <v>27</v>
      </c>
      <c r="K1537" s="133">
        <v>8310</v>
      </c>
      <c r="L1537" s="133">
        <v>8310</v>
      </c>
      <c r="M1537" s="150">
        <v>0.61966435185185187</v>
      </c>
      <c r="N1537" s="150">
        <v>0.61979166666666663</v>
      </c>
      <c r="O1537" t="s">
        <v>172</v>
      </c>
      <c r="Q1537">
        <v>2527921</v>
      </c>
      <c r="R1537">
        <v>2527921</v>
      </c>
      <c r="S1537">
        <v>0</v>
      </c>
      <c r="T1537">
        <v>0</v>
      </c>
      <c r="U1537" t="s">
        <v>173</v>
      </c>
      <c r="V1537">
        <v>0</v>
      </c>
      <c r="W1537" t="s">
        <v>174</v>
      </c>
      <c r="X1537">
        <v>0</v>
      </c>
      <c r="Z1537" t="s">
        <v>173</v>
      </c>
      <c r="AA1537" t="s">
        <v>173</v>
      </c>
    </row>
    <row r="1538" spans="1:27" x14ac:dyDescent="0.3">
      <c r="A1538">
        <v>1537</v>
      </c>
      <c r="B1538" t="s">
        <v>169</v>
      </c>
      <c r="C1538">
        <v>99019875</v>
      </c>
      <c r="D1538" s="7" t="s">
        <v>62</v>
      </c>
      <c r="E1538" t="s">
        <v>63</v>
      </c>
      <c r="F1538" t="s">
        <v>176</v>
      </c>
      <c r="G1538" t="s">
        <v>177</v>
      </c>
      <c r="H1538">
        <v>89</v>
      </c>
      <c r="I1538">
        <v>0</v>
      </c>
      <c r="J1538">
        <v>89</v>
      </c>
      <c r="K1538" s="133">
        <v>34045</v>
      </c>
      <c r="L1538" s="133">
        <v>34045</v>
      </c>
      <c r="M1538" s="150">
        <v>0.61967592592592591</v>
      </c>
      <c r="N1538" s="150">
        <v>0.61971064814814814</v>
      </c>
      <c r="O1538" t="s">
        <v>172</v>
      </c>
      <c r="Q1538">
        <v>2527947</v>
      </c>
      <c r="R1538">
        <v>2527947</v>
      </c>
      <c r="S1538">
        <v>2527904</v>
      </c>
      <c r="T1538">
        <v>0</v>
      </c>
      <c r="U1538" t="s">
        <v>173</v>
      </c>
      <c r="V1538">
        <v>0</v>
      </c>
      <c r="W1538" t="s">
        <v>174</v>
      </c>
      <c r="X1538">
        <v>2527904</v>
      </c>
      <c r="Z1538" t="s">
        <v>173</v>
      </c>
      <c r="AA1538" t="s">
        <v>173</v>
      </c>
    </row>
    <row r="1539" spans="1:27" x14ac:dyDescent="0.3">
      <c r="A1539">
        <v>1538</v>
      </c>
      <c r="B1539" t="s">
        <v>169</v>
      </c>
      <c r="C1539">
        <v>99019875</v>
      </c>
      <c r="D1539" s="7" t="s">
        <v>69</v>
      </c>
      <c r="E1539" t="s">
        <v>70</v>
      </c>
      <c r="F1539" t="s">
        <v>170</v>
      </c>
      <c r="G1539" t="s">
        <v>177</v>
      </c>
      <c r="H1539">
        <v>17</v>
      </c>
      <c r="I1539">
        <v>0</v>
      </c>
      <c r="J1539">
        <v>17</v>
      </c>
      <c r="K1539" s="133">
        <v>10260</v>
      </c>
      <c r="L1539" s="133">
        <v>10260</v>
      </c>
      <c r="M1539" s="150">
        <v>0.61968750000000006</v>
      </c>
      <c r="N1539" s="150">
        <v>0.6196990740740741</v>
      </c>
      <c r="O1539" t="s">
        <v>172</v>
      </c>
      <c r="Q1539">
        <v>2527972</v>
      </c>
      <c r="R1539">
        <v>2527972</v>
      </c>
      <c r="S1539">
        <v>2527923</v>
      </c>
      <c r="T1539">
        <v>0</v>
      </c>
      <c r="U1539" t="s">
        <v>173</v>
      </c>
      <c r="V1539">
        <v>0</v>
      </c>
      <c r="W1539" t="s">
        <v>174</v>
      </c>
      <c r="X1539">
        <v>2527923</v>
      </c>
      <c r="Z1539" t="s">
        <v>173</v>
      </c>
      <c r="AA1539" t="s">
        <v>173</v>
      </c>
    </row>
    <row r="1540" spans="1:27" x14ac:dyDescent="0.3">
      <c r="A1540">
        <v>1539</v>
      </c>
      <c r="B1540" t="s">
        <v>169</v>
      </c>
      <c r="C1540">
        <v>99019875</v>
      </c>
      <c r="D1540" s="7" t="s">
        <v>114</v>
      </c>
      <c r="E1540" t="s">
        <v>115</v>
      </c>
      <c r="F1540" t="s">
        <v>176</v>
      </c>
      <c r="G1540" t="s">
        <v>177</v>
      </c>
      <c r="H1540">
        <v>65</v>
      </c>
      <c r="I1540">
        <v>0</v>
      </c>
      <c r="J1540">
        <v>65</v>
      </c>
      <c r="K1540" s="133">
        <v>53795</v>
      </c>
      <c r="L1540" s="133">
        <v>53795</v>
      </c>
      <c r="M1540" s="150">
        <v>0.61973379629629632</v>
      </c>
      <c r="N1540" s="150">
        <v>0.62046296296296299</v>
      </c>
      <c r="O1540" t="s">
        <v>172</v>
      </c>
      <c r="Q1540">
        <v>2528126</v>
      </c>
      <c r="R1540">
        <v>2528126</v>
      </c>
      <c r="S1540">
        <v>2528061</v>
      </c>
      <c r="T1540">
        <v>0</v>
      </c>
      <c r="U1540" t="s">
        <v>173</v>
      </c>
      <c r="V1540">
        <v>0</v>
      </c>
      <c r="W1540" t="s">
        <v>174</v>
      </c>
      <c r="X1540">
        <v>2528061</v>
      </c>
      <c r="Z1540" t="s">
        <v>173</v>
      </c>
      <c r="AA1540" t="s">
        <v>173</v>
      </c>
    </row>
    <row r="1541" spans="1:27" x14ac:dyDescent="0.3">
      <c r="A1541">
        <v>1540</v>
      </c>
      <c r="B1541" t="s">
        <v>169</v>
      </c>
      <c r="C1541">
        <v>99019875</v>
      </c>
      <c r="D1541" s="7" t="s">
        <v>128</v>
      </c>
      <c r="E1541" t="s">
        <v>129</v>
      </c>
      <c r="F1541" t="s">
        <v>170</v>
      </c>
      <c r="G1541" t="s">
        <v>171</v>
      </c>
      <c r="H1541">
        <v>1</v>
      </c>
      <c r="I1541">
        <v>0</v>
      </c>
      <c r="J1541">
        <v>1</v>
      </c>
      <c r="K1541" s="133">
        <v>6505</v>
      </c>
      <c r="L1541" s="133">
        <v>6505</v>
      </c>
      <c r="M1541" s="150">
        <v>0.61974537037037036</v>
      </c>
      <c r="N1541" s="150">
        <v>0.62118055555555551</v>
      </c>
      <c r="O1541" t="s">
        <v>172</v>
      </c>
      <c r="Q1541">
        <v>2528174</v>
      </c>
      <c r="R1541">
        <v>2528174</v>
      </c>
      <c r="S1541">
        <v>0</v>
      </c>
      <c r="T1541">
        <v>0</v>
      </c>
      <c r="U1541" t="s">
        <v>173</v>
      </c>
      <c r="V1541">
        <v>0</v>
      </c>
      <c r="W1541" t="s">
        <v>174</v>
      </c>
      <c r="X1541">
        <v>0</v>
      </c>
      <c r="Z1541" t="s">
        <v>173</v>
      </c>
      <c r="AA1541" t="s">
        <v>173</v>
      </c>
    </row>
    <row r="1542" spans="1:27" x14ac:dyDescent="0.3">
      <c r="A1542">
        <v>1541</v>
      </c>
      <c r="B1542" t="s">
        <v>169</v>
      </c>
      <c r="C1542">
        <v>99019875</v>
      </c>
      <c r="D1542" s="7" t="s">
        <v>65</v>
      </c>
      <c r="E1542" t="s">
        <v>66</v>
      </c>
      <c r="F1542" t="s">
        <v>176</v>
      </c>
      <c r="G1542" t="s">
        <v>177</v>
      </c>
      <c r="H1542">
        <v>58</v>
      </c>
      <c r="I1542">
        <v>0</v>
      </c>
      <c r="J1542">
        <v>58</v>
      </c>
      <c r="K1542" s="133">
        <v>4750</v>
      </c>
      <c r="L1542" s="133">
        <v>4750</v>
      </c>
      <c r="M1542" s="150">
        <v>0.61975694444444451</v>
      </c>
      <c r="N1542" s="150">
        <v>0.61996527777777777</v>
      </c>
      <c r="O1542" t="s">
        <v>172</v>
      </c>
      <c r="Q1542">
        <v>2528253</v>
      </c>
      <c r="R1542">
        <v>2528253</v>
      </c>
      <c r="S1542">
        <v>2525466</v>
      </c>
      <c r="T1542">
        <v>0</v>
      </c>
      <c r="U1542" t="s">
        <v>173</v>
      </c>
      <c r="V1542">
        <v>0</v>
      </c>
      <c r="W1542" t="s">
        <v>174</v>
      </c>
      <c r="X1542">
        <v>2525466</v>
      </c>
      <c r="Z1542" t="s">
        <v>173</v>
      </c>
      <c r="AA1542" t="s">
        <v>173</v>
      </c>
    </row>
    <row r="1543" spans="1:27" x14ac:dyDescent="0.3">
      <c r="A1543">
        <v>1542</v>
      </c>
      <c r="B1543" t="s">
        <v>169</v>
      </c>
      <c r="C1543">
        <v>99019875</v>
      </c>
      <c r="D1543" s="7" t="s">
        <v>65</v>
      </c>
      <c r="E1543" t="s">
        <v>66</v>
      </c>
      <c r="F1543" t="s">
        <v>176</v>
      </c>
      <c r="G1543" t="s">
        <v>177</v>
      </c>
      <c r="H1543">
        <v>57</v>
      </c>
      <c r="I1543">
        <v>0</v>
      </c>
      <c r="J1543">
        <v>57</v>
      </c>
      <c r="K1543" s="133">
        <v>4750</v>
      </c>
      <c r="L1543" s="133">
        <v>4750</v>
      </c>
      <c r="M1543" s="150">
        <v>0.61975694444444451</v>
      </c>
      <c r="N1543" s="150">
        <v>0.61996527777777777</v>
      </c>
      <c r="O1543" t="s">
        <v>172</v>
      </c>
      <c r="Q1543">
        <v>2528254</v>
      </c>
      <c r="R1543">
        <v>2528254</v>
      </c>
      <c r="S1543">
        <v>2526335</v>
      </c>
      <c r="T1543">
        <v>0</v>
      </c>
      <c r="U1543" t="s">
        <v>173</v>
      </c>
      <c r="V1543">
        <v>0</v>
      </c>
      <c r="W1543" t="s">
        <v>174</v>
      </c>
      <c r="X1543">
        <v>2526335</v>
      </c>
      <c r="Z1543" t="s">
        <v>173</v>
      </c>
      <c r="AA1543" t="s">
        <v>173</v>
      </c>
    </row>
    <row r="1544" spans="1:27" x14ac:dyDescent="0.3">
      <c r="A1544">
        <v>1543</v>
      </c>
      <c r="B1544" t="s">
        <v>169</v>
      </c>
      <c r="C1544">
        <v>99019875</v>
      </c>
      <c r="D1544" s="7" t="s">
        <v>65</v>
      </c>
      <c r="E1544" t="s">
        <v>66</v>
      </c>
      <c r="F1544" t="s">
        <v>176</v>
      </c>
      <c r="G1544" t="s">
        <v>177</v>
      </c>
      <c r="H1544">
        <v>58</v>
      </c>
      <c r="I1544">
        <v>0</v>
      </c>
      <c r="J1544">
        <v>58</v>
      </c>
      <c r="K1544" s="133">
        <v>4750</v>
      </c>
      <c r="L1544" s="133">
        <v>4750</v>
      </c>
      <c r="M1544" s="150">
        <v>0.61975694444444451</v>
      </c>
      <c r="N1544" s="150">
        <v>0.61996527777777777</v>
      </c>
      <c r="O1544" t="s">
        <v>172</v>
      </c>
      <c r="Q1544">
        <v>2528255</v>
      </c>
      <c r="R1544">
        <v>2528255</v>
      </c>
      <c r="S1544">
        <v>2527140</v>
      </c>
      <c r="T1544">
        <v>0</v>
      </c>
      <c r="U1544" t="s">
        <v>173</v>
      </c>
      <c r="V1544">
        <v>0</v>
      </c>
      <c r="W1544" t="s">
        <v>174</v>
      </c>
      <c r="X1544">
        <v>2527140</v>
      </c>
      <c r="Z1544" t="s">
        <v>173</v>
      </c>
      <c r="AA1544" t="s">
        <v>173</v>
      </c>
    </row>
    <row r="1545" spans="1:27" x14ac:dyDescent="0.3">
      <c r="A1545">
        <v>1544</v>
      </c>
      <c r="B1545" t="s">
        <v>169</v>
      </c>
      <c r="C1545">
        <v>99019875</v>
      </c>
      <c r="D1545" s="7" t="s">
        <v>65</v>
      </c>
      <c r="E1545" t="s">
        <v>66</v>
      </c>
      <c r="F1545" t="s">
        <v>176</v>
      </c>
      <c r="G1545" t="s">
        <v>177</v>
      </c>
      <c r="H1545">
        <v>57</v>
      </c>
      <c r="I1545">
        <v>0</v>
      </c>
      <c r="J1545">
        <v>57</v>
      </c>
      <c r="K1545" s="133">
        <v>4750</v>
      </c>
      <c r="L1545" s="133">
        <v>4750</v>
      </c>
      <c r="M1545" s="150">
        <v>0.61975694444444451</v>
      </c>
      <c r="N1545" s="150">
        <v>0.61996527777777777</v>
      </c>
      <c r="O1545" t="s">
        <v>172</v>
      </c>
      <c r="Q1545">
        <v>2528256</v>
      </c>
      <c r="R1545">
        <v>2528256</v>
      </c>
      <c r="S1545">
        <v>2527918</v>
      </c>
      <c r="T1545">
        <v>0</v>
      </c>
      <c r="U1545" t="s">
        <v>173</v>
      </c>
      <c r="V1545">
        <v>0</v>
      </c>
      <c r="W1545" t="s">
        <v>174</v>
      </c>
      <c r="X1545">
        <v>2527918</v>
      </c>
      <c r="Z1545" t="s">
        <v>173</v>
      </c>
      <c r="AA1545" t="s">
        <v>173</v>
      </c>
    </row>
    <row r="1546" spans="1:27" x14ac:dyDescent="0.3">
      <c r="A1546">
        <v>1545</v>
      </c>
      <c r="B1546" t="s">
        <v>169</v>
      </c>
      <c r="C1546">
        <v>99019875</v>
      </c>
      <c r="D1546" s="7" t="s">
        <v>71</v>
      </c>
      <c r="E1546" t="s">
        <v>72</v>
      </c>
      <c r="F1546" t="s">
        <v>176</v>
      </c>
      <c r="G1546" t="s">
        <v>177</v>
      </c>
      <c r="H1546">
        <v>18</v>
      </c>
      <c r="I1546">
        <v>0</v>
      </c>
      <c r="J1546">
        <v>18</v>
      </c>
      <c r="K1546" s="133">
        <v>18015</v>
      </c>
      <c r="L1546" s="133">
        <v>18015</v>
      </c>
      <c r="M1546" s="150">
        <v>0.61983796296296301</v>
      </c>
      <c r="N1546" s="150">
        <v>0.62001157407407403</v>
      </c>
      <c r="O1546" t="s">
        <v>172</v>
      </c>
      <c r="Q1546">
        <v>2528450</v>
      </c>
      <c r="R1546">
        <v>2528450</v>
      </c>
      <c r="S1546">
        <v>2528350</v>
      </c>
      <c r="T1546">
        <v>0</v>
      </c>
      <c r="U1546" t="s">
        <v>173</v>
      </c>
      <c r="V1546">
        <v>0</v>
      </c>
      <c r="W1546" t="s">
        <v>174</v>
      </c>
      <c r="X1546">
        <v>2528350</v>
      </c>
      <c r="Z1546" t="s">
        <v>173</v>
      </c>
      <c r="AA1546" t="s">
        <v>173</v>
      </c>
    </row>
    <row r="1547" spans="1:27" x14ac:dyDescent="0.3">
      <c r="A1547">
        <v>1546</v>
      </c>
      <c r="B1547" t="s">
        <v>169</v>
      </c>
      <c r="C1547">
        <v>99019875</v>
      </c>
      <c r="D1547" s="7" t="s">
        <v>102</v>
      </c>
      <c r="E1547" t="s">
        <v>103</v>
      </c>
      <c r="F1547" t="s">
        <v>170</v>
      </c>
      <c r="G1547" t="s">
        <v>177</v>
      </c>
      <c r="H1547">
        <v>53</v>
      </c>
      <c r="I1547">
        <v>0</v>
      </c>
      <c r="J1547">
        <v>53</v>
      </c>
      <c r="K1547" s="133">
        <v>26790</v>
      </c>
      <c r="L1547" s="133">
        <v>26790</v>
      </c>
      <c r="M1547" s="150">
        <v>0.61983796296296301</v>
      </c>
      <c r="N1547" s="150">
        <v>0.61987268518518512</v>
      </c>
      <c r="O1547" t="s">
        <v>172</v>
      </c>
      <c r="Q1547">
        <v>2528456</v>
      </c>
      <c r="R1547">
        <v>2528456</v>
      </c>
      <c r="S1547">
        <v>2527907</v>
      </c>
      <c r="T1547">
        <v>0</v>
      </c>
      <c r="U1547" t="s">
        <v>173</v>
      </c>
      <c r="V1547">
        <v>0</v>
      </c>
      <c r="W1547" t="s">
        <v>174</v>
      </c>
      <c r="X1547">
        <v>2527907</v>
      </c>
      <c r="Z1547" t="s">
        <v>173</v>
      </c>
      <c r="AA1547" t="s">
        <v>173</v>
      </c>
    </row>
    <row r="1548" spans="1:27" x14ac:dyDescent="0.3">
      <c r="A1548">
        <v>1547</v>
      </c>
      <c r="B1548" t="s">
        <v>169</v>
      </c>
      <c r="C1548">
        <v>99019875</v>
      </c>
      <c r="D1548" s="7" t="s">
        <v>140</v>
      </c>
      <c r="E1548" t="s">
        <v>178</v>
      </c>
      <c r="F1548" t="s">
        <v>170</v>
      </c>
      <c r="G1548" t="s">
        <v>177</v>
      </c>
      <c r="H1548">
        <v>20</v>
      </c>
      <c r="I1548">
        <v>0</v>
      </c>
      <c r="J1548">
        <v>20</v>
      </c>
      <c r="K1548" s="133">
        <v>8645</v>
      </c>
      <c r="L1548" s="133">
        <v>8645</v>
      </c>
      <c r="M1548" s="150">
        <v>0.61988425925925927</v>
      </c>
      <c r="N1548" s="150">
        <v>0.62017361111111113</v>
      </c>
      <c r="O1548" t="s">
        <v>172</v>
      </c>
      <c r="Q1548">
        <v>2528613</v>
      </c>
      <c r="R1548">
        <v>2528613</v>
      </c>
      <c r="S1548">
        <v>2527922</v>
      </c>
      <c r="T1548">
        <v>0</v>
      </c>
      <c r="U1548" t="s">
        <v>173</v>
      </c>
      <c r="V1548">
        <v>0</v>
      </c>
      <c r="W1548" t="s">
        <v>174</v>
      </c>
      <c r="X1548">
        <v>2527922</v>
      </c>
      <c r="Z1548" t="s">
        <v>173</v>
      </c>
      <c r="AA1548" t="s">
        <v>173</v>
      </c>
    </row>
    <row r="1549" spans="1:27" x14ac:dyDescent="0.3">
      <c r="A1549">
        <v>1548</v>
      </c>
      <c r="B1549" t="s">
        <v>169</v>
      </c>
      <c r="C1549">
        <v>99019875</v>
      </c>
      <c r="D1549" s="7" t="s">
        <v>114</v>
      </c>
      <c r="E1549" t="s">
        <v>115</v>
      </c>
      <c r="F1549" t="s">
        <v>176</v>
      </c>
      <c r="G1549" t="s">
        <v>171</v>
      </c>
      <c r="H1549">
        <v>66</v>
      </c>
      <c r="I1549">
        <v>0</v>
      </c>
      <c r="J1549">
        <v>66</v>
      </c>
      <c r="K1549" s="133">
        <v>53795</v>
      </c>
      <c r="L1549" s="133">
        <v>53795</v>
      </c>
      <c r="M1549" s="150">
        <v>0.61996527777777777</v>
      </c>
      <c r="N1549" s="150">
        <v>0.62046296296296299</v>
      </c>
      <c r="O1549" t="s">
        <v>172</v>
      </c>
      <c r="Q1549">
        <v>2528862</v>
      </c>
      <c r="R1549">
        <v>2528862</v>
      </c>
      <c r="S1549">
        <v>0</v>
      </c>
      <c r="T1549">
        <v>0</v>
      </c>
      <c r="U1549" t="s">
        <v>173</v>
      </c>
      <c r="V1549">
        <v>0</v>
      </c>
      <c r="W1549" t="s">
        <v>174</v>
      </c>
      <c r="X1549">
        <v>0</v>
      </c>
      <c r="Z1549" t="s">
        <v>173</v>
      </c>
      <c r="AA1549" t="s">
        <v>173</v>
      </c>
    </row>
    <row r="1550" spans="1:27" x14ac:dyDescent="0.3">
      <c r="A1550">
        <v>1549</v>
      </c>
      <c r="B1550" t="s">
        <v>169</v>
      </c>
      <c r="C1550">
        <v>99019875</v>
      </c>
      <c r="D1550" s="7" t="s">
        <v>75</v>
      </c>
      <c r="E1550" t="s">
        <v>76</v>
      </c>
      <c r="F1550" t="s">
        <v>170</v>
      </c>
      <c r="G1550" t="s">
        <v>171</v>
      </c>
      <c r="H1550">
        <v>83</v>
      </c>
      <c r="I1550">
        <v>0</v>
      </c>
      <c r="J1550">
        <v>83</v>
      </c>
      <c r="K1550" s="133">
        <v>20770</v>
      </c>
      <c r="L1550" s="133">
        <v>20770</v>
      </c>
      <c r="M1550" s="150">
        <v>0.61996527777777777</v>
      </c>
      <c r="N1550" s="150">
        <v>0.62008101851851849</v>
      </c>
      <c r="O1550" t="s">
        <v>172</v>
      </c>
      <c r="Q1550">
        <v>2528865</v>
      </c>
      <c r="R1550">
        <v>2528865</v>
      </c>
      <c r="S1550">
        <v>0</v>
      </c>
      <c r="T1550">
        <v>0</v>
      </c>
      <c r="U1550" t="s">
        <v>173</v>
      </c>
      <c r="V1550">
        <v>0</v>
      </c>
      <c r="W1550" t="s">
        <v>174</v>
      </c>
      <c r="X1550">
        <v>0</v>
      </c>
      <c r="Z1550" t="s">
        <v>173</v>
      </c>
      <c r="AA1550" t="s">
        <v>173</v>
      </c>
    </row>
    <row r="1551" spans="1:27" x14ac:dyDescent="0.3">
      <c r="A1551">
        <v>1550</v>
      </c>
      <c r="B1551" t="s">
        <v>169</v>
      </c>
      <c r="C1551">
        <v>99019875</v>
      </c>
      <c r="D1551" s="7" t="s">
        <v>110</v>
      </c>
      <c r="E1551" t="s">
        <v>179</v>
      </c>
      <c r="F1551" t="s">
        <v>170</v>
      </c>
      <c r="G1551" t="s">
        <v>171</v>
      </c>
      <c r="H1551">
        <v>3</v>
      </c>
      <c r="I1551">
        <v>0</v>
      </c>
      <c r="J1551">
        <v>3</v>
      </c>
      <c r="K1551" s="133">
        <v>48430</v>
      </c>
      <c r="L1551" s="133">
        <v>48430</v>
      </c>
      <c r="M1551" s="150">
        <v>0.61996527777777777</v>
      </c>
      <c r="N1551" s="150">
        <v>0.62010416666666668</v>
      </c>
      <c r="O1551" t="s">
        <v>172</v>
      </c>
      <c r="Q1551">
        <v>2528868</v>
      </c>
      <c r="R1551">
        <v>2528868</v>
      </c>
      <c r="S1551">
        <v>0</v>
      </c>
      <c r="T1551">
        <v>0</v>
      </c>
      <c r="U1551" t="s">
        <v>173</v>
      </c>
      <c r="V1551">
        <v>0</v>
      </c>
      <c r="W1551" t="s">
        <v>174</v>
      </c>
      <c r="X1551">
        <v>0</v>
      </c>
      <c r="Z1551" t="s">
        <v>173</v>
      </c>
      <c r="AA1551" t="s">
        <v>173</v>
      </c>
    </row>
    <row r="1552" spans="1:27" x14ac:dyDescent="0.3">
      <c r="A1552">
        <v>1551</v>
      </c>
      <c r="B1552" t="s">
        <v>169</v>
      </c>
      <c r="C1552">
        <v>99019875</v>
      </c>
      <c r="D1552" s="7" t="s">
        <v>100</v>
      </c>
      <c r="E1552" t="s">
        <v>101</v>
      </c>
      <c r="F1552" t="s">
        <v>170</v>
      </c>
      <c r="G1552" t="s">
        <v>171</v>
      </c>
      <c r="H1552">
        <v>4</v>
      </c>
      <c r="I1552">
        <v>0</v>
      </c>
      <c r="J1552">
        <v>4</v>
      </c>
      <c r="K1552" s="133">
        <v>15505</v>
      </c>
      <c r="L1552" s="133">
        <v>15505</v>
      </c>
      <c r="M1552" s="150">
        <v>0.61996527777777777</v>
      </c>
      <c r="N1552" s="150">
        <v>0.62202546296296302</v>
      </c>
      <c r="O1552" t="s">
        <v>172</v>
      </c>
      <c r="Q1552">
        <v>2528870</v>
      </c>
      <c r="R1552">
        <v>2528870</v>
      </c>
      <c r="S1552">
        <v>0</v>
      </c>
      <c r="T1552">
        <v>0</v>
      </c>
      <c r="U1552" t="s">
        <v>173</v>
      </c>
      <c r="V1552">
        <v>0</v>
      </c>
      <c r="W1552" t="s">
        <v>174</v>
      </c>
      <c r="X1552">
        <v>0</v>
      </c>
      <c r="Z1552" t="s">
        <v>173</v>
      </c>
      <c r="AA1552" t="s">
        <v>173</v>
      </c>
    </row>
    <row r="1553" spans="1:27" x14ac:dyDescent="0.3">
      <c r="A1553">
        <v>1552</v>
      </c>
      <c r="B1553" t="s">
        <v>169</v>
      </c>
      <c r="C1553">
        <v>99019875</v>
      </c>
      <c r="D1553" s="7" t="s">
        <v>87</v>
      </c>
      <c r="E1553" t="s">
        <v>88</v>
      </c>
      <c r="F1553" t="s">
        <v>170</v>
      </c>
      <c r="G1553" t="s">
        <v>171</v>
      </c>
      <c r="H1553">
        <v>6</v>
      </c>
      <c r="I1553">
        <v>0</v>
      </c>
      <c r="J1553">
        <v>6</v>
      </c>
      <c r="K1553" s="133">
        <v>12130</v>
      </c>
      <c r="L1553" s="133">
        <v>12130</v>
      </c>
      <c r="M1553" s="150">
        <v>0.61996527777777777</v>
      </c>
      <c r="N1553" s="150">
        <v>0.62053240740740734</v>
      </c>
      <c r="O1553" t="s">
        <v>172</v>
      </c>
      <c r="Q1553">
        <v>2528871</v>
      </c>
      <c r="R1553">
        <v>2528871</v>
      </c>
      <c r="S1553">
        <v>0</v>
      </c>
      <c r="T1553">
        <v>0</v>
      </c>
      <c r="U1553" t="s">
        <v>173</v>
      </c>
      <c r="V1553">
        <v>0</v>
      </c>
      <c r="W1553" t="s">
        <v>174</v>
      </c>
      <c r="X1553">
        <v>0</v>
      </c>
      <c r="Z1553" t="s">
        <v>173</v>
      </c>
      <c r="AA1553" t="s">
        <v>173</v>
      </c>
    </row>
    <row r="1554" spans="1:27" x14ac:dyDescent="0.3">
      <c r="A1554">
        <v>1553</v>
      </c>
      <c r="B1554" t="s">
        <v>169</v>
      </c>
      <c r="C1554">
        <v>99019875</v>
      </c>
      <c r="D1554" s="7" t="s">
        <v>108</v>
      </c>
      <c r="E1554" t="s">
        <v>109</v>
      </c>
      <c r="F1554" t="s">
        <v>170</v>
      </c>
      <c r="G1554" t="s">
        <v>171</v>
      </c>
      <c r="H1554">
        <v>23</v>
      </c>
      <c r="I1554">
        <v>0</v>
      </c>
      <c r="J1554">
        <v>23</v>
      </c>
      <c r="K1554" s="133">
        <v>2715</v>
      </c>
      <c r="L1554" s="133">
        <v>2715</v>
      </c>
      <c r="M1554" s="150">
        <v>0.61996527777777777</v>
      </c>
      <c r="N1554" s="150">
        <v>0.62351851851851847</v>
      </c>
      <c r="O1554" t="s">
        <v>172</v>
      </c>
      <c r="Q1554">
        <v>2528872</v>
      </c>
      <c r="R1554">
        <v>2528872</v>
      </c>
      <c r="S1554">
        <v>0</v>
      </c>
      <c r="T1554">
        <v>0</v>
      </c>
      <c r="U1554" t="s">
        <v>173</v>
      </c>
      <c r="V1554">
        <v>0</v>
      </c>
      <c r="W1554" t="s">
        <v>174</v>
      </c>
      <c r="X1554">
        <v>0</v>
      </c>
      <c r="Z1554" t="s">
        <v>173</v>
      </c>
      <c r="AA1554" t="s">
        <v>173</v>
      </c>
    </row>
    <row r="1555" spans="1:27" x14ac:dyDescent="0.3">
      <c r="A1555">
        <v>1554</v>
      </c>
      <c r="B1555" t="s">
        <v>169</v>
      </c>
      <c r="C1555">
        <v>99019875</v>
      </c>
      <c r="D1555" s="7" t="s">
        <v>98</v>
      </c>
      <c r="E1555" t="s">
        <v>99</v>
      </c>
      <c r="F1555" t="s">
        <v>170</v>
      </c>
      <c r="G1555" t="s">
        <v>171</v>
      </c>
      <c r="H1555">
        <v>38</v>
      </c>
      <c r="I1555">
        <v>0</v>
      </c>
      <c r="J1555">
        <v>38</v>
      </c>
      <c r="K1555" s="133">
        <v>14280</v>
      </c>
      <c r="L1555" s="133">
        <v>14280</v>
      </c>
      <c r="M1555" s="150">
        <v>0.61996527777777777</v>
      </c>
      <c r="N1555" s="150">
        <v>0.6205208333333333</v>
      </c>
      <c r="O1555" t="s">
        <v>172</v>
      </c>
      <c r="Q1555">
        <v>2528874</v>
      </c>
      <c r="R1555">
        <v>2528874</v>
      </c>
      <c r="S1555">
        <v>0</v>
      </c>
      <c r="T1555">
        <v>0</v>
      </c>
      <c r="U1555" t="s">
        <v>173</v>
      </c>
      <c r="V1555">
        <v>0</v>
      </c>
      <c r="W1555" t="s">
        <v>174</v>
      </c>
      <c r="X1555">
        <v>0</v>
      </c>
      <c r="Z1555" t="s">
        <v>173</v>
      </c>
      <c r="AA1555" t="s">
        <v>173</v>
      </c>
    </row>
    <row r="1556" spans="1:27" x14ac:dyDescent="0.3">
      <c r="A1556">
        <v>1555</v>
      </c>
      <c r="B1556" t="s">
        <v>169</v>
      </c>
      <c r="C1556">
        <v>99019875</v>
      </c>
      <c r="D1556" s="7" t="s">
        <v>77</v>
      </c>
      <c r="E1556" t="s">
        <v>78</v>
      </c>
      <c r="F1556" t="s">
        <v>170</v>
      </c>
      <c r="G1556" t="s">
        <v>171</v>
      </c>
      <c r="H1556">
        <v>73</v>
      </c>
      <c r="I1556">
        <v>0</v>
      </c>
      <c r="J1556">
        <v>73</v>
      </c>
      <c r="K1556" s="133">
        <v>7350</v>
      </c>
      <c r="L1556" s="133">
        <v>7350</v>
      </c>
      <c r="M1556" s="150">
        <v>0.61996527777777777</v>
      </c>
      <c r="N1556" s="150">
        <v>0.6205208333333333</v>
      </c>
      <c r="O1556" t="s">
        <v>172</v>
      </c>
      <c r="Q1556">
        <v>2528875</v>
      </c>
      <c r="R1556">
        <v>2528875</v>
      </c>
      <c r="S1556">
        <v>0</v>
      </c>
      <c r="T1556">
        <v>0</v>
      </c>
      <c r="U1556" t="s">
        <v>173</v>
      </c>
      <c r="V1556">
        <v>0</v>
      </c>
      <c r="W1556" t="s">
        <v>174</v>
      </c>
      <c r="X1556">
        <v>0</v>
      </c>
      <c r="Z1556" t="s">
        <v>173</v>
      </c>
      <c r="AA1556" t="s">
        <v>173</v>
      </c>
    </row>
    <row r="1557" spans="1:27" x14ac:dyDescent="0.3">
      <c r="A1557">
        <v>1556</v>
      </c>
      <c r="B1557" t="s">
        <v>169</v>
      </c>
      <c r="C1557">
        <v>99019875</v>
      </c>
      <c r="D1557" s="7" t="s">
        <v>71</v>
      </c>
      <c r="E1557" t="s">
        <v>72</v>
      </c>
      <c r="F1557" t="s">
        <v>176</v>
      </c>
      <c r="G1557" t="s">
        <v>171</v>
      </c>
      <c r="H1557">
        <v>18</v>
      </c>
      <c r="I1557">
        <v>0</v>
      </c>
      <c r="J1557">
        <v>18</v>
      </c>
      <c r="K1557" s="133">
        <v>18015</v>
      </c>
      <c r="L1557" s="133">
        <v>18015</v>
      </c>
      <c r="M1557" s="150">
        <v>0.61996527777777777</v>
      </c>
      <c r="N1557" s="150">
        <v>0.62001157407407403</v>
      </c>
      <c r="O1557" t="s">
        <v>172</v>
      </c>
      <c r="Q1557">
        <v>2528876</v>
      </c>
      <c r="R1557">
        <v>2528876</v>
      </c>
      <c r="S1557">
        <v>0</v>
      </c>
      <c r="T1557">
        <v>0</v>
      </c>
      <c r="U1557" t="s">
        <v>173</v>
      </c>
      <c r="V1557">
        <v>0</v>
      </c>
      <c r="W1557" t="s">
        <v>174</v>
      </c>
      <c r="X1557">
        <v>0</v>
      </c>
      <c r="Z1557" t="s">
        <v>173</v>
      </c>
      <c r="AA1557" t="s">
        <v>173</v>
      </c>
    </row>
    <row r="1558" spans="1:27" x14ac:dyDescent="0.3">
      <c r="A1558">
        <v>1557</v>
      </c>
      <c r="B1558" t="s">
        <v>169</v>
      </c>
      <c r="C1558">
        <v>99019875</v>
      </c>
      <c r="D1558" s="7" t="s">
        <v>65</v>
      </c>
      <c r="E1558" t="s">
        <v>66</v>
      </c>
      <c r="F1558" t="s">
        <v>176</v>
      </c>
      <c r="G1558" t="s">
        <v>171</v>
      </c>
      <c r="H1558">
        <v>57</v>
      </c>
      <c r="I1558">
        <v>0</v>
      </c>
      <c r="J1558">
        <v>57</v>
      </c>
      <c r="K1558" s="133">
        <v>4750</v>
      </c>
      <c r="L1558" s="133">
        <v>4750</v>
      </c>
      <c r="M1558" s="150">
        <v>0.61996527777777777</v>
      </c>
      <c r="N1558" s="150">
        <v>0.61996527777777777</v>
      </c>
      <c r="O1558" t="s">
        <v>172</v>
      </c>
      <c r="Q1558">
        <v>2528877</v>
      </c>
      <c r="R1558">
        <v>2528877</v>
      </c>
      <c r="S1558">
        <v>0</v>
      </c>
      <c r="T1558">
        <v>0</v>
      </c>
      <c r="U1558" t="s">
        <v>173</v>
      </c>
      <c r="V1558">
        <v>0</v>
      </c>
      <c r="W1558" t="s">
        <v>174</v>
      </c>
      <c r="X1558">
        <v>0</v>
      </c>
      <c r="Z1558" t="s">
        <v>173</v>
      </c>
      <c r="AA1558" t="s">
        <v>173</v>
      </c>
    </row>
    <row r="1559" spans="1:27" x14ac:dyDescent="0.3">
      <c r="A1559">
        <v>1558</v>
      </c>
      <c r="B1559" t="s">
        <v>169</v>
      </c>
      <c r="C1559">
        <v>99019875</v>
      </c>
      <c r="D1559" s="7" t="s">
        <v>96</v>
      </c>
      <c r="E1559" t="s">
        <v>97</v>
      </c>
      <c r="F1559" t="s">
        <v>170</v>
      </c>
      <c r="G1559" t="s">
        <v>171</v>
      </c>
      <c r="H1559">
        <v>27</v>
      </c>
      <c r="I1559">
        <v>0</v>
      </c>
      <c r="J1559">
        <v>27</v>
      </c>
      <c r="K1559" s="133">
        <v>8305</v>
      </c>
      <c r="L1559" s="133">
        <v>8305</v>
      </c>
      <c r="M1559" s="150">
        <v>0.61996527777777777</v>
      </c>
      <c r="N1559" s="150">
        <v>0.6202199074074074</v>
      </c>
      <c r="O1559" t="s">
        <v>172</v>
      </c>
      <c r="Q1559">
        <v>2528879</v>
      </c>
      <c r="R1559">
        <v>2528879</v>
      </c>
      <c r="S1559">
        <v>0</v>
      </c>
      <c r="T1559">
        <v>0</v>
      </c>
      <c r="U1559" t="s">
        <v>173</v>
      </c>
      <c r="V1559">
        <v>0</v>
      </c>
      <c r="W1559" t="s">
        <v>174</v>
      </c>
      <c r="X1559">
        <v>0</v>
      </c>
      <c r="Z1559" t="s">
        <v>173</v>
      </c>
      <c r="AA1559" t="s">
        <v>173</v>
      </c>
    </row>
    <row r="1560" spans="1:27" x14ac:dyDescent="0.3">
      <c r="A1560">
        <v>1559</v>
      </c>
      <c r="B1560" t="s">
        <v>169</v>
      </c>
      <c r="C1560">
        <v>99019875</v>
      </c>
      <c r="D1560" s="7" t="s">
        <v>140</v>
      </c>
      <c r="E1560" t="s">
        <v>178</v>
      </c>
      <c r="F1560" t="s">
        <v>170</v>
      </c>
      <c r="G1560" t="s">
        <v>171</v>
      </c>
      <c r="H1560">
        <v>20</v>
      </c>
      <c r="I1560">
        <v>0</v>
      </c>
      <c r="J1560">
        <v>20</v>
      </c>
      <c r="K1560" s="133">
        <v>8645</v>
      </c>
      <c r="L1560" s="133">
        <v>8645</v>
      </c>
      <c r="M1560" s="150">
        <v>0.61996527777777777</v>
      </c>
      <c r="N1560" s="150">
        <v>0.62017361111111113</v>
      </c>
      <c r="O1560" t="s">
        <v>172</v>
      </c>
      <c r="Q1560">
        <v>2528880</v>
      </c>
      <c r="R1560">
        <v>2528880</v>
      </c>
      <c r="S1560">
        <v>0</v>
      </c>
      <c r="T1560">
        <v>0</v>
      </c>
      <c r="U1560" t="s">
        <v>173</v>
      </c>
      <c r="V1560">
        <v>0</v>
      </c>
      <c r="W1560" t="s">
        <v>174</v>
      </c>
      <c r="X1560">
        <v>0</v>
      </c>
      <c r="Z1560" t="s">
        <v>173</v>
      </c>
      <c r="AA1560" t="s">
        <v>173</v>
      </c>
    </row>
    <row r="1561" spans="1:27" x14ac:dyDescent="0.3">
      <c r="A1561">
        <v>1560</v>
      </c>
      <c r="B1561" t="s">
        <v>169</v>
      </c>
      <c r="C1561">
        <v>99019875</v>
      </c>
      <c r="D1561" s="7" t="s">
        <v>69</v>
      </c>
      <c r="E1561" t="s">
        <v>70</v>
      </c>
      <c r="F1561" t="s">
        <v>170</v>
      </c>
      <c r="G1561" t="s">
        <v>171</v>
      </c>
      <c r="H1561">
        <v>17</v>
      </c>
      <c r="I1561">
        <v>0</v>
      </c>
      <c r="J1561">
        <v>17</v>
      </c>
      <c r="K1561" s="133">
        <v>10245</v>
      </c>
      <c r="L1561" s="133">
        <v>10245</v>
      </c>
      <c r="M1561" s="150">
        <v>0.61996527777777777</v>
      </c>
      <c r="N1561" s="150">
        <v>0.62003472222222222</v>
      </c>
      <c r="O1561" t="s">
        <v>172</v>
      </c>
      <c r="Q1561">
        <v>2528881</v>
      </c>
      <c r="R1561">
        <v>2528881</v>
      </c>
      <c r="S1561">
        <v>0</v>
      </c>
      <c r="T1561">
        <v>0</v>
      </c>
      <c r="U1561" t="s">
        <v>173</v>
      </c>
      <c r="V1561">
        <v>0</v>
      </c>
      <c r="W1561" t="s">
        <v>174</v>
      </c>
      <c r="X1561">
        <v>0</v>
      </c>
      <c r="Z1561" t="s">
        <v>173</v>
      </c>
      <c r="AA1561" t="s">
        <v>173</v>
      </c>
    </row>
    <row r="1562" spans="1:27" x14ac:dyDescent="0.3">
      <c r="A1562">
        <v>1561</v>
      </c>
      <c r="B1562" t="s">
        <v>169</v>
      </c>
      <c r="C1562">
        <v>99019875</v>
      </c>
      <c r="D1562" s="7" t="s">
        <v>67</v>
      </c>
      <c r="E1562" t="s">
        <v>68</v>
      </c>
      <c r="F1562" t="s">
        <v>170</v>
      </c>
      <c r="G1562" t="s">
        <v>177</v>
      </c>
      <c r="H1562">
        <v>36</v>
      </c>
      <c r="I1562">
        <v>0</v>
      </c>
      <c r="J1562">
        <v>36</v>
      </c>
      <c r="K1562" s="133">
        <v>4800</v>
      </c>
      <c r="L1562" s="133">
        <v>4800</v>
      </c>
      <c r="M1562" s="150">
        <v>0.61996527777777777</v>
      </c>
      <c r="N1562" s="150">
        <v>0.6205208333333333</v>
      </c>
      <c r="O1562" t="s">
        <v>172</v>
      </c>
      <c r="Q1562">
        <v>2528886</v>
      </c>
      <c r="R1562">
        <v>2528886</v>
      </c>
      <c r="S1562">
        <v>2528867</v>
      </c>
      <c r="T1562">
        <v>0</v>
      </c>
      <c r="U1562" t="s">
        <v>173</v>
      </c>
      <c r="V1562">
        <v>0</v>
      </c>
      <c r="W1562" t="s">
        <v>174</v>
      </c>
      <c r="X1562">
        <v>2528867</v>
      </c>
      <c r="Z1562" t="s">
        <v>173</v>
      </c>
      <c r="AA1562" t="s">
        <v>173</v>
      </c>
    </row>
    <row r="1563" spans="1:27" x14ac:dyDescent="0.3">
      <c r="A1563">
        <v>1562</v>
      </c>
      <c r="B1563" t="s">
        <v>169</v>
      </c>
      <c r="C1563">
        <v>99019875</v>
      </c>
      <c r="D1563" s="7" t="s">
        <v>106</v>
      </c>
      <c r="E1563" t="s">
        <v>107</v>
      </c>
      <c r="F1563" t="s">
        <v>170</v>
      </c>
      <c r="G1563" t="s">
        <v>171</v>
      </c>
      <c r="H1563">
        <v>1</v>
      </c>
      <c r="I1563">
        <v>0</v>
      </c>
      <c r="J1563">
        <v>1</v>
      </c>
      <c r="K1563" s="133">
        <v>3520</v>
      </c>
      <c r="L1563" s="133">
        <v>3520</v>
      </c>
      <c r="M1563" s="150">
        <v>0.61997685185185192</v>
      </c>
      <c r="N1563" s="150">
        <v>0.62015046296296295</v>
      </c>
      <c r="O1563" t="s">
        <v>172</v>
      </c>
      <c r="Q1563">
        <v>2528925</v>
      </c>
      <c r="R1563">
        <v>2528925</v>
      </c>
      <c r="S1563">
        <v>0</v>
      </c>
      <c r="T1563">
        <v>0</v>
      </c>
      <c r="U1563" t="s">
        <v>173</v>
      </c>
      <c r="V1563">
        <v>0</v>
      </c>
      <c r="W1563" t="s">
        <v>174</v>
      </c>
      <c r="X1563">
        <v>0</v>
      </c>
      <c r="Z1563" t="s">
        <v>173</v>
      </c>
      <c r="AA1563" t="s">
        <v>173</v>
      </c>
    </row>
    <row r="1564" spans="1:27" x14ac:dyDescent="0.3">
      <c r="A1564">
        <v>1563</v>
      </c>
      <c r="B1564" t="s">
        <v>169</v>
      </c>
      <c r="C1564">
        <v>99019875</v>
      </c>
      <c r="D1564" s="7" t="s">
        <v>62</v>
      </c>
      <c r="E1564" t="s">
        <v>63</v>
      </c>
      <c r="F1564" t="s">
        <v>176</v>
      </c>
      <c r="G1564" t="s">
        <v>177</v>
      </c>
      <c r="H1564">
        <v>89</v>
      </c>
      <c r="I1564">
        <v>0</v>
      </c>
      <c r="J1564">
        <v>89</v>
      </c>
      <c r="K1564" s="133">
        <v>34035</v>
      </c>
      <c r="L1564" s="133">
        <v>34035</v>
      </c>
      <c r="M1564" s="150">
        <v>0.61998842592592596</v>
      </c>
      <c r="N1564" s="150">
        <v>0.62006944444444445</v>
      </c>
      <c r="O1564" t="s">
        <v>172</v>
      </c>
      <c r="Q1564">
        <v>2528941</v>
      </c>
      <c r="R1564">
        <v>2528941</v>
      </c>
      <c r="S1564">
        <v>2528863</v>
      </c>
      <c r="T1564">
        <v>0</v>
      </c>
      <c r="U1564" t="s">
        <v>173</v>
      </c>
      <c r="V1564">
        <v>0</v>
      </c>
      <c r="W1564" t="s">
        <v>174</v>
      </c>
      <c r="X1564">
        <v>2528863</v>
      </c>
      <c r="Z1564" t="s">
        <v>173</v>
      </c>
      <c r="AA1564" t="s">
        <v>173</v>
      </c>
    </row>
    <row r="1565" spans="1:27" x14ac:dyDescent="0.3">
      <c r="A1565">
        <v>1564</v>
      </c>
      <c r="B1565" t="s">
        <v>169</v>
      </c>
      <c r="C1565">
        <v>99019875</v>
      </c>
      <c r="D1565" s="7" t="s">
        <v>102</v>
      </c>
      <c r="E1565" t="s">
        <v>103</v>
      </c>
      <c r="F1565" t="s">
        <v>170</v>
      </c>
      <c r="G1565" t="s">
        <v>177</v>
      </c>
      <c r="H1565">
        <v>54</v>
      </c>
      <c r="I1565">
        <v>0</v>
      </c>
      <c r="J1565">
        <v>54</v>
      </c>
      <c r="K1565" s="133">
        <v>26790</v>
      </c>
      <c r="L1565" s="133">
        <v>26790</v>
      </c>
      <c r="M1565" s="150">
        <v>0.62004629629629626</v>
      </c>
      <c r="N1565" s="150">
        <v>0.62004629629629626</v>
      </c>
      <c r="O1565" t="s">
        <v>172</v>
      </c>
      <c r="Q1565">
        <v>2529114</v>
      </c>
      <c r="R1565">
        <v>2529114</v>
      </c>
      <c r="S1565">
        <v>2528927</v>
      </c>
      <c r="T1565">
        <v>0</v>
      </c>
      <c r="U1565" t="s">
        <v>173</v>
      </c>
      <c r="V1565">
        <v>0</v>
      </c>
      <c r="W1565" t="s">
        <v>174</v>
      </c>
      <c r="X1565">
        <v>2528927</v>
      </c>
      <c r="Z1565" t="s">
        <v>173</v>
      </c>
      <c r="AA1565" t="s">
        <v>173</v>
      </c>
    </row>
    <row r="1566" spans="1:27" x14ac:dyDescent="0.3">
      <c r="A1566">
        <v>1565</v>
      </c>
      <c r="B1566" t="s">
        <v>169</v>
      </c>
      <c r="C1566">
        <v>99019875</v>
      </c>
      <c r="D1566" s="7" t="s">
        <v>128</v>
      </c>
      <c r="E1566" t="s">
        <v>129</v>
      </c>
      <c r="F1566" t="s">
        <v>170</v>
      </c>
      <c r="G1566" t="s">
        <v>171</v>
      </c>
      <c r="H1566">
        <v>1</v>
      </c>
      <c r="I1566">
        <v>0</v>
      </c>
      <c r="J1566">
        <v>1</v>
      </c>
      <c r="K1566" s="133">
        <v>6505</v>
      </c>
      <c r="L1566" s="133">
        <v>6505</v>
      </c>
      <c r="M1566" s="150">
        <v>0.62015046296296295</v>
      </c>
      <c r="N1566" s="150">
        <v>0.62118055555555551</v>
      </c>
      <c r="O1566" t="s">
        <v>172</v>
      </c>
      <c r="Q1566">
        <v>2529405</v>
      </c>
      <c r="R1566">
        <v>2529405</v>
      </c>
      <c r="S1566">
        <v>0</v>
      </c>
      <c r="T1566">
        <v>0</v>
      </c>
      <c r="U1566" t="s">
        <v>173</v>
      </c>
      <c r="V1566">
        <v>0</v>
      </c>
      <c r="W1566" t="s">
        <v>174</v>
      </c>
      <c r="X1566">
        <v>0</v>
      </c>
      <c r="Z1566" t="s">
        <v>173</v>
      </c>
      <c r="AA1566" t="s">
        <v>173</v>
      </c>
    </row>
    <row r="1567" spans="1:27" x14ac:dyDescent="0.3">
      <c r="A1567">
        <v>1566</v>
      </c>
      <c r="B1567" t="s">
        <v>169</v>
      </c>
      <c r="C1567">
        <v>99019875</v>
      </c>
      <c r="D1567" s="7" t="s">
        <v>94</v>
      </c>
      <c r="E1567" t="s">
        <v>95</v>
      </c>
      <c r="F1567" t="s">
        <v>170</v>
      </c>
      <c r="G1567" t="s">
        <v>177</v>
      </c>
      <c r="H1567">
        <v>1</v>
      </c>
      <c r="I1567">
        <v>0</v>
      </c>
      <c r="J1567">
        <v>1</v>
      </c>
      <c r="K1567" s="133">
        <v>21970</v>
      </c>
      <c r="L1567" s="133">
        <v>21970</v>
      </c>
      <c r="M1567" s="150">
        <v>0.62017361111111113</v>
      </c>
      <c r="N1567" s="150">
        <v>0.62049768518518522</v>
      </c>
      <c r="O1567" t="s">
        <v>172</v>
      </c>
      <c r="Q1567">
        <v>2529501</v>
      </c>
      <c r="R1567">
        <v>2529501</v>
      </c>
      <c r="S1567">
        <v>2529406</v>
      </c>
      <c r="T1567">
        <v>0</v>
      </c>
      <c r="U1567" t="s">
        <v>173</v>
      </c>
      <c r="V1567">
        <v>0</v>
      </c>
      <c r="W1567" t="s">
        <v>174</v>
      </c>
      <c r="X1567">
        <v>2529406</v>
      </c>
      <c r="Z1567" t="s">
        <v>173</v>
      </c>
      <c r="AA1567" t="s">
        <v>173</v>
      </c>
    </row>
    <row r="1568" spans="1:27" x14ac:dyDescent="0.3">
      <c r="A1568">
        <v>1567</v>
      </c>
      <c r="B1568" t="s">
        <v>169</v>
      </c>
      <c r="C1568">
        <v>99019875</v>
      </c>
      <c r="D1568" s="7" t="s">
        <v>114</v>
      </c>
      <c r="E1568" t="s">
        <v>115</v>
      </c>
      <c r="F1568" t="s">
        <v>176</v>
      </c>
      <c r="G1568" t="s">
        <v>171</v>
      </c>
      <c r="H1568">
        <v>65</v>
      </c>
      <c r="I1568">
        <v>0</v>
      </c>
      <c r="J1568">
        <v>65</v>
      </c>
      <c r="K1568" s="133">
        <v>53795</v>
      </c>
      <c r="L1568" s="133">
        <v>53795</v>
      </c>
      <c r="M1568" s="150">
        <v>0.62025462962962963</v>
      </c>
      <c r="N1568" s="150">
        <v>0.62046296296296299</v>
      </c>
      <c r="O1568" t="s">
        <v>172</v>
      </c>
      <c r="Q1568">
        <v>2529689</v>
      </c>
      <c r="R1568">
        <v>2529689</v>
      </c>
      <c r="S1568">
        <v>0</v>
      </c>
      <c r="T1568">
        <v>0</v>
      </c>
      <c r="U1568" t="s">
        <v>173</v>
      </c>
      <c r="V1568">
        <v>0</v>
      </c>
      <c r="W1568" t="s">
        <v>174</v>
      </c>
      <c r="X1568">
        <v>0</v>
      </c>
      <c r="Z1568" t="s">
        <v>173</v>
      </c>
      <c r="AA1568" t="s">
        <v>173</v>
      </c>
    </row>
    <row r="1569" spans="1:27" x14ac:dyDescent="0.3">
      <c r="A1569">
        <v>1568</v>
      </c>
      <c r="B1569" t="s">
        <v>169</v>
      </c>
      <c r="C1569">
        <v>99019875</v>
      </c>
      <c r="D1569" s="7" t="s">
        <v>75</v>
      </c>
      <c r="E1569" t="s">
        <v>76</v>
      </c>
      <c r="F1569" t="s">
        <v>170</v>
      </c>
      <c r="G1569" t="s">
        <v>171</v>
      </c>
      <c r="H1569">
        <v>83</v>
      </c>
      <c r="I1569">
        <v>0</v>
      </c>
      <c r="J1569">
        <v>83</v>
      </c>
      <c r="K1569" s="133">
        <v>20765</v>
      </c>
      <c r="L1569" s="133">
        <v>20765</v>
      </c>
      <c r="M1569" s="150">
        <v>0.62025462962962963</v>
      </c>
      <c r="N1569" s="150">
        <v>0.62033564814814812</v>
      </c>
      <c r="O1569" t="s">
        <v>172</v>
      </c>
      <c r="Q1569">
        <v>2529692</v>
      </c>
      <c r="R1569">
        <v>2529692</v>
      </c>
      <c r="S1569">
        <v>0</v>
      </c>
      <c r="T1569">
        <v>0</v>
      </c>
      <c r="U1569" t="s">
        <v>173</v>
      </c>
      <c r="V1569">
        <v>0</v>
      </c>
      <c r="W1569" t="s">
        <v>174</v>
      </c>
      <c r="X1569">
        <v>0</v>
      </c>
      <c r="Z1569" t="s">
        <v>173</v>
      </c>
      <c r="AA1569" t="s">
        <v>173</v>
      </c>
    </row>
    <row r="1570" spans="1:27" x14ac:dyDescent="0.3">
      <c r="A1570">
        <v>1569</v>
      </c>
      <c r="B1570" t="s">
        <v>169</v>
      </c>
      <c r="C1570">
        <v>99019875</v>
      </c>
      <c r="D1570" s="7" t="s">
        <v>67</v>
      </c>
      <c r="E1570" t="s">
        <v>68</v>
      </c>
      <c r="F1570" t="s">
        <v>170</v>
      </c>
      <c r="G1570" t="s">
        <v>171</v>
      </c>
      <c r="H1570">
        <v>35</v>
      </c>
      <c r="I1570">
        <v>0</v>
      </c>
      <c r="J1570">
        <v>35</v>
      </c>
      <c r="K1570" s="133">
        <v>4800</v>
      </c>
      <c r="L1570" s="133">
        <v>4800</v>
      </c>
      <c r="M1570" s="150">
        <v>0.62025462962962963</v>
      </c>
      <c r="N1570" s="150">
        <v>0.6205208333333333</v>
      </c>
      <c r="O1570" t="s">
        <v>172</v>
      </c>
      <c r="Q1570">
        <v>2529694</v>
      </c>
      <c r="R1570">
        <v>2529694</v>
      </c>
      <c r="S1570">
        <v>0</v>
      </c>
      <c r="T1570">
        <v>0</v>
      </c>
      <c r="U1570" t="s">
        <v>173</v>
      </c>
      <c r="V1570">
        <v>0</v>
      </c>
      <c r="W1570" t="s">
        <v>174</v>
      </c>
      <c r="X1570">
        <v>0</v>
      </c>
      <c r="Z1570" t="s">
        <v>173</v>
      </c>
      <c r="AA1570" t="s">
        <v>173</v>
      </c>
    </row>
    <row r="1571" spans="1:27" x14ac:dyDescent="0.3">
      <c r="A1571">
        <v>1570</v>
      </c>
      <c r="B1571" t="s">
        <v>169</v>
      </c>
      <c r="C1571">
        <v>99019875</v>
      </c>
      <c r="D1571" s="7" t="s">
        <v>100</v>
      </c>
      <c r="E1571" t="s">
        <v>101</v>
      </c>
      <c r="F1571" t="s">
        <v>170</v>
      </c>
      <c r="G1571" t="s">
        <v>171</v>
      </c>
      <c r="H1571">
        <v>5</v>
      </c>
      <c r="I1571">
        <v>0</v>
      </c>
      <c r="J1571">
        <v>5</v>
      </c>
      <c r="K1571" s="133">
        <v>15505</v>
      </c>
      <c r="L1571" s="133">
        <v>15505</v>
      </c>
      <c r="M1571" s="150">
        <v>0.62025462962962963</v>
      </c>
      <c r="N1571" s="150">
        <v>0.62202546296296302</v>
      </c>
      <c r="O1571" t="s">
        <v>172</v>
      </c>
      <c r="Q1571">
        <v>2529697</v>
      </c>
      <c r="R1571">
        <v>2529697</v>
      </c>
      <c r="S1571">
        <v>0</v>
      </c>
      <c r="T1571">
        <v>0</v>
      </c>
      <c r="U1571" t="s">
        <v>173</v>
      </c>
      <c r="V1571">
        <v>0</v>
      </c>
      <c r="W1571" t="s">
        <v>174</v>
      </c>
      <c r="X1571">
        <v>0</v>
      </c>
      <c r="Z1571" t="s">
        <v>173</v>
      </c>
      <c r="AA1571" t="s">
        <v>173</v>
      </c>
    </row>
    <row r="1572" spans="1:27" x14ac:dyDescent="0.3">
      <c r="A1572">
        <v>1571</v>
      </c>
      <c r="B1572" t="s">
        <v>169</v>
      </c>
      <c r="C1572">
        <v>99019875</v>
      </c>
      <c r="D1572" s="7" t="s">
        <v>87</v>
      </c>
      <c r="E1572" t="s">
        <v>88</v>
      </c>
      <c r="F1572" t="s">
        <v>170</v>
      </c>
      <c r="G1572" t="s">
        <v>171</v>
      </c>
      <c r="H1572">
        <v>5</v>
      </c>
      <c r="I1572">
        <v>0</v>
      </c>
      <c r="J1572">
        <v>5</v>
      </c>
      <c r="K1572" s="133">
        <v>12130</v>
      </c>
      <c r="L1572" s="133">
        <v>12130</v>
      </c>
      <c r="M1572" s="150">
        <v>0.62025462962962963</v>
      </c>
      <c r="N1572" s="150">
        <v>0.62053240740740734</v>
      </c>
      <c r="O1572" t="s">
        <v>172</v>
      </c>
      <c r="Q1572">
        <v>2529698</v>
      </c>
      <c r="R1572">
        <v>2529698</v>
      </c>
      <c r="S1572">
        <v>0</v>
      </c>
      <c r="T1572">
        <v>0</v>
      </c>
      <c r="U1572" t="s">
        <v>173</v>
      </c>
      <c r="V1572">
        <v>0</v>
      </c>
      <c r="W1572" t="s">
        <v>174</v>
      </c>
      <c r="X1572">
        <v>0</v>
      </c>
      <c r="Z1572" t="s">
        <v>173</v>
      </c>
      <c r="AA1572" t="s">
        <v>173</v>
      </c>
    </row>
    <row r="1573" spans="1:27" x14ac:dyDescent="0.3">
      <c r="A1573">
        <v>1572</v>
      </c>
      <c r="B1573" t="s">
        <v>169</v>
      </c>
      <c r="C1573">
        <v>99019875</v>
      </c>
      <c r="D1573" s="7" t="s">
        <v>108</v>
      </c>
      <c r="E1573" t="s">
        <v>109</v>
      </c>
      <c r="F1573" t="s">
        <v>170</v>
      </c>
      <c r="G1573" t="s">
        <v>171</v>
      </c>
      <c r="H1573">
        <v>24</v>
      </c>
      <c r="I1573">
        <v>0</v>
      </c>
      <c r="J1573">
        <v>24</v>
      </c>
      <c r="K1573" s="133">
        <v>2715</v>
      </c>
      <c r="L1573" s="133">
        <v>2715</v>
      </c>
      <c r="M1573" s="150">
        <v>0.62025462962962963</v>
      </c>
      <c r="N1573" s="150">
        <v>0.62351851851851847</v>
      </c>
      <c r="O1573" t="s">
        <v>172</v>
      </c>
      <c r="Q1573">
        <v>2529699</v>
      </c>
      <c r="R1573">
        <v>2529699</v>
      </c>
      <c r="S1573">
        <v>0</v>
      </c>
      <c r="T1573">
        <v>0</v>
      </c>
      <c r="U1573" t="s">
        <v>173</v>
      </c>
      <c r="V1573">
        <v>0</v>
      </c>
      <c r="W1573" t="s">
        <v>174</v>
      </c>
      <c r="X1573">
        <v>0</v>
      </c>
      <c r="Z1573" t="s">
        <v>173</v>
      </c>
      <c r="AA1573" t="s">
        <v>173</v>
      </c>
    </row>
    <row r="1574" spans="1:27" x14ac:dyDescent="0.3">
      <c r="A1574">
        <v>1573</v>
      </c>
      <c r="B1574" t="s">
        <v>169</v>
      </c>
      <c r="C1574">
        <v>99019875</v>
      </c>
      <c r="D1574" s="7" t="s">
        <v>98</v>
      </c>
      <c r="E1574" t="s">
        <v>99</v>
      </c>
      <c r="F1574" t="s">
        <v>170</v>
      </c>
      <c r="G1574" t="s">
        <v>171</v>
      </c>
      <c r="H1574">
        <v>39</v>
      </c>
      <c r="I1574">
        <v>0</v>
      </c>
      <c r="J1574">
        <v>39</v>
      </c>
      <c r="K1574" s="133">
        <v>14280</v>
      </c>
      <c r="L1574" s="133">
        <v>14280</v>
      </c>
      <c r="M1574" s="150">
        <v>0.62025462962962963</v>
      </c>
      <c r="N1574" s="150">
        <v>0.6205208333333333</v>
      </c>
      <c r="O1574" t="s">
        <v>172</v>
      </c>
      <c r="Q1574">
        <v>2529701</v>
      </c>
      <c r="R1574">
        <v>2529701</v>
      </c>
      <c r="S1574">
        <v>0</v>
      </c>
      <c r="T1574">
        <v>0</v>
      </c>
      <c r="U1574" t="s">
        <v>173</v>
      </c>
      <c r="V1574">
        <v>0</v>
      </c>
      <c r="W1574" t="s">
        <v>174</v>
      </c>
      <c r="X1574">
        <v>0</v>
      </c>
      <c r="Z1574" t="s">
        <v>173</v>
      </c>
      <c r="AA1574" t="s">
        <v>173</v>
      </c>
    </row>
    <row r="1575" spans="1:27" x14ac:dyDescent="0.3">
      <c r="A1575">
        <v>1574</v>
      </c>
      <c r="B1575" t="s">
        <v>169</v>
      </c>
      <c r="C1575">
        <v>99019875</v>
      </c>
      <c r="D1575" s="7" t="s">
        <v>77</v>
      </c>
      <c r="E1575" t="s">
        <v>78</v>
      </c>
      <c r="F1575" t="s">
        <v>170</v>
      </c>
      <c r="G1575" t="s">
        <v>171</v>
      </c>
      <c r="H1575">
        <v>73</v>
      </c>
      <c r="I1575">
        <v>0</v>
      </c>
      <c r="J1575">
        <v>73</v>
      </c>
      <c r="K1575" s="133">
        <v>7350</v>
      </c>
      <c r="L1575" s="133">
        <v>7350</v>
      </c>
      <c r="M1575" s="150">
        <v>0.62025462962962963</v>
      </c>
      <c r="N1575" s="150">
        <v>0.6205208333333333</v>
      </c>
      <c r="O1575" t="s">
        <v>172</v>
      </c>
      <c r="Q1575">
        <v>2529702</v>
      </c>
      <c r="R1575">
        <v>2529702</v>
      </c>
      <c r="S1575">
        <v>0</v>
      </c>
      <c r="T1575">
        <v>0</v>
      </c>
      <c r="U1575" t="s">
        <v>173</v>
      </c>
      <c r="V1575">
        <v>0</v>
      </c>
      <c r="W1575" t="s">
        <v>174</v>
      </c>
      <c r="X1575">
        <v>0</v>
      </c>
      <c r="Z1575" t="s">
        <v>173</v>
      </c>
      <c r="AA1575" t="s">
        <v>173</v>
      </c>
    </row>
    <row r="1576" spans="1:27" x14ac:dyDescent="0.3">
      <c r="A1576">
        <v>1575</v>
      </c>
      <c r="B1576" t="s">
        <v>169</v>
      </c>
      <c r="C1576">
        <v>99019875</v>
      </c>
      <c r="D1576" s="7" t="s">
        <v>71</v>
      </c>
      <c r="E1576" t="s">
        <v>72</v>
      </c>
      <c r="F1576" t="s">
        <v>176</v>
      </c>
      <c r="G1576" t="s">
        <v>171</v>
      </c>
      <c r="H1576">
        <v>19</v>
      </c>
      <c r="I1576">
        <v>0</v>
      </c>
      <c r="J1576">
        <v>19</v>
      </c>
      <c r="K1576" s="133">
        <v>18015</v>
      </c>
      <c r="L1576" s="133">
        <v>18015</v>
      </c>
      <c r="M1576" s="150">
        <v>0.62025462962962963</v>
      </c>
      <c r="N1576" s="150">
        <v>0.62027777777777782</v>
      </c>
      <c r="O1576" t="s">
        <v>172</v>
      </c>
      <c r="Q1576">
        <v>2529703</v>
      </c>
      <c r="R1576">
        <v>2529703</v>
      </c>
      <c r="S1576">
        <v>0</v>
      </c>
      <c r="T1576">
        <v>0</v>
      </c>
      <c r="U1576" t="s">
        <v>173</v>
      </c>
      <c r="V1576">
        <v>0</v>
      </c>
      <c r="W1576" t="s">
        <v>174</v>
      </c>
      <c r="X1576">
        <v>0</v>
      </c>
      <c r="Z1576" t="s">
        <v>173</v>
      </c>
      <c r="AA1576" t="s">
        <v>173</v>
      </c>
    </row>
    <row r="1577" spans="1:27" x14ac:dyDescent="0.3">
      <c r="A1577">
        <v>1576</v>
      </c>
      <c r="B1577" t="s">
        <v>169</v>
      </c>
      <c r="C1577">
        <v>99019875</v>
      </c>
      <c r="D1577" s="7" t="s">
        <v>96</v>
      </c>
      <c r="E1577" t="s">
        <v>97</v>
      </c>
      <c r="F1577" t="s">
        <v>170</v>
      </c>
      <c r="G1577" t="s">
        <v>171</v>
      </c>
      <c r="H1577">
        <v>28</v>
      </c>
      <c r="I1577">
        <v>0</v>
      </c>
      <c r="J1577">
        <v>28</v>
      </c>
      <c r="K1577" s="133">
        <v>8300</v>
      </c>
      <c r="L1577" s="133">
        <v>8300</v>
      </c>
      <c r="M1577" s="150">
        <v>0.62025462962962963</v>
      </c>
      <c r="N1577" s="150">
        <v>0.62035879629629631</v>
      </c>
      <c r="O1577" t="s">
        <v>172</v>
      </c>
      <c r="Q1577">
        <v>2529706</v>
      </c>
      <c r="R1577">
        <v>2529706</v>
      </c>
      <c r="S1577">
        <v>0</v>
      </c>
      <c r="T1577">
        <v>0</v>
      </c>
      <c r="U1577" t="s">
        <v>173</v>
      </c>
      <c r="V1577">
        <v>0</v>
      </c>
      <c r="W1577" t="s">
        <v>174</v>
      </c>
      <c r="X1577">
        <v>0</v>
      </c>
      <c r="Z1577" t="s">
        <v>173</v>
      </c>
      <c r="AA1577" t="s">
        <v>173</v>
      </c>
    </row>
    <row r="1578" spans="1:27" x14ac:dyDescent="0.3">
      <c r="A1578">
        <v>1577</v>
      </c>
      <c r="B1578" t="s">
        <v>169</v>
      </c>
      <c r="C1578">
        <v>99019875</v>
      </c>
      <c r="D1578" s="7" t="s">
        <v>140</v>
      </c>
      <c r="E1578" t="s">
        <v>178</v>
      </c>
      <c r="F1578" t="s">
        <v>170</v>
      </c>
      <c r="G1578" t="s">
        <v>171</v>
      </c>
      <c r="H1578">
        <v>20</v>
      </c>
      <c r="I1578">
        <v>0</v>
      </c>
      <c r="J1578">
        <v>20</v>
      </c>
      <c r="K1578" s="133">
        <v>8640</v>
      </c>
      <c r="L1578" s="133">
        <v>8640</v>
      </c>
      <c r="M1578" s="150">
        <v>0.62025462962962963</v>
      </c>
      <c r="N1578" s="150">
        <v>0.62053240740740734</v>
      </c>
      <c r="O1578" t="s">
        <v>172</v>
      </c>
      <c r="Q1578">
        <v>2529707</v>
      </c>
      <c r="R1578">
        <v>2529707</v>
      </c>
      <c r="S1578">
        <v>0</v>
      </c>
      <c r="T1578">
        <v>0</v>
      </c>
      <c r="U1578" t="s">
        <v>173</v>
      </c>
      <c r="V1578">
        <v>0</v>
      </c>
      <c r="W1578" t="s">
        <v>174</v>
      </c>
      <c r="X1578">
        <v>0</v>
      </c>
      <c r="Z1578" t="s">
        <v>173</v>
      </c>
      <c r="AA1578" t="s">
        <v>173</v>
      </c>
    </row>
    <row r="1579" spans="1:27" x14ac:dyDescent="0.3">
      <c r="A1579">
        <v>1578</v>
      </c>
      <c r="B1579" t="s">
        <v>169</v>
      </c>
      <c r="C1579">
        <v>99019875</v>
      </c>
      <c r="D1579" s="7" t="s">
        <v>69</v>
      </c>
      <c r="E1579" t="s">
        <v>70</v>
      </c>
      <c r="F1579" t="s">
        <v>170</v>
      </c>
      <c r="G1579" t="s">
        <v>177</v>
      </c>
      <c r="H1579">
        <v>16</v>
      </c>
      <c r="I1579">
        <v>0</v>
      </c>
      <c r="J1579">
        <v>16</v>
      </c>
      <c r="K1579" s="133">
        <v>10245</v>
      </c>
      <c r="L1579" s="133">
        <v>10245</v>
      </c>
      <c r="M1579" s="150">
        <v>0.62025462962962963</v>
      </c>
      <c r="N1579" s="150">
        <v>0.62027777777777782</v>
      </c>
      <c r="O1579" t="s">
        <v>172</v>
      </c>
      <c r="Q1579">
        <v>2529714</v>
      </c>
      <c r="R1579">
        <v>2529714</v>
      </c>
      <c r="S1579">
        <v>2529708</v>
      </c>
      <c r="T1579">
        <v>0</v>
      </c>
      <c r="U1579" t="s">
        <v>173</v>
      </c>
      <c r="V1579">
        <v>0</v>
      </c>
      <c r="W1579" t="s">
        <v>174</v>
      </c>
      <c r="X1579">
        <v>2529708</v>
      </c>
      <c r="Z1579" t="s">
        <v>173</v>
      </c>
      <c r="AA1579" t="s">
        <v>173</v>
      </c>
    </row>
    <row r="1580" spans="1:27" x14ac:dyDescent="0.3">
      <c r="A1580">
        <v>1579</v>
      </c>
      <c r="B1580" t="s">
        <v>169</v>
      </c>
      <c r="C1580">
        <v>99019875</v>
      </c>
      <c r="D1580" s="7" t="s">
        <v>62</v>
      </c>
      <c r="E1580" t="s">
        <v>63</v>
      </c>
      <c r="F1580" t="s">
        <v>176</v>
      </c>
      <c r="G1580" t="s">
        <v>177</v>
      </c>
      <c r="H1580">
        <v>89</v>
      </c>
      <c r="I1580">
        <v>0</v>
      </c>
      <c r="J1580">
        <v>89</v>
      </c>
      <c r="K1580" s="133">
        <v>34030</v>
      </c>
      <c r="L1580" s="133">
        <v>34030</v>
      </c>
      <c r="M1580" s="150">
        <v>0.62028935185185186</v>
      </c>
      <c r="N1580" s="150">
        <v>0.62031249999999993</v>
      </c>
      <c r="O1580" t="s">
        <v>172</v>
      </c>
      <c r="Q1580">
        <v>2529799</v>
      </c>
      <c r="R1580">
        <v>2529799</v>
      </c>
      <c r="S1580">
        <v>2529690</v>
      </c>
      <c r="T1580">
        <v>0</v>
      </c>
      <c r="U1580" t="s">
        <v>173</v>
      </c>
      <c r="V1580">
        <v>0</v>
      </c>
      <c r="W1580" t="s">
        <v>174</v>
      </c>
      <c r="X1580">
        <v>2529690</v>
      </c>
      <c r="Z1580" t="s">
        <v>173</v>
      </c>
      <c r="AA1580" t="s">
        <v>173</v>
      </c>
    </row>
    <row r="1581" spans="1:27" x14ac:dyDescent="0.3">
      <c r="A1581">
        <v>1580</v>
      </c>
      <c r="B1581" t="s">
        <v>169</v>
      </c>
      <c r="C1581">
        <v>99019875</v>
      </c>
      <c r="D1581" s="7" t="s">
        <v>81</v>
      </c>
      <c r="E1581" t="s">
        <v>82</v>
      </c>
      <c r="F1581" t="s">
        <v>176</v>
      </c>
      <c r="G1581" t="s">
        <v>177</v>
      </c>
      <c r="H1581">
        <v>75</v>
      </c>
      <c r="I1581">
        <v>0</v>
      </c>
      <c r="J1581">
        <v>12</v>
      </c>
      <c r="K1581" s="133">
        <v>36400</v>
      </c>
      <c r="L1581" s="133">
        <v>36400</v>
      </c>
      <c r="M1581" s="150">
        <v>0.62030092592592589</v>
      </c>
      <c r="N1581" s="150">
        <v>0.62093750000000003</v>
      </c>
      <c r="O1581" t="s">
        <v>172</v>
      </c>
      <c r="Q1581">
        <v>2529818</v>
      </c>
      <c r="R1581">
        <v>2529818</v>
      </c>
      <c r="S1581">
        <v>2529775</v>
      </c>
      <c r="T1581">
        <v>63</v>
      </c>
      <c r="U1581" t="s">
        <v>173</v>
      </c>
      <c r="V1581">
        <v>0</v>
      </c>
      <c r="W1581" t="s">
        <v>174</v>
      </c>
      <c r="X1581">
        <v>2529775</v>
      </c>
      <c r="Z1581" t="s">
        <v>173</v>
      </c>
      <c r="AA1581" t="s">
        <v>173</v>
      </c>
    </row>
    <row r="1582" spans="1:27" x14ac:dyDescent="0.3">
      <c r="A1582">
        <v>1581</v>
      </c>
      <c r="B1582" t="s">
        <v>169</v>
      </c>
      <c r="C1582">
        <v>99019875</v>
      </c>
      <c r="D1582" s="7" t="s">
        <v>122</v>
      </c>
      <c r="E1582" t="s">
        <v>123</v>
      </c>
      <c r="F1582" t="s">
        <v>170</v>
      </c>
      <c r="G1582" t="s">
        <v>177</v>
      </c>
      <c r="H1582">
        <v>19</v>
      </c>
      <c r="I1582">
        <v>0</v>
      </c>
      <c r="J1582">
        <v>19</v>
      </c>
      <c r="K1582" s="133">
        <v>36040</v>
      </c>
      <c r="L1582" s="133">
        <v>36040</v>
      </c>
      <c r="M1582" s="150">
        <v>0.62045138888888884</v>
      </c>
      <c r="N1582" s="150">
        <v>0.62050925925925926</v>
      </c>
      <c r="O1582" t="s">
        <v>172</v>
      </c>
      <c r="Q1582">
        <v>2530300</v>
      </c>
      <c r="R1582">
        <v>2530300</v>
      </c>
      <c r="S1582">
        <v>2528873</v>
      </c>
      <c r="T1582">
        <v>0</v>
      </c>
      <c r="U1582" t="s">
        <v>173</v>
      </c>
      <c r="V1582">
        <v>0</v>
      </c>
      <c r="W1582" t="s">
        <v>174</v>
      </c>
      <c r="X1582">
        <v>2528873</v>
      </c>
      <c r="Z1582" t="s">
        <v>173</v>
      </c>
      <c r="AA1582" t="s">
        <v>173</v>
      </c>
    </row>
    <row r="1583" spans="1:27" x14ac:dyDescent="0.3">
      <c r="A1583">
        <v>1582</v>
      </c>
      <c r="B1583" t="s">
        <v>169</v>
      </c>
      <c r="C1583">
        <v>99019875</v>
      </c>
      <c r="D1583" s="7" t="s">
        <v>122</v>
      </c>
      <c r="E1583" t="s">
        <v>123</v>
      </c>
      <c r="F1583" t="s">
        <v>170</v>
      </c>
      <c r="G1583" t="s">
        <v>177</v>
      </c>
      <c r="H1583">
        <v>20</v>
      </c>
      <c r="I1583">
        <v>0</v>
      </c>
      <c r="J1583">
        <v>20</v>
      </c>
      <c r="K1583" s="133">
        <v>36040</v>
      </c>
      <c r="L1583" s="133">
        <v>36040</v>
      </c>
      <c r="M1583" s="150">
        <v>0.62045138888888884</v>
      </c>
      <c r="N1583" s="150">
        <v>0.62055555555555553</v>
      </c>
      <c r="O1583" t="s">
        <v>172</v>
      </c>
      <c r="Q1583">
        <v>2530301</v>
      </c>
      <c r="R1583">
        <v>2530301</v>
      </c>
      <c r="S1583">
        <v>2529700</v>
      </c>
      <c r="T1583">
        <v>0</v>
      </c>
      <c r="U1583" t="s">
        <v>173</v>
      </c>
      <c r="V1583">
        <v>0</v>
      </c>
      <c r="W1583" t="s">
        <v>174</v>
      </c>
      <c r="X1583">
        <v>2529700</v>
      </c>
      <c r="Z1583" t="s">
        <v>173</v>
      </c>
      <c r="AA1583" t="s">
        <v>173</v>
      </c>
    </row>
    <row r="1584" spans="1:27" x14ac:dyDescent="0.3">
      <c r="A1584">
        <v>1583</v>
      </c>
      <c r="B1584" t="s">
        <v>169</v>
      </c>
      <c r="C1584">
        <v>99019875</v>
      </c>
      <c r="D1584" s="7" t="s">
        <v>102</v>
      </c>
      <c r="E1584" t="s">
        <v>103</v>
      </c>
      <c r="F1584" t="s">
        <v>170</v>
      </c>
      <c r="G1584" t="s">
        <v>177</v>
      </c>
      <c r="H1584">
        <v>53</v>
      </c>
      <c r="I1584">
        <v>0</v>
      </c>
      <c r="J1584">
        <v>53</v>
      </c>
      <c r="K1584" s="133">
        <v>26785</v>
      </c>
      <c r="L1584" s="133">
        <v>26785</v>
      </c>
      <c r="M1584" s="150">
        <v>0.62047453703703703</v>
      </c>
      <c r="N1584" s="150">
        <v>0.62069444444444444</v>
      </c>
      <c r="O1584" t="s">
        <v>172</v>
      </c>
      <c r="Q1584">
        <v>2530346</v>
      </c>
      <c r="R1584">
        <v>2530346</v>
      </c>
      <c r="S1584">
        <v>2529970</v>
      </c>
      <c r="T1584">
        <v>0</v>
      </c>
      <c r="U1584" t="s">
        <v>173</v>
      </c>
      <c r="V1584">
        <v>0</v>
      </c>
      <c r="W1584" t="s">
        <v>174</v>
      </c>
      <c r="X1584">
        <v>2529970</v>
      </c>
      <c r="Z1584" t="s">
        <v>173</v>
      </c>
      <c r="AA1584" t="s">
        <v>173</v>
      </c>
    </row>
    <row r="1585" spans="1:27" x14ac:dyDescent="0.3">
      <c r="A1585">
        <v>1584</v>
      </c>
      <c r="B1585" t="s">
        <v>169</v>
      </c>
      <c r="C1585">
        <v>99019875</v>
      </c>
      <c r="D1585" s="7" t="s">
        <v>106</v>
      </c>
      <c r="E1585" t="s">
        <v>107</v>
      </c>
      <c r="F1585" t="s">
        <v>170</v>
      </c>
      <c r="G1585" t="s">
        <v>171</v>
      </c>
      <c r="H1585">
        <v>1</v>
      </c>
      <c r="I1585">
        <v>0</v>
      </c>
      <c r="J1585">
        <v>1</v>
      </c>
      <c r="K1585" s="133">
        <v>3510</v>
      </c>
      <c r="L1585" s="133">
        <v>3510</v>
      </c>
      <c r="M1585" s="150">
        <v>0.62047453703703703</v>
      </c>
      <c r="N1585" s="150">
        <v>0.62349537037037039</v>
      </c>
      <c r="O1585" t="s">
        <v>172</v>
      </c>
      <c r="Q1585">
        <v>2530350</v>
      </c>
      <c r="R1585">
        <v>2530350</v>
      </c>
      <c r="S1585">
        <v>0</v>
      </c>
      <c r="T1585">
        <v>0</v>
      </c>
      <c r="U1585" t="s">
        <v>173</v>
      </c>
      <c r="V1585">
        <v>0</v>
      </c>
      <c r="W1585" t="s">
        <v>174</v>
      </c>
      <c r="X1585">
        <v>0</v>
      </c>
      <c r="Z1585" t="s">
        <v>173</v>
      </c>
      <c r="AA1585" t="s">
        <v>173</v>
      </c>
    </row>
    <row r="1586" spans="1:27" x14ac:dyDescent="0.3">
      <c r="A1586">
        <v>1585</v>
      </c>
      <c r="B1586" t="s">
        <v>169</v>
      </c>
      <c r="C1586">
        <v>99019875</v>
      </c>
      <c r="D1586" s="7" t="s">
        <v>128</v>
      </c>
      <c r="E1586" t="s">
        <v>129</v>
      </c>
      <c r="F1586" t="s">
        <v>170</v>
      </c>
      <c r="G1586" t="s">
        <v>171</v>
      </c>
      <c r="H1586">
        <v>1</v>
      </c>
      <c r="I1586">
        <v>0</v>
      </c>
      <c r="J1586">
        <v>1</v>
      </c>
      <c r="K1586" s="133">
        <v>6505</v>
      </c>
      <c r="L1586" s="133">
        <v>6505</v>
      </c>
      <c r="M1586" s="150">
        <v>0.62054398148148149</v>
      </c>
      <c r="N1586" s="150">
        <v>0.62118055555555551</v>
      </c>
      <c r="O1586" t="s">
        <v>172</v>
      </c>
      <c r="Q1586">
        <v>2530524</v>
      </c>
      <c r="R1586">
        <v>2530524</v>
      </c>
      <c r="S1586">
        <v>0</v>
      </c>
      <c r="T1586">
        <v>0</v>
      </c>
      <c r="U1586" t="s">
        <v>173</v>
      </c>
      <c r="V1586">
        <v>0</v>
      </c>
      <c r="W1586" t="s">
        <v>174</v>
      </c>
      <c r="X1586">
        <v>0</v>
      </c>
      <c r="Z1586" t="s">
        <v>173</v>
      </c>
      <c r="AA1586" t="s">
        <v>173</v>
      </c>
    </row>
    <row r="1587" spans="1:27" x14ac:dyDescent="0.3">
      <c r="A1587">
        <v>1586</v>
      </c>
      <c r="B1587" t="s">
        <v>169</v>
      </c>
      <c r="C1587">
        <v>99019875</v>
      </c>
      <c r="D1587" s="7" t="s">
        <v>102</v>
      </c>
      <c r="E1587" t="s">
        <v>103</v>
      </c>
      <c r="F1587" t="s">
        <v>170</v>
      </c>
      <c r="G1587" t="s">
        <v>171</v>
      </c>
      <c r="H1587">
        <v>54</v>
      </c>
      <c r="I1587">
        <v>0</v>
      </c>
      <c r="J1587">
        <v>54</v>
      </c>
      <c r="K1587" s="133">
        <v>26785</v>
      </c>
      <c r="L1587" s="133">
        <v>26785</v>
      </c>
      <c r="M1587" s="150">
        <v>0.62054398148148149</v>
      </c>
      <c r="N1587" s="150">
        <v>0.62069444444444444</v>
      </c>
      <c r="O1587" t="s">
        <v>172</v>
      </c>
      <c r="Q1587">
        <v>2530549</v>
      </c>
      <c r="R1587">
        <v>2530549</v>
      </c>
      <c r="S1587">
        <v>0</v>
      </c>
      <c r="T1587">
        <v>0</v>
      </c>
      <c r="U1587" t="s">
        <v>173</v>
      </c>
      <c r="V1587">
        <v>0</v>
      </c>
      <c r="W1587" t="s">
        <v>174</v>
      </c>
      <c r="X1587">
        <v>0</v>
      </c>
      <c r="Z1587" t="s">
        <v>173</v>
      </c>
      <c r="AA1587" t="s">
        <v>173</v>
      </c>
    </row>
    <row r="1588" spans="1:27" x14ac:dyDescent="0.3">
      <c r="A1588">
        <v>1587</v>
      </c>
      <c r="B1588" t="s">
        <v>169</v>
      </c>
      <c r="C1588">
        <v>99019875</v>
      </c>
      <c r="D1588" s="7" t="s">
        <v>67</v>
      </c>
      <c r="E1588" t="s">
        <v>68</v>
      </c>
      <c r="F1588" t="s">
        <v>170</v>
      </c>
      <c r="G1588" t="s">
        <v>171</v>
      </c>
      <c r="H1588">
        <v>35</v>
      </c>
      <c r="I1588">
        <v>0</v>
      </c>
      <c r="J1588">
        <v>35</v>
      </c>
      <c r="K1588" s="133">
        <v>4795</v>
      </c>
      <c r="L1588" s="133">
        <v>4795</v>
      </c>
      <c r="M1588" s="150">
        <v>0.62054398148148149</v>
      </c>
      <c r="N1588" s="150">
        <v>0.6206828703703704</v>
      </c>
      <c r="O1588" t="s">
        <v>172</v>
      </c>
      <c r="Q1588">
        <v>2530550</v>
      </c>
      <c r="R1588">
        <v>2530550</v>
      </c>
      <c r="S1588">
        <v>0</v>
      </c>
      <c r="T1588">
        <v>0</v>
      </c>
      <c r="U1588" t="s">
        <v>173</v>
      </c>
      <c r="V1588">
        <v>0</v>
      </c>
      <c r="W1588" t="s">
        <v>174</v>
      </c>
      <c r="X1588">
        <v>0</v>
      </c>
      <c r="Z1588" t="s">
        <v>173</v>
      </c>
      <c r="AA1588" t="s">
        <v>173</v>
      </c>
    </row>
    <row r="1589" spans="1:27" x14ac:dyDescent="0.3">
      <c r="A1589">
        <v>1588</v>
      </c>
      <c r="B1589" t="s">
        <v>169</v>
      </c>
      <c r="C1589">
        <v>99019875</v>
      </c>
      <c r="D1589" s="7" t="s">
        <v>100</v>
      </c>
      <c r="E1589" t="s">
        <v>101</v>
      </c>
      <c r="F1589" t="s">
        <v>170</v>
      </c>
      <c r="G1589" t="s">
        <v>171</v>
      </c>
      <c r="H1589">
        <v>5</v>
      </c>
      <c r="I1589">
        <v>0</v>
      </c>
      <c r="J1589">
        <v>5</v>
      </c>
      <c r="K1589" s="133">
        <v>15505</v>
      </c>
      <c r="L1589" s="133">
        <v>15505</v>
      </c>
      <c r="M1589" s="150">
        <v>0.62054398148148149</v>
      </c>
      <c r="N1589" s="150">
        <v>0.62237268518518518</v>
      </c>
      <c r="O1589" t="s">
        <v>172</v>
      </c>
      <c r="Q1589">
        <v>2530553</v>
      </c>
      <c r="R1589">
        <v>2530553</v>
      </c>
      <c r="S1589">
        <v>0</v>
      </c>
      <c r="T1589">
        <v>0</v>
      </c>
      <c r="U1589" t="s">
        <v>173</v>
      </c>
      <c r="V1589">
        <v>0</v>
      </c>
      <c r="W1589" t="s">
        <v>174</v>
      </c>
      <c r="X1589">
        <v>0</v>
      </c>
      <c r="Z1589" t="s">
        <v>173</v>
      </c>
      <c r="AA1589" t="s">
        <v>173</v>
      </c>
    </row>
    <row r="1590" spans="1:27" x14ac:dyDescent="0.3">
      <c r="A1590">
        <v>1589</v>
      </c>
      <c r="B1590" t="s">
        <v>169</v>
      </c>
      <c r="C1590">
        <v>99019875</v>
      </c>
      <c r="D1590" s="7" t="s">
        <v>87</v>
      </c>
      <c r="E1590" t="s">
        <v>88</v>
      </c>
      <c r="F1590" t="s">
        <v>170</v>
      </c>
      <c r="G1590" t="s">
        <v>171</v>
      </c>
      <c r="H1590">
        <v>6</v>
      </c>
      <c r="I1590">
        <v>0</v>
      </c>
      <c r="J1590">
        <v>6</v>
      </c>
      <c r="K1590" s="133">
        <v>12125</v>
      </c>
      <c r="L1590" s="133">
        <v>12125</v>
      </c>
      <c r="M1590" s="150">
        <v>0.62054398148148149</v>
      </c>
      <c r="N1590" s="150">
        <v>0.62071759259259263</v>
      </c>
      <c r="O1590" t="s">
        <v>172</v>
      </c>
      <c r="Q1590">
        <v>2530554</v>
      </c>
      <c r="R1590">
        <v>2530554</v>
      </c>
      <c r="S1590">
        <v>0</v>
      </c>
      <c r="T1590">
        <v>0</v>
      </c>
      <c r="U1590" t="s">
        <v>173</v>
      </c>
      <c r="V1590">
        <v>0</v>
      </c>
      <c r="W1590" t="s">
        <v>174</v>
      </c>
      <c r="X1590">
        <v>0</v>
      </c>
      <c r="Z1590" t="s">
        <v>173</v>
      </c>
      <c r="AA1590" t="s">
        <v>173</v>
      </c>
    </row>
    <row r="1591" spans="1:27" x14ac:dyDescent="0.3">
      <c r="A1591">
        <v>1590</v>
      </c>
      <c r="B1591" t="s">
        <v>169</v>
      </c>
      <c r="C1591">
        <v>99019875</v>
      </c>
      <c r="D1591" s="7" t="s">
        <v>108</v>
      </c>
      <c r="E1591" t="s">
        <v>109</v>
      </c>
      <c r="F1591" t="s">
        <v>170</v>
      </c>
      <c r="G1591" t="s">
        <v>171</v>
      </c>
      <c r="H1591">
        <v>23</v>
      </c>
      <c r="I1591">
        <v>0</v>
      </c>
      <c r="J1591">
        <v>23</v>
      </c>
      <c r="K1591" s="133">
        <v>2715</v>
      </c>
      <c r="L1591" s="133">
        <v>2715</v>
      </c>
      <c r="M1591" s="150">
        <v>0.62054398148148149</v>
      </c>
      <c r="N1591" s="150">
        <v>0.62351851851851847</v>
      </c>
      <c r="O1591" t="s">
        <v>172</v>
      </c>
      <c r="Q1591">
        <v>2530555</v>
      </c>
      <c r="R1591">
        <v>2530555</v>
      </c>
      <c r="S1591">
        <v>0</v>
      </c>
      <c r="T1591">
        <v>0</v>
      </c>
      <c r="U1591" t="s">
        <v>173</v>
      </c>
      <c r="V1591">
        <v>0</v>
      </c>
      <c r="W1591" t="s">
        <v>174</v>
      </c>
      <c r="X1591">
        <v>0</v>
      </c>
      <c r="Z1591" t="s">
        <v>173</v>
      </c>
      <c r="AA1591" t="s">
        <v>173</v>
      </c>
    </row>
    <row r="1592" spans="1:27" x14ac:dyDescent="0.3">
      <c r="A1592">
        <v>1591</v>
      </c>
      <c r="B1592" t="s">
        <v>169</v>
      </c>
      <c r="C1592">
        <v>99019875</v>
      </c>
      <c r="D1592" s="7" t="s">
        <v>122</v>
      </c>
      <c r="E1592" t="s">
        <v>123</v>
      </c>
      <c r="F1592" t="s">
        <v>170</v>
      </c>
      <c r="G1592" t="s">
        <v>171</v>
      </c>
      <c r="H1592">
        <v>20</v>
      </c>
      <c r="I1592">
        <v>0</v>
      </c>
      <c r="J1592">
        <v>20</v>
      </c>
      <c r="K1592" s="133">
        <v>36040</v>
      </c>
      <c r="L1592" s="133">
        <v>36040</v>
      </c>
      <c r="M1592" s="150">
        <v>0.62054398148148149</v>
      </c>
      <c r="N1592" s="150">
        <v>0.62055555555555553</v>
      </c>
      <c r="O1592" t="s">
        <v>172</v>
      </c>
      <c r="Q1592">
        <v>2530556</v>
      </c>
      <c r="R1592">
        <v>2530556</v>
      </c>
      <c r="S1592">
        <v>0</v>
      </c>
      <c r="T1592">
        <v>0</v>
      </c>
      <c r="U1592" t="s">
        <v>173</v>
      </c>
      <c r="V1592">
        <v>0</v>
      </c>
      <c r="W1592" t="s">
        <v>174</v>
      </c>
      <c r="X1592">
        <v>0</v>
      </c>
      <c r="Z1592" t="s">
        <v>173</v>
      </c>
      <c r="AA1592" t="s">
        <v>173</v>
      </c>
    </row>
    <row r="1593" spans="1:27" x14ac:dyDescent="0.3">
      <c r="A1593">
        <v>1592</v>
      </c>
      <c r="B1593" t="s">
        <v>169</v>
      </c>
      <c r="C1593">
        <v>99019875</v>
      </c>
      <c r="D1593" s="7" t="s">
        <v>98</v>
      </c>
      <c r="E1593" t="s">
        <v>99</v>
      </c>
      <c r="F1593" t="s">
        <v>170</v>
      </c>
      <c r="G1593" t="s">
        <v>171</v>
      </c>
      <c r="H1593">
        <v>38</v>
      </c>
      <c r="I1593">
        <v>0</v>
      </c>
      <c r="J1593">
        <v>38</v>
      </c>
      <c r="K1593" s="133">
        <v>14275</v>
      </c>
      <c r="L1593" s="133">
        <v>14275</v>
      </c>
      <c r="M1593" s="150">
        <v>0.62054398148148149</v>
      </c>
      <c r="N1593" s="150">
        <v>0.6207407407407407</v>
      </c>
      <c r="O1593" t="s">
        <v>172</v>
      </c>
      <c r="Q1593">
        <v>2530560</v>
      </c>
      <c r="R1593">
        <v>2530560</v>
      </c>
      <c r="S1593">
        <v>0</v>
      </c>
      <c r="T1593">
        <v>0</v>
      </c>
      <c r="U1593" t="s">
        <v>173</v>
      </c>
      <c r="V1593">
        <v>0</v>
      </c>
      <c r="W1593" t="s">
        <v>174</v>
      </c>
      <c r="X1593">
        <v>0</v>
      </c>
      <c r="Z1593" t="s">
        <v>173</v>
      </c>
      <c r="AA1593" t="s">
        <v>173</v>
      </c>
    </row>
    <row r="1594" spans="1:27" x14ac:dyDescent="0.3">
      <c r="A1594">
        <v>1593</v>
      </c>
      <c r="B1594" t="s">
        <v>169</v>
      </c>
      <c r="C1594">
        <v>99019875</v>
      </c>
      <c r="D1594" s="7" t="s">
        <v>77</v>
      </c>
      <c r="E1594" t="s">
        <v>78</v>
      </c>
      <c r="F1594" t="s">
        <v>170</v>
      </c>
      <c r="G1594" t="s">
        <v>171</v>
      </c>
      <c r="H1594">
        <v>74</v>
      </c>
      <c r="I1594">
        <v>0</v>
      </c>
      <c r="J1594">
        <v>74</v>
      </c>
      <c r="K1594" s="133">
        <v>7340</v>
      </c>
      <c r="L1594" s="133">
        <v>7340</v>
      </c>
      <c r="M1594" s="150">
        <v>0.62054398148148149</v>
      </c>
      <c r="N1594" s="150">
        <v>0.62115740740740744</v>
      </c>
      <c r="O1594" t="s">
        <v>172</v>
      </c>
      <c r="Q1594">
        <v>2530561</v>
      </c>
      <c r="R1594">
        <v>2530561</v>
      </c>
      <c r="S1594">
        <v>0</v>
      </c>
      <c r="T1594">
        <v>0</v>
      </c>
      <c r="U1594" t="s">
        <v>173</v>
      </c>
      <c r="V1594">
        <v>0</v>
      </c>
      <c r="W1594" t="s">
        <v>174</v>
      </c>
      <c r="X1594">
        <v>0</v>
      </c>
      <c r="Z1594" t="s">
        <v>173</v>
      </c>
      <c r="AA1594" t="s">
        <v>173</v>
      </c>
    </row>
    <row r="1595" spans="1:27" x14ac:dyDescent="0.3">
      <c r="A1595">
        <v>1594</v>
      </c>
      <c r="B1595" t="s">
        <v>169</v>
      </c>
      <c r="C1595">
        <v>99019875</v>
      </c>
      <c r="D1595" s="7" t="s">
        <v>140</v>
      </c>
      <c r="E1595" t="s">
        <v>178</v>
      </c>
      <c r="F1595" t="s">
        <v>170</v>
      </c>
      <c r="G1595" t="s">
        <v>171</v>
      </c>
      <c r="H1595">
        <v>20</v>
      </c>
      <c r="I1595">
        <v>0</v>
      </c>
      <c r="J1595">
        <v>20</v>
      </c>
      <c r="K1595" s="133">
        <v>8635</v>
      </c>
      <c r="L1595" s="133">
        <v>8635</v>
      </c>
      <c r="M1595" s="150">
        <v>0.62054398148148149</v>
      </c>
      <c r="N1595" s="150">
        <v>0.62126157407407401</v>
      </c>
      <c r="O1595" t="s">
        <v>172</v>
      </c>
      <c r="Q1595">
        <v>2530568</v>
      </c>
      <c r="R1595">
        <v>2530568</v>
      </c>
      <c r="S1595">
        <v>0</v>
      </c>
      <c r="T1595">
        <v>0</v>
      </c>
      <c r="U1595" t="s">
        <v>173</v>
      </c>
      <c r="V1595">
        <v>0</v>
      </c>
      <c r="W1595" t="s">
        <v>174</v>
      </c>
      <c r="X1595">
        <v>0</v>
      </c>
      <c r="Z1595" t="s">
        <v>173</v>
      </c>
      <c r="AA1595" t="s">
        <v>173</v>
      </c>
    </row>
    <row r="1596" spans="1:27" x14ac:dyDescent="0.3">
      <c r="A1596">
        <v>1595</v>
      </c>
      <c r="B1596" t="s">
        <v>169</v>
      </c>
      <c r="C1596">
        <v>99019875</v>
      </c>
      <c r="D1596" s="7" t="s">
        <v>69</v>
      </c>
      <c r="E1596" t="s">
        <v>70</v>
      </c>
      <c r="F1596" t="s">
        <v>170</v>
      </c>
      <c r="G1596" t="s">
        <v>171</v>
      </c>
      <c r="H1596">
        <v>17</v>
      </c>
      <c r="I1596">
        <v>0</v>
      </c>
      <c r="J1596">
        <v>17</v>
      </c>
      <c r="K1596" s="133">
        <v>10235</v>
      </c>
      <c r="L1596" s="133">
        <v>10235</v>
      </c>
      <c r="M1596" s="150">
        <v>0.62054398148148149</v>
      </c>
      <c r="N1596" s="150">
        <v>0.62059027777777775</v>
      </c>
      <c r="O1596" t="s">
        <v>172</v>
      </c>
      <c r="Q1596">
        <v>2530569</v>
      </c>
      <c r="R1596">
        <v>2530569</v>
      </c>
      <c r="S1596">
        <v>0</v>
      </c>
      <c r="T1596">
        <v>0</v>
      </c>
      <c r="U1596" t="s">
        <v>173</v>
      </c>
      <c r="V1596">
        <v>0</v>
      </c>
      <c r="W1596" t="s">
        <v>174</v>
      </c>
      <c r="X1596">
        <v>0</v>
      </c>
      <c r="Z1596" t="s">
        <v>173</v>
      </c>
      <c r="AA1596" t="s">
        <v>173</v>
      </c>
    </row>
    <row r="1597" spans="1:27" x14ac:dyDescent="0.3">
      <c r="A1597">
        <v>1596</v>
      </c>
      <c r="B1597" t="s">
        <v>169</v>
      </c>
      <c r="C1597">
        <v>99019875</v>
      </c>
      <c r="D1597" s="7" t="s">
        <v>62</v>
      </c>
      <c r="E1597" t="s">
        <v>63</v>
      </c>
      <c r="F1597" t="s">
        <v>176</v>
      </c>
      <c r="G1597" t="s">
        <v>177</v>
      </c>
      <c r="H1597">
        <v>89</v>
      </c>
      <c r="I1597">
        <v>0</v>
      </c>
      <c r="J1597">
        <v>89</v>
      </c>
      <c r="K1597" s="133">
        <v>34015</v>
      </c>
      <c r="L1597" s="133">
        <v>34015</v>
      </c>
      <c r="M1597" s="150">
        <v>0.62055555555555553</v>
      </c>
      <c r="N1597" s="150">
        <v>0.62057870370370372</v>
      </c>
      <c r="O1597" t="s">
        <v>172</v>
      </c>
      <c r="Q1597">
        <v>2530573</v>
      </c>
      <c r="R1597">
        <v>2530573</v>
      </c>
      <c r="S1597">
        <v>2530546</v>
      </c>
      <c r="T1597">
        <v>0</v>
      </c>
      <c r="U1597" t="s">
        <v>173</v>
      </c>
      <c r="V1597">
        <v>0</v>
      </c>
      <c r="W1597" t="s">
        <v>174</v>
      </c>
      <c r="X1597">
        <v>2530546</v>
      </c>
      <c r="Z1597" t="s">
        <v>173</v>
      </c>
      <c r="AA1597" t="s">
        <v>173</v>
      </c>
    </row>
    <row r="1598" spans="1:27" x14ac:dyDescent="0.3">
      <c r="A1598">
        <v>1597</v>
      </c>
      <c r="B1598" t="s">
        <v>169</v>
      </c>
      <c r="C1598">
        <v>99019875</v>
      </c>
      <c r="D1598" s="7" t="s">
        <v>75</v>
      </c>
      <c r="E1598" t="s">
        <v>76</v>
      </c>
      <c r="F1598" t="s">
        <v>170</v>
      </c>
      <c r="G1598" t="s">
        <v>177</v>
      </c>
      <c r="H1598">
        <v>83</v>
      </c>
      <c r="I1598">
        <v>0</v>
      </c>
      <c r="J1598">
        <v>83</v>
      </c>
      <c r="K1598" s="133">
        <v>20765</v>
      </c>
      <c r="L1598" s="133">
        <v>20765</v>
      </c>
      <c r="M1598" s="150">
        <v>0.62061342592592594</v>
      </c>
      <c r="N1598" s="150">
        <v>0.62062499999999998</v>
      </c>
      <c r="O1598" t="s">
        <v>172</v>
      </c>
      <c r="Q1598">
        <v>2530712</v>
      </c>
      <c r="R1598">
        <v>2530712</v>
      </c>
      <c r="S1598">
        <v>2530548</v>
      </c>
      <c r="T1598">
        <v>0</v>
      </c>
      <c r="U1598" t="s">
        <v>173</v>
      </c>
      <c r="V1598">
        <v>0</v>
      </c>
      <c r="W1598" t="s">
        <v>174</v>
      </c>
      <c r="X1598">
        <v>2530548</v>
      </c>
      <c r="Z1598" t="s">
        <v>173</v>
      </c>
      <c r="AA1598" t="s">
        <v>173</v>
      </c>
    </row>
    <row r="1599" spans="1:27" x14ac:dyDescent="0.3">
      <c r="A1599">
        <v>1598</v>
      </c>
      <c r="B1599" t="s">
        <v>169</v>
      </c>
      <c r="C1599">
        <v>99019875</v>
      </c>
      <c r="D1599" s="7" t="s">
        <v>126</v>
      </c>
      <c r="E1599" t="s">
        <v>127</v>
      </c>
      <c r="F1599" t="s">
        <v>176</v>
      </c>
      <c r="G1599" t="s">
        <v>177</v>
      </c>
      <c r="H1599">
        <v>2</v>
      </c>
      <c r="I1599">
        <v>0</v>
      </c>
      <c r="J1599">
        <v>2</v>
      </c>
      <c r="K1599" s="133">
        <v>12315</v>
      </c>
      <c r="L1599" s="133">
        <v>12315</v>
      </c>
      <c r="M1599" s="150">
        <v>0.62065972222222221</v>
      </c>
      <c r="N1599" s="150">
        <v>0.62207175925925928</v>
      </c>
      <c r="O1599" t="s">
        <v>172</v>
      </c>
      <c r="Q1599">
        <v>2530839</v>
      </c>
      <c r="R1599">
        <v>2530839</v>
      </c>
      <c r="S1599">
        <v>2527165</v>
      </c>
      <c r="T1599">
        <v>0</v>
      </c>
      <c r="U1599" t="s">
        <v>173</v>
      </c>
      <c r="V1599">
        <v>0</v>
      </c>
      <c r="W1599" t="s">
        <v>174</v>
      </c>
      <c r="X1599">
        <v>2527165</v>
      </c>
      <c r="Z1599" t="s">
        <v>173</v>
      </c>
      <c r="AA1599" t="s">
        <v>173</v>
      </c>
    </row>
    <row r="1600" spans="1:27" x14ac:dyDescent="0.3">
      <c r="A1600">
        <v>1599</v>
      </c>
      <c r="B1600" t="s">
        <v>169</v>
      </c>
      <c r="C1600">
        <v>99019875</v>
      </c>
      <c r="D1600" s="7" t="s">
        <v>126</v>
      </c>
      <c r="E1600" t="s">
        <v>127</v>
      </c>
      <c r="F1600" t="s">
        <v>176</v>
      </c>
      <c r="G1600" t="s">
        <v>177</v>
      </c>
      <c r="H1600">
        <v>1</v>
      </c>
      <c r="I1600">
        <v>0</v>
      </c>
      <c r="J1600">
        <v>1</v>
      </c>
      <c r="K1600" s="133">
        <v>12315</v>
      </c>
      <c r="L1600" s="133">
        <v>12315</v>
      </c>
      <c r="M1600" s="150">
        <v>0.62065972222222221</v>
      </c>
      <c r="N1600" s="150">
        <v>0.62207175925925928</v>
      </c>
      <c r="O1600" t="s">
        <v>172</v>
      </c>
      <c r="Q1600">
        <v>2530840</v>
      </c>
      <c r="R1600">
        <v>2530840</v>
      </c>
      <c r="S1600">
        <v>2527166</v>
      </c>
      <c r="T1600">
        <v>0</v>
      </c>
      <c r="U1600" t="s">
        <v>173</v>
      </c>
      <c r="V1600">
        <v>0</v>
      </c>
      <c r="W1600" t="s">
        <v>174</v>
      </c>
      <c r="X1600">
        <v>2527166</v>
      </c>
      <c r="Z1600" t="s">
        <v>173</v>
      </c>
      <c r="AA1600" t="s">
        <v>173</v>
      </c>
    </row>
    <row r="1601" spans="1:27" x14ac:dyDescent="0.3">
      <c r="A1601">
        <v>1600</v>
      </c>
      <c r="B1601" t="s">
        <v>169</v>
      </c>
      <c r="C1601">
        <v>99019875</v>
      </c>
      <c r="D1601" s="7" t="s">
        <v>126</v>
      </c>
      <c r="E1601" t="s">
        <v>127</v>
      </c>
      <c r="F1601" t="s">
        <v>176</v>
      </c>
      <c r="G1601" t="s">
        <v>177</v>
      </c>
      <c r="H1601">
        <v>2</v>
      </c>
      <c r="I1601">
        <v>0</v>
      </c>
      <c r="J1601">
        <v>2</v>
      </c>
      <c r="K1601" s="133">
        <v>12315</v>
      </c>
      <c r="L1601" s="133">
        <v>12315</v>
      </c>
      <c r="M1601" s="150">
        <v>0.62065972222222221</v>
      </c>
      <c r="N1601" s="150">
        <v>0.62207175925925928</v>
      </c>
      <c r="O1601" t="s">
        <v>172</v>
      </c>
      <c r="Q1601">
        <v>2530841</v>
      </c>
      <c r="R1601">
        <v>2530841</v>
      </c>
      <c r="S1601">
        <v>2527167</v>
      </c>
      <c r="T1601">
        <v>0</v>
      </c>
      <c r="U1601" t="s">
        <v>173</v>
      </c>
      <c r="V1601">
        <v>0</v>
      </c>
      <c r="W1601" t="s">
        <v>174</v>
      </c>
      <c r="X1601">
        <v>2527167</v>
      </c>
      <c r="Z1601" t="s">
        <v>173</v>
      </c>
      <c r="AA1601" t="s">
        <v>173</v>
      </c>
    </row>
    <row r="1602" spans="1:27" x14ac:dyDescent="0.3">
      <c r="A1602">
        <v>1601</v>
      </c>
      <c r="B1602" t="s">
        <v>169</v>
      </c>
      <c r="C1602">
        <v>99019875</v>
      </c>
      <c r="D1602" s="7" t="s">
        <v>126</v>
      </c>
      <c r="E1602" t="s">
        <v>127</v>
      </c>
      <c r="F1602" t="s">
        <v>176</v>
      </c>
      <c r="G1602" t="s">
        <v>177</v>
      </c>
      <c r="H1602">
        <v>1</v>
      </c>
      <c r="I1602">
        <v>0</v>
      </c>
      <c r="J1602">
        <v>1</v>
      </c>
      <c r="K1602" s="133">
        <v>12315</v>
      </c>
      <c r="L1602" s="133">
        <v>12315</v>
      </c>
      <c r="M1602" s="150">
        <v>0.62065972222222221</v>
      </c>
      <c r="N1602" s="150">
        <v>0.62207175925925928</v>
      </c>
      <c r="O1602" t="s">
        <v>172</v>
      </c>
      <c r="Q1602">
        <v>2530842</v>
      </c>
      <c r="R1602">
        <v>2530842</v>
      </c>
      <c r="S1602">
        <v>2527168</v>
      </c>
      <c r="T1602">
        <v>0</v>
      </c>
      <c r="U1602" t="s">
        <v>173</v>
      </c>
      <c r="V1602">
        <v>0</v>
      </c>
      <c r="W1602" t="s">
        <v>174</v>
      </c>
      <c r="X1602">
        <v>2527168</v>
      </c>
      <c r="Z1602" t="s">
        <v>173</v>
      </c>
      <c r="AA1602" t="s">
        <v>173</v>
      </c>
    </row>
    <row r="1603" spans="1:27" x14ac:dyDescent="0.3">
      <c r="A1603">
        <v>1602</v>
      </c>
      <c r="B1603" t="s">
        <v>169</v>
      </c>
      <c r="C1603">
        <v>99019875</v>
      </c>
      <c r="D1603" s="7" t="s">
        <v>126</v>
      </c>
      <c r="E1603" t="s">
        <v>127</v>
      </c>
      <c r="F1603" t="s">
        <v>176</v>
      </c>
      <c r="G1603" t="s">
        <v>177</v>
      </c>
      <c r="H1603">
        <v>2</v>
      </c>
      <c r="I1603">
        <v>0</v>
      </c>
      <c r="J1603">
        <v>2</v>
      </c>
      <c r="K1603" s="133">
        <v>12315</v>
      </c>
      <c r="L1603" s="133">
        <v>12315</v>
      </c>
      <c r="M1603" s="150">
        <v>0.62065972222222221</v>
      </c>
      <c r="N1603" s="150">
        <v>0.62207175925925928</v>
      </c>
      <c r="O1603" t="s">
        <v>172</v>
      </c>
      <c r="Q1603">
        <v>2530843</v>
      </c>
      <c r="R1603">
        <v>2530843</v>
      </c>
      <c r="S1603">
        <v>2527169</v>
      </c>
      <c r="T1603">
        <v>0</v>
      </c>
      <c r="U1603" t="s">
        <v>173</v>
      </c>
      <c r="V1603">
        <v>0</v>
      </c>
      <c r="W1603" t="s">
        <v>174</v>
      </c>
      <c r="X1603">
        <v>2527169</v>
      </c>
      <c r="Z1603" t="s">
        <v>173</v>
      </c>
      <c r="AA1603" t="s">
        <v>173</v>
      </c>
    </row>
    <row r="1604" spans="1:27" x14ac:dyDescent="0.3">
      <c r="A1604">
        <v>1603</v>
      </c>
      <c r="B1604" t="s">
        <v>169</v>
      </c>
      <c r="C1604">
        <v>99019875</v>
      </c>
      <c r="D1604" s="7" t="s">
        <v>126</v>
      </c>
      <c r="E1604" t="s">
        <v>127</v>
      </c>
      <c r="F1604" t="s">
        <v>176</v>
      </c>
      <c r="G1604" t="s">
        <v>177</v>
      </c>
      <c r="H1604">
        <v>1</v>
      </c>
      <c r="I1604">
        <v>0</v>
      </c>
      <c r="J1604">
        <v>1</v>
      </c>
      <c r="K1604" s="133">
        <v>12315</v>
      </c>
      <c r="L1604" s="133">
        <v>12315</v>
      </c>
      <c r="M1604" s="150">
        <v>0.62065972222222221</v>
      </c>
      <c r="N1604" s="150">
        <v>0.62207175925925928</v>
      </c>
      <c r="O1604" t="s">
        <v>172</v>
      </c>
      <c r="Q1604">
        <v>2530844</v>
      </c>
      <c r="R1604">
        <v>2530844</v>
      </c>
      <c r="S1604">
        <v>2527170</v>
      </c>
      <c r="T1604">
        <v>0</v>
      </c>
      <c r="U1604" t="s">
        <v>173</v>
      </c>
      <c r="V1604">
        <v>0</v>
      </c>
      <c r="W1604" t="s">
        <v>174</v>
      </c>
      <c r="X1604">
        <v>2527170</v>
      </c>
      <c r="Z1604" t="s">
        <v>173</v>
      </c>
      <c r="AA1604" t="s">
        <v>173</v>
      </c>
    </row>
    <row r="1605" spans="1:27" x14ac:dyDescent="0.3">
      <c r="A1605">
        <v>1604</v>
      </c>
      <c r="B1605" t="s">
        <v>169</v>
      </c>
      <c r="C1605">
        <v>99019875</v>
      </c>
      <c r="D1605" s="7" t="s">
        <v>126</v>
      </c>
      <c r="E1605" t="s">
        <v>127</v>
      </c>
      <c r="F1605" t="s">
        <v>176</v>
      </c>
      <c r="G1605" t="s">
        <v>177</v>
      </c>
      <c r="H1605">
        <v>2</v>
      </c>
      <c r="I1605">
        <v>0</v>
      </c>
      <c r="J1605">
        <v>2</v>
      </c>
      <c r="K1605" s="133">
        <v>12315</v>
      </c>
      <c r="L1605" s="133">
        <v>12315</v>
      </c>
      <c r="M1605" s="150">
        <v>0.62065972222222221</v>
      </c>
      <c r="N1605" s="150">
        <v>0.62207175925925928</v>
      </c>
      <c r="O1605" t="s">
        <v>172</v>
      </c>
      <c r="Q1605">
        <v>2530845</v>
      </c>
      <c r="R1605">
        <v>2530845</v>
      </c>
      <c r="S1605">
        <v>2527171</v>
      </c>
      <c r="T1605">
        <v>0</v>
      </c>
      <c r="U1605" t="s">
        <v>173</v>
      </c>
      <c r="V1605">
        <v>0</v>
      </c>
      <c r="W1605" t="s">
        <v>174</v>
      </c>
      <c r="X1605">
        <v>2527171</v>
      </c>
      <c r="Z1605" t="s">
        <v>173</v>
      </c>
      <c r="AA1605" t="s">
        <v>173</v>
      </c>
    </row>
    <row r="1606" spans="1:27" x14ac:dyDescent="0.3">
      <c r="A1606">
        <v>1605</v>
      </c>
      <c r="B1606" t="s">
        <v>169</v>
      </c>
      <c r="C1606">
        <v>99019875</v>
      </c>
      <c r="D1606" s="7" t="s">
        <v>126</v>
      </c>
      <c r="E1606" t="s">
        <v>127</v>
      </c>
      <c r="F1606" t="s">
        <v>176</v>
      </c>
      <c r="G1606" t="s">
        <v>177</v>
      </c>
      <c r="H1606">
        <v>1</v>
      </c>
      <c r="I1606">
        <v>0</v>
      </c>
      <c r="J1606">
        <v>1</v>
      </c>
      <c r="K1606" s="133">
        <v>12315</v>
      </c>
      <c r="L1606" s="133">
        <v>12315</v>
      </c>
      <c r="M1606" s="150">
        <v>0.62065972222222221</v>
      </c>
      <c r="N1606" s="150">
        <v>0.62207175925925928</v>
      </c>
      <c r="O1606" t="s">
        <v>172</v>
      </c>
      <c r="Q1606">
        <v>2530846</v>
      </c>
      <c r="R1606">
        <v>2530846</v>
      </c>
      <c r="S1606">
        <v>2527172</v>
      </c>
      <c r="T1606">
        <v>0</v>
      </c>
      <c r="U1606" t="s">
        <v>173</v>
      </c>
      <c r="V1606">
        <v>0</v>
      </c>
      <c r="W1606" t="s">
        <v>174</v>
      </c>
      <c r="X1606">
        <v>2527172</v>
      </c>
      <c r="Z1606" t="s">
        <v>173</v>
      </c>
      <c r="AA1606" t="s">
        <v>173</v>
      </c>
    </row>
    <row r="1607" spans="1:27" x14ac:dyDescent="0.3">
      <c r="A1607">
        <v>1606</v>
      </c>
      <c r="B1607" t="s">
        <v>169</v>
      </c>
      <c r="C1607">
        <v>99019875</v>
      </c>
      <c r="D1607" s="7" t="s">
        <v>126</v>
      </c>
      <c r="E1607" t="s">
        <v>127</v>
      </c>
      <c r="F1607" t="s">
        <v>176</v>
      </c>
      <c r="G1607" t="s">
        <v>177</v>
      </c>
      <c r="H1607">
        <v>2</v>
      </c>
      <c r="I1607">
        <v>0</v>
      </c>
      <c r="J1607">
        <v>2</v>
      </c>
      <c r="K1607" s="133">
        <v>12315</v>
      </c>
      <c r="L1607" s="133">
        <v>12315</v>
      </c>
      <c r="M1607" s="150">
        <v>0.62065972222222221</v>
      </c>
      <c r="N1607" s="150">
        <v>0.62207175925925928</v>
      </c>
      <c r="O1607" t="s">
        <v>172</v>
      </c>
      <c r="Q1607">
        <v>2530847</v>
      </c>
      <c r="R1607">
        <v>2530847</v>
      </c>
      <c r="S1607">
        <v>2527173</v>
      </c>
      <c r="T1607">
        <v>0</v>
      </c>
      <c r="U1607" t="s">
        <v>173</v>
      </c>
      <c r="V1607">
        <v>0</v>
      </c>
      <c r="W1607" t="s">
        <v>174</v>
      </c>
      <c r="X1607">
        <v>2527173</v>
      </c>
      <c r="Z1607" t="s">
        <v>173</v>
      </c>
      <c r="AA1607" t="s">
        <v>173</v>
      </c>
    </row>
    <row r="1608" spans="1:27" x14ac:dyDescent="0.3">
      <c r="A1608">
        <v>1607</v>
      </c>
      <c r="B1608" t="s">
        <v>169</v>
      </c>
      <c r="C1608">
        <v>99019875</v>
      </c>
      <c r="D1608" s="7" t="s">
        <v>126</v>
      </c>
      <c r="E1608" t="s">
        <v>127</v>
      </c>
      <c r="F1608" t="s">
        <v>176</v>
      </c>
      <c r="G1608" t="s">
        <v>177</v>
      </c>
      <c r="H1608">
        <v>1</v>
      </c>
      <c r="I1608">
        <v>0</v>
      </c>
      <c r="J1608">
        <v>1</v>
      </c>
      <c r="K1608" s="133">
        <v>12315</v>
      </c>
      <c r="L1608" s="133">
        <v>12315</v>
      </c>
      <c r="M1608" s="150">
        <v>0.62065972222222221</v>
      </c>
      <c r="N1608" s="150">
        <v>0.62207175925925928</v>
      </c>
      <c r="O1608" t="s">
        <v>172</v>
      </c>
      <c r="Q1608">
        <v>2530848</v>
      </c>
      <c r="R1608">
        <v>2530848</v>
      </c>
      <c r="S1608">
        <v>2527174</v>
      </c>
      <c r="T1608">
        <v>0</v>
      </c>
      <c r="U1608" t="s">
        <v>173</v>
      </c>
      <c r="V1608">
        <v>0</v>
      </c>
      <c r="W1608" t="s">
        <v>174</v>
      </c>
      <c r="X1608">
        <v>2527174</v>
      </c>
      <c r="Z1608" t="s">
        <v>173</v>
      </c>
      <c r="AA1608" t="s">
        <v>173</v>
      </c>
    </row>
    <row r="1609" spans="1:27" x14ac:dyDescent="0.3">
      <c r="A1609">
        <v>1608</v>
      </c>
      <c r="B1609" t="s">
        <v>169</v>
      </c>
      <c r="C1609">
        <v>99019875</v>
      </c>
      <c r="D1609" s="7" t="s">
        <v>126</v>
      </c>
      <c r="E1609" t="s">
        <v>127</v>
      </c>
      <c r="F1609" t="s">
        <v>176</v>
      </c>
      <c r="G1609" t="s">
        <v>177</v>
      </c>
      <c r="H1609">
        <v>2</v>
      </c>
      <c r="I1609">
        <v>0</v>
      </c>
      <c r="J1609">
        <v>2</v>
      </c>
      <c r="K1609" s="133">
        <v>12315</v>
      </c>
      <c r="L1609" s="133">
        <v>12315</v>
      </c>
      <c r="M1609" s="150">
        <v>0.62065972222222221</v>
      </c>
      <c r="N1609" s="150">
        <v>0.62207175925925928</v>
      </c>
      <c r="O1609" t="s">
        <v>172</v>
      </c>
      <c r="Q1609">
        <v>2530849</v>
      </c>
      <c r="R1609">
        <v>2530849</v>
      </c>
      <c r="S1609">
        <v>2527175</v>
      </c>
      <c r="T1609">
        <v>0</v>
      </c>
      <c r="U1609" t="s">
        <v>173</v>
      </c>
      <c r="V1609">
        <v>0</v>
      </c>
      <c r="W1609" t="s">
        <v>174</v>
      </c>
      <c r="X1609">
        <v>2527175</v>
      </c>
      <c r="Z1609" t="s">
        <v>173</v>
      </c>
      <c r="AA1609" t="s">
        <v>173</v>
      </c>
    </row>
    <row r="1610" spans="1:27" x14ac:dyDescent="0.3">
      <c r="A1610">
        <v>1609</v>
      </c>
      <c r="B1610" t="s">
        <v>169</v>
      </c>
      <c r="C1610">
        <v>99019875</v>
      </c>
      <c r="D1610" s="7" t="s">
        <v>126</v>
      </c>
      <c r="E1610" t="s">
        <v>127</v>
      </c>
      <c r="F1610" t="s">
        <v>176</v>
      </c>
      <c r="G1610" t="s">
        <v>177</v>
      </c>
      <c r="H1610">
        <v>1</v>
      </c>
      <c r="I1610">
        <v>0</v>
      </c>
      <c r="J1610">
        <v>1</v>
      </c>
      <c r="K1610" s="133">
        <v>12315</v>
      </c>
      <c r="L1610" s="133">
        <v>12315</v>
      </c>
      <c r="M1610" s="150">
        <v>0.62065972222222221</v>
      </c>
      <c r="N1610" s="150">
        <v>0.62207175925925928</v>
      </c>
      <c r="O1610" t="s">
        <v>172</v>
      </c>
      <c r="Q1610">
        <v>2530850</v>
      </c>
      <c r="R1610">
        <v>2530850</v>
      </c>
      <c r="S1610">
        <v>2527176</v>
      </c>
      <c r="T1610">
        <v>0</v>
      </c>
      <c r="U1610" t="s">
        <v>173</v>
      </c>
      <c r="V1610">
        <v>0</v>
      </c>
      <c r="W1610" t="s">
        <v>174</v>
      </c>
      <c r="X1610">
        <v>2527176</v>
      </c>
      <c r="Z1610" t="s">
        <v>173</v>
      </c>
      <c r="AA1610" t="s">
        <v>173</v>
      </c>
    </row>
    <row r="1611" spans="1:27" x14ac:dyDescent="0.3">
      <c r="A1611">
        <v>1610</v>
      </c>
      <c r="B1611" t="s">
        <v>169</v>
      </c>
      <c r="C1611">
        <v>99019875</v>
      </c>
      <c r="D1611" s="7" t="s">
        <v>126</v>
      </c>
      <c r="E1611" t="s">
        <v>127</v>
      </c>
      <c r="F1611" t="s">
        <v>176</v>
      </c>
      <c r="G1611" t="s">
        <v>177</v>
      </c>
      <c r="H1611">
        <v>2</v>
      </c>
      <c r="I1611">
        <v>0</v>
      </c>
      <c r="J1611">
        <v>2</v>
      </c>
      <c r="K1611" s="133">
        <v>12315</v>
      </c>
      <c r="L1611" s="133">
        <v>12315</v>
      </c>
      <c r="M1611" s="150">
        <v>0.62065972222222221</v>
      </c>
      <c r="N1611" s="150">
        <v>0.62207175925925928</v>
      </c>
      <c r="O1611" t="s">
        <v>172</v>
      </c>
      <c r="Q1611">
        <v>2530851</v>
      </c>
      <c r="R1611">
        <v>2530851</v>
      </c>
      <c r="S1611">
        <v>2527177</v>
      </c>
      <c r="T1611">
        <v>0</v>
      </c>
      <c r="U1611" t="s">
        <v>173</v>
      </c>
      <c r="V1611">
        <v>0</v>
      </c>
      <c r="W1611" t="s">
        <v>174</v>
      </c>
      <c r="X1611">
        <v>2527177</v>
      </c>
      <c r="Z1611" t="s">
        <v>173</v>
      </c>
      <c r="AA1611" t="s">
        <v>173</v>
      </c>
    </row>
    <row r="1612" spans="1:27" x14ac:dyDescent="0.3">
      <c r="A1612">
        <v>1611</v>
      </c>
      <c r="B1612" t="s">
        <v>169</v>
      </c>
      <c r="C1612">
        <v>99019875</v>
      </c>
      <c r="D1612" s="7" t="s">
        <v>126</v>
      </c>
      <c r="E1612" t="s">
        <v>127</v>
      </c>
      <c r="F1612" t="s">
        <v>176</v>
      </c>
      <c r="G1612" t="s">
        <v>177</v>
      </c>
      <c r="H1612">
        <v>1</v>
      </c>
      <c r="I1612">
        <v>0</v>
      </c>
      <c r="J1612">
        <v>1</v>
      </c>
      <c r="K1612" s="133">
        <v>12315</v>
      </c>
      <c r="L1612" s="133">
        <v>12315</v>
      </c>
      <c r="M1612" s="150">
        <v>0.62065972222222221</v>
      </c>
      <c r="N1612" s="150">
        <v>0.62207175925925928</v>
      </c>
      <c r="O1612" t="s">
        <v>172</v>
      </c>
      <c r="Q1612">
        <v>2530852</v>
      </c>
      <c r="R1612">
        <v>2530852</v>
      </c>
      <c r="S1612">
        <v>2527178</v>
      </c>
      <c r="T1612">
        <v>0</v>
      </c>
      <c r="U1612" t="s">
        <v>173</v>
      </c>
      <c r="V1612">
        <v>0</v>
      </c>
      <c r="W1612" t="s">
        <v>174</v>
      </c>
      <c r="X1612">
        <v>2527178</v>
      </c>
      <c r="Z1612" t="s">
        <v>173</v>
      </c>
      <c r="AA1612" t="s">
        <v>173</v>
      </c>
    </row>
    <row r="1613" spans="1:27" x14ac:dyDescent="0.3">
      <c r="A1613">
        <v>1612</v>
      </c>
      <c r="B1613" t="s">
        <v>169</v>
      </c>
      <c r="C1613">
        <v>99019875</v>
      </c>
      <c r="D1613" s="7" t="s">
        <v>126</v>
      </c>
      <c r="E1613" t="s">
        <v>127</v>
      </c>
      <c r="F1613" t="s">
        <v>176</v>
      </c>
      <c r="G1613" t="s">
        <v>177</v>
      </c>
      <c r="H1613">
        <v>2</v>
      </c>
      <c r="I1613">
        <v>0</v>
      </c>
      <c r="J1613">
        <v>2</v>
      </c>
      <c r="K1613" s="133">
        <v>12315</v>
      </c>
      <c r="L1613" s="133">
        <v>12315</v>
      </c>
      <c r="M1613" s="150">
        <v>0.62065972222222221</v>
      </c>
      <c r="N1613" s="150">
        <v>0.62207175925925928</v>
      </c>
      <c r="O1613" t="s">
        <v>172</v>
      </c>
      <c r="Q1613">
        <v>2530853</v>
      </c>
      <c r="R1613">
        <v>2530853</v>
      </c>
      <c r="S1613">
        <v>2527179</v>
      </c>
      <c r="T1613">
        <v>0</v>
      </c>
      <c r="U1613" t="s">
        <v>173</v>
      </c>
      <c r="V1613">
        <v>0</v>
      </c>
      <c r="W1613" t="s">
        <v>174</v>
      </c>
      <c r="X1613">
        <v>2527179</v>
      </c>
      <c r="Z1613" t="s">
        <v>173</v>
      </c>
      <c r="AA1613" t="s">
        <v>173</v>
      </c>
    </row>
    <row r="1614" spans="1:27" x14ac:dyDescent="0.3">
      <c r="A1614">
        <v>1613</v>
      </c>
      <c r="B1614" t="s">
        <v>169</v>
      </c>
      <c r="C1614">
        <v>99019875</v>
      </c>
      <c r="D1614" s="7" t="s">
        <v>126</v>
      </c>
      <c r="E1614" t="s">
        <v>127</v>
      </c>
      <c r="F1614" t="s">
        <v>176</v>
      </c>
      <c r="G1614" t="s">
        <v>177</v>
      </c>
      <c r="H1614">
        <v>1</v>
      </c>
      <c r="I1614">
        <v>0</v>
      </c>
      <c r="J1614">
        <v>1</v>
      </c>
      <c r="K1614" s="133">
        <v>12315</v>
      </c>
      <c r="L1614" s="133">
        <v>12315</v>
      </c>
      <c r="M1614" s="150">
        <v>0.62065972222222221</v>
      </c>
      <c r="N1614" s="150">
        <v>0.62207175925925928</v>
      </c>
      <c r="O1614" t="s">
        <v>172</v>
      </c>
      <c r="Q1614">
        <v>2530854</v>
      </c>
      <c r="R1614">
        <v>2530854</v>
      </c>
      <c r="S1614">
        <v>2527180</v>
      </c>
      <c r="T1614">
        <v>0</v>
      </c>
      <c r="U1614" t="s">
        <v>173</v>
      </c>
      <c r="V1614">
        <v>0</v>
      </c>
      <c r="W1614" t="s">
        <v>174</v>
      </c>
      <c r="X1614">
        <v>2527180</v>
      </c>
      <c r="Z1614" t="s">
        <v>173</v>
      </c>
      <c r="AA1614" t="s">
        <v>173</v>
      </c>
    </row>
    <row r="1615" spans="1:27" x14ac:dyDescent="0.3">
      <c r="A1615">
        <v>1614</v>
      </c>
      <c r="B1615" t="s">
        <v>169</v>
      </c>
      <c r="C1615">
        <v>99019875</v>
      </c>
      <c r="D1615" s="7" t="s">
        <v>126</v>
      </c>
      <c r="E1615" t="s">
        <v>127</v>
      </c>
      <c r="F1615" t="s">
        <v>176</v>
      </c>
      <c r="G1615" t="s">
        <v>177</v>
      </c>
      <c r="H1615">
        <v>2</v>
      </c>
      <c r="I1615">
        <v>0</v>
      </c>
      <c r="J1615">
        <v>2</v>
      </c>
      <c r="K1615" s="133">
        <v>12315</v>
      </c>
      <c r="L1615" s="133">
        <v>12315</v>
      </c>
      <c r="M1615" s="150">
        <v>0.62065972222222221</v>
      </c>
      <c r="N1615" s="150">
        <v>0.62207175925925928</v>
      </c>
      <c r="O1615" t="s">
        <v>172</v>
      </c>
      <c r="Q1615">
        <v>2530855</v>
      </c>
      <c r="R1615">
        <v>2530855</v>
      </c>
      <c r="S1615">
        <v>2527181</v>
      </c>
      <c r="T1615">
        <v>0</v>
      </c>
      <c r="U1615" t="s">
        <v>173</v>
      </c>
      <c r="V1615">
        <v>0</v>
      </c>
      <c r="W1615" t="s">
        <v>174</v>
      </c>
      <c r="X1615">
        <v>2527181</v>
      </c>
      <c r="Z1615" t="s">
        <v>173</v>
      </c>
      <c r="AA1615" t="s">
        <v>173</v>
      </c>
    </row>
    <row r="1616" spans="1:27" x14ac:dyDescent="0.3">
      <c r="A1616">
        <v>1615</v>
      </c>
      <c r="B1616" t="s">
        <v>169</v>
      </c>
      <c r="C1616">
        <v>99019875</v>
      </c>
      <c r="D1616" s="7" t="s">
        <v>126</v>
      </c>
      <c r="E1616" t="s">
        <v>127</v>
      </c>
      <c r="F1616" t="s">
        <v>176</v>
      </c>
      <c r="G1616" t="s">
        <v>177</v>
      </c>
      <c r="H1616">
        <v>1</v>
      </c>
      <c r="I1616">
        <v>0</v>
      </c>
      <c r="J1616">
        <v>1</v>
      </c>
      <c r="K1616" s="133">
        <v>12315</v>
      </c>
      <c r="L1616" s="133">
        <v>12315</v>
      </c>
      <c r="M1616" s="150">
        <v>0.62065972222222221</v>
      </c>
      <c r="N1616" s="150">
        <v>0.62207175925925928</v>
      </c>
      <c r="O1616" t="s">
        <v>172</v>
      </c>
      <c r="Q1616">
        <v>2530856</v>
      </c>
      <c r="R1616">
        <v>2530856</v>
      </c>
      <c r="S1616">
        <v>2527182</v>
      </c>
      <c r="T1616">
        <v>0</v>
      </c>
      <c r="U1616" t="s">
        <v>173</v>
      </c>
      <c r="V1616">
        <v>0</v>
      </c>
      <c r="W1616" t="s">
        <v>174</v>
      </c>
      <c r="X1616">
        <v>2527182</v>
      </c>
      <c r="Z1616" t="s">
        <v>173</v>
      </c>
      <c r="AA1616" t="s">
        <v>173</v>
      </c>
    </row>
    <row r="1617" spans="1:27" x14ac:dyDescent="0.3">
      <c r="A1617">
        <v>1616</v>
      </c>
      <c r="B1617" t="s">
        <v>169</v>
      </c>
      <c r="C1617">
        <v>99019875</v>
      </c>
      <c r="D1617" s="7" t="s">
        <v>126</v>
      </c>
      <c r="E1617" t="s">
        <v>127</v>
      </c>
      <c r="F1617" t="s">
        <v>176</v>
      </c>
      <c r="G1617" t="s">
        <v>177</v>
      </c>
      <c r="H1617">
        <v>2</v>
      </c>
      <c r="I1617">
        <v>0</v>
      </c>
      <c r="J1617">
        <v>2</v>
      </c>
      <c r="K1617" s="133">
        <v>12315</v>
      </c>
      <c r="L1617" s="133">
        <v>12315</v>
      </c>
      <c r="M1617" s="150">
        <v>0.62065972222222221</v>
      </c>
      <c r="N1617" s="150">
        <v>0.62207175925925928</v>
      </c>
      <c r="O1617" t="s">
        <v>172</v>
      </c>
      <c r="Q1617">
        <v>2530857</v>
      </c>
      <c r="R1617">
        <v>2530857</v>
      </c>
      <c r="S1617">
        <v>2527183</v>
      </c>
      <c r="T1617">
        <v>0</v>
      </c>
      <c r="U1617" t="s">
        <v>173</v>
      </c>
      <c r="V1617">
        <v>0</v>
      </c>
      <c r="W1617" t="s">
        <v>174</v>
      </c>
      <c r="X1617">
        <v>2527183</v>
      </c>
      <c r="Z1617" t="s">
        <v>173</v>
      </c>
      <c r="AA1617" t="s">
        <v>173</v>
      </c>
    </row>
    <row r="1618" spans="1:27" x14ac:dyDescent="0.3">
      <c r="A1618">
        <v>1617</v>
      </c>
      <c r="B1618" t="s">
        <v>169</v>
      </c>
      <c r="C1618">
        <v>99019875</v>
      </c>
      <c r="D1618" s="7" t="s">
        <v>126</v>
      </c>
      <c r="E1618" t="s">
        <v>127</v>
      </c>
      <c r="F1618" t="s">
        <v>176</v>
      </c>
      <c r="G1618" t="s">
        <v>177</v>
      </c>
      <c r="H1618">
        <v>1</v>
      </c>
      <c r="I1618">
        <v>0</v>
      </c>
      <c r="J1618">
        <v>1</v>
      </c>
      <c r="K1618" s="133">
        <v>12315</v>
      </c>
      <c r="L1618" s="133">
        <v>12315</v>
      </c>
      <c r="M1618" s="150">
        <v>0.62065972222222221</v>
      </c>
      <c r="N1618" s="150">
        <v>0.62207175925925928</v>
      </c>
      <c r="O1618" t="s">
        <v>172</v>
      </c>
      <c r="Q1618">
        <v>2530858</v>
      </c>
      <c r="R1618">
        <v>2530858</v>
      </c>
      <c r="S1618">
        <v>2527184</v>
      </c>
      <c r="T1618">
        <v>0</v>
      </c>
      <c r="U1618" t="s">
        <v>173</v>
      </c>
      <c r="V1618">
        <v>0</v>
      </c>
      <c r="W1618" t="s">
        <v>174</v>
      </c>
      <c r="X1618">
        <v>2527184</v>
      </c>
      <c r="Z1618" t="s">
        <v>173</v>
      </c>
      <c r="AA1618" t="s">
        <v>173</v>
      </c>
    </row>
    <row r="1619" spans="1:27" x14ac:dyDescent="0.3">
      <c r="A1619">
        <v>1618</v>
      </c>
      <c r="B1619" t="s">
        <v>169</v>
      </c>
      <c r="C1619">
        <v>99019875</v>
      </c>
      <c r="D1619" s="7" t="s">
        <v>126</v>
      </c>
      <c r="E1619" t="s">
        <v>127</v>
      </c>
      <c r="F1619" t="s">
        <v>176</v>
      </c>
      <c r="G1619" t="s">
        <v>177</v>
      </c>
      <c r="H1619">
        <v>2</v>
      </c>
      <c r="I1619">
        <v>0</v>
      </c>
      <c r="J1619">
        <v>2</v>
      </c>
      <c r="K1619" s="133">
        <v>12315</v>
      </c>
      <c r="L1619" s="133">
        <v>12315</v>
      </c>
      <c r="M1619" s="150">
        <v>0.62065972222222221</v>
      </c>
      <c r="N1619" s="150">
        <v>0.62281249999999999</v>
      </c>
      <c r="O1619" t="s">
        <v>172</v>
      </c>
      <c r="Q1619">
        <v>2530859</v>
      </c>
      <c r="R1619">
        <v>2530859</v>
      </c>
      <c r="S1619">
        <v>2527876</v>
      </c>
      <c r="T1619">
        <v>0</v>
      </c>
      <c r="U1619" t="s">
        <v>173</v>
      </c>
      <c r="V1619">
        <v>0</v>
      </c>
      <c r="W1619" t="s">
        <v>174</v>
      </c>
      <c r="X1619">
        <v>2527876</v>
      </c>
      <c r="Z1619" t="s">
        <v>173</v>
      </c>
      <c r="AA1619" t="s">
        <v>173</v>
      </c>
    </row>
    <row r="1620" spans="1:27" x14ac:dyDescent="0.3">
      <c r="A1620">
        <v>1619</v>
      </c>
      <c r="B1620" t="s">
        <v>169</v>
      </c>
      <c r="C1620">
        <v>99019875</v>
      </c>
      <c r="D1620" s="7" t="s">
        <v>126</v>
      </c>
      <c r="E1620" t="s">
        <v>127</v>
      </c>
      <c r="F1620" t="s">
        <v>176</v>
      </c>
      <c r="G1620" t="s">
        <v>177</v>
      </c>
      <c r="H1620">
        <v>1</v>
      </c>
      <c r="I1620">
        <v>0</v>
      </c>
      <c r="J1620">
        <v>1</v>
      </c>
      <c r="K1620" s="133">
        <v>12315</v>
      </c>
      <c r="L1620" s="133">
        <v>12315</v>
      </c>
      <c r="M1620" s="150">
        <v>0.62065972222222221</v>
      </c>
      <c r="N1620" s="150">
        <v>0.62281249999999999</v>
      </c>
      <c r="O1620" t="s">
        <v>172</v>
      </c>
      <c r="Q1620">
        <v>2530860</v>
      </c>
      <c r="R1620">
        <v>2530860</v>
      </c>
      <c r="S1620">
        <v>2528819</v>
      </c>
      <c r="T1620">
        <v>0</v>
      </c>
      <c r="U1620" t="s">
        <v>173</v>
      </c>
      <c r="V1620">
        <v>0</v>
      </c>
      <c r="W1620" t="s">
        <v>174</v>
      </c>
      <c r="X1620">
        <v>2528819</v>
      </c>
      <c r="Z1620" t="s">
        <v>173</v>
      </c>
      <c r="AA1620" t="s">
        <v>173</v>
      </c>
    </row>
    <row r="1621" spans="1:27" x14ac:dyDescent="0.3">
      <c r="A1621">
        <v>1620</v>
      </c>
      <c r="B1621" t="s">
        <v>169</v>
      </c>
      <c r="C1621">
        <v>99019875</v>
      </c>
      <c r="D1621" s="7" t="s">
        <v>62</v>
      </c>
      <c r="E1621" t="s">
        <v>63</v>
      </c>
      <c r="F1621" t="s">
        <v>176</v>
      </c>
      <c r="G1621" t="s">
        <v>171</v>
      </c>
      <c r="H1621">
        <v>89</v>
      </c>
      <c r="I1621">
        <v>0</v>
      </c>
      <c r="J1621">
        <v>2</v>
      </c>
      <c r="K1621" s="133">
        <v>34015</v>
      </c>
      <c r="L1621" s="133">
        <v>34015</v>
      </c>
      <c r="M1621" s="150">
        <v>0.62084490740740739</v>
      </c>
      <c r="N1621" s="150">
        <v>0.62085648148148154</v>
      </c>
      <c r="O1621" t="s">
        <v>172</v>
      </c>
      <c r="Q1621">
        <v>2531392</v>
      </c>
      <c r="R1621">
        <v>2531392</v>
      </c>
      <c r="S1621">
        <v>0</v>
      </c>
      <c r="T1621">
        <v>87</v>
      </c>
      <c r="U1621" t="s">
        <v>173</v>
      </c>
      <c r="V1621">
        <v>0</v>
      </c>
      <c r="W1621" t="s">
        <v>174</v>
      </c>
      <c r="X1621">
        <v>0</v>
      </c>
      <c r="Z1621" t="s">
        <v>173</v>
      </c>
      <c r="AA1621" t="s">
        <v>173</v>
      </c>
    </row>
    <row r="1622" spans="1:27" x14ac:dyDescent="0.3">
      <c r="A1622">
        <v>1621</v>
      </c>
      <c r="B1622" t="s">
        <v>169</v>
      </c>
      <c r="C1622">
        <v>99019875</v>
      </c>
      <c r="D1622" s="7" t="s">
        <v>75</v>
      </c>
      <c r="E1622" t="s">
        <v>76</v>
      </c>
      <c r="F1622" t="s">
        <v>170</v>
      </c>
      <c r="G1622" t="s">
        <v>171</v>
      </c>
      <c r="H1622">
        <v>83</v>
      </c>
      <c r="I1622">
        <v>0</v>
      </c>
      <c r="J1622">
        <v>83</v>
      </c>
      <c r="K1622" s="133">
        <v>20765</v>
      </c>
      <c r="L1622" s="133">
        <v>20765</v>
      </c>
      <c r="M1622" s="150">
        <v>0.62084490740740739</v>
      </c>
      <c r="N1622" s="150">
        <v>0.62092592592592599</v>
      </c>
      <c r="O1622" t="s">
        <v>172</v>
      </c>
      <c r="Q1622">
        <v>2531394</v>
      </c>
      <c r="R1622">
        <v>2531394</v>
      </c>
      <c r="S1622">
        <v>0</v>
      </c>
      <c r="T1622">
        <v>0</v>
      </c>
      <c r="U1622" t="s">
        <v>173</v>
      </c>
      <c r="V1622">
        <v>0</v>
      </c>
      <c r="W1622" t="s">
        <v>174</v>
      </c>
      <c r="X1622">
        <v>0</v>
      </c>
      <c r="Z1622" t="s">
        <v>173</v>
      </c>
      <c r="AA1622" t="s">
        <v>173</v>
      </c>
    </row>
    <row r="1623" spans="1:27" x14ac:dyDescent="0.3">
      <c r="A1623">
        <v>1622</v>
      </c>
      <c r="B1623" t="s">
        <v>169</v>
      </c>
      <c r="C1623">
        <v>99019875</v>
      </c>
      <c r="D1623" s="7" t="s">
        <v>67</v>
      </c>
      <c r="E1623" t="s">
        <v>68</v>
      </c>
      <c r="F1623" t="s">
        <v>170</v>
      </c>
      <c r="G1623" t="s">
        <v>171</v>
      </c>
      <c r="H1623">
        <v>36</v>
      </c>
      <c r="I1623">
        <v>0</v>
      </c>
      <c r="J1623">
        <v>36</v>
      </c>
      <c r="K1623" s="133">
        <v>4795</v>
      </c>
      <c r="L1623" s="133">
        <v>4795</v>
      </c>
      <c r="M1623" s="150">
        <v>0.62084490740740739</v>
      </c>
      <c r="N1623" s="150">
        <v>0.6221875</v>
      </c>
      <c r="O1623" t="s">
        <v>172</v>
      </c>
      <c r="Q1623">
        <v>2531398</v>
      </c>
      <c r="R1623">
        <v>2531398</v>
      </c>
      <c r="S1623">
        <v>0</v>
      </c>
      <c r="T1623">
        <v>0</v>
      </c>
      <c r="U1623" t="s">
        <v>173</v>
      </c>
      <c r="V1623">
        <v>0</v>
      </c>
      <c r="W1623" t="s">
        <v>174</v>
      </c>
      <c r="X1623">
        <v>0</v>
      </c>
      <c r="Z1623" t="s">
        <v>173</v>
      </c>
      <c r="AA1623" t="s">
        <v>173</v>
      </c>
    </row>
    <row r="1624" spans="1:27" x14ac:dyDescent="0.3">
      <c r="A1624">
        <v>1623</v>
      </c>
      <c r="B1624" t="s">
        <v>169</v>
      </c>
      <c r="C1624">
        <v>99019875</v>
      </c>
      <c r="D1624" s="7" t="s">
        <v>100</v>
      </c>
      <c r="E1624" t="s">
        <v>101</v>
      </c>
      <c r="F1624" t="s">
        <v>170</v>
      </c>
      <c r="G1624" t="s">
        <v>171</v>
      </c>
      <c r="H1624">
        <v>4</v>
      </c>
      <c r="I1624">
        <v>0</v>
      </c>
      <c r="J1624">
        <v>4</v>
      </c>
      <c r="K1624" s="133">
        <v>15505</v>
      </c>
      <c r="L1624" s="133">
        <v>15505</v>
      </c>
      <c r="M1624" s="150">
        <v>0.62084490740740739</v>
      </c>
      <c r="N1624" s="150">
        <v>0.62237268518518518</v>
      </c>
      <c r="O1624" t="s">
        <v>172</v>
      </c>
      <c r="Q1624">
        <v>2531401</v>
      </c>
      <c r="R1624">
        <v>2531401</v>
      </c>
      <c r="S1624">
        <v>0</v>
      </c>
      <c r="T1624">
        <v>0</v>
      </c>
      <c r="U1624" t="s">
        <v>173</v>
      </c>
      <c r="V1624">
        <v>0</v>
      </c>
      <c r="W1624" t="s">
        <v>174</v>
      </c>
      <c r="X1624">
        <v>0</v>
      </c>
      <c r="Z1624" t="s">
        <v>173</v>
      </c>
      <c r="AA1624" t="s">
        <v>173</v>
      </c>
    </row>
    <row r="1625" spans="1:27" x14ac:dyDescent="0.3">
      <c r="A1625">
        <v>1624</v>
      </c>
      <c r="B1625" t="s">
        <v>169</v>
      </c>
      <c r="C1625">
        <v>99019875</v>
      </c>
      <c r="D1625" s="7" t="s">
        <v>108</v>
      </c>
      <c r="E1625" t="s">
        <v>109</v>
      </c>
      <c r="F1625" t="s">
        <v>170</v>
      </c>
      <c r="G1625" t="s">
        <v>171</v>
      </c>
      <c r="H1625">
        <v>24</v>
      </c>
      <c r="I1625">
        <v>0</v>
      </c>
      <c r="J1625">
        <v>24</v>
      </c>
      <c r="K1625" s="133">
        <v>2715</v>
      </c>
      <c r="L1625" s="133">
        <v>2715</v>
      </c>
      <c r="M1625" s="150">
        <v>0.62084490740740739</v>
      </c>
      <c r="N1625" s="150">
        <v>0.62351851851851847</v>
      </c>
      <c r="O1625" t="s">
        <v>172</v>
      </c>
      <c r="Q1625">
        <v>2531403</v>
      </c>
      <c r="R1625">
        <v>2531403</v>
      </c>
      <c r="S1625">
        <v>0</v>
      </c>
      <c r="T1625">
        <v>0</v>
      </c>
      <c r="U1625" t="s">
        <v>173</v>
      </c>
      <c r="V1625">
        <v>0</v>
      </c>
      <c r="W1625" t="s">
        <v>174</v>
      </c>
      <c r="X1625">
        <v>0</v>
      </c>
      <c r="Z1625" t="s">
        <v>173</v>
      </c>
      <c r="AA1625" t="s">
        <v>173</v>
      </c>
    </row>
    <row r="1626" spans="1:27" x14ac:dyDescent="0.3">
      <c r="A1626">
        <v>1625</v>
      </c>
      <c r="B1626" t="s">
        <v>169</v>
      </c>
      <c r="C1626">
        <v>99019875</v>
      </c>
      <c r="D1626" s="7" t="s">
        <v>122</v>
      </c>
      <c r="E1626" t="s">
        <v>123</v>
      </c>
      <c r="F1626" t="s">
        <v>170</v>
      </c>
      <c r="G1626" t="s">
        <v>171</v>
      </c>
      <c r="H1626">
        <v>19</v>
      </c>
      <c r="I1626">
        <v>0</v>
      </c>
      <c r="J1626">
        <v>19</v>
      </c>
      <c r="K1626" s="133">
        <v>36035</v>
      </c>
      <c r="L1626" s="133">
        <v>36035</v>
      </c>
      <c r="M1626" s="150">
        <v>0.62084490740740739</v>
      </c>
      <c r="N1626" s="150">
        <v>0.6209027777777778</v>
      </c>
      <c r="O1626" t="s">
        <v>172</v>
      </c>
      <c r="Q1626">
        <v>2531404</v>
      </c>
      <c r="R1626">
        <v>2531404</v>
      </c>
      <c r="S1626">
        <v>0</v>
      </c>
      <c r="T1626">
        <v>0</v>
      </c>
      <c r="U1626" t="s">
        <v>173</v>
      </c>
      <c r="V1626">
        <v>0</v>
      </c>
      <c r="W1626" t="s">
        <v>174</v>
      </c>
      <c r="X1626">
        <v>0</v>
      </c>
      <c r="Z1626" t="s">
        <v>173</v>
      </c>
      <c r="AA1626" t="s">
        <v>173</v>
      </c>
    </row>
    <row r="1627" spans="1:27" x14ac:dyDescent="0.3">
      <c r="A1627">
        <v>1626</v>
      </c>
      <c r="B1627" t="s">
        <v>169</v>
      </c>
      <c r="C1627">
        <v>99019875</v>
      </c>
      <c r="D1627" s="7" t="s">
        <v>98</v>
      </c>
      <c r="E1627" t="s">
        <v>99</v>
      </c>
      <c r="F1627" t="s">
        <v>170</v>
      </c>
      <c r="G1627" t="s">
        <v>171</v>
      </c>
      <c r="H1627">
        <v>39</v>
      </c>
      <c r="I1627">
        <v>0</v>
      </c>
      <c r="J1627">
        <v>39</v>
      </c>
      <c r="K1627" s="133">
        <v>14255</v>
      </c>
      <c r="L1627" s="133">
        <v>14255</v>
      </c>
      <c r="M1627" s="150">
        <v>0.62084490740740739</v>
      </c>
      <c r="N1627" s="150">
        <v>0.62111111111111106</v>
      </c>
      <c r="O1627" t="s">
        <v>172</v>
      </c>
      <c r="Q1627">
        <v>2531405</v>
      </c>
      <c r="R1627">
        <v>2531405</v>
      </c>
      <c r="S1627">
        <v>0</v>
      </c>
      <c r="T1627">
        <v>0</v>
      </c>
      <c r="U1627" t="s">
        <v>173</v>
      </c>
      <c r="V1627">
        <v>0</v>
      </c>
      <c r="W1627" t="s">
        <v>174</v>
      </c>
      <c r="X1627">
        <v>0</v>
      </c>
      <c r="Z1627" t="s">
        <v>173</v>
      </c>
      <c r="AA1627" t="s">
        <v>173</v>
      </c>
    </row>
    <row r="1628" spans="1:27" x14ac:dyDescent="0.3">
      <c r="A1628">
        <v>1627</v>
      </c>
      <c r="B1628" t="s">
        <v>169</v>
      </c>
      <c r="C1628">
        <v>99019875</v>
      </c>
      <c r="D1628" s="7" t="s">
        <v>77</v>
      </c>
      <c r="E1628" t="s">
        <v>78</v>
      </c>
      <c r="F1628" t="s">
        <v>170</v>
      </c>
      <c r="G1628" t="s">
        <v>171</v>
      </c>
      <c r="H1628">
        <v>73</v>
      </c>
      <c r="I1628">
        <v>0</v>
      </c>
      <c r="J1628">
        <v>73</v>
      </c>
      <c r="K1628" s="133">
        <v>7340</v>
      </c>
      <c r="L1628" s="133">
        <v>7340</v>
      </c>
      <c r="M1628" s="150">
        <v>0.62084490740740739</v>
      </c>
      <c r="N1628" s="150">
        <v>0.62115740740740744</v>
      </c>
      <c r="O1628" t="s">
        <v>172</v>
      </c>
      <c r="Q1628">
        <v>2531406</v>
      </c>
      <c r="R1628">
        <v>2531406</v>
      </c>
      <c r="S1628">
        <v>0</v>
      </c>
      <c r="T1628">
        <v>0</v>
      </c>
      <c r="U1628" t="s">
        <v>173</v>
      </c>
      <c r="V1628">
        <v>0</v>
      </c>
      <c r="W1628" t="s">
        <v>174</v>
      </c>
      <c r="X1628">
        <v>0</v>
      </c>
      <c r="Z1628" t="s">
        <v>173</v>
      </c>
      <c r="AA1628" t="s">
        <v>173</v>
      </c>
    </row>
    <row r="1629" spans="1:27" x14ac:dyDescent="0.3">
      <c r="A1629">
        <v>1628</v>
      </c>
      <c r="B1629" t="s">
        <v>169</v>
      </c>
      <c r="C1629">
        <v>99019875</v>
      </c>
      <c r="D1629" s="7" t="s">
        <v>140</v>
      </c>
      <c r="E1629" t="s">
        <v>178</v>
      </c>
      <c r="F1629" t="s">
        <v>170</v>
      </c>
      <c r="G1629" t="s">
        <v>171</v>
      </c>
      <c r="H1629">
        <v>20</v>
      </c>
      <c r="I1629">
        <v>0</v>
      </c>
      <c r="J1629">
        <v>20</v>
      </c>
      <c r="K1629" s="133">
        <v>8635</v>
      </c>
      <c r="L1629" s="133">
        <v>8635</v>
      </c>
      <c r="M1629" s="150">
        <v>0.62084490740740739</v>
      </c>
      <c r="N1629" s="150">
        <v>0.62126157407407401</v>
      </c>
      <c r="O1629" t="s">
        <v>172</v>
      </c>
      <c r="Q1629">
        <v>2531411</v>
      </c>
      <c r="R1629">
        <v>2531411</v>
      </c>
      <c r="S1629">
        <v>0</v>
      </c>
      <c r="T1629">
        <v>0</v>
      </c>
      <c r="U1629" t="s">
        <v>173</v>
      </c>
      <c r="V1629">
        <v>0</v>
      </c>
      <c r="W1629" t="s">
        <v>174</v>
      </c>
      <c r="X1629">
        <v>0</v>
      </c>
      <c r="Z1629" t="s">
        <v>173</v>
      </c>
      <c r="AA1629" t="s">
        <v>173</v>
      </c>
    </row>
    <row r="1630" spans="1:27" x14ac:dyDescent="0.3">
      <c r="A1630">
        <v>1629</v>
      </c>
      <c r="B1630" t="s">
        <v>169</v>
      </c>
      <c r="C1630">
        <v>99019875</v>
      </c>
      <c r="D1630" s="7" t="s">
        <v>69</v>
      </c>
      <c r="E1630" t="s">
        <v>70</v>
      </c>
      <c r="F1630" t="s">
        <v>170</v>
      </c>
      <c r="G1630" t="s">
        <v>171</v>
      </c>
      <c r="H1630">
        <v>17</v>
      </c>
      <c r="I1630">
        <v>0</v>
      </c>
      <c r="J1630">
        <v>17</v>
      </c>
      <c r="K1630" s="133">
        <v>10235</v>
      </c>
      <c r="L1630" s="133">
        <v>10235</v>
      </c>
      <c r="M1630" s="150">
        <v>0.62084490740740739</v>
      </c>
      <c r="N1630" s="150">
        <v>0.62086805555555558</v>
      </c>
      <c r="O1630" t="s">
        <v>172</v>
      </c>
      <c r="Q1630">
        <v>2531412</v>
      </c>
      <c r="R1630">
        <v>2531412</v>
      </c>
      <c r="S1630">
        <v>0</v>
      </c>
      <c r="T1630">
        <v>0</v>
      </c>
      <c r="U1630" t="s">
        <v>173</v>
      </c>
      <c r="V1630">
        <v>0</v>
      </c>
      <c r="W1630" t="s">
        <v>174</v>
      </c>
      <c r="X1630">
        <v>0</v>
      </c>
      <c r="Z1630" t="s">
        <v>173</v>
      </c>
      <c r="AA1630" t="s">
        <v>173</v>
      </c>
    </row>
    <row r="1631" spans="1:27" x14ac:dyDescent="0.3">
      <c r="A1631">
        <v>1630</v>
      </c>
      <c r="B1631" t="s">
        <v>169</v>
      </c>
      <c r="C1631">
        <v>99019875</v>
      </c>
      <c r="D1631" s="7" t="s">
        <v>110</v>
      </c>
      <c r="E1631" t="s">
        <v>179</v>
      </c>
      <c r="F1631" t="s">
        <v>170</v>
      </c>
      <c r="G1631" t="s">
        <v>177</v>
      </c>
      <c r="H1631">
        <v>4</v>
      </c>
      <c r="I1631">
        <v>0</v>
      </c>
      <c r="J1631">
        <v>4</v>
      </c>
      <c r="K1631" s="133">
        <v>48430</v>
      </c>
      <c r="L1631" s="133">
        <v>48430</v>
      </c>
      <c r="M1631" s="150">
        <v>0.6209027777777778</v>
      </c>
      <c r="N1631" s="150">
        <v>0.62122685185185189</v>
      </c>
      <c r="O1631" t="s">
        <v>172</v>
      </c>
      <c r="Q1631">
        <v>2531572</v>
      </c>
      <c r="R1631">
        <v>2531572</v>
      </c>
      <c r="S1631">
        <v>2529695</v>
      </c>
      <c r="T1631">
        <v>0</v>
      </c>
      <c r="U1631" t="s">
        <v>173</v>
      </c>
      <c r="V1631">
        <v>0</v>
      </c>
      <c r="W1631" t="s">
        <v>174</v>
      </c>
      <c r="X1631">
        <v>2529695</v>
      </c>
      <c r="Z1631" t="s">
        <v>173</v>
      </c>
      <c r="AA1631" t="s">
        <v>173</v>
      </c>
    </row>
    <row r="1632" spans="1:27" x14ac:dyDescent="0.3">
      <c r="A1632">
        <v>1631</v>
      </c>
      <c r="B1632" t="s">
        <v>169</v>
      </c>
      <c r="C1632">
        <v>99019875</v>
      </c>
      <c r="D1632" s="7" t="s">
        <v>110</v>
      </c>
      <c r="E1632" t="s">
        <v>179</v>
      </c>
      <c r="F1632" t="s">
        <v>170</v>
      </c>
      <c r="G1632" t="s">
        <v>177</v>
      </c>
      <c r="H1632">
        <v>3</v>
      </c>
      <c r="I1632">
        <v>0</v>
      </c>
      <c r="J1632">
        <v>3</v>
      </c>
      <c r="K1632" s="133">
        <v>48430</v>
      </c>
      <c r="L1632" s="133">
        <v>48430</v>
      </c>
      <c r="M1632" s="150">
        <v>0.6209027777777778</v>
      </c>
      <c r="N1632" s="150">
        <v>0.62122685185185189</v>
      </c>
      <c r="O1632" t="s">
        <v>172</v>
      </c>
      <c r="Q1632">
        <v>2531573</v>
      </c>
      <c r="R1632">
        <v>2531573</v>
      </c>
      <c r="S1632">
        <v>2530551</v>
      </c>
      <c r="T1632">
        <v>0</v>
      </c>
      <c r="U1632" t="s">
        <v>173</v>
      </c>
      <c r="V1632">
        <v>0</v>
      </c>
      <c r="W1632" t="s">
        <v>174</v>
      </c>
      <c r="X1632">
        <v>2530551</v>
      </c>
      <c r="Z1632" t="s">
        <v>173</v>
      </c>
      <c r="AA1632" t="s">
        <v>173</v>
      </c>
    </row>
    <row r="1633" spans="1:27" x14ac:dyDescent="0.3">
      <c r="A1633">
        <v>1632</v>
      </c>
      <c r="B1633" t="s">
        <v>169</v>
      </c>
      <c r="C1633">
        <v>99019875</v>
      </c>
      <c r="D1633" s="7" t="s">
        <v>110</v>
      </c>
      <c r="E1633" t="s">
        <v>179</v>
      </c>
      <c r="F1633" t="s">
        <v>170</v>
      </c>
      <c r="G1633" t="s">
        <v>177</v>
      </c>
      <c r="H1633">
        <v>3</v>
      </c>
      <c r="I1633">
        <v>0</v>
      </c>
      <c r="J1633">
        <v>3</v>
      </c>
      <c r="K1633" s="133">
        <v>48430</v>
      </c>
      <c r="L1633" s="133">
        <v>48430</v>
      </c>
      <c r="M1633" s="150">
        <v>0.6209027777777778</v>
      </c>
      <c r="N1633" s="150">
        <v>0.62122685185185189</v>
      </c>
      <c r="O1633" t="s">
        <v>172</v>
      </c>
      <c r="Q1633">
        <v>2531574</v>
      </c>
      <c r="R1633">
        <v>2531574</v>
      </c>
      <c r="S1633">
        <v>2531399</v>
      </c>
      <c r="T1633">
        <v>0</v>
      </c>
      <c r="U1633" t="s">
        <v>173</v>
      </c>
      <c r="V1633">
        <v>0</v>
      </c>
      <c r="W1633" t="s">
        <v>174</v>
      </c>
      <c r="X1633">
        <v>2531399</v>
      </c>
      <c r="Z1633" t="s">
        <v>173</v>
      </c>
      <c r="AA1633" t="s">
        <v>173</v>
      </c>
    </row>
    <row r="1634" spans="1:27" x14ac:dyDescent="0.3">
      <c r="A1634">
        <v>1633</v>
      </c>
      <c r="B1634" t="s">
        <v>169</v>
      </c>
      <c r="C1634">
        <v>99019875</v>
      </c>
      <c r="D1634" s="7" t="s">
        <v>128</v>
      </c>
      <c r="E1634" t="s">
        <v>129</v>
      </c>
      <c r="F1634" t="s">
        <v>170</v>
      </c>
      <c r="G1634" t="s">
        <v>171</v>
      </c>
      <c r="H1634">
        <v>1</v>
      </c>
      <c r="I1634">
        <v>0</v>
      </c>
      <c r="J1634">
        <v>1</v>
      </c>
      <c r="K1634" s="133">
        <v>6505</v>
      </c>
      <c r="L1634" s="133">
        <v>6505</v>
      </c>
      <c r="M1634" s="150">
        <v>0.62094907407407407</v>
      </c>
      <c r="N1634" s="150">
        <v>0.62118055555555551</v>
      </c>
      <c r="O1634" t="s">
        <v>172</v>
      </c>
      <c r="Q1634">
        <v>2531687</v>
      </c>
      <c r="R1634">
        <v>2531687</v>
      </c>
      <c r="S1634">
        <v>0</v>
      </c>
      <c r="T1634">
        <v>0</v>
      </c>
      <c r="U1634" t="s">
        <v>173</v>
      </c>
      <c r="V1634">
        <v>0</v>
      </c>
      <c r="W1634" t="s">
        <v>174</v>
      </c>
      <c r="X1634">
        <v>0</v>
      </c>
      <c r="Z1634" t="s">
        <v>173</v>
      </c>
      <c r="AA1634" t="s">
        <v>173</v>
      </c>
    </row>
    <row r="1635" spans="1:27" x14ac:dyDescent="0.3">
      <c r="A1635">
        <v>1634</v>
      </c>
      <c r="B1635" t="s">
        <v>169</v>
      </c>
      <c r="C1635">
        <v>99019875</v>
      </c>
      <c r="D1635" s="7" t="s">
        <v>102</v>
      </c>
      <c r="E1635" t="s">
        <v>103</v>
      </c>
      <c r="F1635" t="s">
        <v>170</v>
      </c>
      <c r="G1635" t="s">
        <v>177</v>
      </c>
      <c r="H1635">
        <v>53</v>
      </c>
      <c r="I1635">
        <v>0</v>
      </c>
      <c r="J1635">
        <v>53</v>
      </c>
      <c r="K1635" s="133">
        <v>26785</v>
      </c>
      <c r="L1635" s="133">
        <v>26785</v>
      </c>
      <c r="M1635" s="150">
        <v>0.62097222222222226</v>
      </c>
      <c r="N1635" s="150">
        <v>0.62112268518518521</v>
      </c>
      <c r="O1635" t="s">
        <v>172</v>
      </c>
      <c r="Q1635">
        <v>2531751</v>
      </c>
      <c r="R1635">
        <v>2531751</v>
      </c>
      <c r="S1635">
        <v>2531395</v>
      </c>
      <c r="T1635">
        <v>0</v>
      </c>
      <c r="U1635" t="s">
        <v>173</v>
      </c>
      <c r="V1635">
        <v>0</v>
      </c>
      <c r="W1635" t="s">
        <v>174</v>
      </c>
      <c r="X1635">
        <v>2531395</v>
      </c>
      <c r="Z1635" t="s">
        <v>173</v>
      </c>
      <c r="AA1635" t="s">
        <v>173</v>
      </c>
    </row>
    <row r="1636" spans="1:27" x14ac:dyDescent="0.3">
      <c r="A1636">
        <v>1635</v>
      </c>
      <c r="B1636" t="s">
        <v>169</v>
      </c>
      <c r="C1636">
        <v>99019875</v>
      </c>
      <c r="D1636" s="7" t="s">
        <v>106</v>
      </c>
      <c r="E1636" t="s">
        <v>107</v>
      </c>
      <c r="F1636" t="s">
        <v>170</v>
      </c>
      <c r="G1636" t="s">
        <v>171</v>
      </c>
      <c r="H1636">
        <v>1</v>
      </c>
      <c r="I1636">
        <v>0</v>
      </c>
      <c r="J1636">
        <v>1</v>
      </c>
      <c r="K1636" s="133">
        <v>3510</v>
      </c>
      <c r="L1636" s="133">
        <v>3510</v>
      </c>
      <c r="M1636" s="150">
        <v>0.62097222222222226</v>
      </c>
      <c r="N1636" s="150">
        <v>0.62349537037037039</v>
      </c>
      <c r="O1636" t="s">
        <v>172</v>
      </c>
      <c r="Q1636">
        <v>2531761</v>
      </c>
      <c r="R1636">
        <v>2531761</v>
      </c>
      <c r="S1636">
        <v>0</v>
      </c>
      <c r="T1636">
        <v>0</v>
      </c>
      <c r="U1636" t="s">
        <v>173</v>
      </c>
      <c r="V1636">
        <v>0</v>
      </c>
      <c r="W1636" t="s">
        <v>174</v>
      </c>
      <c r="X1636">
        <v>0</v>
      </c>
      <c r="Z1636" t="s">
        <v>173</v>
      </c>
      <c r="AA1636" t="s">
        <v>173</v>
      </c>
    </row>
    <row r="1637" spans="1:27" x14ac:dyDescent="0.3">
      <c r="A1637">
        <v>1636</v>
      </c>
      <c r="B1637" t="s">
        <v>169</v>
      </c>
      <c r="C1637">
        <v>99019875</v>
      </c>
      <c r="D1637" s="7" t="s">
        <v>96</v>
      </c>
      <c r="E1637" t="s">
        <v>97</v>
      </c>
      <c r="F1637" t="s">
        <v>170</v>
      </c>
      <c r="G1637" t="s">
        <v>177</v>
      </c>
      <c r="H1637">
        <v>27</v>
      </c>
      <c r="I1637">
        <v>0</v>
      </c>
      <c r="J1637">
        <v>27</v>
      </c>
      <c r="K1637" s="133">
        <v>8300</v>
      </c>
      <c r="L1637" s="133">
        <v>8300</v>
      </c>
      <c r="M1637" s="150">
        <v>0.62097222222222226</v>
      </c>
      <c r="N1637" s="150">
        <v>0.62100694444444449</v>
      </c>
      <c r="O1637" t="s">
        <v>172</v>
      </c>
      <c r="Q1637">
        <v>2531769</v>
      </c>
      <c r="R1637">
        <v>2531769</v>
      </c>
      <c r="S1637">
        <v>2530567</v>
      </c>
      <c r="T1637">
        <v>0</v>
      </c>
      <c r="U1637" t="s">
        <v>173</v>
      </c>
      <c r="V1637">
        <v>0</v>
      </c>
      <c r="W1637" t="s">
        <v>174</v>
      </c>
      <c r="X1637">
        <v>2530567</v>
      </c>
      <c r="Z1637" t="s">
        <v>173</v>
      </c>
      <c r="AA1637" t="s">
        <v>173</v>
      </c>
    </row>
    <row r="1638" spans="1:27" x14ac:dyDescent="0.3">
      <c r="A1638">
        <v>1637</v>
      </c>
      <c r="B1638" t="s">
        <v>169</v>
      </c>
      <c r="C1638">
        <v>99019875</v>
      </c>
      <c r="D1638" s="7" t="s">
        <v>96</v>
      </c>
      <c r="E1638" t="s">
        <v>97</v>
      </c>
      <c r="F1638" t="s">
        <v>170</v>
      </c>
      <c r="G1638" t="s">
        <v>177</v>
      </c>
      <c r="H1638">
        <v>27</v>
      </c>
      <c r="I1638">
        <v>0</v>
      </c>
      <c r="J1638">
        <v>27</v>
      </c>
      <c r="K1638" s="133">
        <v>8300</v>
      </c>
      <c r="L1638" s="133">
        <v>8300</v>
      </c>
      <c r="M1638" s="150">
        <v>0.62097222222222226</v>
      </c>
      <c r="N1638" s="150">
        <v>0.62107638888888894</v>
      </c>
      <c r="O1638" t="s">
        <v>172</v>
      </c>
      <c r="Q1638">
        <v>2531770</v>
      </c>
      <c r="R1638">
        <v>2531770</v>
      </c>
      <c r="S1638">
        <v>2531410</v>
      </c>
      <c r="T1638">
        <v>0</v>
      </c>
      <c r="U1638" t="s">
        <v>173</v>
      </c>
      <c r="V1638">
        <v>0</v>
      </c>
      <c r="W1638" t="s">
        <v>174</v>
      </c>
      <c r="X1638">
        <v>2531410</v>
      </c>
      <c r="Z1638" t="s">
        <v>173</v>
      </c>
      <c r="AA1638" t="s">
        <v>173</v>
      </c>
    </row>
    <row r="1639" spans="1:27" x14ac:dyDescent="0.3">
      <c r="A1639">
        <v>1638</v>
      </c>
      <c r="B1639" t="s">
        <v>169</v>
      </c>
      <c r="C1639">
        <v>99019875</v>
      </c>
      <c r="D1639" s="7" t="s">
        <v>81</v>
      </c>
      <c r="E1639" t="s">
        <v>82</v>
      </c>
      <c r="F1639" t="s">
        <v>176</v>
      </c>
      <c r="G1639" t="s">
        <v>177</v>
      </c>
      <c r="H1639">
        <v>63</v>
      </c>
      <c r="I1639">
        <v>0</v>
      </c>
      <c r="J1639">
        <v>63</v>
      </c>
      <c r="K1639" s="133">
        <v>36365</v>
      </c>
      <c r="L1639" s="133">
        <v>36365</v>
      </c>
      <c r="M1639" s="150">
        <v>0.62105324074074075</v>
      </c>
      <c r="N1639" s="150">
        <v>0.62127314814814816</v>
      </c>
      <c r="O1639" t="s">
        <v>172</v>
      </c>
      <c r="Q1639">
        <v>2532041</v>
      </c>
      <c r="R1639">
        <v>2532041</v>
      </c>
      <c r="S1639">
        <v>2531957</v>
      </c>
      <c r="T1639">
        <v>0</v>
      </c>
      <c r="U1639" t="s">
        <v>173</v>
      </c>
      <c r="V1639">
        <v>0</v>
      </c>
      <c r="W1639" t="s">
        <v>174</v>
      </c>
      <c r="X1639">
        <v>2531957</v>
      </c>
      <c r="Z1639" t="s">
        <v>173</v>
      </c>
      <c r="AA1639" t="s">
        <v>173</v>
      </c>
    </row>
    <row r="1640" spans="1:27" x14ac:dyDescent="0.3">
      <c r="A1640">
        <v>1639</v>
      </c>
      <c r="B1640" t="s">
        <v>169</v>
      </c>
      <c r="C1640">
        <v>99019875</v>
      </c>
      <c r="D1640" s="7" t="s">
        <v>81</v>
      </c>
      <c r="E1640" t="s">
        <v>82</v>
      </c>
      <c r="F1640" t="s">
        <v>176</v>
      </c>
      <c r="G1640" t="s">
        <v>177</v>
      </c>
      <c r="H1640">
        <v>75</v>
      </c>
      <c r="I1640">
        <v>0</v>
      </c>
      <c r="J1640">
        <v>75</v>
      </c>
      <c r="K1640" s="133">
        <v>36365</v>
      </c>
      <c r="L1640" s="133">
        <v>36365</v>
      </c>
      <c r="M1640" s="150">
        <v>0.62105324074074075</v>
      </c>
      <c r="N1640" s="150">
        <v>0.62127314814814816</v>
      </c>
      <c r="O1640" t="s">
        <v>172</v>
      </c>
      <c r="Q1640">
        <v>2532042</v>
      </c>
      <c r="R1640">
        <v>2532042</v>
      </c>
      <c r="S1640">
        <v>2531958</v>
      </c>
      <c r="T1640">
        <v>0</v>
      </c>
      <c r="U1640" t="s">
        <v>173</v>
      </c>
      <c r="V1640">
        <v>0</v>
      </c>
      <c r="W1640" t="s">
        <v>174</v>
      </c>
      <c r="X1640">
        <v>2531958</v>
      </c>
      <c r="Z1640" t="s">
        <v>173</v>
      </c>
      <c r="AA1640" t="s">
        <v>173</v>
      </c>
    </row>
    <row r="1641" spans="1:27" x14ac:dyDescent="0.3">
      <c r="A1641">
        <v>1640</v>
      </c>
      <c r="B1641" t="s">
        <v>169</v>
      </c>
      <c r="C1641">
        <v>99019875</v>
      </c>
      <c r="D1641" s="7" t="s">
        <v>81</v>
      </c>
      <c r="E1641" t="s">
        <v>82</v>
      </c>
      <c r="F1641" t="s">
        <v>176</v>
      </c>
      <c r="G1641" t="s">
        <v>177</v>
      </c>
      <c r="H1641">
        <v>76</v>
      </c>
      <c r="I1641">
        <v>0</v>
      </c>
      <c r="J1641">
        <v>76</v>
      </c>
      <c r="K1641" s="133">
        <v>36365</v>
      </c>
      <c r="L1641" s="133">
        <v>36365</v>
      </c>
      <c r="M1641" s="150">
        <v>0.62105324074074075</v>
      </c>
      <c r="N1641" s="150">
        <v>0.62127314814814816</v>
      </c>
      <c r="O1641" t="s">
        <v>172</v>
      </c>
      <c r="Q1641">
        <v>2532043</v>
      </c>
      <c r="R1641">
        <v>2532043</v>
      </c>
      <c r="S1641">
        <v>2531959</v>
      </c>
      <c r="T1641">
        <v>0</v>
      </c>
      <c r="U1641" t="s">
        <v>173</v>
      </c>
      <c r="V1641">
        <v>0</v>
      </c>
      <c r="W1641" t="s">
        <v>174</v>
      </c>
      <c r="X1641">
        <v>2531959</v>
      </c>
      <c r="Z1641" t="s">
        <v>173</v>
      </c>
      <c r="AA1641" t="s">
        <v>173</v>
      </c>
    </row>
    <row r="1642" spans="1:27" x14ac:dyDescent="0.3">
      <c r="A1642">
        <v>1641</v>
      </c>
      <c r="B1642" t="s">
        <v>169</v>
      </c>
      <c r="C1642">
        <v>99019875</v>
      </c>
      <c r="D1642" s="7" t="s">
        <v>81</v>
      </c>
      <c r="E1642" t="s">
        <v>82</v>
      </c>
      <c r="F1642" t="s">
        <v>176</v>
      </c>
      <c r="G1642" t="s">
        <v>177</v>
      </c>
      <c r="H1642">
        <v>75</v>
      </c>
      <c r="I1642">
        <v>0</v>
      </c>
      <c r="J1642">
        <v>75</v>
      </c>
      <c r="K1642" s="133">
        <v>36365</v>
      </c>
      <c r="L1642" s="133">
        <v>36365</v>
      </c>
      <c r="M1642" s="150">
        <v>0.62105324074074075</v>
      </c>
      <c r="N1642" s="150">
        <v>0.62127314814814816</v>
      </c>
      <c r="O1642" t="s">
        <v>172</v>
      </c>
      <c r="Q1642">
        <v>2532044</v>
      </c>
      <c r="R1642">
        <v>2532044</v>
      </c>
      <c r="S1642">
        <v>2531960</v>
      </c>
      <c r="T1642">
        <v>0</v>
      </c>
      <c r="U1642" t="s">
        <v>173</v>
      </c>
      <c r="V1642">
        <v>0</v>
      </c>
      <c r="W1642" t="s">
        <v>174</v>
      </c>
      <c r="X1642">
        <v>2531960</v>
      </c>
      <c r="Z1642" t="s">
        <v>173</v>
      </c>
      <c r="AA1642" t="s">
        <v>173</v>
      </c>
    </row>
    <row r="1643" spans="1:27" x14ac:dyDescent="0.3">
      <c r="A1643">
        <v>1642</v>
      </c>
      <c r="B1643" t="s">
        <v>169</v>
      </c>
      <c r="C1643">
        <v>99019875</v>
      </c>
      <c r="D1643" s="7" t="s">
        <v>81</v>
      </c>
      <c r="E1643" t="s">
        <v>82</v>
      </c>
      <c r="F1643" t="s">
        <v>176</v>
      </c>
      <c r="G1643" t="s">
        <v>177</v>
      </c>
      <c r="H1643">
        <v>75</v>
      </c>
      <c r="I1643">
        <v>0</v>
      </c>
      <c r="J1643">
        <v>75</v>
      </c>
      <c r="K1643" s="133">
        <v>36365</v>
      </c>
      <c r="L1643" s="133">
        <v>36365</v>
      </c>
      <c r="M1643" s="150">
        <v>0.62105324074074075</v>
      </c>
      <c r="N1643" s="150">
        <v>0.62127314814814816</v>
      </c>
      <c r="O1643" t="s">
        <v>172</v>
      </c>
      <c r="Q1643">
        <v>2532045</v>
      </c>
      <c r="R1643">
        <v>2532045</v>
      </c>
      <c r="S1643">
        <v>2531961</v>
      </c>
      <c r="T1643">
        <v>0</v>
      </c>
      <c r="U1643" t="s">
        <v>173</v>
      </c>
      <c r="V1643">
        <v>0</v>
      </c>
      <c r="W1643" t="s">
        <v>174</v>
      </c>
      <c r="X1643">
        <v>2531961</v>
      </c>
      <c r="Z1643" t="s">
        <v>173</v>
      </c>
      <c r="AA1643" t="s">
        <v>173</v>
      </c>
    </row>
    <row r="1644" spans="1:27" x14ac:dyDescent="0.3">
      <c r="A1644">
        <v>1643</v>
      </c>
      <c r="B1644" t="s">
        <v>169</v>
      </c>
      <c r="C1644">
        <v>99019875</v>
      </c>
      <c r="D1644" s="7" t="s">
        <v>114</v>
      </c>
      <c r="E1644" t="s">
        <v>115</v>
      </c>
      <c r="F1644" t="s">
        <v>176</v>
      </c>
      <c r="G1644" t="s">
        <v>177</v>
      </c>
      <c r="H1644">
        <v>66</v>
      </c>
      <c r="I1644">
        <v>0</v>
      </c>
      <c r="J1644">
        <v>66</v>
      </c>
      <c r="K1644" s="133">
        <v>53735</v>
      </c>
      <c r="L1644" s="133">
        <v>53735</v>
      </c>
      <c r="M1644" s="150">
        <v>0.62105324074074075</v>
      </c>
      <c r="N1644" s="150">
        <v>0.62130787037037039</v>
      </c>
      <c r="O1644" t="s">
        <v>172</v>
      </c>
      <c r="Q1644">
        <v>2532063</v>
      </c>
      <c r="R1644">
        <v>2532063</v>
      </c>
      <c r="S1644">
        <v>2531875</v>
      </c>
      <c r="T1644">
        <v>0</v>
      </c>
      <c r="U1644" t="s">
        <v>173</v>
      </c>
      <c r="V1644">
        <v>0</v>
      </c>
      <c r="W1644" t="s">
        <v>174</v>
      </c>
      <c r="X1644">
        <v>2531875</v>
      </c>
      <c r="Z1644" t="s">
        <v>173</v>
      </c>
      <c r="AA1644" t="s">
        <v>173</v>
      </c>
    </row>
    <row r="1645" spans="1:27" x14ac:dyDescent="0.3">
      <c r="A1645">
        <v>1644</v>
      </c>
      <c r="B1645" t="s">
        <v>169</v>
      </c>
      <c r="C1645">
        <v>99019875</v>
      </c>
      <c r="D1645" s="7" t="s">
        <v>114</v>
      </c>
      <c r="E1645" t="s">
        <v>115</v>
      </c>
      <c r="F1645" t="s">
        <v>176</v>
      </c>
      <c r="G1645" t="s">
        <v>177</v>
      </c>
      <c r="H1645">
        <v>65</v>
      </c>
      <c r="I1645">
        <v>0</v>
      </c>
      <c r="J1645">
        <v>65</v>
      </c>
      <c r="K1645" s="133">
        <v>53735</v>
      </c>
      <c r="L1645" s="133">
        <v>53735</v>
      </c>
      <c r="M1645" s="150">
        <v>0.62105324074074075</v>
      </c>
      <c r="N1645" s="150">
        <v>0.62130787037037039</v>
      </c>
      <c r="O1645" t="s">
        <v>172</v>
      </c>
      <c r="Q1645">
        <v>2532064</v>
      </c>
      <c r="R1645">
        <v>2532064</v>
      </c>
      <c r="S1645">
        <v>2531876</v>
      </c>
      <c r="T1645">
        <v>0</v>
      </c>
      <c r="U1645" t="s">
        <v>173</v>
      </c>
      <c r="V1645">
        <v>0</v>
      </c>
      <c r="W1645" t="s">
        <v>174</v>
      </c>
      <c r="X1645">
        <v>2531876</v>
      </c>
      <c r="Z1645" t="s">
        <v>173</v>
      </c>
      <c r="AA1645" t="s">
        <v>173</v>
      </c>
    </row>
    <row r="1646" spans="1:27" x14ac:dyDescent="0.3">
      <c r="A1646">
        <v>1645</v>
      </c>
      <c r="B1646" t="s">
        <v>169</v>
      </c>
      <c r="C1646">
        <v>99019875</v>
      </c>
      <c r="D1646" s="7" t="s">
        <v>62</v>
      </c>
      <c r="E1646" t="s">
        <v>63</v>
      </c>
      <c r="F1646" t="s">
        <v>176</v>
      </c>
      <c r="G1646" t="s">
        <v>177</v>
      </c>
      <c r="H1646">
        <v>87</v>
      </c>
      <c r="I1646">
        <v>0</v>
      </c>
      <c r="J1646">
        <v>87</v>
      </c>
      <c r="K1646" s="133">
        <v>33990</v>
      </c>
      <c r="L1646" s="133">
        <v>33990</v>
      </c>
      <c r="M1646" s="150">
        <v>0.62105324074074075</v>
      </c>
      <c r="N1646" s="150">
        <v>0.62107638888888894</v>
      </c>
      <c r="O1646" t="s">
        <v>172</v>
      </c>
      <c r="Q1646">
        <v>2532065</v>
      </c>
      <c r="R1646">
        <v>2532065</v>
      </c>
      <c r="S1646">
        <v>2531956</v>
      </c>
      <c r="T1646">
        <v>0</v>
      </c>
      <c r="U1646" t="s">
        <v>173</v>
      </c>
      <c r="V1646">
        <v>0</v>
      </c>
      <c r="W1646" t="s">
        <v>174</v>
      </c>
      <c r="X1646">
        <v>2531956</v>
      </c>
      <c r="Z1646" t="s">
        <v>173</v>
      </c>
      <c r="AA1646" t="s">
        <v>173</v>
      </c>
    </row>
    <row r="1647" spans="1:27" x14ac:dyDescent="0.3">
      <c r="A1647">
        <v>1646</v>
      </c>
      <c r="B1647" t="s">
        <v>169</v>
      </c>
      <c r="C1647">
        <v>99019875</v>
      </c>
      <c r="D1647" s="7" t="s">
        <v>120</v>
      </c>
      <c r="E1647" t="s">
        <v>121</v>
      </c>
      <c r="F1647" t="s">
        <v>176</v>
      </c>
      <c r="G1647" t="s">
        <v>177</v>
      </c>
      <c r="H1647">
        <v>1</v>
      </c>
      <c r="I1647">
        <v>0</v>
      </c>
      <c r="J1647">
        <v>1</v>
      </c>
      <c r="K1647" s="133">
        <v>22925</v>
      </c>
      <c r="L1647" s="133">
        <v>22925</v>
      </c>
      <c r="M1647" s="150">
        <v>0.62107638888888894</v>
      </c>
      <c r="N1647" s="150">
        <v>0.6214467592592593</v>
      </c>
      <c r="O1647" t="s">
        <v>172</v>
      </c>
      <c r="Q1647">
        <v>2532192</v>
      </c>
      <c r="R1647">
        <v>2532192</v>
      </c>
      <c r="S1647">
        <v>2530115</v>
      </c>
      <c r="T1647">
        <v>0</v>
      </c>
      <c r="U1647" t="s">
        <v>173</v>
      </c>
      <c r="V1647">
        <v>0</v>
      </c>
      <c r="W1647" t="s">
        <v>174</v>
      </c>
      <c r="X1647">
        <v>2530115</v>
      </c>
      <c r="Z1647" t="s">
        <v>173</v>
      </c>
      <c r="AA1647" t="s">
        <v>173</v>
      </c>
    </row>
    <row r="1648" spans="1:27" x14ac:dyDescent="0.3">
      <c r="A1648">
        <v>1647</v>
      </c>
      <c r="B1648" t="s">
        <v>169</v>
      </c>
      <c r="C1648">
        <v>99019875</v>
      </c>
      <c r="D1648" s="7" t="s">
        <v>114</v>
      </c>
      <c r="E1648" t="s">
        <v>115</v>
      </c>
      <c r="F1648" t="s">
        <v>176</v>
      </c>
      <c r="G1648" t="s">
        <v>171</v>
      </c>
      <c r="H1648">
        <v>66</v>
      </c>
      <c r="I1648">
        <v>0</v>
      </c>
      <c r="J1648">
        <v>66</v>
      </c>
      <c r="K1648" s="133">
        <v>53735</v>
      </c>
      <c r="L1648" s="133">
        <v>53735</v>
      </c>
      <c r="M1648" s="150">
        <v>0.62113425925925925</v>
      </c>
      <c r="N1648" s="150">
        <v>0.62130787037037039</v>
      </c>
      <c r="O1648" t="s">
        <v>172</v>
      </c>
      <c r="Q1648">
        <v>2532369</v>
      </c>
      <c r="R1648">
        <v>2532369</v>
      </c>
      <c r="S1648">
        <v>0</v>
      </c>
      <c r="T1648">
        <v>0</v>
      </c>
      <c r="U1648" t="s">
        <v>173</v>
      </c>
      <c r="V1648">
        <v>0</v>
      </c>
      <c r="W1648" t="s">
        <v>174</v>
      </c>
      <c r="X1648">
        <v>0</v>
      </c>
      <c r="Z1648" t="s">
        <v>173</v>
      </c>
      <c r="AA1648" t="s">
        <v>173</v>
      </c>
    </row>
    <row r="1649" spans="1:27" x14ac:dyDescent="0.3">
      <c r="A1649">
        <v>1648</v>
      </c>
      <c r="B1649" t="s">
        <v>169</v>
      </c>
      <c r="C1649">
        <v>99019875</v>
      </c>
      <c r="D1649" s="7" t="s">
        <v>62</v>
      </c>
      <c r="E1649" t="s">
        <v>63</v>
      </c>
      <c r="F1649" t="s">
        <v>176</v>
      </c>
      <c r="G1649" t="s">
        <v>171</v>
      </c>
      <c r="H1649">
        <v>89</v>
      </c>
      <c r="I1649">
        <v>0</v>
      </c>
      <c r="J1649">
        <v>89</v>
      </c>
      <c r="K1649" s="133">
        <v>34000</v>
      </c>
      <c r="L1649" s="133">
        <v>34000</v>
      </c>
      <c r="M1649" s="150">
        <v>0.62113425925925925</v>
      </c>
      <c r="N1649" s="150">
        <v>0.62118055555555551</v>
      </c>
      <c r="O1649" t="s">
        <v>172</v>
      </c>
      <c r="Q1649">
        <v>2532370</v>
      </c>
      <c r="R1649">
        <v>2532370</v>
      </c>
      <c r="S1649">
        <v>0</v>
      </c>
      <c r="T1649">
        <v>0</v>
      </c>
      <c r="U1649" t="s">
        <v>173</v>
      </c>
      <c r="V1649">
        <v>0</v>
      </c>
      <c r="W1649" t="s">
        <v>174</v>
      </c>
      <c r="X1649">
        <v>0</v>
      </c>
      <c r="Z1649" t="s">
        <v>173</v>
      </c>
      <c r="AA1649" t="s">
        <v>173</v>
      </c>
    </row>
    <row r="1650" spans="1:27" x14ac:dyDescent="0.3">
      <c r="A1650">
        <v>1649</v>
      </c>
      <c r="B1650" t="s">
        <v>169</v>
      </c>
      <c r="C1650">
        <v>99019875</v>
      </c>
      <c r="D1650" s="7" t="s">
        <v>81</v>
      </c>
      <c r="E1650" t="s">
        <v>82</v>
      </c>
      <c r="F1650" t="s">
        <v>176</v>
      </c>
      <c r="G1650" t="s">
        <v>171</v>
      </c>
      <c r="H1650">
        <v>75</v>
      </c>
      <c r="I1650">
        <v>0</v>
      </c>
      <c r="J1650">
        <v>75</v>
      </c>
      <c r="K1650" s="133">
        <v>36365</v>
      </c>
      <c r="L1650" s="133">
        <v>36365</v>
      </c>
      <c r="M1650" s="150">
        <v>0.62113425925925925</v>
      </c>
      <c r="N1650" s="150">
        <v>0.62127314814814816</v>
      </c>
      <c r="O1650" t="s">
        <v>172</v>
      </c>
      <c r="Q1650">
        <v>2532371</v>
      </c>
      <c r="R1650">
        <v>2532371</v>
      </c>
      <c r="S1650">
        <v>0</v>
      </c>
      <c r="T1650">
        <v>0</v>
      </c>
      <c r="U1650" t="s">
        <v>173</v>
      </c>
      <c r="V1650">
        <v>0</v>
      </c>
      <c r="W1650" t="s">
        <v>174</v>
      </c>
      <c r="X1650">
        <v>0</v>
      </c>
      <c r="Z1650" t="s">
        <v>173</v>
      </c>
      <c r="AA1650" t="s">
        <v>173</v>
      </c>
    </row>
    <row r="1651" spans="1:27" x14ac:dyDescent="0.3">
      <c r="A1651">
        <v>1650</v>
      </c>
      <c r="B1651" t="s">
        <v>169</v>
      </c>
      <c r="C1651">
        <v>99019875</v>
      </c>
      <c r="D1651" s="7" t="s">
        <v>75</v>
      </c>
      <c r="E1651" t="s">
        <v>76</v>
      </c>
      <c r="F1651" t="s">
        <v>170</v>
      </c>
      <c r="G1651" t="s">
        <v>171</v>
      </c>
      <c r="H1651">
        <v>83</v>
      </c>
      <c r="I1651">
        <v>0</v>
      </c>
      <c r="J1651">
        <v>83</v>
      </c>
      <c r="K1651" s="133">
        <v>20755</v>
      </c>
      <c r="L1651" s="133">
        <v>20755</v>
      </c>
      <c r="M1651" s="150">
        <v>0.62113425925925925</v>
      </c>
      <c r="N1651" s="150">
        <v>0.6219675925925926</v>
      </c>
      <c r="O1651" t="s">
        <v>172</v>
      </c>
      <c r="Q1651">
        <v>2532372</v>
      </c>
      <c r="R1651">
        <v>2532372</v>
      </c>
      <c r="S1651">
        <v>0</v>
      </c>
      <c r="T1651">
        <v>0</v>
      </c>
      <c r="U1651" t="s">
        <v>173</v>
      </c>
      <c r="V1651">
        <v>0</v>
      </c>
      <c r="W1651" t="s">
        <v>174</v>
      </c>
      <c r="X1651">
        <v>0</v>
      </c>
      <c r="Z1651" t="s">
        <v>173</v>
      </c>
      <c r="AA1651" t="s">
        <v>173</v>
      </c>
    </row>
    <row r="1652" spans="1:27" x14ac:dyDescent="0.3">
      <c r="A1652">
        <v>1651</v>
      </c>
      <c r="B1652" t="s">
        <v>169</v>
      </c>
      <c r="C1652">
        <v>99019875</v>
      </c>
      <c r="D1652" s="7" t="s">
        <v>102</v>
      </c>
      <c r="E1652" t="s">
        <v>103</v>
      </c>
      <c r="F1652" t="s">
        <v>170</v>
      </c>
      <c r="G1652" t="s">
        <v>171</v>
      </c>
      <c r="H1652">
        <v>53</v>
      </c>
      <c r="I1652">
        <v>0</v>
      </c>
      <c r="J1652">
        <v>53</v>
      </c>
      <c r="K1652" s="133">
        <v>26780</v>
      </c>
      <c r="L1652" s="133">
        <v>26780</v>
      </c>
      <c r="M1652" s="150">
        <v>0.62113425925925925</v>
      </c>
      <c r="N1652" s="150">
        <v>0.62127314814814816</v>
      </c>
      <c r="O1652" t="s">
        <v>172</v>
      </c>
      <c r="Q1652">
        <v>2532373</v>
      </c>
      <c r="R1652">
        <v>2532373</v>
      </c>
      <c r="S1652">
        <v>0</v>
      </c>
      <c r="T1652">
        <v>0</v>
      </c>
      <c r="U1652" t="s">
        <v>173</v>
      </c>
      <c r="V1652">
        <v>0</v>
      </c>
      <c r="W1652" t="s">
        <v>174</v>
      </c>
      <c r="X1652">
        <v>0</v>
      </c>
      <c r="Z1652" t="s">
        <v>173</v>
      </c>
      <c r="AA1652" t="s">
        <v>173</v>
      </c>
    </row>
    <row r="1653" spans="1:27" x14ac:dyDescent="0.3">
      <c r="A1653">
        <v>1652</v>
      </c>
      <c r="B1653" t="s">
        <v>169</v>
      </c>
      <c r="C1653">
        <v>99019875</v>
      </c>
      <c r="D1653" s="7" t="s">
        <v>67</v>
      </c>
      <c r="E1653" t="s">
        <v>68</v>
      </c>
      <c r="F1653" t="s">
        <v>170</v>
      </c>
      <c r="G1653" t="s">
        <v>171</v>
      </c>
      <c r="H1653">
        <v>35</v>
      </c>
      <c r="I1653">
        <v>0</v>
      </c>
      <c r="J1653">
        <v>35</v>
      </c>
      <c r="K1653" s="133">
        <v>4795</v>
      </c>
      <c r="L1653" s="133">
        <v>4795</v>
      </c>
      <c r="M1653" s="150">
        <v>0.62113425925925925</v>
      </c>
      <c r="N1653" s="150">
        <v>0.62326388888888895</v>
      </c>
      <c r="O1653" t="s">
        <v>172</v>
      </c>
      <c r="Q1653">
        <v>2532374</v>
      </c>
      <c r="R1653">
        <v>2532374</v>
      </c>
      <c r="S1653">
        <v>0</v>
      </c>
      <c r="T1653">
        <v>0</v>
      </c>
      <c r="U1653" t="s">
        <v>173</v>
      </c>
      <c r="V1653">
        <v>0</v>
      </c>
      <c r="W1653" t="s">
        <v>174</v>
      </c>
      <c r="X1653">
        <v>0</v>
      </c>
      <c r="Z1653" t="s">
        <v>173</v>
      </c>
      <c r="AA1653" t="s">
        <v>173</v>
      </c>
    </row>
    <row r="1654" spans="1:27" x14ac:dyDescent="0.3">
      <c r="A1654">
        <v>1653</v>
      </c>
      <c r="B1654" t="s">
        <v>169</v>
      </c>
      <c r="C1654">
        <v>99019875</v>
      </c>
      <c r="D1654" s="7" t="s">
        <v>110</v>
      </c>
      <c r="E1654" t="s">
        <v>179</v>
      </c>
      <c r="F1654" t="s">
        <v>170</v>
      </c>
      <c r="G1654" t="s">
        <v>171</v>
      </c>
      <c r="H1654">
        <v>3</v>
      </c>
      <c r="I1654">
        <v>0</v>
      </c>
      <c r="J1654">
        <v>3</v>
      </c>
      <c r="K1654" s="133">
        <v>48430</v>
      </c>
      <c r="L1654" s="133">
        <v>48430</v>
      </c>
      <c r="M1654" s="150">
        <v>0.62113425925925925</v>
      </c>
      <c r="N1654" s="150">
        <v>0.62122685185185189</v>
      </c>
      <c r="O1654" t="s">
        <v>172</v>
      </c>
      <c r="Q1654">
        <v>2532375</v>
      </c>
      <c r="R1654">
        <v>2532375</v>
      </c>
      <c r="S1654">
        <v>0</v>
      </c>
      <c r="T1654">
        <v>0</v>
      </c>
      <c r="U1654" t="s">
        <v>173</v>
      </c>
      <c r="V1654">
        <v>0</v>
      </c>
      <c r="W1654" t="s">
        <v>174</v>
      </c>
      <c r="X1654">
        <v>0</v>
      </c>
      <c r="Z1654" t="s">
        <v>173</v>
      </c>
      <c r="AA1654" t="s">
        <v>173</v>
      </c>
    </row>
    <row r="1655" spans="1:27" x14ac:dyDescent="0.3">
      <c r="A1655">
        <v>1654</v>
      </c>
      <c r="B1655" t="s">
        <v>169</v>
      </c>
      <c r="C1655">
        <v>99019875</v>
      </c>
      <c r="D1655" s="7" t="s">
        <v>100</v>
      </c>
      <c r="E1655" t="s">
        <v>101</v>
      </c>
      <c r="F1655" t="s">
        <v>170</v>
      </c>
      <c r="G1655" t="s">
        <v>171</v>
      </c>
      <c r="H1655">
        <v>5</v>
      </c>
      <c r="I1655">
        <v>0</v>
      </c>
      <c r="J1655">
        <v>5</v>
      </c>
      <c r="K1655" s="133">
        <v>15505</v>
      </c>
      <c r="L1655" s="133">
        <v>15505</v>
      </c>
      <c r="M1655" s="150">
        <v>0.62113425925925925</v>
      </c>
      <c r="N1655" s="150">
        <v>0.62237268518518518</v>
      </c>
      <c r="O1655" t="s">
        <v>172</v>
      </c>
      <c r="Q1655">
        <v>2532377</v>
      </c>
      <c r="R1655">
        <v>2532377</v>
      </c>
      <c r="S1655">
        <v>0</v>
      </c>
      <c r="T1655">
        <v>0</v>
      </c>
      <c r="U1655" t="s">
        <v>173</v>
      </c>
      <c r="V1655">
        <v>0</v>
      </c>
      <c r="W1655" t="s">
        <v>174</v>
      </c>
      <c r="X1655">
        <v>0</v>
      </c>
      <c r="Z1655" t="s">
        <v>173</v>
      </c>
      <c r="AA1655" t="s">
        <v>173</v>
      </c>
    </row>
    <row r="1656" spans="1:27" x14ac:dyDescent="0.3">
      <c r="A1656">
        <v>1655</v>
      </c>
      <c r="B1656" t="s">
        <v>169</v>
      </c>
      <c r="C1656">
        <v>99019875</v>
      </c>
      <c r="D1656" s="7" t="s">
        <v>108</v>
      </c>
      <c r="E1656" t="s">
        <v>109</v>
      </c>
      <c r="F1656" t="s">
        <v>170</v>
      </c>
      <c r="G1656" t="s">
        <v>171</v>
      </c>
      <c r="H1656">
        <v>23</v>
      </c>
      <c r="I1656">
        <v>0</v>
      </c>
      <c r="J1656">
        <v>23</v>
      </c>
      <c r="K1656" s="133">
        <v>2715</v>
      </c>
      <c r="L1656" s="133">
        <v>2715</v>
      </c>
      <c r="M1656" s="150">
        <v>0.62113425925925925</v>
      </c>
      <c r="N1656" s="150">
        <v>0.62351851851851847</v>
      </c>
      <c r="O1656" t="s">
        <v>172</v>
      </c>
      <c r="Q1656">
        <v>2532379</v>
      </c>
      <c r="R1656">
        <v>2532379</v>
      </c>
      <c r="S1656">
        <v>0</v>
      </c>
      <c r="T1656">
        <v>0</v>
      </c>
      <c r="U1656" t="s">
        <v>173</v>
      </c>
      <c r="V1656">
        <v>0</v>
      </c>
      <c r="W1656" t="s">
        <v>174</v>
      </c>
      <c r="X1656">
        <v>0</v>
      </c>
      <c r="Z1656" t="s">
        <v>173</v>
      </c>
      <c r="AA1656" t="s">
        <v>173</v>
      </c>
    </row>
    <row r="1657" spans="1:27" x14ac:dyDescent="0.3">
      <c r="A1657">
        <v>1656</v>
      </c>
      <c r="B1657" t="s">
        <v>169</v>
      </c>
      <c r="C1657">
        <v>99019875</v>
      </c>
      <c r="D1657" s="7" t="s">
        <v>122</v>
      </c>
      <c r="E1657" t="s">
        <v>123</v>
      </c>
      <c r="F1657" t="s">
        <v>170</v>
      </c>
      <c r="G1657" t="s">
        <v>171</v>
      </c>
      <c r="H1657">
        <v>20</v>
      </c>
      <c r="I1657">
        <v>0</v>
      </c>
      <c r="J1657">
        <v>20</v>
      </c>
      <c r="K1657" s="133">
        <v>36025</v>
      </c>
      <c r="L1657" s="133">
        <v>36025</v>
      </c>
      <c r="M1657" s="150">
        <v>0.62113425925925925</v>
      </c>
      <c r="N1657" s="150">
        <v>0.6211458333333334</v>
      </c>
      <c r="O1657" t="s">
        <v>172</v>
      </c>
      <c r="Q1657">
        <v>2532381</v>
      </c>
      <c r="R1657">
        <v>2532381</v>
      </c>
      <c r="S1657">
        <v>0</v>
      </c>
      <c r="T1657">
        <v>0</v>
      </c>
      <c r="U1657" t="s">
        <v>173</v>
      </c>
      <c r="V1657">
        <v>0</v>
      </c>
      <c r="W1657" t="s">
        <v>174</v>
      </c>
      <c r="X1657">
        <v>0</v>
      </c>
      <c r="Z1657" t="s">
        <v>173</v>
      </c>
      <c r="AA1657" t="s">
        <v>173</v>
      </c>
    </row>
    <row r="1658" spans="1:27" x14ac:dyDescent="0.3">
      <c r="A1658">
        <v>1657</v>
      </c>
      <c r="B1658" t="s">
        <v>169</v>
      </c>
      <c r="C1658">
        <v>99019875</v>
      </c>
      <c r="D1658" s="7" t="s">
        <v>77</v>
      </c>
      <c r="E1658" t="s">
        <v>78</v>
      </c>
      <c r="F1658" t="s">
        <v>170</v>
      </c>
      <c r="G1658" t="s">
        <v>171</v>
      </c>
      <c r="H1658">
        <v>73</v>
      </c>
      <c r="I1658">
        <v>0</v>
      </c>
      <c r="J1658">
        <v>73</v>
      </c>
      <c r="K1658" s="133">
        <v>7340</v>
      </c>
      <c r="L1658" s="133">
        <v>7340</v>
      </c>
      <c r="M1658" s="150">
        <v>0.62113425925925925</v>
      </c>
      <c r="N1658" s="150">
        <v>0.62145833333333333</v>
      </c>
      <c r="O1658" t="s">
        <v>172</v>
      </c>
      <c r="Q1658">
        <v>2532383</v>
      </c>
      <c r="R1658">
        <v>2532383</v>
      </c>
      <c r="S1658">
        <v>0</v>
      </c>
      <c r="T1658">
        <v>0</v>
      </c>
      <c r="U1658" t="s">
        <v>173</v>
      </c>
      <c r="V1658">
        <v>0</v>
      </c>
      <c r="W1658" t="s">
        <v>174</v>
      </c>
      <c r="X1658">
        <v>0</v>
      </c>
      <c r="Z1658" t="s">
        <v>173</v>
      </c>
      <c r="AA1658" t="s">
        <v>173</v>
      </c>
    </row>
    <row r="1659" spans="1:27" x14ac:dyDescent="0.3">
      <c r="A1659">
        <v>1658</v>
      </c>
      <c r="B1659" t="s">
        <v>169</v>
      </c>
      <c r="C1659">
        <v>99019875</v>
      </c>
      <c r="D1659" s="7" t="s">
        <v>96</v>
      </c>
      <c r="E1659" t="s">
        <v>97</v>
      </c>
      <c r="F1659" t="s">
        <v>170</v>
      </c>
      <c r="G1659" t="s">
        <v>171</v>
      </c>
      <c r="H1659">
        <v>27</v>
      </c>
      <c r="I1659">
        <v>0</v>
      </c>
      <c r="J1659">
        <v>27</v>
      </c>
      <c r="K1659" s="133">
        <v>8295</v>
      </c>
      <c r="L1659" s="133">
        <v>8295</v>
      </c>
      <c r="M1659" s="150">
        <v>0.62113425925925925</v>
      </c>
      <c r="N1659" s="150">
        <v>0.62115740740740744</v>
      </c>
      <c r="O1659" t="s">
        <v>172</v>
      </c>
      <c r="Q1659">
        <v>2532387</v>
      </c>
      <c r="R1659">
        <v>2532387</v>
      </c>
      <c r="S1659">
        <v>0</v>
      </c>
      <c r="T1659">
        <v>0</v>
      </c>
      <c r="U1659" t="s">
        <v>173</v>
      </c>
      <c r="V1659">
        <v>0</v>
      </c>
      <c r="W1659" t="s">
        <v>174</v>
      </c>
      <c r="X1659">
        <v>0</v>
      </c>
      <c r="Z1659" t="s">
        <v>173</v>
      </c>
      <c r="AA1659" t="s">
        <v>173</v>
      </c>
    </row>
    <row r="1660" spans="1:27" x14ac:dyDescent="0.3">
      <c r="A1660">
        <v>1659</v>
      </c>
      <c r="B1660" t="s">
        <v>169</v>
      </c>
      <c r="C1660">
        <v>99019875</v>
      </c>
      <c r="D1660" s="7" t="s">
        <v>140</v>
      </c>
      <c r="E1660" t="s">
        <v>178</v>
      </c>
      <c r="F1660" t="s">
        <v>170</v>
      </c>
      <c r="G1660" t="s">
        <v>171</v>
      </c>
      <c r="H1660">
        <v>20</v>
      </c>
      <c r="I1660">
        <v>0</v>
      </c>
      <c r="J1660">
        <v>20</v>
      </c>
      <c r="K1660" s="133">
        <v>8635</v>
      </c>
      <c r="L1660" s="133">
        <v>8635</v>
      </c>
      <c r="M1660" s="150">
        <v>0.62113425925925925</v>
      </c>
      <c r="N1660" s="150">
        <v>0.62126157407407401</v>
      </c>
      <c r="O1660" t="s">
        <v>172</v>
      </c>
      <c r="Q1660">
        <v>2532388</v>
      </c>
      <c r="R1660">
        <v>2532388</v>
      </c>
      <c r="S1660">
        <v>0</v>
      </c>
      <c r="T1660">
        <v>0</v>
      </c>
      <c r="U1660" t="s">
        <v>173</v>
      </c>
      <c r="V1660">
        <v>0</v>
      </c>
      <c r="W1660" t="s">
        <v>174</v>
      </c>
      <c r="X1660">
        <v>0</v>
      </c>
      <c r="Z1660" t="s">
        <v>173</v>
      </c>
      <c r="AA1660" t="s">
        <v>173</v>
      </c>
    </row>
    <row r="1661" spans="1:27" x14ac:dyDescent="0.3">
      <c r="A1661">
        <v>1660</v>
      </c>
      <c r="B1661" t="s">
        <v>169</v>
      </c>
      <c r="C1661">
        <v>99019875</v>
      </c>
      <c r="D1661" s="7" t="s">
        <v>69</v>
      </c>
      <c r="E1661" t="s">
        <v>70</v>
      </c>
      <c r="F1661" t="s">
        <v>170</v>
      </c>
      <c r="G1661" t="s">
        <v>171</v>
      </c>
      <c r="H1661">
        <v>17</v>
      </c>
      <c r="I1661">
        <v>0</v>
      </c>
      <c r="J1661">
        <v>17</v>
      </c>
      <c r="K1661" s="133">
        <v>10230</v>
      </c>
      <c r="L1661" s="133">
        <v>10230</v>
      </c>
      <c r="M1661" s="150">
        <v>0.62113425925925925</v>
      </c>
      <c r="N1661" s="150">
        <v>0.62121527777777774</v>
      </c>
      <c r="O1661" t="s">
        <v>172</v>
      </c>
      <c r="Q1661">
        <v>2532389</v>
      </c>
      <c r="R1661">
        <v>2532389</v>
      </c>
      <c r="S1661">
        <v>0</v>
      </c>
      <c r="T1661">
        <v>0</v>
      </c>
      <c r="U1661" t="s">
        <v>173</v>
      </c>
      <c r="V1661">
        <v>0</v>
      </c>
      <c r="W1661" t="s">
        <v>174</v>
      </c>
      <c r="X1661">
        <v>0</v>
      </c>
      <c r="Z1661" t="s">
        <v>173</v>
      </c>
      <c r="AA1661" t="s">
        <v>173</v>
      </c>
    </row>
    <row r="1662" spans="1:27" x14ac:dyDescent="0.3">
      <c r="A1662">
        <v>1661</v>
      </c>
      <c r="B1662" t="s">
        <v>169</v>
      </c>
      <c r="C1662">
        <v>99019875</v>
      </c>
      <c r="D1662" s="7" t="s">
        <v>71</v>
      </c>
      <c r="E1662" t="s">
        <v>72</v>
      </c>
      <c r="F1662" t="s">
        <v>176</v>
      </c>
      <c r="G1662" t="s">
        <v>177</v>
      </c>
      <c r="H1662">
        <v>18</v>
      </c>
      <c r="I1662">
        <v>0</v>
      </c>
      <c r="J1662">
        <v>18</v>
      </c>
      <c r="K1662" s="133">
        <v>18010</v>
      </c>
      <c r="L1662" s="133">
        <v>18010</v>
      </c>
      <c r="M1662" s="150">
        <v>0.62121527777777774</v>
      </c>
      <c r="N1662" s="150">
        <v>0.62209490740740747</v>
      </c>
      <c r="O1662" t="s">
        <v>172</v>
      </c>
      <c r="Q1662">
        <v>2532631</v>
      </c>
      <c r="R1662">
        <v>2532631</v>
      </c>
      <c r="S1662">
        <v>2530564</v>
      </c>
      <c r="T1662">
        <v>0</v>
      </c>
      <c r="U1662" t="s">
        <v>173</v>
      </c>
      <c r="V1662">
        <v>0</v>
      </c>
      <c r="W1662" t="s">
        <v>174</v>
      </c>
      <c r="X1662">
        <v>2530564</v>
      </c>
      <c r="Z1662" t="s">
        <v>173</v>
      </c>
      <c r="AA1662" t="s">
        <v>173</v>
      </c>
    </row>
    <row r="1663" spans="1:27" x14ac:dyDescent="0.3">
      <c r="A1663">
        <v>1662</v>
      </c>
      <c r="B1663" t="s">
        <v>169</v>
      </c>
      <c r="C1663">
        <v>99019875</v>
      </c>
      <c r="D1663" s="7" t="s">
        <v>71</v>
      </c>
      <c r="E1663" t="s">
        <v>72</v>
      </c>
      <c r="F1663" t="s">
        <v>176</v>
      </c>
      <c r="G1663" t="s">
        <v>177</v>
      </c>
      <c r="H1663">
        <v>18</v>
      </c>
      <c r="I1663">
        <v>0</v>
      </c>
      <c r="J1663">
        <v>14</v>
      </c>
      <c r="K1663" s="133">
        <v>18010</v>
      </c>
      <c r="L1663" s="133">
        <v>18010</v>
      </c>
      <c r="M1663" s="150">
        <v>0.62121527777777774</v>
      </c>
      <c r="N1663" s="150">
        <v>0.62210648148148151</v>
      </c>
      <c r="O1663" t="s">
        <v>172</v>
      </c>
      <c r="Q1663">
        <v>2532632</v>
      </c>
      <c r="R1663">
        <v>2532632</v>
      </c>
      <c r="S1663">
        <v>2531407</v>
      </c>
      <c r="T1663">
        <v>4</v>
      </c>
      <c r="U1663" t="s">
        <v>173</v>
      </c>
      <c r="V1663">
        <v>0</v>
      </c>
      <c r="W1663" t="s">
        <v>174</v>
      </c>
      <c r="X1663">
        <v>2531407</v>
      </c>
      <c r="Z1663" t="s">
        <v>173</v>
      </c>
      <c r="AA1663" t="s">
        <v>173</v>
      </c>
    </row>
    <row r="1664" spans="1:27" x14ac:dyDescent="0.3">
      <c r="A1664">
        <v>1663</v>
      </c>
      <c r="B1664" t="s">
        <v>169</v>
      </c>
      <c r="C1664">
        <v>99019875</v>
      </c>
      <c r="D1664" s="7" t="s">
        <v>89</v>
      </c>
      <c r="E1664" t="s">
        <v>90</v>
      </c>
      <c r="F1664" t="s">
        <v>176</v>
      </c>
      <c r="G1664" t="s">
        <v>177</v>
      </c>
      <c r="H1664">
        <v>8</v>
      </c>
      <c r="I1664">
        <v>0</v>
      </c>
      <c r="J1664">
        <v>5</v>
      </c>
      <c r="K1664" s="133">
        <v>3085</v>
      </c>
      <c r="L1664" s="133">
        <v>3085</v>
      </c>
      <c r="M1664" s="150">
        <v>0.62138888888888888</v>
      </c>
      <c r="N1664" s="150">
        <v>0.62333333333333341</v>
      </c>
      <c r="O1664" t="s">
        <v>172</v>
      </c>
      <c r="Q1664">
        <v>2533197</v>
      </c>
      <c r="R1664">
        <v>2533197</v>
      </c>
      <c r="S1664">
        <v>2527743</v>
      </c>
      <c r="T1664">
        <v>3</v>
      </c>
      <c r="U1664" t="s">
        <v>173</v>
      </c>
      <c r="V1664">
        <v>0</v>
      </c>
      <c r="W1664" t="s">
        <v>174</v>
      </c>
      <c r="X1664">
        <v>2527743</v>
      </c>
      <c r="Z1664" t="s">
        <v>173</v>
      </c>
      <c r="AA1664" t="s">
        <v>173</v>
      </c>
    </row>
    <row r="1665" spans="1:27" x14ac:dyDescent="0.3">
      <c r="A1665">
        <v>1664</v>
      </c>
      <c r="B1665" t="s">
        <v>169</v>
      </c>
      <c r="C1665">
        <v>99019875</v>
      </c>
      <c r="D1665" s="7" t="s">
        <v>114</v>
      </c>
      <c r="E1665" t="s">
        <v>115</v>
      </c>
      <c r="F1665" t="s">
        <v>176</v>
      </c>
      <c r="G1665" t="s">
        <v>171</v>
      </c>
      <c r="H1665">
        <v>65</v>
      </c>
      <c r="I1665">
        <v>0</v>
      </c>
      <c r="J1665">
        <v>1</v>
      </c>
      <c r="K1665" s="133">
        <v>53795</v>
      </c>
      <c r="L1665" s="133">
        <v>53795</v>
      </c>
      <c r="M1665" s="150">
        <v>0.62143518518518526</v>
      </c>
      <c r="N1665" s="150">
        <v>0.62170138888888882</v>
      </c>
      <c r="O1665" t="s">
        <v>172</v>
      </c>
      <c r="Q1665">
        <v>2533372</v>
      </c>
      <c r="R1665">
        <v>2533372</v>
      </c>
      <c r="S1665">
        <v>0</v>
      </c>
      <c r="T1665">
        <v>64</v>
      </c>
      <c r="U1665" t="s">
        <v>173</v>
      </c>
      <c r="V1665">
        <v>0</v>
      </c>
      <c r="W1665" t="s">
        <v>174</v>
      </c>
      <c r="X1665">
        <v>0</v>
      </c>
      <c r="Z1665" t="s">
        <v>173</v>
      </c>
      <c r="AA1665" t="s">
        <v>173</v>
      </c>
    </row>
    <row r="1666" spans="1:27" x14ac:dyDescent="0.3">
      <c r="A1666">
        <v>1665</v>
      </c>
      <c r="B1666" t="s">
        <v>169</v>
      </c>
      <c r="C1666">
        <v>99019875</v>
      </c>
      <c r="D1666" s="7" t="s">
        <v>62</v>
      </c>
      <c r="E1666" t="s">
        <v>63</v>
      </c>
      <c r="F1666" t="s">
        <v>176</v>
      </c>
      <c r="G1666" t="s">
        <v>171</v>
      </c>
      <c r="H1666">
        <v>88</v>
      </c>
      <c r="I1666">
        <v>0</v>
      </c>
      <c r="J1666">
        <v>88</v>
      </c>
      <c r="K1666" s="133">
        <v>34025</v>
      </c>
      <c r="L1666" s="133">
        <v>34025</v>
      </c>
      <c r="M1666" s="150">
        <v>0.62143518518518526</v>
      </c>
      <c r="N1666" s="150">
        <v>0.6214467592592593</v>
      </c>
      <c r="O1666" t="s">
        <v>172</v>
      </c>
      <c r="Q1666">
        <v>2533373</v>
      </c>
      <c r="R1666">
        <v>2533373</v>
      </c>
      <c r="S1666">
        <v>0</v>
      </c>
      <c r="T1666">
        <v>0</v>
      </c>
      <c r="U1666" t="s">
        <v>173</v>
      </c>
      <c r="V1666">
        <v>0</v>
      </c>
      <c r="W1666" t="s">
        <v>174</v>
      </c>
      <c r="X1666">
        <v>0</v>
      </c>
      <c r="Z1666" t="s">
        <v>173</v>
      </c>
      <c r="AA1666" t="s">
        <v>173</v>
      </c>
    </row>
    <row r="1667" spans="1:27" x14ac:dyDescent="0.3">
      <c r="A1667">
        <v>1666</v>
      </c>
      <c r="B1667" t="s">
        <v>169</v>
      </c>
      <c r="C1667">
        <v>99019875</v>
      </c>
      <c r="D1667" s="7" t="s">
        <v>75</v>
      </c>
      <c r="E1667" t="s">
        <v>76</v>
      </c>
      <c r="F1667" t="s">
        <v>170</v>
      </c>
      <c r="G1667" t="s">
        <v>171</v>
      </c>
      <c r="H1667">
        <v>82</v>
      </c>
      <c r="I1667">
        <v>0</v>
      </c>
      <c r="J1667">
        <v>82</v>
      </c>
      <c r="K1667" s="133">
        <v>20755</v>
      </c>
      <c r="L1667" s="133">
        <v>20755</v>
      </c>
      <c r="M1667" s="150">
        <v>0.62143518518518526</v>
      </c>
      <c r="N1667" s="150">
        <v>0.6219675925925926</v>
      </c>
      <c r="O1667" t="s">
        <v>172</v>
      </c>
      <c r="Q1667">
        <v>2533375</v>
      </c>
      <c r="R1667">
        <v>2533375</v>
      </c>
      <c r="S1667">
        <v>0</v>
      </c>
      <c r="T1667">
        <v>0</v>
      </c>
      <c r="U1667" t="s">
        <v>173</v>
      </c>
      <c r="V1667">
        <v>0</v>
      </c>
      <c r="W1667" t="s">
        <v>174</v>
      </c>
      <c r="X1667">
        <v>0</v>
      </c>
      <c r="Z1667" t="s">
        <v>173</v>
      </c>
      <c r="AA1667" t="s">
        <v>173</v>
      </c>
    </row>
    <row r="1668" spans="1:27" x14ac:dyDescent="0.3">
      <c r="A1668">
        <v>1667</v>
      </c>
      <c r="B1668" t="s">
        <v>169</v>
      </c>
      <c r="C1668">
        <v>99019875</v>
      </c>
      <c r="D1668" s="7" t="s">
        <v>67</v>
      </c>
      <c r="E1668" t="s">
        <v>68</v>
      </c>
      <c r="F1668" t="s">
        <v>170</v>
      </c>
      <c r="G1668" t="s">
        <v>171</v>
      </c>
      <c r="H1668">
        <v>35</v>
      </c>
      <c r="I1668">
        <v>0</v>
      </c>
      <c r="J1668">
        <v>35</v>
      </c>
      <c r="K1668" s="133">
        <v>4795</v>
      </c>
      <c r="L1668" s="133">
        <v>4795</v>
      </c>
      <c r="M1668" s="150">
        <v>0.62143518518518526</v>
      </c>
      <c r="N1668" s="150">
        <v>0.62326388888888895</v>
      </c>
      <c r="O1668" t="s">
        <v>172</v>
      </c>
      <c r="Q1668">
        <v>2533377</v>
      </c>
      <c r="R1668">
        <v>2533377</v>
      </c>
      <c r="S1668">
        <v>0</v>
      </c>
      <c r="T1668">
        <v>0</v>
      </c>
      <c r="U1668" t="s">
        <v>173</v>
      </c>
      <c r="V1668">
        <v>0</v>
      </c>
      <c r="W1668" t="s">
        <v>174</v>
      </c>
      <c r="X1668">
        <v>0</v>
      </c>
      <c r="Z1668" t="s">
        <v>173</v>
      </c>
      <c r="AA1668" t="s">
        <v>173</v>
      </c>
    </row>
    <row r="1669" spans="1:27" x14ac:dyDescent="0.3">
      <c r="A1669">
        <v>1668</v>
      </c>
      <c r="B1669" t="s">
        <v>169</v>
      </c>
      <c r="C1669">
        <v>99019875</v>
      </c>
      <c r="D1669" s="7" t="s">
        <v>110</v>
      </c>
      <c r="E1669" t="s">
        <v>179</v>
      </c>
      <c r="F1669" t="s">
        <v>170</v>
      </c>
      <c r="G1669" t="s">
        <v>171</v>
      </c>
      <c r="H1669">
        <v>3</v>
      </c>
      <c r="I1669">
        <v>0</v>
      </c>
      <c r="J1669">
        <v>3</v>
      </c>
      <c r="K1669" s="133">
        <v>48425</v>
      </c>
      <c r="L1669" s="133">
        <v>48425</v>
      </c>
      <c r="M1669" s="150">
        <v>0.62143518518518526</v>
      </c>
      <c r="N1669" s="150">
        <v>0.62177083333333327</v>
      </c>
      <c r="O1669" t="s">
        <v>172</v>
      </c>
      <c r="Q1669">
        <v>2533378</v>
      </c>
      <c r="R1669">
        <v>2533378</v>
      </c>
      <c r="S1669">
        <v>0</v>
      </c>
      <c r="T1669">
        <v>0</v>
      </c>
      <c r="U1669" t="s">
        <v>173</v>
      </c>
      <c r="V1669">
        <v>0</v>
      </c>
      <c r="W1669" t="s">
        <v>174</v>
      </c>
      <c r="X1669">
        <v>0</v>
      </c>
      <c r="Z1669" t="s">
        <v>173</v>
      </c>
      <c r="AA1669" t="s">
        <v>173</v>
      </c>
    </row>
    <row r="1670" spans="1:27" x14ac:dyDescent="0.3">
      <c r="A1670">
        <v>1669</v>
      </c>
      <c r="B1670" t="s">
        <v>169</v>
      </c>
      <c r="C1670">
        <v>99019875</v>
      </c>
      <c r="D1670" s="7" t="s">
        <v>100</v>
      </c>
      <c r="E1670" t="s">
        <v>101</v>
      </c>
      <c r="F1670" t="s">
        <v>170</v>
      </c>
      <c r="G1670" t="s">
        <v>171</v>
      </c>
      <c r="H1670">
        <v>5</v>
      </c>
      <c r="I1670">
        <v>0</v>
      </c>
      <c r="J1670">
        <v>5</v>
      </c>
      <c r="K1670" s="133">
        <v>15505</v>
      </c>
      <c r="L1670" s="133">
        <v>15505</v>
      </c>
      <c r="M1670" s="150">
        <v>0.62143518518518526</v>
      </c>
      <c r="N1670" s="150">
        <v>0.62237268518518518</v>
      </c>
      <c r="O1670" t="s">
        <v>172</v>
      </c>
      <c r="Q1670">
        <v>2533380</v>
      </c>
      <c r="R1670">
        <v>2533380</v>
      </c>
      <c r="S1670">
        <v>0</v>
      </c>
      <c r="T1670">
        <v>0</v>
      </c>
      <c r="U1670" t="s">
        <v>173</v>
      </c>
      <c r="V1670">
        <v>0</v>
      </c>
      <c r="W1670" t="s">
        <v>174</v>
      </c>
      <c r="X1670">
        <v>0</v>
      </c>
      <c r="Z1670" t="s">
        <v>173</v>
      </c>
      <c r="AA1670" t="s">
        <v>173</v>
      </c>
    </row>
    <row r="1671" spans="1:27" x14ac:dyDescent="0.3">
      <c r="A1671">
        <v>1670</v>
      </c>
      <c r="B1671" t="s">
        <v>169</v>
      </c>
      <c r="C1671">
        <v>99019875</v>
      </c>
      <c r="D1671" s="7" t="s">
        <v>108</v>
      </c>
      <c r="E1671" t="s">
        <v>109</v>
      </c>
      <c r="F1671" t="s">
        <v>170</v>
      </c>
      <c r="G1671" t="s">
        <v>171</v>
      </c>
      <c r="H1671">
        <v>24</v>
      </c>
      <c r="I1671">
        <v>0</v>
      </c>
      <c r="J1671">
        <v>24</v>
      </c>
      <c r="K1671" s="133">
        <v>2715</v>
      </c>
      <c r="L1671" s="133">
        <v>2715</v>
      </c>
      <c r="M1671" s="150">
        <v>0.62143518518518526</v>
      </c>
      <c r="N1671" s="150">
        <v>0.62351851851851847</v>
      </c>
      <c r="O1671" t="s">
        <v>172</v>
      </c>
      <c r="Q1671">
        <v>2533382</v>
      </c>
      <c r="R1671">
        <v>2533382</v>
      </c>
      <c r="S1671">
        <v>0</v>
      </c>
      <c r="T1671">
        <v>0</v>
      </c>
      <c r="U1671" t="s">
        <v>173</v>
      </c>
      <c r="V1671">
        <v>0</v>
      </c>
      <c r="W1671" t="s">
        <v>174</v>
      </c>
      <c r="X1671">
        <v>0</v>
      </c>
      <c r="Z1671" t="s">
        <v>173</v>
      </c>
      <c r="AA1671" t="s">
        <v>173</v>
      </c>
    </row>
    <row r="1672" spans="1:27" x14ac:dyDescent="0.3">
      <c r="A1672">
        <v>1671</v>
      </c>
      <c r="B1672" t="s">
        <v>169</v>
      </c>
      <c r="C1672">
        <v>99019875</v>
      </c>
      <c r="D1672" s="7" t="s">
        <v>77</v>
      </c>
      <c r="E1672" t="s">
        <v>78</v>
      </c>
      <c r="F1672" t="s">
        <v>170</v>
      </c>
      <c r="G1672" t="s">
        <v>171</v>
      </c>
      <c r="H1672">
        <v>73</v>
      </c>
      <c r="I1672">
        <v>0</v>
      </c>
      <c r="J1672">
        <v>73</v>
      </c>
      <c r="K1672" s="133">
        <v>7340</v>
      </c>
      <c r="L1672" s="133">
        <v>7340</v>
      </c>
      <c r="M1672" s="150">
        <v>0.62143518518518526</v>
      </c>
      <c r="N1672" s="150">
        <v>0.62148148148148141</v>
      </c>
      <c r="O1672" t="s">
        <v>172</v>
      </c>
      <c r="Q1672">
        <v>2533385</v>
      </c>
      <c r="R1672">
        <v>2533385</v>
      </c>
      <c r="S1672">
        <v>0</v>
      </c>
      <c r="T1672">
        <v>0</v>
      </c>
      <c r="U1672" t="s">
        <v>173</v>
      </c>
      <c r="V1672">
        <v>0</v>
      </c>
      <c r="W1672" t="s">
        <v>174</v>
      </c>
      <c r="X1672">
        <v>0</v>
      </c>
      <c r="Z1672" t="s">
        <v>173</v>
      </c>
      <c r="AA1672" t="s">
        <v>173</v>
      </c>
    </row>
    <row r="1673" spans="1:27" x14ac:dyDescent="0.3">
      <c r="A1673">
        <v>1672</v>
      </c>
      <c r="B1673" t="s">
        <v>169</v>
      </c>
      <c r="C1673">
        <v>99019875</v>
      </c>
      <c r="D1673" s="7" t="s">
        <v>69</v>
      </c>
      <c r="E1673" t="s">
        <v>70</v>
      </c>
      <c r="F1673" t="s">
        <v>170</v>
      </c>
      <c r="G1673" t="s">
        <v>171</v>
      </c>
      <c r="H1673">
        <v>16</v>
      </c>
      <c r="I1673">
        <v>0</v>
      </c>
      <c r="J1673">
        <v>16</v>
      </c>
      <c r="K1673" s="133">
        <v>10230</v>
      </c>
      <c r="L1673" s="133">
        <v>10230</v>
      </c>
      <c r="M1673" s="150">
        <v>0.62143518518518526</v>
      </c>
      <c r="N1673" s="150">
        <v>0.62155092592592587</v>
      </c>
      <c r="O1673" t="s">
        <v>172</v>
      </c>
      <c r="Q1673">
        <v>2533391</v>
      </c>
      <c r="R1673">
        <v>2533391</v>
      </c>
      <c r="S1673">
        <v>0</v>
      </c>
      <c r="T1673">
        <v>0</v>
      </c>
      <c r="U1673" t="s">
        <v>173</v>
      </c>
      <c r="V1673">
        <v>0</v>
      </c>
      <c r="W1673" t="s">
        <v>174</v>
      </c>
      <c r="X1673">
        <v>0</v>
      </c>
      <c r="Z1673" t="s">
        <v>173</v>
      </c>
      <c r="AA1673" t="s">
        <v>173</v>
      </c>
    </row>
    <row r="1674" spans="1:27" x14ac:dyDescent="0.3">
      <c r="A1674">
        <v>1673</v>
      </c>
      <c r="B1674" t="s">
        <v>169</v>
      </c>
      <c r="C1674">
        <v>99019875</v>
      </c>
      <c r="D1674" s="7" t="s">
        <v>140</v>
      </c>
      <c r="E1674" t="s">
        <v>178</v>
      </c>
      <c r="F1674" t="s">
        <v>170</v>
      </c>
      <c r="G1674" t="s">
        <v>177</v>
      </c>
      <c r="H1674">
        <v>20</v>
      </c>
      <c r="I1674">
        <v>0</v>
      </c>
      <c r="J1674">
        <v>20</v>
      </c>
      <c r="K1674" s="133">
        <v>8635</v>
      </c>
      <c r="L1674" s="133">
        <v>8635</v>
      </c>
      <c r="M1674" s="150">
        <v>0.62145833333333333</v>
      </c>
      <c r="N1674" s="150">
        <v>0.62159722222222225</v>
      </c>
      <c r="O1674" t="s">
        <v>172</v>
      </c>
      <c r="Q1674">
        <v>2533483</v>
      </c>
      <c r="R1674">
        <v>2533483</v>
      </c>
      <c r="S1674">
        <v>2533390</v>
      </c>
      <c r="T1674">
        <v>0</v>
      </c>
      <c r="U1674" t="s">
        <v>173</v>
      </c>
      <c r="V1674">
        <v>0</v>
      </c>
      <c r="W1674" t="s">
        <v>174</v>
      </c>
      <c r="X1674">
        <v>2533390</v>
      </c>
      <c r="Z1674" t="s">
        <v>173</v>
      </c>
      <c r="AA1674" t="s">
        <v>173</v>
      </c>
    </row>
    <row r="1675" spans="1:27" x14ac:dyDescent="0.3">
      <c r="A1675">
        <v>1674</v>
      </c>
      <c r="B1675" t="s">
        <v>169</v>
      </c>
      <c r="C1675">
        <v>99019875</v>
      </c>
      <c r="D1675" s="7" t="s">
        <v>106</v>
      </c>
      <c r="E1675" t="s">
        <v>107</v>
      </c>
      <c r="F1675" t="s">
        <v>170</v>
      </c>
      <c r="G1675" t="s">
        <v>171</v>
      </c>
      <c r="H1675">
        <v>1</v>
      </c>
      <c r="I1675">
        <v>0</v>
      </c>
      <c r="J1675">
        <v>1</v>
      </c>
      <c r="K1675" s="133">
        <v>3510</v>
      </c>
      <c r="L1675" s="133">
        <v>3510</v>
      </c>
      <c r="M1675" s="150">
        <v>0.62146990740740737</v>
      </c>
      <c r="N1675" s="150">
        <v>0.62349537037037039</v>
      </c>
      <c r="O1675" t="s">
        <v>172</v>
      </c>
      <c r="Q1675">
        <v>2533508</v>
      </c>
      <c r="R1675">
        <v>2533508</v>
      </c>
      <c r="S1675">
        <v>0</v>
      </c>
      <c r="T1675">
        <v>0</v>
      </c>
      <c r="U1675" t="s">
        <v>173</v>
      </c>
      <c r="V1675">
        <v>0</v>
      </c>
      <c r="W1675" t="s">
        <v>174</v>
      </c>
      <c r="X1675">
        <v>0</v>
      </c>
      <c r="Z1675" t="s">
        <v>173</v>
      </c>
      <c r="AA1675" t="s">
        <v>173</v>
      </c>
    </row>
    <row r="1676" spans="1:27" x14ac:dyDescent="0.3">
      <c r="A1676">
        <v>1675</v>
      </c>
      <c r="B1676" t="s">
        <v>169</v>
      </c>
      <c r="C1676">
        <v>99019875</v>
      </c>
      <c r="D1676" s="7" t="s">
        <v>122</v>
      </c>
      <c r="E1676" t="s">
        <v>123</v>
      </c>
      <c r="F1676" t="s">
        <v>170</v>
      </c>
      <c r="G1676" t="s">
        <v>177</v>
      </c>
      <c r="H1676">
        <v>19</v>
      </c>
      <c r="I1676">
        <v>0</v>
      </c>
      <c r="J1676">
        <v>19</v>
      </c>
      <c r="K1676" s="133">
        <v>36015</v>
      </c>
      <c r="L1676" s="133">
        <v>36015</v>
      </c>
      <c r="M1676" s="150">
        <v>0.62156250000000002</v>
      </c>
      <c r="N1676" s="150">
        <v>0.62353009259259262</v>
      </c>
      <c r="O1676" t="s">
        <v>172</v>
      </c>
      <c r="Q1676">
        <v>2533796</v>
      </c>
      <c r="R1676">
        <v>2533796</v>
      </c>
      <c r="S1676">
        <v>2533383</v>
      </c>
      <c r="T1676">
        <v>0</v>
      </c>
      <c r="U1676" t="s">
        <v>173</v>
      </c>
      <c r="V1676">
        <v>0</v>
      </c>
      <c r="W1676" t="s">
        <v>174</v>
      </c>
      <c r="X1676">
        <v>2533383</v>
      </c>
      <c r="Z1676" t="s">
        <v>173</v>
      </c>
      <c r="AA1676" t="s">
        <v>173</v>
      </c>
    </row>
    <row r="1677" spans="1:27" x14ac:dyDescent="0.3">
      <c r="A1677">
        <v>1676</v>
      </c>
      <c r="B1677" t="s">
        <v>169</v>
      </c>
      <c r="C1677">
        <v>99019875</v>
      </c>
      <c r="D1677" s="7" t="s">
        <v>96</v>
      </c>
      <c r="E1677" t="s">
        <v>97</v>
      </c>
      <c r="F1677" t="s">
        <v>170</v>
      </c>
      <c r="G1677" t="s">
        <v>177</v>
      </c>
      <c r="H1677">
        <v>27</v>
      </c>
      <c r="I1677">
        <v>0</v>
      </c>
      <c r="J1677">
        <v>27</v>
      </c>
      <c r="K1677" s="133">
        <v>8300</v>
      </c>
      <c r="L1677" s="133">
        <v>8300</v>
      </c>
      <c r="M1677" s="150">
        <v>0.62156250000000002</v>
      </c>
      <c r="N1677" s="150">
        <v>0.62158564814814821</v>
      </c>
      <c r="O1677" t="s">
        <v>172</v>
      </c>
      <c r="Q1677">
        <v>2533797</v>
      </c>
      <c r="R1677">
        <v>2533797</v>
      </c>
      <c r="S1677">
        <v>2533389</v>
      </c>
      <c r="T1677">
        <v>0</v>
      </c>
      <c r="U1677" t="s">
        <v>173</v>
      </c>
      <c r="V1677">
        <v>0</v>
      </c>
      <c r="W1677" t="s">
        <v>174</v>
      </c>
      <c r="X1677">
        <v>2533389</v>
      </c>
      <c r="Z1677" t="s">
        <v>173</v>
      </c>
      <c r="AA1677" t="s">
        <v>173</v>
      </c>
    </row>
    <row r="1678" spans="1:27" x14ac:dyDescent="0.3">
      <c r="A1678">
        <v>1677</v>
      </c>
      <c r="B1678" t="s">
        <v>169</v>
      </c>
      <c r="C1678">
        <v>99019875</v>
      </c>
      <c r="D1678" s="7" t="s">
        <v>98</v>
      </c>
      <c r="E1678" t="s">
        <v>99</v>
      </c>
      <c r="F1678" t="s">
        <v>170</v>
      </c>
      <c r="G1678" t="s">
        <v>177</v>
      </c>
      <c r="H1678">
        <v>38</v>
      </c>
      <c r="I1678">
        <v>0</v>
      </c>
      <c r="J1678">
        <v>38</v>
      </c>
      <c r="K1678" s="133">
        <v>14270</v>
      </c>
      <c r="L1678" s="133">
        <v>14270</v>
      </c>
      <c r="M1678" s="150">
        <v>0.62156250000000002</v>
      </c>
      <c r="N1678" s="150">
        <v>0.62195601851851856</v>
      </c>
      <c r="O1678" t="s">
        <v>172</v>
      </c>
      <c r="Q1678">
        <v>2533806</v>
      </c>
      <c r="R1678">
        <v>2533806</v>
      </c>
      <c r="S1678">
        <v>2533316</v>
      </c>
      <c r="T1678">
        <v>0</v>
      </c>
      <c r="U1678" t="s">
        <v>173</v>
      </c>
      <c r="V1678">
        <v>0</v>
      </c>
      <c r="W1678" t="s">
        <v>174</v>
      </c>
      <c r="X1678">
        <v>2533316</v>
      </c>
      <c r="Z1678" t="s">
        <v>173</v>
      </c>
      <c r="AA1678" t="s">
        <v>173</v>
      </c>
    </row>
    <row r="1679" spans="1:27" x14ac:dyDescent="0.3">
      <c r="A1679">
        <v>1678</v>
      </c>
      <c r="B1679" t="s">
        <v>169</v>
      </c>
      <c r="C1679">
        <v>99019875</v>
      </c>
      <c r="D1679" s="7" t="s">
        <v>98</v>
      </c>
      <c r="E1679" t="s">
        <v>99</v>
      </c>
      <c r="F1679" t="s">
        <v>170</v>
      </c>
      <c r="G1679" t="s">
        <v>177</v>
      </c>
      <c r="H1679">
        <v>38</v>
      </c>
      <c r="I1679">
        <v>0</v>
      </c>
      <c r="J1679">
        <v>38</v>
      </c>
      <c r="K1679" s="133">
        <v>14270</v>
      </c>
      <c r="L1679" s="133">
        <v>14270</v>
      </c>
      <c r="M1679" s="150">
        <v>0.62156250000000002</v>
      </c>
      <c r="N1679" s="150">
        <v>0.62195601851851856</v>
      </c>
      <c r="O1679" t="s">
        <v>172</v>
      </c>
      <c r="Q1679">
        <v>2533807</v>
      </c>
      <c r="R1679">
        <v>2533807</v>
      </c>
      <c r="S1679">
        <v>2533384</v>
      </c>
      <c r="T1679">
        <v>0</v>
      </c>
      <c r="U1679" t="s">
        <v>173</v>
      </c>
      <c r="V1679">
        <v>0</v>
      </c>
      <c r="W1679" t="s">
        <v>174</v>
      </c>
      <c r="X1679">
        <v>2533384</v>
      </c>
      <c r="Z1679" t="s">
        <v>173</v>
      </c>
      <c r="AA1679" t="s">
        <v>173</v>
      </c>
    </row>
    <row r="1680" spans="1:27" x14ac:dyDescent="0.3">
      <c r="A1680">
        <v>1679</v>
      </c>
      <c r="B1680" t="s">
        <v>169</v>
      </c>
      <c r="C1680">
        <v>99019875</v>
      </c>
      <c r="D1680" s="7" t="s">
        <v>65</v>
      </c>
      <c r="E1680" t="s">
        <v>66</v>
      </c>
      <c r="F1680" t="s">
        <v>176</v>
      </c>
      <c r="G1680" t="s">
        <v>177</v>
      </c>
      <c r="H1680">
        <v>58</v>
      </c>
      <c r="I1680">
        <v>0</v>
      </c>
      <c r="J1680">
        <v>58</v>
      </c>
      <c r="K1680" s="133">
        <v>4745</v>
      </c>
      <c r="L1680" s="133">
        <v>4745</v>
      </c>
      <c r="M1680" s="150">
        <v>0.62160879629629628</v>
      </c>
      <c r="N1680" s="150">
        <v>0.62162037037037032</v>
      </c>
      <c r="O1680" t="s">
        <v>172</v>
      </c>
      <c r="Q1680">
        <v>2533993</v>
      </c>
      <c r="R1680">
        <v>2533993</v>
      </c>
      <c r="S1680">
        <v>2529704</v>
      </c>
      <c r="T1680">
        <v>0</v>
      </c>
      <c r="U1680" t="s">
        <v>173</v>
      </c>
      <c r="V1680">
        <v>0</v>
      </c>
      <c r="W1680" t="s">
        <v>174</v>
      </c>
      <c r="X1680">
        <v>2529704</v>
      </c>
      <c r="Z1680" t="s">
        <v>173</v>
      </c>
      <c r="AA1680" t="s">
        <v>173</v>
      </c>
    </row>
    <row r="1681" spans="1:27" x14ac:dyDescent="0.3">
      <c r="A1681">
        <v>1680</v>
      </c>
      <c r="B1681" t="s">
        <v>169</v>
      </c>
      <c r="C1681">
        <v>99019875</v>
      </c>
      <c r="D1681" s="7" t="s">
        <v>65</v>
      </c>
      <c r="E1681" t="s">
        <v>66</v>
      </c>
      <c r="F1681" t="s">
        <v>176</v>
      </c>
      <c r="G1681" t="s">
        <v>177</v>
      </c>
      <c r="H1681">
        <v>57</v>
      </c>
      <c r="I1681">
        <v>0</v>
      </c>
      <c r="J1681">
        <v>57</v>
      </c>
      <c r="K1681" s="133">
        <v>4745</v>
      </c>
      <c r="L1681" s="133">
        <v>4745</v>
      </c>
      <c r="M1681" s="150">
        <v>0.62160879629629628</v>
      </c>
      <c r="N1681" s="150">
        <v>0.62162037037037032</v>
      </c>
      <c r="O1681" t="s">
        <v>172</v>
      </c>
      <c r="Q1681">
        <v>2533994</v>
      </c>
      <c r="R1681">
        <v>2533994</v>
      </c>
      <c r="S1681">
        <v>2530565</v>
      </c>
      <c r="T1681">
        <v>0</v>
      </c>
      <c r="U1681" t="s">
        <v>173</v>
      </c>
      <c r="V1681">
        <v>0</v>
      </c>
      <c r="W1681" t="s">
        <v>174</v>
      </c>
      <c r="X1681">
        <v>2530565</v>
      </c>
      <c r="Z1681" t="s">
        <v>173</v>
      </c>
      <c r="AA1681" t="s">
        <v>173</v>
      </c>
    </row>
    <row r="1682" spans="1:27" x14ac:dyDescent="0.3">
      <c r="A1682">
        <v>1681</v>
      </c>
      <c r="B1682" t="s">
        <v>169</v>
      </c>
      <c r="C1682">
        <v>99019875</v>
      </c>
      <c r="D1682" s="7" t="s">
        <v>65</v>
      </c>
      <c r="E1682" t="s">
        <v>66</v>
      </c>
      <c r="F1682" t="s">
        <v>176</v>
      </c>
      <c r="G1682" t="s">
        <v>177</v>
      </c>
      <c r="H1682">
        <v>58</v>
      </c>
      <c r="I1682">
        <v>0</v>
      </c>
      <c r="J1682">
        <v>58</v>
      </c>
      <c r="K1682" s="133">
        <v>4745</v>
      </c>
      <c r="L1682" s="133">
        <v>4745</v>
      </c>
      <c r="M1682" s="150">
        <v>0.62160879629629628</v>
      </c>
      <c r="N1682" s="150">
        <v>0.62162037037037032</v>
      </c>
      <c r="O1682" t="s">
        <v>172</v>
      </c>
      <c r="Q1682">
        <v>2533995</v>
      </c>
      <c r="R1682">
        <v>2533995</v>
      </c>
      <c r="S1682">
        <v>2531408</v>
      </c>
      <c r="T1682">
        <v>0</v>
      </c>
      <c r="U1682" t="s">
        <v>173</v>
      </c>
      <c r="V1682">
        <v>0</v>
      </c>
      <c r="W1682" t="s">
        <v>174</v>
      </c>
      <c r="X1682">
        <v>2531408</v>
      </c>
      <c r="Z1682" t="s">
        <v>173</v>
      </c>
      <c r="AA1682" t="s">
        <v>173</v>
      </c>
    </row>
    <row r="1683" spans="1:27" x14ac:dyDescent="0.3">
      <c r="A1683">
        <v>1682</v>
      </c>
      <c r="B1683" t="s">
        <v>169</v>
      </c>
      <c r="C1683">
        <v>99019875</v>
      </c>
      <c r="D1683" s="7" t="s">
        <v>65</v>
      </c>
      <c r="E1683" t="s">
        <v>66</v>
      </c>
      <c r="F1683" t="s">
        <v>176</v>
      </c>
      <c r="G1683" t="s">
        <v>177</v>
      </c>
      <c r="H1683">
        <v>57</v>
      </c>
      <c r="I1683">
        <v>0</v>
      </c>
      <c r="J1683">
        <v>57</v>
      </c>
      <c r="K1683" s="133">
        <v>4745</v>
      </c>
      <c r="L1683" s="133">
        <v>4745</v>
      </c>
      <c r="M1683" s="150">
        <v>0.62160879629629628</v>
      </c>
      <c r="N1683" s="150">
        <v>0.62162037037037032</v>
      </c>
      <c r="O1683" t="s">
        <v>172</v>
      </c>
      <c r="Q1683">
        <v>2533996</v>
      </c>
      <c r="R1683">
        <v>2533996</v>
      </c>
      <c r="S1683">
        <v>2532385</v>
      </c>
      <c r="T1683">
        <v>0</v>
      </c>
      <c r="U1683" t="s">
        <v>173</v>
      </c>
      <c r="V1683">
        <v>0</v>
      </c>
      <c r="W1683" t="s">
        <v>174</v>
      </c>
      <c r="X1683">
        <v>2532385</v>
      </c>
      <c r="Z1683" t="s">
        <v>173</v>
      </c>
      <c r="AA1683" t="s">
        <v>173</v>
      </c>
    </row>
    <row r="1684" spans="1:27" x14ac:dyDescent="0.3">
      <c r="A1684">
        <v>1683</v>
      </c>
      <c r="B1684" t="s">
        <v>169</v>
      </c>
      <c r="C1684">
        <v>99019875</v>
      </c>
      <c r="D1684" s="7" t="s">
        <v>65</v>
      </c>
      <c r="E1684" t="s">
        <v>66</v>
      </c>
      <c r="F1684" t="s">
        <v>176</v>
      </c>
      <c r="G1684" t="s">
        <v>177</v>
      </c>
      <c r="H1684">
        <v>57</v>
      </c>
      <c r="I1684">
        <v>0</v>
      </c>
      <c r="J1684">
        <v>57</v>
      </c>
      <c r="K1684" s="133">
        <v>4745</v>
      </c>
      <c r="L1684" s="133">
        <v>4745</v>
      </c>
      <c r="M1684" s="150">
        <v>0.62160879629629628</v>
      </c>
      <c r="N1684" s="150">
        <v>0.62164351851851851</v>
      </c>
      <c r="O1684" t="s">
        <v>172</v>
      </c>
      <c r="Q1684">
        <v>2533997</v>
      </c>
      <c r="R1684">
        <v>2533997</v>
      </c>
      <c r="S1684">
        <v>2533387</v>
      </c>
      <c r="T1684">
        <v>0</v>
      </c>
      <c r="U1684" t="s">
        <v>173</v>
      </c>
      <c r="V1684">
        <v>0</v>
      </c>
      <c r="W1684" t="s">
        <v>174</v>
      </c>
      <c r="X1684">
        <v>2533387</v>
      </c>
      <c r="Z1684" t="s">
        <v>173</v>
      </c>
      <c r="AA1684" t="s">
        <v>173</v>
      </c>
    </row>
    <row r="1685" spans="1:27" x14ac:dyDescent="0.3">
      <c r="A1685">
        <v>1684</v>
      </c>
      <c r="B1685" t="s">
        <v>169</v>
      </c>
      <c r="C1685">
        <v>99019875</v>
      </c>
      <c r="D1685" s="7" t="s">
        <v>75</v>
      </c>
      <c r="E1685" t="s">
        <v>76</v>
      </c>
      <c r="F1685" t="s">
        <v>170</v>
      </c>
      <c r="G1685" t="s">
        <v>171</v>
      </c>
      <c r="H1685">
        <v>83</v>
      </c>
      <c r="I1685">
        <v>0</v>
      </c>
      <c r="J1685">
        <v>6</v>
      </c>
      <c r="K1685" s="133">
        <v>20755</v>
      </c>
      <c r="L1685" s="133">
        <v>20755</v>
      </c>
      <c r="M1685" s="150">
        <v>0.62172453703703701</v>
      </c>
      <c r="N1685" s="150">
        <v>0.6219675925925926</v>
      </c>
      <c r="O1685" t="s">
        <v>172</v>
      </c>
      <c r="Q1685">
        <v>2534316</v>
      </c>
      <c r="R1685">
        <v>2534316</v>
      </c>
      <c r="S1685">
        <v>0</v>
      </c>
      <c r="T1685">
        <v>77</v>
      </c>
      <c r="U1685" t="s">
        <v>173</v>
      </c>
      <c r="V1685">
        <v>0</v>
      </c>
      <c r="W1685" t="s">
        <v>174</v>
      </c>
      <c r="X1685">
        <v>0</v>
      </c>
      <c r="Z1685" t="s">
        <v>173</v>
      </c>
      <c r="AA1685" t="s">
        <v>173</v>
      </c>
    </row>
    <row r="1686" spans="1:27" x14ac:dyDescent="0.3">
      <c r="A1686">
        <v>1685</v>
      </c>
      <c r="B1686" t="s">
        <v>169</v>
      </c>
      <c r="C1686">
        <v>99019875</v>
      </c>
      <c r="D1686" s="7" t="s">
        <v>67</v>
      </c>
      <c r="E1686" t="s">
        <v>68</v>
      </c>
      <c r="F1686" t="s">
        <v>170</v>
      </c>
      <c r="G1686" t="s">
        <v>171</v>
      </c>
      <c r="H1686">
        <v>36</v>
      </c>
      <c r="I1686">
        <v>0</v>
      </c>
      <c r="J1686">
        <v>36</v>
      </c>
      <c r="K1686" s="133">
        <v>4795</v>
      </c>
      <c r="L1686" s="133">
        <v>4795</v>
      </c>
      <c r="M1686" s="150">
        <v>0.62172453703703701</v>
      </c>
      <c r="N1686" s="150">
        <v>0.62326388888888895</v>
      </c>
      <c r="O1686" t="s">
        <v>172</v>
      </c>
      <c r="Q1686">
        <v>2534318</v>
      </c>
      <c r="R1686">
        <v>2534318</v>
      </c>
      <c r="S1686">
        <v>0</v>
      </c>
      <c r="T1686">
        <v>0</v>
      </c>
      <c r="U1686" t="s">
        <v>173</v>
      </c>
      <c r="V1686">
        <v>0</v>
      </c>
      <c r="W1686" t="s">
        <v>174</v>
      </c>
      <c r="X1686">
        <v>0</v>
      </c>
      <c r="Z1686" t="s">
        <v>173</v>
      </c>
      <c r="AA1686" t="s">
        <v>173</v>
      </c>
    </row>
    <row r="1687" spans="1:27" x14ac:dyDescent="0.3">
      <c r="A1687">
        <v>1686</v>
      </c>
      <c r="B1687" t="s">
        <v>169</v>
      </c>
      <c r="C1687">
        <v>99019875</v>
      </c>
      <c r="D1687" s="7" t="s">
        <v>110</v>
      </c>
      <c r="E1687" t="s">
        <v>179</v>
      </c>
      <c r="F1687" t="s">
        <v>170</v>
      </c>
      <c r="G1687" t="s">
        <v>171</v>
      </c>
      <c r="H1687">
        <v>4</v>
      </c>
      <c r="I1687">
        <v>0</v>
      </c>
      <c r="J1687">
        <v>4</v>
      </c>
      <c r="K1687" s="133">
        <v>48425</v>
      </c>
      <c r="L1687" s="133">
        <v>48425</v>
      </c>
      <c r="M1687" s="150">
        <v>0.62172453703703701</v>
      </c>
      <c r="N1687" s="150">
        <v>0.62180555555555561</v>
      </c>
      <c r="O1687" t="s">
        <v>172</v>
      </c>
      <c r="Q1687">
        <v>2534319</v>
      </c>
      <c r="R1687">
        <v>2534319</v>
      </c>
      <c r="S1687">
        <v>0</v>
      </c>
      <c r="T1687">
        <v>0</v>
      </c>
      <c r="U1687" t="s">
        <v>173</v>
      </c>
      <c r="V1687">
        <v>0</v>
      </c>
      <c r="W1687" t="s">
        <v>174</v>
      </c>
      <c r="X1687">
        <v>0</v>
      </c>
      <c r="Z1687" t="s">
        <v>173</v>
      </c>
      <c r="AA1687" t="s">
        <v>173</v>
      </c>
    </row>
    <row r="1688" spans="1:27" x14ac:dyDescent="0.3">
      <c r="A1688">
        <v>1687</v>
      </c>
      <c r="B1688" t="s">
        <v>169</v>
      </c>
      <c r="C1688">
        <v>99019875</v>
      </c>
      <c r="D1688" s="7" t="s">
        <v>100</v>
      </c>
      <c r="E1688" t="s">
        <v>101</v>
      </c>
      <c r="F1688" t="s">
        <v>170</v>
      </c>
      <c r="G1688" t="s">
        <v>171</v>
      </c>
      <c r="H1688">
        <v>4</v>
      </c>
      <c r="I1688">
        <v>0</v>
      </c>
      <c r="J1688">
        <v>4</v>
      </c>
      <c r="K1688" s="133">
        <v>15505</v>
      </c>
      <c r="L1688" s="133">
        <v>15505</v>
      </c>
      <c r="M1688" s="150">
        <v>0.62172453703703701</v>
      </c>
      <c r="N1688" s="150">
        <v>0.62237268518518518</v>
      </c>
      <c r="O1688" t="s">
        <v>172</v>
      </c>
      <c r="Q1688">
        <v>2534321</v>
      </c>
      <c r="R1688">
        <v>2534321</v>
      </c>
      <c r="S1688">
        <v>0</v>
      </c>
      <c r="T1688">
        <v>0</v>
      </c>
      <c r="U1688" t="s">
        <v>173</v>
      </c>
      <c r="V1688">
        <v>0</v>
      </c>
      <c r="W1688" t="s">
        <v>174</v>
      </c>
      <c r="X1688">
        <v>0</v>
      </c>
      <c r="Z1688" t="s">
        <v>173</v>
      </c>
      <c r="AA1688" t="s">
        <v>173</v>
      </c>
    </row>
    <row r="1689" spans="1:27" x14ac:dyDescent="0.3">
      <c r="A1689">
        <v>1688</v>
      </c>
      <c r="B1689" t="s">
        <v>169</v>
      </c>
      <c r="C1689">
        <v>99019875</v>
      </c>
      <c r="D1689" s="7" t="s">
        <v>108</v>
      </c>
      <c r="E1689" t="s">
        <v>109</v>
      </c>
      <c r="F1689" t="s">
        <v>170</v>
      </c>
      <c r="G1689" t="s">
        <v>171</v>
      </c>
      <c r="H1689">
        <v>24</v>
      </c>
      <c r="I1689">
        <v>0</v>
      </c>
      <c r="J1689">
        <v>24</v>
      </c>
      <c r="K1689" s="133">
        <v>2715</v>
      </c>
      <c r="L1689" s="133">
        <v>2715</v>
      </c>
      <c r="M1689" s="150">
        <v>0.62172453703703701</v>
      </c>
      <c r="N1689" s="150">
        <v>0.62351851851851847</v>
      </c>
      <c r="O1689" t="s">
        <v>172</v>
      </c>
      <c r="Q1689">
        <v>2534323</v>
      </c>
      <c r="R1689">
        <v>2534323</v>
      </c>
      <c r="S1689">
        <v>0</v>
      </c>
      <c r="T1689">
        <v>0</v>
      </c>
      <c r="U1689" t="s">
        <v>173</v>
      </c>
      <c r="V1689">
        <v>0</v>
      </c>
      <c r="W1689" t="s">
        <v>174</v>
      </c>
      <c r="X1689">
        <v>0</v>
      </c>
      <c r="Z1689" t="s">
        <v>173</v>
      </c>
      <c r="AA1689" t="s">
        <v>173</v>
      </c>
    </row>
    <row r="1690" spans="1:27" x14ac:dyDescent="0.3">
      <c r="A1690">
        <v>1689</v>
      </c>
      <c r="B1690" t="s">
        <v>169</v>
      </c>
      <c r="C1690">
        <v>99019875</v>
      </c>
      <c r="D1690" s="7" t="s">
        <v>122</v>
      </c>
      <c r="E1690" t="s">
        <v>123</v>
      </c>
      <c r="F1690" t="s">
        <v>170</v>
      </c>
      <c r="G1690" t="s">
        <v>171</v>
      </c>
      <c r="H1690">
        <v>20</v>
      </c>
      <c r="I1690">
        <v>0</v>
      </c>
      <c r="J1690">
        <v>20</v>
      </c>
      <c r="K1690" s="133">
        <v>36015</v>
      </c>
      <c r="L1690" s="133">
        <v>36015</v>
      </c>
      <c r="M1690" s="150">
        <v>0.62172453703703701</v>
      </c>
      <c r="N1690" s="150">
        <v>0.62353009259259262</v>
      </c>
      <c r="O1690" t="s">
        <v>172</v>
      </c>
      <c r="Q1690">
        <v>2534326</v>
      </c>
      <c r="R1690">
        <v>2534326</v>
      </c>
      <c r="S1690">
        <v>0</v>
      </c>
      <c r="T1690">
        <v>0</v>
      </c>
      <c r="U1690" t="s">
        <v>173</v>
      </c>
      <c r="V1690">
        <v>0</v>
      </c>
      <c r="W1690" t="s">
        <v>174</v>
      </c>
      <c r="X1690">
        <v>0</v>
      </c>
      <c r="Z1690" t="s">
        <v>173</v>
      </c>
      <c r="AA1690" t="s">
        <v>173</v>
      </c>
    </row>
    <row r="1691" spans="1:27" x14ac:dyDescent="0.3">
      <c r="A1691">
        <v>1690</v>
      </c>
      <c r="B1691" t="s">
        <v>169</v>
      </c>
      <c r="C1691">
        <v>99019875</v>
      </c>
      <c r="D1691" s="7" t="s">
        <v>98</v>
      </c>
      <c r="E1691" t="s">
        <v>99</v>
      </c>
      <c r="F1691" t="s">
        <v>170</v>
      </c>
      <c r="G1691" t="s">
        <v>171</v>
      </c>
      <c r="H1691">
        <v>39</v>
      </c>
      <c r="I1691">
        <v>0</v>
      </c>
      <c r="J1691">
        <v>39</v>
      </c>
      <c r="K1691" s="133">
        <v>14270</v>
      </c>
      <c r="L1691" s="133">
        <v>14270</v>
      </c>
      <c r="M1691" s="150">
        <v>0.62172453703703701</v>
      </c>
      <c r="N1691" s="150">
        <v>0.62241898148148145</v>
      </c>
      <c r="O1691" t="s">
        <v>172</v>
      </c>
      <c r="Q1691">
        <v>2534327</v>
      </c>
      <c r="R1691">
        <v>2534327</v>
      </c>
      <c r="S1691">
        <v>0</v>
      </c>
      <c r="T1691">
        <v>0</v>
      </c>
      <c r="U1691" t="s">
        <v>173</v>
      </c>
      <c r="V1691">
        <v>0</v>
      </c>
      <c r="W1691" t="s">
        <v>174</v>
      </c>
      <c r="X1691">
        <v>0</v>
      </c>
      <c r="Z1691" t="s">
        <v>173</v>
      </c>
      <c r="AA1691" t="s">
        <v>173</v>
      </c>
    </row>
    <row r="1692" spans="1:27" x14ac:dyDescent="0.3">
      <c r="A1692">
        <v>1691</v>
      </c>
      <c r="B1692" t="s">
        <v>169</v>
      </c>
      <c r="C1692">
        <v>99019875</v>
      </c>
      <c r="D1692" s="7" t="s">
        <v>77</v>
      </c>
      <c r="E1692" t="s">
        <v>78</v>
      </c>
      <c r="F1692" t="s">
        <v>170</v>
      </c>
      <c r="G1692" t="s">
        <v>171</v>
      </c>
      <c r="H1692">
        <v>74</v>
      </c>
      <c r="I1692">
        <v>0</v>
      </c>
      <c r="J1692">
        <v>74</v>
      </c>
      <c r="K1692" s="133">
        <v>7340</v>
      </c>
      <c r="L1692" s="133">
        <v>7340</v>
      </c>
      <c r="M1692" s="150">
        <v>0.62172453703703701</v>
      </c>
      <c r="N1692" s="150">
        <v>0.62187500000000007</v>
      </c>
      <c r="O1692" t="s">
        <v>172</v>
      </c>
      <c r="Q1692">
        <v>2534328</v>
      </c>
      <c r="R1692">
        <v>2534328</v>
      </c>
      <c r="S1692">
        <v>0</v>
      </c>
      <c r="T1692">
        <v>0</v>
      </c>
      <c r="U1692" t="s">
        <v>173</v>
      </c>
      <c r="V1692">
        <v>0</v>
      </c>
      <c r="W1692" t="s">
        <v>174</v>
      </c>
      <c r="X1692">
        <v>0</v>
      </c>
      <c r="Z1692" t="s">
        <v>173</v>
      </c>
      <c r="AA1692" t="s">
        <v>173</v>
      </c>
    </row>
    <row r="1693" spans="1:27" x14ac:dyDescent="0.3">
      <c r="A1693">
        <v>1692</v>
      </c>
      <c r="B1693" t="s">
        <v>169</v>
      </c>
      <c r="C1693">
        <v>99019875</v>
      </c>
      <c r="D1693" s="7" t="s">
        <v>96</v>
      </c>
      <c r="E1693" t="s">
        <v>97</v>
      </c>
      <c r="F1693" t="s">
        <v>170</v>
      </c>
      <c r="G1693" t="s">
        <v>171</v>
      </c>
      <c r="H1693">
        <v>27</v>
      </c>
      <c r="I1693">
        <v>0</v>
      </c>
      <c r="J1693">
        <v>27</v>
      </c>
      <c r="K1693" s="133">
        <v>8295</v>
      </c>
      <c r="L1693" s="133">
        <v>8295</v>
      </c>
      <c r="M1693" s="150">
        <v>0.62172453703703701</v>
      </c>
      <c r="N1693" s="150">
        <v>0.62396990740740743</v>
      </c>
      <c r="O1693" t="s">
        <v>172</v>
      </c>
      <c r="Q1693">
        <v>2534332</v>
      </c>
      <c r="R1693">
        <v>2534332</v>
      </c>
      <c r="S1693">
        <v>0</v>
      </c>
      <c r="T1693">
        <v>0</v>
      </c>
      <c r="U1693" t="s">
        <v>173</v>
      </c>
      <c r="V1693">
        <v>0</v>
      </c>
      <c r="W1693" t="s">
        <v>174</v>
      </c>
      <c r="X1693">
        <v>0</v>
      </c>
      <c r="Z1693" t="s">
        <v>173</v>
      </c>
      <c r="AA1693" t="s">
        <v>173</v>
      </c>
    </row>
    <row r="1694" spans="1:27" x14ac:dyDescent="0.3">
      <c r="A1694">
        <v>1693</v>
      </c>
      <c r="B1694" t="s">
        <v>169</v>
      </c>
      <c r="C1694">
        <v>99019875</v>
      </c>
      <c r="D1694" s="7" t="s">
        <v>140</v>
      </c>
      <c r="E1694" t="s">
        <v>178</v>
      </c>
      <c r="F1694" t="s">
        <v>170</v>
      </c>
      <c r="G1694" t="s">
        <v>171</v>
      </c>
      <c r="H1694">
        <v>20</v>
      </c>
      <c r="I1694">
        <v>0</v>
      </c>
      <c r="J1694">
        <v>20</v>
      </c>
      <c r="K1694" s="133">
        <v>8630</v>
      </c>
      <c r="L1694" s="133">
        <v>8630</v>
      </c>
      <c r="M1694" s="150">
        <v>0.62172453703703701</v>
      </c>
      <c r="N1694" s="150">
        <v>0.62255787037037036</v>
      </c>
      <c r="O1694" t="s">
        <v>172</v>
      </c>
      <c r="Q1694">
        <v>2534333</v>
      </c>
      <c r="R1694">
        <v>2534333</v>
      </c>
      <c r="S1694">
        <v>0</v>
      </c>
      <c r="T1694">
        <v>0</v>
      </c>
      <c r="U1694" t="s">
        <v>173</v>
      </c>
      <c r="V1694">
        <v>0</v>
      </c>
      <c r="W1694" t="s">
        <v>174</v>
      </c>
      <c r="X1694">
        <v>0</v>
      </c>
      <c r="Z1694" t="s">
        <v>173</v>
      </c>
      <c r="AA1694" t="s">
        <v>173</v>
      </c>
    </row>
    <row r="1695" spans="1:27" x14ac:dyDescent="0.3">
      <c r="A1695">
        <v>1694</v>
      </c>
      <c r="B1695" t="s">
        <v>169</v>
      </c>
      <c r="C1695">
        <v>99019875</v>
      </c>
      <c r="D1695" s="7" t="s">
        <v>102</v>
      </c>
      <c r="E1695" t="s">
        <v>103</v>
      </c>
      <c r="F1695" t="s">
        <v>170</v>
      </c>
      <c r="G1695" t="s">
        <v>177</v>
      </c>
      <c r="H1695">
        <v>54</v>
      </c>
      <c r="I1695">
        <v>0</v>
      </c>
      <c r="J1695">
        <v>54</v>
      </c>
      <c r="K1695" s="133">
        <v>26790</v>
      </c>
      <c r="L1695" s="133">
        <v>26790</v>
      </c>
      <c r="M1695" s="150">
        <v>0.62174768518518519</v>
      </c>
      <c r="N1695" s="150">
        <v>0.62199074074074068</v>
      </c>
      <c r="O1695" t="s">
        <v>172</v>
      </c>
      <c r="Q1695">
        <v>2534406</v>
      </c>
      <c r="R1695">
        <v>2534406</v>
      </c>
      <c r="S1695">
        <v>2533376</v>
      </c>
      <c r="T1695">
        <v>0</v>
      </c>
      <c r="U1695" t="s">
        <v>173</v>
      </c>
      <c r="V1695">
        <v>0</v>
      </c>
      <c r="W1695" t="s">
        <v>174</v>
      </c>
      <c r="X1695">
        <v>2533376</v>
      </c>
      <c r="Z1695" t="s">
        <v>173</v>
      </c>
      <c r="AA1695" t="s">
        <v>173</v>
      </c>
    </row>
    <row r="1696" spans="1:27" x14ac:dyDescent="0.3">
      <c r="A1696">
        <v>1695</v>
      </c>
      <c r="B1696" t="s">
        <v>169</v>
      </c>
      <c r="C1696">
        <v>99019875</v>
      </c>
      <c r="D1696" s="7" t="s">
        <v>102</v>
      </c>
      <c r="E1696" t="s">
        <v>103</v>
      </c>
      <c r="F1696" t="s">
        <v>170</v>
      </c>
      <c r="G1696" t="s">
        <v>177</v>
      </c>
      <c r="H1696">
        <v>53</v>
      </c>
      <c r="I1696">
        <v>0</v>
      </c>
      <c r="J1696">
        <v>53</v>
      </c>
      <c r="K1696" s="133">
        <v>26790</v>
      </c>
      <c r="L1696" s="133">
        <v>26790</v>
      </c>
      <c r="M1696" s="150">
        <v>0.62174768518518519</v>
      </c>
      <c r="N1696" s="150">
        <v>0.62202546296296302</v>
      </c>
      <c r="O1696" t="s">
        <v>172</v>
      </c>
      <c r="Q1696">
        <v>2534407</v>
      </c>
      <c r="R1696">
        <v>2534407</v>
      </c>
      <c r="S1696">
        <v>2534317</v>
      </c>
      <c r="T1696">
        <v>0</v>
      </c>
      <c r="U1696" t="s">
        <v>173</v>
      </c>
      <c r="V1696">
        <v>0</v>
      </c>
      <c r="W1696" t="s">
        <v>174</v>
      </c>
      <c r="X1696">
        <v>2534317</v>
      </c>
      <c r="Z1696" t="s">
        <v>173</v>
      </c>
      <c r="AA1696" t="s">
        <v>173</v>
      </c>
    </row>
    <row r="1697" spans="1:27" x14ac:dyDescent="0.3">
      <c r="A1697">
        <v>1696</v>
      </c>
      <c r="B1697" t="s">
        <v>169</v>
      </c>
      <c r="C1697">
        <v>99019875</v>
      </c>
      <c r="D1697" s="7" t="s">
        <v>69</v>
      </c>
      <c r="E1697" t="s">
        <v>70</v>
      </c>
      <c r="F1697" t="s">
        <v>170</v>
      </c>
      <c r="G1697" t="s">
        <v>177</v>
      </c>
      <c r="H1697">
        <v>17</v>
      </c>
      <c r="I1697">
        <v>0</v>
      </c>
      <c r="J1697">
        <v>17</v>
      </c>
      <c r="K1697" s="133">
        <v>10230</v>
      </c>
      <c r="L1697" s="133">
        <v>10230</v>
      </c>
      <c r="M1697" s="150">
        <v>0.62178240740740742</v>
      </c>
      <c r="N1697" s="150">
        <v>0.62188657407407411</v>
      </c>
      <c r="O1697" t="s">
        <v>172</v>
      </c>
      <c r="Q1697">
        <v>2534478</v>
      </c>
      <c r="R1697">
        <v>2534478</v>
      </c>
      <c r="S1697">
        <v>2534334</v>
      </c>
      <c r="T1697">
        <v>0</v>
      </c>
      <c r="U1697" t="s">
        <v>173</v>
      </c>
      <c r="V1697">
        <v>0</v>
      </c>
      <c r="W1697" t="s">
        <v>174</v>
      </c>
      <c r="X1697">
        <v>2534334</v>
      </c>
      <c r="Z1697" t="s">
        <v>173</v>
      </c>
      <c r="AA1697" t="s">
        <v>173</v>
      </c>
    </row>
    <row r="1698" spans="1:27" x14ac:dyDescent="0.3">
      <c r="A1698">
        <v>1697</v>
      </c>
      <c r="B1698" t="s">
        <v>169</v>
      </c>
      <c r="C1698">
        <v>99019875</v>
      </c>
      <c r="D1698" s="7" t="s">
        <v>62</v>
      </c>
      <c r="E1698" t="s">
        <v>63</v>
      </c>
      <c r="F1698" t="s">
        <v>176</v>
      </c>
      <c r="G1698" t="s">
        <v>177</v>
      </c>
      <c r="H1698">
        <v>89</v>
      </c>
      <c r="I1698">
        <v>0</v>
      </c>
      <c r="J1698">
        <v>64</v>
      </c>
      <c r="K1698" s="133">
        <v>34015</v>
      </c>
      <c r="L1698" s="133">
        <v>34015</v>
      </c>
      <c r="M1698" s="150">
        <v>0.62192129629629633</v>
      </c>
      <c r="N1698" s="150">
        <v>0.62197916666666664</v>
      </c>
      <c r="O1698" t="s">
        <v>172</v>
      </c>
      <c r="Q1698">
        <v>2534846</v>
      </c>
      <c r="R1698">
        <v>2534846</v>
      </c>
      <c r="S1698">
        <v>2534710</v>
      </c>
      <c r="T1698">
        <v>25</v>
      </c>
      <c r="U1698" t="s">
        <v>173</v>
      </c>
      <c r="V1698">
        <v>0</v>
      </c>
      <c r="W1698" t="s">
        <v>174</v>
      </c>
      <c r="X1698">
        <v>2534710</v>
      </c>
      <c r="Z1698" t="s">
        <v>173</v>
      </c>
      <c r="AA1698" t="s">
        <v>173</v>
      </c>
    </row>
    <row r="1699" spans="1:27" x14ac:dyDescent="0.3">
      <c r="A1699">
        <v>1698</v>
      </c>
      <c r="B1699" t="s">
        <v>169</v>
      </c>
      <c r="C1699">
        <v>99019875</v>
      </c>
      <c r="D1699" s="7" t="s">
        <v>106</v>
      </c>
      <c r="E1699" t="s">
        <v>107</v>
      </c>
      <c r="F1699" t="s">
        <v>170</v>
      </c>
      <c r="G1699" t="s">
        <v>171</v>
      </c>
      <c r="H1699">
        <v>1</v>
      </c>
      <c r="I1699">
        <v>0</v>
      </c>
      <c r="J1699">
        <v>1</v>
      </c>
      <c r="K1699" s="133">
        <v>3510</v>
      </c>
      <c r="L1699" s="133">
        <v>3510</v>
      </c>
      <c r="M1699" s="150">
        <v>0.6219675925925926</v>
      </c>
      <c r="N1699" s="150">
        <v>0.62349537037037039</v>
      </c>
      <c r="O1699" t="s">
        <v>172</v>
      </c>
      <c r="Q1699">
        <v>2535048</v>
      </c>
      <c r="R1699">
        <v>2535048</v>
      </c>
      <c r="S1699">
        <v>0</v>
      </c>
      <c r="T1699">
        <v>0</v>
      </c>
      <c r="U1699" t="s">
        <v>173</v>
      </c>
      <c r="V1699">
        <v>0</v>
      </c>
      <c r="W1699" t="s">
        <v>174</v>
      </c>
      <c r="X1699">
        <v>0</v>
      </c>
      <c r="Z1699" t="s">
        <v>173</v>
      </c>
      <c r="AA1699" t="s">
        <v>173</v>
      </c>
    </row>
    <row r="1700" spans="1:27" x14ac:dyDescent="0.3">
      <c r="A1700">
        <v>1699</v>
      </c>
      <c r="B1700" t="s">
        <v>169</v>
      </c>
      <c r="C1700">
        <v>99019875</v>
      </c>
      <c r="D1700" s="7" t="s">
        <v>114</v>
      </c>
      <c r="E1700" t="s">
        <v>115</v>
      </c>
      <c r="F1700" t="s">
        <v>176</v>
      </c>
      <c r="G1700" t="s">
        <v>177</v>
      </c>
      <c r="H1700">
        <v>64</v>
      </c>
      <c r="I1700">
        <v>0</v>
      </c>
      <c r="J1700">
        <v>64</v>
      </c>
      <c r="K1700" s="133">
        <v>53750</v>
      </c>
      <c r="L1700" s="133">
        <v>53750</v>
      </c>
      <c r="M1700" s="150">
        <v>0.62197916666666664</v>
      </c>
      <c r="N1700" s="150">
        <v>0.62202546296296302</v>
      </c>
      <c r="O1700" t="s">
        <v>172</v>
      </c>
      <c r="Q1700">
        <v>2535059</v>
      </c>
      <c r="R1700">
        <v>2535059</v>
      </c>
      <c r="S1700">
        <v>2534923</v>
      </c>
      <c r="T1700">
        <v>0</v>
      </c>
      <c r="U1700" t="s">
        <v>173</v>
      </c>
      <c r="V1700">
        <v>0</v>
      </c>
      <c r="W1700" t="s">
        <v>174</v>
      </c>
      <c r="X1700">
        <v>2534923</v>
      </c>
      <c r="Z1700" t="s">
        <v>173</v>
      </c>
      <c r="AA1700" t="s">
        <v>173</v>
      </c>
    </row>
    <row r="1701" spans="1:27" x14ac:dyDescent="0.3">
      <c r="A1701">
        <v>1700</v>
      </c>
      <c r="B1701" t="s">
        <v>169</v>
      </c>
      <c r="C1701">
        <v>99019875</v>
      </c>
      <c r="D1701" s="7" t="s">
        <v>114</v>
      </c>
      <c r="E1701" t="s">
        <v>115</v>
      </c>
      <c r="F1701" t="s">
        <v>176</v>
      </c>
      <c r="G1701" t="s">
        <v>177</v>
      </c>
      <c r="H1701">
        <v>65</v>
      </c>
      <c r="I1701">
        <v>0</v>
      </c>
      <c r="J1701">
        <v>65</v>
      </c>
      <c r="K1701" s="133">
        <v>53750</v>
      </c>
      <c r="L1701" s="133">
        <v>53750</v>
      </c>
      <c r="M1701" s="150">
        <v>0.62197916666666664</v>
      </c>
      <c r="N1701" s="150">
        <v>0.62202546296296302</v>
      </c>
      <c r="O1701" t="s">
        <v>172</v>
      </c>
      <c r="Q1701">
        <v>2535060</v>
      </c>
      <c r="R1701">
        <v>2535060</v>
      </c>
      <c r="S1701">
        <v>2534924</v>
      </c>
      <c r="T1701">
        <v>0</v>
      </c>
      <c r="U1701" t="s">
        <v>173</v>
      </c>
      <c r="V1701">
        <v>0</v>
      </c>
      <c r="W1701" t="s">
        <v>174</v>
      </c>
      <c r="X1701">
        <v>2534924</v>
      </c>
      <c r="Z1701" t="s">
        <v>173</v>
      </c>
      <c r="AA1701" t="s">
        <v>173</v>
      </c>
    </row>
    <row r="1702" spans="1:27" x14ac:dyDescent="0.3">
      <c r="A1702">
        <v>1701</v>
      </c>
      <c r="B1702" t="s">
        <v>169</v>
      </c>
      <c r="C1702">
        <v>99019875</v>
      </c>
      <c r="D1702" s="7" t="s">
        <v>62</v>
      </c>
      <c r="E1702" t="s">
        <v>63</v>
      </c>
      <c r="F1702" t="s">
        <v>176</v>
      </c>
      <c r="G1702" t="s">
        <v>177</v>
      </c>
      <c r="H1702">
        <v>25</v>
      </c>
      <c r="I1702">
        <v>0</v>
      </c>
      <c r="J1702">
        <v>25</v>
      </c>
      <c r="K1702" s="133">
        <v>34010</v>
      </c>
      <c r="L1702" s="133">
        <v>34010</v>
      </c>
      <c r="M1702" s="150">
        <v>0.62197916666666664</v>
      </c>
      <c r="N1702" s="150">
        <v>0.62207175925925928</v>
      </c>
      <c r="O1702" t="s">
        <v>172</v>
      </c>
      <c r="Q1702">
        <v>2535061</v>
      </c>
      <c r="R1702">
        <v>2535061</v>
      </c>
      <c r="S1702">
        <v>2534846</v>
      </c>
      <c r="T1702">
        <v>0</v>
      </c>
      <c r="U1702" t="s">
        <v>173</v>
      </c>
      <c r="V1702">
        <v>0</v>
      </c>
      <c r="W1702" t="s">
        <v>174</v>
      </c>
      <c r="X1702">
        <v>2534846</v>
      </c>
      <c r="Z1702" t="s">
        <v>173</v>
      </c>
      <c r="AA1702" t="s">
        <v>173</v>
      </c>
    </row>
    <row r="1703" spans="1:27" x14ac:dyDescent="0.3">
      <c r="A1703">
        <v>1702</v>
      </c>
      <c r="B1703" t="s">
        <v>169</v>
      </c>
      <c r="C1703">
        <v>99019875</v>
      </c>
      <c r="D1703" s="7" t="s">
        <v>81</v>
      </c>
      <c r="E1703" t="s">
        <v>82</v>
      </c>
      <c r="F1703" t="s">
        <v>176</v>
      </c>
      <c r="G1703" t="s">
        <v>177</v>
      </c>
      <c r="H1703">
        <v>75</v>
      </c>
      <c r="I1703">
        <v>0</v>
      </c>
      <c r="J1703">
        <v>75</v>
      </c>
      <c r="K1703" s="133">
        <v>36385</v>
      </c>
      <c r="L1703" s="133">
        <v>36385</v>
      </c>
      <c r="M1703" s="150">
        <v>0.62199074074074068</v>
      </c>
      <c r="N1703" s="150">
        <v>0.62207175925925928</v>
      </c>
      <c r="O1703" t="s">
        <v>172</v>
      </c>
      <c r="Q1703">
        <v>2535082</v>
      </c>
      <c r="R1703">
        <v>2535082</v>
      </c>
      <c r="S1703">
        <v>2534892</v>
      </c>
      <c r="T1703">
        <v>0</v>
      </c>
      <c r="U1703" t="s">
        <v>173</v>
      </c>
      <c r="V1703">
        <v>0</v>
      </c>
      <c r="W1703" t="s">
        <v>174</v>
      </c>
      <c r="X1703">
        <v>2534892</v>
      </c>
      <c r="Z1703" t="s">
        <v>173</v>
      </c>
      <c r="AA1703" t="s">
        <v>173</v>
      </c>
    </row>
    <row r="1704" spans="1:27" x14ac:dyDescent="0.3">
      <c r="A1704">
        <v>1703</v>
      </c>
      <c r="B1704" t="s">
        <v>169</v>
      </c>
      <c r="C1704">
        <v>99019875</v>
      </c>
      <c r="D1704" s="7" t="s">
        <v>81</v>
      </c>
      <c r="E1704" t="s">
        <v>82</v>
      </c>
      <c r="F1704" t="s">
        <v>176</v>
      </c>
      <c r="G1704" t="s">
        <v>177</v>
      </c>
      <c r="H1704">
        <v>75</v>
      </c>
      <c r="I1704">
        <v>0</v>
      </c>
      <c r="J1704">
        <v>75</v>
      </c>
      <c r="K1704" s="133">
        <v>36385</v>
      </c>
      <c r="L1704" s="133">
        <v>36385</v>
      </c>
      <c r="M1704" s="150">
        <v>0.62199074074074068</v>
      </c>
      <c r="N1704" s="150">
        <v>0.62207175925925928</v>
      </c>
      <c r="O1704" t="s">
        <v>172</v>
      </c>
      <c r="Q1704">
        <v>2535083</v>
      </c>
      <c r="R1704">
        <v>2535083</v>
      </c>
      <c r="S1704">
        <v>2534893</v>
      </c>
      <c r="T1704">
        <v>0</v>
      </c>
      <c r="U1704" t="s">
        <v>173</v>
      </c>
      <c r="V1704">
        <v>0</v>
      </c>
      <c r="W1704" t="s">
        <v>174</v>
      </c>
      <c r="X1704">
        <v>2534893</v>
      </c>
      <c r="Z1704" t="s">
        <v>173</v>
      </c>
      <c r="AA1704" t="s">
        <v>173</v>
      </c>
    </row>
    <row r="1705" spans="1:27" x14ac:dyDescent="0.3">
      <c r="A1705">
        <v>1704</v>
      </c>
      <c r="B1705" t="s">
        <v>169</v>
      </c>
      <c r="C1705">
        <v>99019875</v>
      </c>
      <c r="D1705" s="7" t="s">
        <v>114</v>
      </c>
      <c r="E1705" t="s">
        <v>115</v>
      </c>
      <c r="F1705" t="s">
        <v>176</v>
      </c>
      <c r="G1705" t="s">
        <v>171</v>
      </c>
      <c r="H1705">
        <v>66</v>
      </c>
      <c r="I1705">
        <v>0</v>
      </c>
      <c r="J1705">
        <v>66</v>
      </c>
      <c r="K1705" s="133">
        <v>53750</v>
      </c>
      <c r="L1705" s="133">
        <v>53750</v>
      </c>
      <c r="M1705" s="150">
        <v>0.62202546296296302</v>
      </c>
      <c r="N1705" s="150">
        <v>0.62207175925925928</v>
      </c>
      <c r="O1705" t="s">
        <v>172</v>
      </c>
      <c r="Q1705">
        <v>2535171</v>
      </c>
      <c r="R1705">
        <v>2535171</v>
      </c>
      <c r="S1705">
        <v>0</v>
      </c>
      <c r="T1705">
        <v>0</v>
      </c>
      <c r="U1705" t="s">
        <v>173</v>
      </c>
      <c r="V1705">
        <v>0</v>
      </c>
      <c r="W1705" t="s">
        <v>174</v>
      </c>
      <c r="X1705">
        <v>0</v>
      </c>
      <c r="Z1705" t="s">
        <v>173</v>
      </c>
      <c r="AA1705" t="s">
        <v>173</v>
      </c>
    </row>
    <row r="1706" spans="1:27" x14ac:dyDescent="0.3">
      <c r="A1706">
        <v>1705</v>
      </c>
      <c r="B1706" t="s">
        <v>169</v>
      </c>
      <c r="C1706">
        <v>99019875</v>
      </c>
      <c r="D1706" s="7" t="s">
        <v>62</v>
      </c>
      <c r="E1706" t="s">
        <v>63</v>
      </c>
      <c r="F1706" t="s">
        <v>176</v>
      </c>
      <c r="G1706" t="s">
        <v>171</v>
      </c>
      <c r="H1706">
        <v>89</v>
      </c>
      <c r="I1706">
        <v>0</v>
      </c>
      <c r="J1706">
        <v>89</v>
      </c>
      <c r="K1706" s="133">
        <v>34010</v>
      </c>
      <c r="L1706" s="133">
        <v>34010</v>
      </c>
      <c r="M1706" s="150">
        <v>0.62202546296296302</v>
      </c>
      <c r="N1706" s="150">
        <v>0.62207175925925928</v>
      </c>
      <c r="O1706" t="s">
        <v>172</v>
      </c>
      <c r="Q1706">
        <v>2535172</v>
      </c>
      <c r="R1706">
        <v>2535172</v>
      </c>
      <c r="S1706">
        <v>0</v>
      </c>
      <c r="T1706">
        <v>0</v>
      </c>
      <c r="U1706" t="s">
        <v>173</v>
      </c>
      <c r="V1706">
        <v>0</v>
      </c>
      <c r="W1706" t="s">
        <v>174</v>
      </c>
      <c r="X1706">
        <v>0</v>
      </c>
      <c r="Z1706" t="s">
        <v>173</v>
      </c>
      <c r="AA1706" t="s">
        <v>173</v>
      </c>
    </row>
    <row r="1707" spans="1:27" x14ac:dyDescent="0.3">
      <c r="A1707">
        <v>1706</v>
      </c>
      <c r="B1707" t="s">
        <v>169</v>
      </c>
      <c r="C1707">
        <v>99019875</v>
      </c>
      <c r="D1707" s="7" t="s">
        <v>81</v>
      </c>
      <c r="E1707" t="s">
        <v>82</v>
      </c>
      <c r="F1707" t="s">
        <v>176</v>
      </c>
      <c r="G1707" t="s">
        <v>171</v>
      </c>
      <c r="H1707">
        <v>75</v>
      </c>
      <c r="I1707">
        <v>0</v>
      </c>
      <c r="J1707">
        <v>75</v>
      </c>
      <c r="K1707" s="133">
        <v>36385</v>
      </c>
      <c r="L1707" s="133">
        <v>36385</v>
      </c>
      <c r="M1707" s="150">
        <v>0.62202546296296302</v>
      </c>
      <c r="N1707" s="150">
        <v>0.62207175925925928</v>
      </c>
      <c r="O1707" t="s">
        <v>172</v>
      </c>
      <c r="Q1707">
        <v>2535173</v>
      </c>
      <c r="R1707">
        <v>2535173</v>
      </c>
      <c r="S1707">
        <v>0</v>
      </c>
      <c r="T1707">
        <v>0</v>
      </c>
      <c r="U1707" t="s">
        <v>173</v>
      </c>
      <c r="V1707">
        <v>0</v>
      </c>
      <c r="W1707" t="s">
        <v>174</v>
      </c>
      <c r="X1707">
        <v>0</v>
      </c>
      <c r="Z1707" t="s">
        <v>173</v>
      </c>
      <c r="AA1707" t="s">
        <v>173</v>
      </c>
    </row>
    <row r="1708" spans="1:27" x14ac:dyDescent="0.3">
      <c r="A1708">
        <v>1707</v>
      </c>
      <c r="B1708" t="s">
        <v>169</v>
      </c>
      <c r="C1708">
        <v>99019875</v>
      </c>
      <c r="D1708" s="7" t="s">
        <v>102</v>
      </c>
      <c r="E1708" t="s">
        <v>103</v>
      </c>
      <c r="F1708" t="s">
        <v>170</v>
      </c>
      <c r="G1708" t="s">
        <v>171</v>
      </c>
      <c r="H1708">
        <v>54</v>
      </c>
      <c r="I1708">
        <v>0</v>
      </c>
      <c r="J1708">
        <v>54</v>
      </c>
      <c r="K1708" s="133">
        <v>26790</v>
      </c>
      <c r="L1708" s="133">
        <v>26790</v>
      </c>
      <c r="M1708" s="150">
        <v>0.62202546296296302</v>
      </c>
      <c r="N1708" s="150">
        <v>0.62202546296296302</v>
      </c>
      <c r="O1708" t="s">
        <v>172</v>
      </c>
      <c r="Q1708">
        <v>2535175</v>
      </c>
      <c r="R1708">
        <v>2535175</v>
      </c>
      <c r="S1708">
        <v>0</v>
      </c>
      <c r="T1708">
        <v>0</v>
      </c>
      <c r="U1708" t="s">
        <v>173</v>
      </c>
      <c r="V1708">
        <v>0</v>
      </c>
      <c r="W1708" t="s">
        <v>174</v>
      </c>
      <c r="X1708">
        <v>0</v>
      </c>
      <c r="Z1708" t="s">
        <v>173</v>
      </c>
      <c r="AA1708" t="s">
        <v>173</v>
      </c>
    </row>
    <row r="1709" spans="1:27" x14ac:dyDescent="0.3">
      <c r="A1709">
        <v>1708</v>
      </c>
      <c r="B1709" t="s">
        <v>169</v>
      </c>
      <c r="C1709">
        <v>99019875</v>
      </c>
      <c r="D1709" s="7" t="s">
        <v>67</v>
      </c>
      <c r="E1709" t="s">
        <v>68</v>
      </c>
      <c r="F1709" t="s">
        <v>170</v>
      </c>
      <c r="G1709" t="s">
        <v>171</v>
      </c>
      <c r="H1709">
        <v>35</v>
      </c>
      <c r="I1709">
        <v>0</v>
      </c>
      <c r="J1709">
        <v>35</v>
      </c>
      <c r="K1709" s="133">
        <v>4795</v>
      </c>
      <c r="L1709" s="133">
        <v>4795</v>
      </c>
      <c r="M1709" s="150">
        <v>0.62202546296296302</v>
      </c>
      <c r="N1709" s="150">
        <v>0.62326388888888895</v>
      </c>
      <c r="O1709" t="s">
        <v>172</v>
      </c>
      <c r="Q1709">
        <v>2535176</v>
      </c>
      <c r="R1709">
        <v>2535176</v>
      </c>
      <c r="S1709">
        <v>0</v>
      </c>
      <c r="T1709">
        <v>0</v>
      </c>
      <c r="U1709" t="s">
        <v>173</v>
      </c>
      <c r="V1709">
        <v>0</v>
      </c>
      <c r="W1709" t="s">
        <v>174</v>
      </c>
      <c r="X1709">
        <v>0</v>
      </c>
      <c r="Z1709" t="s">
        <v>173</v>
      </c>
      <c r="AA1709" t="s">
        <v>173</v>
      </c>
    </row>
    <row r="1710" spans="1:27" x14ac:dyDescent="0.3">
      <c r="A1710">
        <v>1709</v>
      </c>
      <c r="B1710" t="s">
        <v>169</v>
      </c>
      <c r="C1710">
        <v>99019875</v>
      </c>
      <c r="D1710" s="7" t="s">
        <v>110</v>
      </c>
      <c r="E1710" t="s">
        <v>179</v>
      </c>
      <c r="F1710" t="s">
        <v>170</v>
      </c>
      <c r="G1710" t="s">
        <v>171</v>
      </c>
      <c r="H1710">
        <v>3</v>
      </c>
      <c r="I1710">
        <v>0</v>
      </c>
      <c r="J1710">
        <v>3</v>
      </c>
      <c r="K1710" s="133">
        <v>48415</v>
      </c>
      <c r="L1710" s="133">
        <v>48415</v>
      </c>
      <c r="M1710" s="150">
        <v>0.62202546296296302</v>
      </c>
      <c r="N1710" s="150">
        <v>0.62223379629629627</v>
      </c>
      <c r="O1710" t="s">
        <v>172</v>
      </c>
      <c r="Q1710">
        <v>2535177</v>
      </c>
      <c r="R1710">
        <v>2535177</v>
      </c>
      <c r="S1710">
        <v>0</v>
      </c>
      <c r="T1710">
        <v>0</v>
      </c>
      <c r="U1710" t="s">
        <v>173</v>
      </c>
      <c r="V1710">
        <v>0</v>
      </c>
      <c r="W1710" t="s">
        <v>174</v>
      </c>
      <c r="X1710">
        <v>0</v>
      </c>
      <c r="Z1710" t="s">
        <v>173</v>
      </c>
      <c r="AA1710" t="s">
        <v>173</v>
      </c>
    </row>
    <row r="1711" spans="1:27" x14ac:dyDescent="0.3">
      <c r="A1711">
        <v>1710</v>
      </c>
      <c r="B1711" t="s">
        <v>169</v>
      </c>
      <c r="C1711">
        <v>99019875</v>
      </c>
      <c r="D1711" s="7" t="s">
        <v>100</v>
      </c>
      <c r="E1711" t="s">
        <v>101</v>
      </c>
      <c r="F1711" t="s">
        <v>170</v>
      </c>
      <c r="G1711" t="s">
        <v>171</v>
      </c>
      <c r="H1711">
        <v>5</v>
      </c>
      <c r="I1711">
        <v>0</v>
      </c>
      <c r="J1711">
        <v>5</v>
      </c>
      <c r="K1711" s="133">
        <v>15505</v>
      </c>
      <c r="L1711" s="133">
        <v>15505</v>
      </c>
      <c r="M1711" s="150">
        <v>0.62202546296296302</v>
      </c>
      <c r="N1711" s="150">
        <v>0.62237268518518518</v>
      </c>
      <c r="O1711" t="s">
        <v>172</v>
      </c>
      <c r="Q1711">
        <v>2535179</v>
      </c>
      <c r="R1711">
        <v>2535179</v>
      </c>
      <c r="S1711">
        <v>0</v>
      </c>
      <c r="T1711">
        <v>0</v>
      </c>
      <c r="U1711" t="s">
        <v>173</v>
      </c>
      <c r="V1711">
        <v>0</v>
      </c>
      <c r="W1711" t="s">
        <v>174</v>
      </c>
      <c r="X1711">
        <v>0</v>
      </c>
      <c r="Z1711" t="s">
        <v>173</v>
      </c>
      <c r="AA1711" t="s">
        <v>173</v>
      </c>
    </row>
    <row r="1712" spans="1:27" x14ac:dyDescent="0.3">
      <c r="A1712">
        <v>1711</v>
      </c>
      <c r="B1712" t="s">
        <v>169</v>
      </c>
      <c r="C1712">
        <v>99019875</v>
      </c>
      <c r="D1712" s="7" t="s">
        <v>108</v>
      </c>
      <c r="E1712" t="s">
        <v>109</v>
      </c>
      <c r="F1712" t="s">
        <v>170</v>
      </c>
      <c r="G1712" t="s">
        <v>171</v>
      </c>
      <c r="H1712">
        <v>23</v>
      </c>
      <c r="I1712">
        <v>0</v>
      </c>
      <c r="J1712">
        <v>23</v>
      </c>
      <c r="K1712" s="133">
        <v>2715</v>
      </c>
      <c r="L1712" s="133">
        <v>2715</v>
      </c>
      <c r="M1712" s="150">
        <v>0.62202546296296302</v>
      </c>
      <c r="N1712" s="150">
        <v>0.62351851851851847</v>
      </c>
      <c r="O1712" t="s">
        <v>172</v>
      </c>
      <c r="Q1712">
        <v>2535181</v>
      </c>
      <c r="R1712">
        <v>2535181</v>
      </c>
      <c r="S1712">
        <v>0</v>
      </c>
      <c r="T1712">
        <v>0</v>
      </c>
      <c r="U1712" t="s">
        <v>173</v>
      </c>
      <c r="V1712">
        <v>0</v>
      </c>
      <c r="W1712" t="s">
        <v>174</v>
      </c>
      <c r="X1712">
        <v>0</v>
      </c>
      <c r="Z1712" t="s">
        <v>173</v>
      </c>
      <c r="AA1712" t="s">
        <v>173</v>
      </c>
    </row>
    <row r="1713" spans="1:27" x14ac:dyDescent="0.3">
      <c r="A1713">
        <v>1712</v>
      </c>
      <c r="B1713" t="s">
        <v>169</v>
      </c>
      <c r="C1713">
        <v>99019875</v>
      </c>
      <c r="D1713" s="7" t="s">
        <v>122</v>
      </c>
      <c r="E1713" t="s">
        <v>123</v>
      </c>
      <c r="F1713" t="s">
        <v>170</v>
      </c>
      <c r="G1713" t="s">
        <v>171</v>
      </c>
      <c r="H1713">
        <v>20</v>
      </c>
      <c r="I1713">
        <v>0</v>
      </c>
      <c r="J1713">
        <v>20</v>
      </c>
      <c r="K1713" s="133">
        <v>36015</v>
      </c>
      <c r="L1713" s="133">
        <v>36015</v>
      </c>
      <c r="M1713" s="150">
        <v>0.62202546296296302</v>
      </c>
      <c r="N1713" s="150">
        <v>0.62353009259259262</v>
      </c>
      <c r="O1713" t="s">
        <v>172</v>
      </c>
      <c r="Q1713">
        <v>2535182</v>
      </c>
      <c r="R1713">
        <v>2535182</v>
      </c>
      <c r="S1713">
        <v>0</v>
      </c>
      <c r="T1713">
        <v>0</v>
      </c>
      <c r="U1713" t="s">
        <v>173</v>
      </c>
      <c r="V1713">
        <v>0</v>
      </c>
      <c r="W1713" t="s">
        <v>174</v>
      </c>
      <c r="X1713">
        <v>0</v>
      </c>
      <c r="Z1713" t="s">
        <v>173</v>
      </c>
      <c r="AA1713" t="s">
        <v>173</v>
      </c>
    </row>
    <row r="1714" spans="1:27" x14ac:dyDescent="0.3">
      <c r="A1714">
        <v>1713</v>
      </c>
      <c r="B1714" t="s">
        <v>169</v>
      </c>
      <c r="C1714">
        <v>99019875</v>
      </c>
      <c r="D1714" s="7" t="s">
        <v>98</v>
      </c>
      <c r="E1714" t="s">
        <v>99</v>
      </c>
      <c r="F1714" t="s">
        <v>170</v>
      </c>
      <c r="G1714" t="s">
        <v>171</v>
      </c>
      <c r="H1714">
        <v>38</v>
      </c>
      <c r="I1714">
        <v>0</v>
      </c>
      <c r="J1714">
        <v>32</v>
      </c>
      <c r="K1714" s="133">
        <v>14270</v>
      </c>
      <c r="L1714" s="133">
        <v>14270</v>
      </c>
      <c r="M1714" s="150">
        <v>0.62202546296296302</v>
      </c>
      <c r="N1714" s="150">
        <v>0.62280092592592595</v>
      </c>
      <c r="O1714" t="s">
        <v>172</v>
      </c>
      <c r="Q1714">
        <v>2535183</v>
      </c>
      <c r="R1714">
        <v>2535183</v>
      </c>
      <c r="S1714">
        <v>0</v>
      </c>
      <c r="T1714">
        <v>6</v>
      </c>
      <c r="U1714" t="s">
        <v>173</v>
      </c>
      <c r="V1714">
        <v>0</v>
      </c>
      <c r="W1714" t="s">
        <v>174</v>
      </c>
      <c r="X1714">
        <v>0</v>
      </c>
      <c r="Z1714" t="s">
        <v>173</v>
      </c>
      <c r="AA1714" t="s">
        <v>173</v>
      </c>
    </row>
    <row r="1715" spans="1:27" x14ac:dyDescent="0.3">
      <c r="A1715">
        <v>1714</v>
      </c>
      <c r="B1715" t="s">
        <v>169</v>
      </c>
      <c r="C1715">
        <v>99019875</v>
      </c>
      <c r="D1715" s="7" t="s">
        <v>96</v>
      </c>
      <c r="E1715" t="s">
        <v>97</v>
      </c>
      <c r="F1715" t="s">
        <v>170</v>
      </c>
      <c r="G1715" t="s">
        <v>171</v>
      </c>
      <c r="H1715">
        <v>27</v>
      </c>
      <c r="I1715">
        <v>0</v>
      </c>
      <c r="J1715">
        <v>27</v>
      </c>
      <c r="K1715" s="133">
        <v>8295</v>
      </c>
      <c r="L1715" s="133">
        <v>8295</v>
      </c>
      <c r="M1715" s="150">
        <v>0.62202546296296302</v>
      </c>
      <c r="N1715" s="150">
        <v>0.62396990740740743</v>
      </c>
      <c r="O1715" t="s">
        <v>172</v>
      </c>
      <c r="Q1715">
        <v>2535188</v>
      </c>
      <c r="R1715">
        <v>2535188</v>
      </c>
      <c r="S1715">
        <v>0</v>
      </c>
      <c r="T1715">
        <v>0</v>
      </c>
      <c r="U1715" t="s">
        <v>173</v>
      </c>
      <c r="V1715">
        <v>0</v>
      </c>
      <c r="W1715" t="s">
        <v>174</v>
      </c>
      <c r="X1715">
        <v>0</v>
      </c>
      <c r="Z1715" t="s">
        <v>173</v>
      </c>
      <c r="AA1715" t="s">
        <v>173</v>
      </c>
    </row>
    <row r="1716" spans="1:27" x14ac:dyDescent="0.3">
      <c r="A1716">
        <v>1715</v>
      </c>
      <c r="B1716" t="s">
        <v>169</v>
      </c>
      <c r="C1716">
        <v>99019875</v>
      </c>
      <c r="D1716" s="7" t="s">
        <v>140</v>
      </c>
      <c r="E1716" t="s">
        <v>178</v>
      </c>
      <c r="F1716" t="s">
        <v>170</v>
      </c>
      <c r="G1716" t="s">
        <v>171</v>
      </c>
      <c r="H1716">
        <v>20</v>
      </c>
      <c r="I1716">
        <v>0</v>
      </c>
      <c r="J1716">
        <v>20</v>
      </c>
      <c r="K1716" s="133">
        <v>8630</v>
      </c>
      <c r="L1716" s="133">
        <v>8630</v>
      </c>
      <c r="M1716" s="150">
        <v>0.62202546296296302</v>
      </c>
      <c r="N1716" s="150">
        <v>0.62255787037037036</v>
      </c>
      <c r="O1716" t="s">
        <v>172</v>
      </c>
      <c r="Q1716">
        <v>2535189</v>
      </c>
      <c r="R1716">
        <v>2535189</v>
      </c>
      <c r="S1716">
        <v>0</v>
      </c>
      <c r="T1716">
        <v>0</v>
      </c>
      <c r="U1716" t="s">
        <v>173</v>
      </c>
      <c r="V1716">
        <v>0</v>
      </c>
      <c r="W1716" t="s">
        <v>174</v>
      </c>
      <c r="X1716">
        <v>0</v>
      </c>
      <c r="Z1716" t="s">
        <v>173</v>
      </c>
      <c r="AA1716" t="s">
        <v>173</v>
      </c>
    </row>
    <row r="1717" spans="1:27" x14ac:dyDescent="0.3">
      <c r="A1717">
        <v>1716</v>
      </c>
      <c r="B1717" t="s">
        <v>169</v>
      </c>
      <c r="C1717">
        <v>99019875</v>
      </c>
      <c r="D1717" s="7" t="s">
        <v>69</v>
      </c>
      <c r="E1717" t="s">
        <v>70</v>
      </c>
      <c r="F1717" t="s">
        <v>170</v>
      </c>
      <c r="G1717" t="s">
        <v>171</v>
      </c>
      <c r="H1717">
        <v>17</v>
      </c>
      <c r="I1717">
        <v>0</v>
      </c>
      <c r="J1717">
        <v>17</v>
      </c>
      <c r="K1717" s="133">
        <v>10225</v>
      </c>
      <c r="L1717" s="133">
        <v>10225</v>
      </c>
      <c r="M1717" s="150">
        <v>0.62202546296296302</v>
      </c>
      <c r="N1717" s="150">
        <v>0.62222222222222223</v>
      </c>
      <c r="O1717" t="s">
        <v>172</v>
      </c>
      <c r="Q1717">
        <v>2535190</v>
      </c>
      <c r="R1717">
        <v>2535190</v>
      </c>
      <c r="S1717">
        <v>0</v>
      </c>
      <c r="T1717">
        <v>0</v>
      </c>
      <c r="U1717" t="s">
        <v>173</v>
      </c>
      <c r="V1717">
        <v>0</v>
      </c>
      <c r="W1717" t="s">
        <v>174</v>
      </c>
      <c r="X1717">
        <v>0</v>
      </c>
      <c r="Z1717" t="s">
        <v>173</v>
      </c>
      <c r="AA1717" t="s">
        <v>173</v>
      </c>
    </row>
    <row r="1718" spans="1:27" x14ac:dyDescent="0.3">
      <c r="A1718">
        <v>1717</v>
      </c>
      <c r="B1718" t="s">
        <v>169</v>
      </c>
      <c r="C1718">
        <v>99019875</v>
      </c>
      <c r="D1718" s="7" t="s">
        <v>77</v>
      </c>
      <c r="E1718" t="s">
        <v>78</v>
      </c>
      <c r="F1718" t="s">
        <v>170</v>
      </c>
      <c r="G1718" t="s">
        <v>177</v>
      </c>
      <c r="H1718">
        <v>73</v>
      </c>
      <c r="I1718">
        <v>0</v>
      </c>
      <c r="J1718">
        <v>73</v>
      </c>
      <c r="K1718" s="133">
        <v>7340</v>
      </c>
      <c r="L1718" s="133">
        <v>7340</v>
      </c>
      <c r="M1718" s="150">
        <v>0.62203703703703705</v>
      </c>
      <c r="N1718" s="150">
        <v>0.62254629629629632</v>
      </c>
      <c r="O1718" t="s">
        <v>172</v>
      </c>
      <c r="Q1718">
        <v>2535262</v>
      </c>
      <c r="R1718">
        <v>2535262</v>
      </c>
      <c r="S1718">
        <v>2535184</v>
      </c>
      <c r="T1718">
        <v>0</v>
      </c>
      <c r="U1718" t="s">
        <v>173</v>
      </c>
      <c r="V1718">
        <v>0</v>
      </c>
      <c r="W1718" t="s">
        <v>174</v>
      </c>
      <c r="X1718">
        <v>2535184</v>
      </c>
      <c r="Z1718" t="s">
        <v>173</v>
      </c>
      <c r="AA1718" t="s">
        <v>173</v>
      </c>
    </row>
    <row r="1719" spans="1:27" x14ac:dyDescent="0.3">
      <c r="A1719">
        <v>1718</v>
      </c>
      <c r="B1719" t="s">
        <v>169</v>
      </c>
      <c r="C1719">
        <v>99019875</v>
      </c>
      <c r="D1719" s="7" t="s">
        <v>118</v>
      </c>
      <c r="E1719" t="s">
        <v>119</v>
      </c>
      <c r="F1719" t="s">
        <v>176</v>
      </c>
      <c r="G1719" t="s">
        <v>177</v>
      </c>
      <c r="H1719">
        <v>20</v>
      </c>
      <c r="I1719">
        <v>0</v>
      </c>
      <c r="J1719">
        <v>20</v>
      </c>
      <c r="K1719" s="133">
        <v>12410</v>
      </c>
      <c r="L1719" s="133">
        <v>12410</v>
      </c>
      <c r="M1719" s="150">
        <v>0.62209490740740747</v>
      </c>
      <c r="N1719" s="150">
        <v>0.62305555555555558</v>
      </c>
      <c r="O1719" t="s">
        <v>172</v>
      </c>
      <c r="Q1719">
        <v>2535449</v>
      </c>
      <c r="R1719">
        <v>2535449</v>
      </c>
      <c r="S1719">
        <v>2533204</v>
      </c>
      <c r="T1719">
        <v>0</v>
      </c>
      <c r="U1719" t="s">
        <v>173</v>
      </c>
      <c r="V1719">
        <v>0</v>
      </c>
      <c r="W1719" t="s">
        <v>174</v>
      </c>
      <c r="X1719">
        <v>2533204</v>
      </c>
      <c r="Z1719" t="s">
        <v>173</v>
      </c>
      <c r="AA1719" t="s">
        <v>173</v>
      </c>
    </row>
    <row r="1720" spans="1:27" x14ac:dyDescent="0.3">
      <c r="A1720">
        <v>1719</v>
      </c>
      <c r="B1720" t="s">
        <v>169</v>
      </c>
      <c r="C1720">
        <v>99019875</v>
      </c>
      <c r="D1720" s="7" t="s">
        <v>118</v>
      </c>
      <c r="E1720" t="s">
        <v>119</v>
      </c>
      <c r="F1720" t="s">
        <v>176</v>
      </c>
      <c r="G1720" t="s">
        <v>177</v>
      </c>
      <c r="H1720">
        <v>20</v>
      </c>
      <c r="I1720">
        <v>0</v>
      </c>
      <c r="J1720">
        <v>20</v>
      </c>
      <c r="K1720" s="133">
        <v>12410</v>
      </c>
      <c r="L1720" s="133">
        <v>12410</v>
      </c>
      <c r="M1720" s="150">
        <v>0.62209490740740747</v>
      </c>
      <c r="N1720" s="150">
        <v>0.62305555555555558</v>
      </c>
      <c r="O1720" t="s">
        <v>172</v>
      </c>
      <c r="Q1720">
        <v>2535450</v>
      </c>
      <c r="R1720">
        <v>2535450</v>
      </c>
      <c r="S1720">
        <v>2533205</v>
      </c>
      <c r="T1720">
        <v>0</v>
      </c>
      <c r="U1720" t="s">
        <v>173</v>
      </c>
      <c r="V1720">
        <v>0</v>
      </c>
      <c r="W1720" t="s">
        <v>174</v>
      </c>
      <c r="X1720">
        <v>2533205</v>
      </c>
      <c r="Z1720" t="s">
        <v>173</v>
      </c>
      <c r="AA1720" t="s">
        <v>173</v>
      </c>
    </row>
    <row r="1721" spans="1:27" x14ac:dyDescent="0.3">
      <c r="A1721">
        <v>1720</v>
      </c>
      <c r="B1721" t="s">
        <v>169</v>
      </c>
      <c r="C1721">
        <v>99019875</v>
      </c>
      <c r="D1721" s="7" t="s">
        <v>118</v>
      </c>
      <c r="E1721" t="s">
        <v>119</v>
      </c>
      <c r="F1721" t="s">
        <v>176</v>
      </c>
      <c r="G1721" t="s">
        <v>177</v>
      </c>
      <c r="H1721">
        <v>19</v>
      </c>
      <c r="I1721">
        <v>0</v>
      </c>
      <c r="J1721">
        <v>19</v>
      </c>
      <c r="K1721" s="133">
        <v>12410</v>
      </c>
      <c r="L1721" s="133">
        <v>12410</v>
      </c>
      <c r="M1721" s="150">
        <v>0.62209490740740747</v>
      </c>
      <c r="N1721" s="150">
        <v>0.62305555555555558</v>
      </c>
      <c r="O1721" t="s">
        <v>172</v>
      </c>
      <c r="Q1721">
        <v>2535451</v>
      </c>
      <c r="R1721">
        <v>2535451</v>
      </c>
      <c r="S1721">
        <v>2533206</v>
      </c>
      <c r="T1721">
        <v>0</v>
      </c>
      <c r="U1721" t="s">
        <v>173</v>
      </c>
      <c r="V1721">
        <v>0</v>
      </c>
      <c r="W1721" t="s">
        <v>174</v>
      </c>
      <c r="X1721">
        <v>2533206</v>
      </c>
      <c r="Z1721" t="s">
        <v>173</v>
      </c>
      <c r="AA1721" t="s">
        <v>173</v>
      </c>
    </row>
    <row r="1722" spans="1:27" x14ac:dyDescent="0.3">
      <c r="A1722">
        <v>1721</v>
      </c>
      <c r="B1722" t="s">
        <v>169</v>
      </c>
      <c r="C1722">
        <v>99019875</v>
      </c>
      <c r="D1722" s="7" t="s">
        <v>118</v>
      </c>
      <c r="E1722" t="s">
        <v>119</v>
      </c>
      <c r="F1722" t="s">
        <v>176</v>
      </c>
      <c r="G1722" t="s">
        <v>177</v>
      </c>
      <c r="H1722">
        <v>20</v>
      </c>
      <c r="I1722">
        <v>0</v>
      </c>
      <c r="J1722">
        <v>20</v>
      </c>
      <c r="K1722" s="133">
        <v>12410</v>
      </c>
      <c r="L1722" s="133">
        <v>12410</v>
      </c>
      <c r="M1722" s="150">
        <v>0.62209490740740747</v>
      </c>
      <c r="N1722" s="150">
        <v>0.62305555555555558</v>
      </c>
      <c r="O1722" t="s">
        <v>172</v>
      </c>
      <c r="Q1722">
        <v>2535452</v>
      </c>
      <c r="R1722">
        <v>2535452</v>
      </c>
      <c r="S1722">
        <v>2533207</v>
      </c>
      <c r="T1722">
        <v>0</v>
      </c>
      <c r="U1722" t="s">
        <v>173</v>
      </c>
      <c r="V1722">
        <v>0</v>
      </c>
      <c r="W1722" t="s">
        <v>174</v>
      </c>
      <c r="X1722">
        <v>2533207</v>
      </c>
      <c r="Z1722" t="s">
        <v>173</v>
      </c>
      <c r="AA1722" t="s">
        <v>173</v>
      </c>
    </row>
    <row r="1723" spans="1:27" x14ac:dyDescent="0.3">
      <c r="A1723">
        <v>1722</v>
      </c>
      <c r="B1723" t="s">
        <v>169</v>
      </c>
      <c r="C1723">
        <v>99019875</v>
      </c>
      <c r="D1723" s="7" t="s">
        <v>118</v>
      </c>
      <c r="E1723" t="s">
        <v>119</v>
      </c>
      <c r="F1723" t="s">
        <v>176</v>
      </c>
      <c r="G1723" t="s">
        <v>177</v>
      </c>
      <c r="H1723">
        <v>20</v>
      </c>
      <c r="I1723">
        <v>0</v>
      </c>
      <c r="J1723">
        <v>20</v>
      </c>
      <c r="K1723" s="133">
        <v>12410</v>
      </c>
      <c r="L1723" s="133">
        <v>12410</v>
      </c>
      <c r="M1723" s="150">
        <v>0.62209490740740747</v>
      </c>
      <c r="N1723" s="150">
        <v>0.62305555555555558</v>
      </c>
      <c r="O1723" t="s">
        <v>172</v>
      </c>
      <c r="Q1723">
        <v>2535453</v>
      </c>
      <c r="R1723">
        <v>2535453</v>
      </c>
      <c r="S1723">
        <v>2533208</v>
      </c>
      <c r="T1723">
        <v>0</v>
      </c>
      <c r="U1723" t="s">
        <v>173</v>
      </c>
      <c r="V1723">
        <v>0</v>
      </c>
      <c r="W1723" t="s">
        <v>174</v>
      </c>
      <c r="X1723">
        <v>2533208</v>
      </c>
      <c r="Z1723" t="s">
        <v>173</v>
      </c>
      <c r="AA1723" t="s">
        <v>173</v>
      </c>
    </row>
    <row r="1724" spans="1:27" x14ac:dyDescent="0.3">
      <c r="A1724">
        <v>1723</v>
      </c>
      <c r="B1724" t="s">
        <v>169</v>
      </c>
      <c r="C1724">
        <v>99019875</v>
      </c>
      <c r="D1724" s="7" t="s">
        <v>118</v>
      </c>
      <c r="E1724" t="s">
        <v>119</v>
      </c>
      <c r="F1724" t="s">
        <v>176</v>
      </c>
      <c r="G1724" t="s">
        <v>177</v>
      </c>
      <c r="H1724">
        <v>20</v>
      </c>
      <c r="I1724">
        <v>0</v>
      </c>
      <c r="J1724">
        <v>20</v>
      </c>
      <c r="K1724" s="133">
        <v>12410</v>
      </c>
      <c r="L1724" s="133">
        <v>12410</v>
      </c>
      <c r="M1724" s="150">
        <v>0.62209490740740747</v>
      </c>
      <c r="N1724" s="150">
        <v>0.62305555555555558</v>
      </c>
      <c r="O1724" t="s">
        <v>172</v>
      </c>
      <c r="Q1724">
        <v>2535454</v>
      </c>
      <c r="R1724">
        <v>2535454</v>
      </c>
      <c r="S1724">
        <v>2533209</v>
      </c>
      <c r="T1724">
        <v>0</v>
      </c>
      <c r="U1724" t="s">
        <v>173</v>
      </c>
      <c r="V1724">
        <v>0</v>
      </c>
      <c r="W1724" t="s">
        <v>174</v>
      </c>
      <c r="X1724">
        <v>2533209</v>
      </c>
      <c r="Z1724" t="s">
        <v>173</v>
      </c>
      <c r="AA1724" t="s">
        <v>173</v>
      </c>
    </row>
    <row r="1725" spans="1:27" x14ac:dyDescent="0.3">
      <c r="A1725">
        <v>1724</v>
      </c>
      <c r="B1725" t="s">
        <v>169</v>
      </c>
      <c r="C1725">
        <v>99019875</v>
      </c>
      <c r="D1725" s="7" t="s">
        <v>118</v>
      </c>
      <c r="E1725" t="s">
        <v>119</v>
      </c>
      <c r="F1725" t="s">
        <v>176</v>
      </c>
      <c r="G1725" t="s">
        <v>177</v>
      </c>
      <c r="H1725">
        <v>19</v>
      </c>
      <c r="I1725">
        <v>0</v>
      </c>
      <c r="J1725">
        <v>19</v>
      </c>
      <c r="K1725" s="133">
        <v>12410</v>
      </c>
      <c r="L1725" s="133">
        <v>12410</v>
      </c>
      <c r="M1725" s="150">
        <v>0.62209490740740747</v>
      </c>
      <c r="N1725" s="150">
        <v>0.62305555555555558</v>
      </c>
      <c r="O1725" t="s">
        <v>172</v>
      </c>
      <c r="Q1725">
        <v>2535455</v>
      </c>
      <c r="R1725">
        <v>2535455</v>
      </c>
      <c r="S1725">
        <v>2533210</v>
      </c>
      <c r="T1725">
        <v>0</v>
      </c>
      <c r="U1725" t="s">
        <v>173</v>
      </c>
      <c r="V1725">
        <v>0</v>
      </c>
      <c r="W1725" t="s">
        <v>174</v>
      </c>
      <c r="X1725">
        <v>2533210</v>
      </c>
      <c r="Z1725" t="s">
        <v>173</v>
      </c>
      <c r="AA1725" t="s">
        <v>173</v>
      </c>
    </row>
    <row r="1726" spans="1:27" x14ac:dyDescent="0.3">
      <c r="A1726">
        <v>1725</v>
      </c>
      <c r="B1726" t="s">
        <v>169</v>
      </c>
      <c r="C1726">
        <v>99019875</v>
      </c>
      <c r="D1726" s="7" t="s">
        <v>118</v>
      </c>
      <c r="E1726" t="s">
        <v>119</v>
      </c>
      <c r="F1726" t="s">
        <v>176</v>
      </c>
      <c r="G1726" t="s">
        <v>177</v>
      </c>
      <c r="H1726">
        <v>20</v>
      </c>
      <c r="I1726">
        <v>0</v>
      </c>
      <c r="J1726">
        <v>20</v>
      </c>
      <c r="K1726" s="133">
        <v>12410</v>
      </c>
      <c r="L1726" s="133">
        <v>12410</v>
      </c>
      <c r="M1726" s="150">
        <v>0.62209490740740747</v>
      </c>
      <c r="N1726" s="150">
        <v>0.62305555555555558</v>
      </c>
      <c r="O1726" t="s">
        <v>172</v>
      </c>
      <c r="Q1726">
        <v>2535456</v>
      </c>
      <c r="R1726">
        <v>2535456</v>
      </c>
      <c r="S1726">
        <v>2533211</v>
      </c>
      <c r="T1726">
        <v>0</v>
      </c>
      <c r="U1726" t="s">
        <v>173</v>
      </c>
      <c r="V1726">
        <v>0</v>
      </c>
      <c r="W1726" t="s">
        <v>174</v>
      </c>
      <c r="X1726">
        <v>2533211</v>
      </c>
      <c r="Z1726" t="s">
        <v>173</v>
      </c>
      <c r="AA1726" t="s">
        <v>173</v>
      </c>
    </row>
    <row r="1727" spans="1:27" x14ac:dyDescent="0.3">
      <c r="A1727">
        <v>1726</v>
      </c>
      <c r="B1727" t="s">
        <v>169</v>
      </c>
      <c r="C1727">
        <v>99019875</v>
      </c>
      <c r="D1727" s="7" t="s">
        <v>118</v>
      </c>
      <c r="E1727" t="s">
        <v>119</v>
      </c>
      <c r="F1727" t="s">
        <v>176</v>
      </c>
      <c r="G1727" t="s">
        <v>177</v>
      </c>
      <c r="H1727">
        <v>20</v>
      </c>
      <c r="I1727">
        <v>0</v>
      </c>
      <c r="J1727">
        <v>20</v>
      </c>
      <c r="K1727" s="133">
        <v>12410</v>
      </c>
      <c r="L1727" s="133">
        <v>12410</v>
      </c>
      <c r="M1727" s="150">
        <v>0.62209490740740747</v>
      </c>
      <c r="N1727" s="150">
        <v>0.62305555555555558</v>
      </c>
      <c r="O1727" t="s">
        <v>172</v>
      </c>
      <c r="Q1727">
        <v>2535457</v>
      </c>
      <c r="R1727">
        <v>2535457</v>
      </c>
      <c r="S1727">
        <v>2533212</v>
      </c>
      <c r="T1727">
        <v>0</v>
      </c>
      <c r="U1727" t="s">
        <v>173</v>
      </c>
      <c r="V1727">
        <v>0</v>
      </c>
      <c r="W1727" t="s">
        <v>174</v>
      </c>
      <c r="X1727">
        <v>2533212</v>
      </c>
      <c r="Z1727" t="s">
        <v>173</v>
      </c>
      <c r="AA1727" t="s">
        <v>173</v>
      </c>
    </row>
    <row r="1728" spans="1:27" x14ac:dyDescent="0.3">
      <c r="A1728">
        <v>1727</v>
      </c>
      <c r="B1728" t="s">
        <v>169</v>
      </c>
      <c r="C1728">
        <v>99019875</v>
      </c>
      <c r="D1728" s="7" t="s">
        <v>118</v>
      </c>
      <c r="E1728" t="s">
        <v>119</v>
      </c>
      <c r="F1728" t="s">
        <v>176</v>
      </c>
      <c r="G1728" t="s">
        <v>177</v>
      </c>
      <c r="H1728">
        <v>20</v>
      </c>
      <c r="I1728">
        <v>0</v>
      </c>
      <c r="J1728">
        <v>20</v>
      </c>
      <c r="K1728" s="133">
        <v>12410</v>
      </c>
      <c r="L1728" s="133">
        <v>12410</v>
      </c>
      <c r="M1728" s="150">
        <v>0.62209490740740747</v>
      </c>
      <c r="N1728" s="150">
        <v>0.62305555555555558</v>
      </c>
      <c r="O1728" t="s">
        <v>172</v>
      </c>
      <c r="Q1728">
        <v>2535458</v>
      </c>
      <c r="R1728">
        <v>2535458</v>
      </c>
      <c r="S1728">
        <v>2533388</v>
      </c>
      <c r="T1728">
        <v>0</v>
      </c>
      <c r="U1728" t="s">
        <v>173</v>
      </c>
      <c r="V1728">
        <v>0</v>
      </c>
      <c r="W1728" t="s">
        <v>174</v>
      </c>
      <c r="X1728">
        <v>2533388</v>
      </c>
      <c r="Z1728" t="s">
        <v>173</v>
      </c>
      <c r="AA1728" t="s">
        <v>173</v>
      </c>
    </row>
    <row r="1729" spans="1:27" x14ac:dyDescent="0.3">
      <c r="A1729">
        <v>1728</v>
      </c>
      <c r="B1729" t="s">
        <v>169</v>
      </c>
      <c r="C1729">
        <v>99019875</v>
      </c>
      <c r="D1729" s="7" t="s">
        <v>118</v>
      </c>
      <c r="E1729" t="s">
        <v>119</v>
      </c>
      <c r="F1729" t="s">
        <v>176</v>
      </c>
      <c r="G1729" t="s">
        <v>177</v>
      </c>
      <c r="H1729">
        <v>19</v>
      </c>
      <c r="I1729">
        <v>0</v>
      </c>
      <c r="J1729">
        <v>19</v>
      </c>
      <c r="K1729" s="133">
        <v>12410</v>
      </c>
      <c r="L1729" s="133">
        <v>12410</v>
      </c>
      <c r="M1729" s="150">
        <v>0.62209490740740747</v>
      </c>
      <c r="N1729" s="150">
        <v>0.62305555555555558</v>
      </c>
      <c r="O1729" t="s">
        <v>172</v>
      </c>
      <c r="Q1729">
        <v>2535459</v>
      </c>
      <c r="R1729">
        <v>2535459</v>
      </c>
      <c r="S1729">
        <v>2534331</v>
      </c>
      <c r="T1729">
        <v>0</v>
      </c>
      <c r="U1729" t="s">
        <v>173</v>
      </c>
      <c r="V1729">
        <v>0</v>
      </c>
      <c r="W1729" t="s">
        <v>174</v>
      </c>
      <c r="X1729">
        <v>2534331</v>
      </c>
      <c r="Z1729" t="s">
        <v>173</v>
      </c>
      <c r="AA1729" t="s">
        <v>173</v>
      </c>
    </row>
    <row r="1730" spans="1:27" x14ac:dyDescent="0.3">
      <c r="A1730">
        <v>1729</v>
      </c>
      <c r="B1730" t="s">
        <v>169</v>
      </c>
      <c r="C1730">
        <v>99019875</v>
      </c>
      <c r="D1730" s="7" t="s">
        <v>118</v>
      </c>
      <c r="E1730" t="s">
        <v>119</v>
      </c>
      <c r="F1730" t="s">
        <v>176</v>
      </c>
      <c r="G1730" t="s">
        <v>177</v>
      </c>
      <c r="H1730">
        <v>20</v>
      </c>
      <c r="I1730">
        <v>0</v>
      </c>
      <c r="J1730">
        <v>20</v>
      </c>
      <c r="K1730" s="133">
        <v>12410</v>
      </c>
      <c r="L1730" s="133">
        <v>12410</v>
      </c>
      <c r="M1730" s="150">
        <v>0.62209490740740747</v>
      </c>
      <c r="N1730" s="150">
        <v>0.62305555555555558</v>
      </c>
      <c r="O1730" t="s">
        <v>172</v>
      </c>
      <c r="Q1730">
        <v>2535460</v>
      </c>
      <c r="R1730">
        <v>2535460</v>
      </c>
      <c r="S1730">
        <v>2535187</v>
      </c>
      <c r="T1730">
        <v>0</v>
      </c>
      <c r="U1730" t="s">
        <v>173</v>
      </c>
      <c r="V1730">
        <v>0</v>
      </c>
      <c r="W1730" t="s">
        <v>174</v>
      </c>
      <c r="X1730">
        <v>2535187</v>
      </c>
      <c r="Z1730" t="s">
        <v>173</v>
      </c>
      <c r="AA1730" t="s">
        <v>173</v>
      </c>
    </row>
    <row r="1731" spans="1:27" x14ac:dyDescent="0.3">
      <c r="A1731">
        <v>1730</v>
      </c>
      <c r="B1731" t="s">
        <v>169</v>
      </c>
      <c r="C1731">
        <v>99019875</v>
      </c>
      <c r="D1731" s="7" t="s">
        <v>71</v>
      </c>
      <c r="E1731" t="s">
        <v>72</v>
      </c>
      <c r="F1731" t="s">
        <v>176</v>
      </c>
      <c r="G1731" t="s">
        <v>177</v>
      </c>
      <c r="H1731">
        <v>4</v>
      </c>
      <c r="I1731">
        <v>0</v>
      </c>
      <c r="J1731">
        <v>4</v>
      </c>
      <c r="K1731" s="133">
        <v>18005</v>
      </c>
      <c r="L1731" s="133">
        <v>18005</v>
      </c>
      <c r="M1731" s="150">
        <v>0.62215277777777778</v>
      </c>
      <c r="N1731" s="150">
        <v>0.62245370370370368</v>
      </c>
      <c r="O1731" t="s">
        <v>172</v>
      </c>
      <c r="Q1731">
        <v>2535667</v>
      </c>
      <c r="R1731">
        <v>2535667</v>
      </c>
      <c r="S1731">
        <v>2532632</v>
      </c>
      <c r="T1731">
        <v>0</v>
      </c>
      <c r="U1731" t="s">
        <v>173</v>
      </c>
      <c r="V1731">
        <v>0</v>
      </c>
      <c r="W1731" t="s">
        <v>174</v>
      </c>
      <c r="X1731">
        <v>2532632</v>
      </c>
      <c r="Z1731" t="s">
        <v>173</v>
      </c>
      <c r="AA1731" t="s">
        <v>173</v>
      </c>
    </row>
    <row r="1732" spans="1:27" x14ac:dyDescent="0.3">
      <c r="A1732">
        <v>1731</v>
      </c>
      <c r="B1732" t="s">
        <v>169</v>
      </c>
      <c r="C1732">
        <v>99019875</v>
      </c>
      <c r="D1732" s="7" t="s">
        <v>71</v>
      </c>
      <c r="E1732" t="s">
        <v>72</v>
      </c>
      <c r="F1732" t="s">
        <v>176</v>
      </c>
      <c r="G1732" t="s">
        <v>177</v>
      </c>
      <c r="H1732">
        <v>19</v>
      </c>
      <c r="I1732">
        <v>0</v>
      </c>
      <c r="J1732">
        <v>19</v>
      </c>
      <c r="K1732" s="133">
        <v>18005</v>
      </c>
      <c r="L1732" s="133">
        <v>18005</v>
      </c>
      <c r="M1732" s="150">
        <v>0.62215277777777778</v>
      </c>
      <c r="N1732" s="150">
        <v>0.62245370370370368</v>
      </c>
      <c r="O1732" t="s">
        <v>172</v>
      </c>
      <c r="Q1732">
        <v>2535668</v>
      </c>
      <c r="R1732">
        <v>2535668</v>
      </c>
      <c r="S1732">
        <v>2532633</v>
      </c>
      <c r="T1732">
        <v>0</v>
      </c>
      <c r="U1732" t="s">
        <v>173</v>
      </c>
      <c r="V1732">
        <v>0</v>
      </c>
      <c r="W1732" t="s">
        <v>174</v>
      </c>
      <c r="X1732">
        <v>2532633</v>
      </c>
      <c r="Z1732" t="s">
        <v>173</v>
      </c>
      <c r="AA1732" t="s">
        <v>173</v>
      </c>
    </row>
    <row r="1733" spans="1:27" x14ac:dyDescent="0.3">
      <c r="A1733">
        <v>1732</v>
      </c>
      <c r="B1733" t="s">
        <v>169</v>
      </c>
      <c r="C1733">
        <v>99019875</v>
      </c>
      <c r="D1733" s="7" t="s">
        <v>71</v>
      </c>
      <c r="E1733" t="s">
        <v>72</v>
      </c>
      <c r="F1733" t="s">
        <v>176</v>
      </c>
      <c r="G1733" t="s">
        <v>177</v>
      </c>
      <c r="H1733">
        <v>18</v>
      </c>
      <c r="I1733">
        <v>0</v>
      </c>
      <c r="J1733">
        <v>18</v>
      </c>
      <c r="K1733" s="133">
        <v>18005</v>
      </c>
      <c r="L1733" s="133">
        <v>18005</v>
      </c>
      <c r="M1733" s="150">
        <v>0.62215277777777778</v>
      </c>
      <c r="N1733" s="150">
        <v>0.62245370370370368</v>
      </c>
      <c r="O1733" t="s">
        <v>172</v>
      </c>
      <c r="Q1733">
        <v>2535669</v>
      </c>
      <c r="R1733">
        <v>2535669</v>
      </c>
      <c r="S1733">
        <v>2533386</v>
      </c>
      <c r="T1733">
        <v>0</v>
      </c>
      <c r="U1733" t="s">
        <v>173</v>
      </c>
      <c r="V1733">
        <v>0</v>
      </c>
      <c r="W1733" t="s">
        <v>174</v>
      </c>
      <c r="X1733">
        <v>2533386</v>
      </c>
      <c r="Z1733" t="s">
        <v>173</v>
      </c>
      <c r="AA1733" t="s">
        <v>173</v>
      </c>
    </row>
    <row r="1734" spans="1:27" x14ac:dyDescent="0.3">
      <c r="A1734">
        <v>1733</v>
      </c>
      <c r="B1734" t="s">
        <v>169</v>
      </c>
      <c r="C1734">
        <v>99019875</v>
      </c>
      <c r="D1734" s="7" t="s">
        <v>71</v>
      </c>
      <c r="E1734" t="s">
        <v>72</v>
      </c>
      <c r="F1734" t="s">
        <v>176</v>
      </c>
      <c r="G1734" t="s">
        <v>177</v>
      </c>
      <c r="H1734">
        <v>18</v>
      </c>
      <c r="I1734">
        <v>0</v>
      </c>
      <c r="J1734">
        <v>18</v>
      </c>
      <c r="K1734" s="133">
        <v>18005</v>
      </c>
      <c r="L1734" s="133">
        <v>18005</v>
      </c>
      <c r="M1734" s="150">
        <v>0.62215277777777778</v>
      </c>
      <c r="N1734" s="150">
        <v>0.62245370370370368</v>
      </c>
      <c r="O1734" t="s">
        <v>172</v>
      </c>
      <c r="Q1734">
        <v>2535670</v>
      </c>
      <c r="R1734">
        <v>2535670</v>
      </c>
      <c r="S1734">
        <v>2534329</v>
      </c>
      <c r="T1734">
        <v>0</v>
      </c>
      <c r="U1734" t="s">
        <v>173</v>
      </c>
      <c r="V1734">
        <v>0</v>
      </c>
      <c r="W1734" t="s">
        <v>174</v>
      </c>
      <c r="X1734">
        <v>2534329</v>
      </c>
      <c r="Z1734" t="s">
        <v>173</v>
      </c>
      <c r="AA1734" t="s">
        <v>173</v>
      </c>
    </row>
    <row r="1735" spans="1:27" x14ac:dyDescent="0.3">
      <c r="A1735">
        <v>1734</v>
      </c>
      <c r="B1735" t="s">
        <v>169</v>
      </c>
      <c r="C1735">
        <v>99019875</v>
      </c>
      <c r="D1735" s="7" t="s">
        <v>71</v>
      </c>
      <c r="E1735" t="s">
        <v>72</v>
      </c>
      <c r="F1735" t="s">
        <v>176</v>
      </c>
      <c r="G1735" t="s">
        <v>177</v>
      </c>
      <c r="H1735">
        <v>19</v>
      </c>
      <c r="I1735">
        <v>0</v>
      </c>
      <c r="J1735">
        <v>19</v>
      </c>
      <c r="K1735" s="133">
        <v>18005</v>
      </c>
      <c r="L1735" s="133">
        <v>18005</v>
      </c>
      <c r="M1735" s="150">
        <v>0.62215277777777778</v>
      </c>
      <c r="N1735" s="150">
        <v>0.62245370370370368</v>
      </c>
      <c r="O1735" t="s">
        <v>172</v>
      </c>
      <c r="Q1735">
        <v>2535671</v>
      </c>
      <c r="R1735">
        <v>2535671</v>
      </c>
      <c r="S1735">
        <v>2535185</v>
      </c>
      <c r="T1735">
        <v>0</v>
      </c>
      <c r="U1735" t="s">
        <v>173</v>
      </c>
      <c r="V1735">
        <v>0</v>
      </c>
      <c r="W1735" t="s">
        <v>174</v>
      </c>
      <c r="X1735">
        <v>2535185</v>
      </c>
      <c r="Z1735" t="s">
        <v>173</v>
      </c>
      <c r="AA1735" t="s">
        <v>173</v>
      </c>
    </row>
    <row r="1736" spans="1:27" x14ac:dyDescent="0.3">
      <c r="A1736">
        <v>1735</v>
      </c>
      <c r="B1736" t="s">
        <v>169</v>
      </c>
      <c r="C1736">
        <v>99019875</v>
      </c>
      <c r="D1736" s="7" t="s">
        <v>65</v>
      </c>
      <c r="E1736" t="s">
        <v>66</v>
      </c>
      <c r="F1736" t="s">
        <v>176</v>
      </c>
      <c r="G1736" t="s">
        <v>177</v>
      </c>
      <c r="H1736">
        <v>58</v>
      </c>
      <c r="I1736">
        <v>0</v>
      </c>
      <c r="J1736">
        <v>58</v>
      </c>
      <c r="K1736" s="133">
        <v>4745</v>
      </c>
      <c r="L1736" s="133">
        <v>4745</v>
      </c>
      <c r="M1736" s="150">
        <v>0.6222685185185185</v>
      </c>
      <c r="N1736" s="150">
        <v>0.62228009259259254</v>
      </c>
      <c r="O1736" t="s">
        <v>172</v>
      </c>
      <c r="Q1736">
        <v>2536039</v>
      </c>
      <c r="R1736">
        <v>2536039</v>
      </c>
      <c r="S1736">
        <v>2534330</v>
      </c>
      <c r="T1736">
        <v>0</v>
      </c>
      <c r="U1736" t="s">
        <v>173</v>
      </c>
      <c r="V1736">
        <v>0</v>
      </c>
      <c r="W1736" t="s">
        <v>174</v>
      </c>
      <c r="X1736">
        <v>2534330</v>
      </c>
      <c r="Z1736" t="s">
        <v>173</v>
      </c>
      <c r="AA1736" t="s">
        <v>173</v>
      </c>
    </row>
    <row r="1737" spans="1:27" x14ac:dyDescent="0.3">
      <c r="A1737">
        <v>1736</v>
      </c>
      <c r="B1737" t="s">
        <v>169</v>
      </c>
      <c r="C1737">
        <v>99019875</v>
      </c>
      <c r="D1737" s="7" t="s">
        <v>65</v>
      </c>
      <c r="E1737" t="s">
        <v>66</v>
      </c>
      <c r="F1737" t="s">
        <v>176</v>
      </c>
      <c r="G1737" t="s">
        <v>177</v>
      </c>
      <c r="H1737">
        <v>57</v>
      </c>
      <c r="I1737">
        <v>0</v>
      </c>
      <c r="J1737">
        <v>57</v>
      </c>
      <c r="K1737" s="133">
        <v>4745</v>
      </c>
      <c r="L1737" s="133">
        <v>4745</v>
      </c>
      <c r="M1737" s="150">
        <v>0.6222685185185185</v>
      </c>
      <c r="N1737" s="150">
        <v>0.62228009259259254</v>
      </c>
      <c r="O1737" t="s">
        <v>172</v>
      </c>
      <c r="Q1737">
        <v>2536040</v>
      </c>
      <c r="R1737">
        <v>2536040</v>
      </c>
      <c r="S1737">
        <v>2535186</v>
      </c>
      <c r="T1737">
        <v>0</v>
      </c>
      <c r="U1737" t="s">
        <v>173</v>
      </c>
      <c r="V1737">
        <v>0</v>
      </c>
      <c r="W1737" t="s">
        <v>174</v>
      </c>
      <c r="X1737">
        <v>2535186</v>
      </c>
      <c r="Z1737" t="s">
        <v>173</v>
      </c>
      <c r="AA1737" t="s">
        <v>173</v>
      </c>
    </row>
    <row r="1738" spans="1:27" x14ac:dyDescent="0.3">
      <c r="A1738">
        <v>1737</v>
      </c>
      <c r="B1738" t="s">
        <v>169</v>
      </c>
      <c r="C1738">
        <v>99019875</v>
      </c>
      <c r="D1738" s="7" t="s">
        <v>114</v>
      </c>
      <c r="E1738" t="s">
        <v>115</v>
      </c>
      <c r="F1738" t="s">
        <v>176</v>
      </c>
      <c r="G1738" t="s">
        <v>171</v>
      </c>
      <c r="H1738">
        <v>65</v>
      </c>
      <c r="I1738">
        <v>0</v>
      </c>
      <c r="J1738">
        <v>65</v>
      </c>
      <c r="K1738" s="133">
        <v>53780</v>
      </c>
      <c r="L1738" s="133">
        <v>53780</v>
      </c>
      <c r="M1738" s="150">
        <v>0.62231481481481488</v>
      </c>
      <c r="N1738" s="150">
        <v>0.62245370370370368</v>
      </c>
      <c r="O1738" t="s">
        <v>172</v>
      </c>
      <c r="Q1738">
        <v>2536154</v>
      </c>
      <c r="R1738">
        <v>2536154</v>
      </c>
      <c r="S1738">
        <v>0</v>
      </c>
      <c r="T1738">
        <v>0</v>
      </c>
      <c r="U1738" t="s">
        <v>173</v>
      </c>
      <c r="V1738">
        <v>0</v>
      </c>
      <c r="W1738" t="s">
        <v>174</v>
      </c>
      <c r="X1738">
        <v>0</v>
      </c>
      <c r="Z1738" t="s">
        <v>173</v>
      </c>
      <c r="AA1738" t="s">
        <v>173</v>
      </c>
    </row>
    <row r="1739" spans="1:27" x14ac:dyDescent="0.3">
      <c r="A1739">
        <v>1738</v>
      </c>
      <c r="B1739" t="s">
        <v>169</v>
      </c>
      <c r="C1739">
        <v>99019875</v>
      </c>
      <c r="D1739" s="7" t="s">
        <v>62</v>
      </c>
      <c r="E1739" t="s">
        <v>63</v>
      </c>
      <c r="F1739" t="s">
        <v>176</v>
      </c>
      <c r="G1739" t="s">
        <v>171</v>
      </c>
      <c r="H1739">
        <v>89</v>
      </c>
      <c r="I1739">
        <v>0</v>
      </c>
      <c r="J1739">
        <v>89</v>
      </c>
      <c r="K1739" s="133">
        <v>34020</v>
      </c>
      <c r="L1739" s="133">
        <v>34020</v>
      </c>
      <c r="M1739" s="150">
        <v>0.62231481481481488</v>
      </c>
      <c r="N1739" s="150">
        <v>0.62234953703703699</v>
      </c>
      <c r="O1739" t="s">
        <v>172</v>
      </c>
      <c r="Q1739">
        <v>2536155</v>
      </c>
      <c r="R1739">
        <v>2536155</v>
      </c>
      <c r="S1739">
        <v>0</v>
      </c>
      <c r="T1739">
        <v>0</v>
      </c>
      <c r="U1739" t="s">
        <v>173</v>
      </c>
      <c r="V1739">
        <v>0</v>
      </c>
      <c r="W1739" t="s">
        <v>174</v>
      </c>
      <c r="X1739">
        <v>0</v>
      </c>
      <c r="Z1739" t="s">
        <v>173</v>
      </c>
      <c r="AA1739" t="s">
        <v>173</v>
      </c>
    </row>
    <row r="1740" spans="1:27" x14ac:dyDescent="0.3">
      <c r="A1740">
        <v>1739</v>
      </c>
      <c r="B1740" t="s">
        <v>169</v>
      </c>
      <c r="C1740">
        <v>99019875</v>
      </c>
      <c r="D1740" s="7" t="s">
        <v>81</v>
      </c>
      <c r="E1740" t="s">
        <v>82</v>
      </c>
      <c r="F1740" t="s">
        <v>176</v>
      </c>
      <c r="G1740" t="s">
        <v>171</v>
      </c>
      <c r="H1740">
        <v>75</v>
      </c>
      <c r="I1740">
        <v>0</v>
      </c>
      <c r="J1740">
        <v>51</v>
      </c>
      <c r="K1740" s="133">
        <v>36395</v>
      </c>
      <c r="L1740" s="133">
        <v>36395</v>
      </c>
      <c r="M1740" s="150">
        <v>0.62231481481481488</v>
      </c>
      <c r="N1740" s="150">
        <v>0.62263888888888885</v>
      </c>
      <c r="O1740" t="s">
        <v>172</v>
      </c>
      <c r="Q1740">
        <v>2536156</v>
      </c>
      <c r="R1740">
        <v>2536156</v>
      </c>
      <c r="S1740">
        <v>0</v>
      </c>
      <c r="T1740">
        <v>24</v>
      </c>
      <c r="U1740" t="s">
        <v>173</v>
      </c>
      <c r="V1740">
        <v>0</v>
      </c>
      <c r="W1740" t="s">
        <v>174</v>
      </c>
      <c r="X1740">
        <v>0</v>
      </c>
      <c r="Z1740" t="s">
        <v>173</v>
      </c>
      <c r="AA1740" t="s">
        <v>173</v>
      </c>
    </row>
    <row r="1741" spans="1:27" x14ac:dyDescent="0.3">
      <c r="A1741">
        <v>1740</v>
      </c>
      <c r="B1741" t="s">
        <v>169</v>
      </c>
      <c r="C1741">
        <v>99019875</v>
      </c>
      <c r="D1741" s="7" t="s">
        <v>102</v>
      </c>
      <c r="E1741" t="s">
        <v>103</v>
      </c>
      <c r="F1741" t="s">
        <v>170</v>
      </c>
      <c r="G1741" t="s">
        <v>171</v>
      </c>
      <c r="H1741">
        <v>53</v>
      </c>
      <c r="I1741">
        <v>0</v>
      </c>
      <c r="J1741">
        <v>19</v>
      </c>
      <c r="K1741" s="133">
        <v>26790</v>
      </c>
      <c r="L1741" s="133">
        <v>26790</v>
      </c>
      <c r="M1741" s="150">
        <v>0.62231481481481488</v>
      </c>
      <c r="N1741" s="150">
        <v>0.62241898148148145</v>
      </c>
      <c r="O1741" t="s">
        <v>172</v>
      </c>
      <c r="Q1741">
        <v>2536158</v>
      </c>
      <c r="R1741">
        <v>2536158</v>
      </c>
      <c r="S1741">
        <v>0</v>
      </c>
      <c r="T1741">
        <v>34</v>
      </c>
      <c r="U1741" t="s">
        <v>173</v>
      </c>
      <c r="V1741">
        <v>0</v>
      </c>
      <c r="W1741" t="s">
        <v>174</v>
      </c>
      <c r="X1741">
        <v>0</v>
      </c>
      <c r="Z1741" t="s">
        <v>173</v>
      </c>
      <c r="AA1741" t="s">
        <v>173</v>
      </c>
    </row>
    <row r="1742" spans="1:27" x14ac:dyDescent="0.3">
      <c r="A1742">
        <v>1741</v>
      </c>
      <c r="B1742" t="s">
        <v>169</v>
      </c>
      <c r="C1742">
        <v>99019875</v>
      </c>
      <c r="D1742" s="7" t="s">
        <v>67</v>
      </c>
      <c r="E1742" t="s">
        <v>68</v>
      </c>
      <c r="F1742" t="s">
        <v>170</v>
      </c>
      <c r="G1742" t="s">
        <v>171</v>
      </c>
      <c r="H1742">
        <v>35</v>
      </c>
      <c r="I1742">
        <v>0</v>
      </c>
      <c r="J1742">
        <v>35</v>
      </c>
      <c r="K1742" s="133">
        <v>4795</v>
      </c>
      <c r="L1742" s="133">
        <v>4795</v>
      </c>
      <c r="M1742" s="150">
        <v>0.62231481481481488</v>
      </c>
      <c r="N1742" s="150">
        <v>0.62326388888888895</v>
      </c>
      <c r="O1742" t="s">
        <v>172</v>
      </c>
      <c r="Q1742">
        <v>2536159</v>
      </c>
      <c r="R1742">
        <v>2536159</v>
      </c>
      <c r="S1742">
        <v>0</v>
      </c>
      <c r="T1742">
        <v>0</v>
      </c>
      <c r="U1742" t="s">
        <v>173</v>
      </c>
      <c r="V1742">
        <v>0</v>
      </c>
      <c r="W1742" t="s">
        <v>174</v>
      </c>
      <c r="X1742">
        <v>0</v>
      </c>
      <c r="Z1742" t="s">
        <v>173</v>
      </c>
      <c r="AA1742" t="s">
        <v>173</v>
      </c>
    </row>
    <row r="1743" spans="1:27" x14ac:dyDescent="0.3">
      <c r="A1743">
        <v>1742</v>
      </c>
      <c r="B1743" t="s">
        <v>169</v>
      </c>
      <c r="C1743">
        <v>99019875</v>
      </c>
      <c r="D1743" s="7" t="s">
        <v>110</v>
      </c>
      <c r="E1743" t="s">
        <v>179</v>
      </c>
      <c r="F1743" t="s">
        <v>170</v>
      </c>
      <c r="G1743" t="s">
        <v>171</v>
      </c>
      <c r="H1743">
        <v>3</v>
      </c>
      <c r="I1743">
        <v>0</v>
      </c>
      <c r="J1743">
        <v>3</v>
      </c>
      <c r="K1743" s="133">
        <v>48410</v>
      </c>
      <c r="L1743" s="133">
        <v>48410</v>
      </c>
      <c r="M1743" s="150">
        <v>0.62231481481481488</v>
      </c>
      <c r="N1743" s="150">
        <v>0.62258101851851855</v>
      </c>
      <c r="O1743" t="s">
        <v>172</v>
      </c>
      <c r="Q1743">
        <v>2536160</v>
      </c>
      <c r="R1743">
        <v>2536160</v>
      </c>
      <c r="S1743">
        <v>0</v>
      </c>
      <c r="T1743">
        <v>0</v>
      </c>
      <c r="U1743" t="s">
        <v>173</v>
      </c>
      <c r="V1743">
        <v>0</v>
      </c>
      <c r="W1743" t="s">
        <v>174</v>
      </c>
      <c r="X1743">
        <v>0</v>
      </c>
      <c r="Z1743" t="s">
        <v>173</v>
      </c>
      <c r="AA1743" t="s">
        <v>173</v>
      </c>
    </row>
    <row r="1744" spans="1:27" x14ac:dyDescent="0.3">
      <c r="A1744">
        <v>1743</v>
      </c>
      <c r="B1744" t="s">
        <v>169</v>
      </c>
      <c r="C1744">
        <v>99019875</v>
      </c>
      <c r="D1744" s="7" t="s">
        <v>100</v>
      </c>
      <c r="E1744" t="s">
        <v>101</v>
      </c>
      <c r="F1744" t="s">
        <v>170</v>
      </c>
      <c r="G1744" t="s">
        <v>171</v>
      </c>
      <c r="H1744">
        <v>5</v>
      </c>
      <c r="I1744">
        <v>0</v>
      </c>
      <c r="J1744">
        <v>5</v>
      </c>
      <c r="K1744" s="133">
        <v>15505</v>
      </c>
      <c r="L1744" s="133">
        <v>15505</v>
      </c>
      <c r="M1744" s="150">
        <v>0.62231481481481488</v>
      </c>
      <c r="N1744" s="150">
        <v>0.62237268518518518</v>
      </c>
      <c r="O1744" t="s">
        <v>172</v>
      </c>
      <c r="Q1744">
        <v>2536162</v>
      </c>
      <c r="R1744">
        <v>2536162</v>
      </c>
      <c r="S1744">
        <v>0</v>
      </c>
      <c r="T1744">
        <v>0</v>
      </c>
      <c r="U1744" t="s">
        <v>173</v>
      </c>
      <c r="V1744">
        <v>0</v>
      </c>
      <c r="W1744" t="s">
        <v>174</v>
      </c>
      <c r="X1744">
        <v>0</v>
      </c>
      <c r="Z1744" t="s">
        <v>173</v>
      </c>
      <c r="AA1744" t="s">
        <v>173</v>
      </c>
    </row>
    <row r="1745" spans="1:27" x14ac:dyDescent="0.3">
      <c r="A1745">
        <v>1744</v>
      </c>
      <c r="B1745" t="s">
        <v>169</v>
      </c>
      <c r="C1745">
        <v>99019875</v>
      </c>
      <c r="D1745" s="7" t="s">
        <v>108</v>
      </c>
      <c r="E1745" t="s">
        <v>109</v>
      </c>
      <c r="F1745" t="s">
        <v>170</v>
      </c>
      <c r="G1745" t="s">
        <v>171</v>
      </c>
      <c r="H1745">
        <v>24</v>
      </c>
      <c r="I1745">
        <v>0</v>
      </c>
      <c r="J1745">
        <v>24</v>
      </c>
      <c r="K1745" s="133">
        <v>2715</v>
      </c>
      <c r="L1745" s="133">
        <v>2715</v>
      </c>
      <c r="M1745" s="150">
        <v>0.62231481481481488</v>
      </c>
      <c r="N1745" s="150">
        <v>0.62402777777777774</v>
      </c>
      <c r="O1745" t="s">
        <v>172</v>
      </c>
      <c r="Q1745">
        <v>2536164</v>
      </c>
      <c r="R1745">
        <v>2536164</v>
      </c>
      <c r="S1745">
        <v>0</v>
      </c>
      <c r="T1745">
        <v>0</v>
      </c>
      <c r="U1745" t="s">
        <v>173</v>
      </c>
      <c r="V1745">
        <v>0</v>
      </c>
      <c r="W1745" t="s">
        <v>174</v>
      </c>
      <c r="X1745">
        <v>0</v>
      </c>
      <c r="Z1745" t="s">
        <v>173</v>
      </c>
      <c r="AA1745" t="s">
        <v>173</v>
      </c>
    </row>
    <row r="1746" spans="1:27" x14ac:dyDescent="0.3">
      <c r="A1746">
        <v>1745</v>
      </c>
      <c r="B1746" t="s">
        <v>169</v>
      </c>
      <c r="C1746">
        <v>99019875</v>
      </c>
      <c r="D1746" s="7" t="s">
        <v>122</v>
      </c>
      <c r="E1746" t="s">
        <v>123</v>
      </c>
      <c r="F1746" t="s">
        <v>170</v>
      </c>
      <c r="G1746" t="s">
        <v>171</v>
      </c>
      <c r="H1746">
        <v>19</v>
      </c>
      <c r="I1746">
        <v>0</v>
      </c>
      <c r="J1746">
        <v>19</v>
      </c>
      <c r="K1746" s="133">
        <v>36015</v>
      </c>
      <c r="L1746" s="133">
        <v>36015</v>
      </c>
      <c r="M1746" s="150">
        <v>0.62231481481481488</v>
      </c>
      <c r="N1746" s="150">
        <v>0.62354166666666666</v>
      </c>
      <c r="O1746" t="s">
        <v>172</v>
      </c>
      <c r="Q1746">
        <v>2536165</v>
      </c>
      <c r="R1746">
        <v>2536165</v>
      </c>
      <c r="S1746">
        <v>0</v>
      </c>
      <c r="T1746">
        <v>0</v>
      </c>
      <c r="U1746" t="s">
        <v>173</v>
      </c>
      <c r="V1746">
        <v>0</v>
      </c>
      <c r="W1746" t="s">
        <v>174</v>
      </c>
      <c r="X1746">
        <v>0</v>
      </c>
      <c r="Z1746" t="s">
        <v>173</v>
      </c>
      <c r="AA1746" t="s">
        <v>173</v>
      </c>
    </row>
    <row r="1747" spans="1:27" x14ac:dyDescent="0.3">
      <c r="A1747">
        <v>1746</v>
      </c>
      <c r="B1747" t="s">
        <v>169</v>
      </c>
      <c r="C1747">
        <v>99019875</v>
      </c>
      <c r="D1747" s="7" t="s">
        <v>77</v>
      </c>
      <c r="E1747" t="s">
        <v>78</v>
      </c>
      <c r="F1747" t="s">
        <v>170</v>
      </c>
      <c r="G1747" t="s">
        <v>171</v>
      </c>
      <c r="H1747">
        <v>73</v>
      </c>
      <c r="I1747">
        <v>0</v>
      </c>
      <c r="J1747">
        <v>73</v>
      </c>
      <c r="K1747" s="133">
        <v>7340</v>
      </c>
      <c r="L1747" s="133">
        <v>7340</v>
      </c>
      <c r="M1747" s="150">
        <v>0.62231481481481488</v>
      </c>
      <c r="N1747" s="150">
        <v>0.62254629629629632</v>
      </c>
      <c r="O1747" t="s">
        <v>172</v>
      </c>
      <c r="Q1747">
        <v>2536169</v>
      </c>
      <c r="R1747">
        <v>2536169</v>
      </c>
      <c r="S1747">
        <v>0</v>
      </c>
      <c r="T1747">
        <v>0</v>
      </c>
      <c r="U1747" t="s">
        <v>173</v>
      </c>
      <c r="V1747">
        <v>0</v>
      </c>
      <c r="W1747" t="s">
        <v>174</v>
      </c>
      <c r="X1747">
        <v>0</v>
      </c>
      <c r="Z1747" t="s">
        <v>173</v>
      </c>
      <c r="AA1747" t="s">
        <v>173</v>
      </c>
    </row>
    <row r="1748" spans="1:27" x14ac:dyDescent="0.3">
      <c r="A1748">
        <v>1747</v>
      </c>
      <c r="B1748" t="s">
        <v>169</v>
      </c>
      <c r="C1748">
        <v>99019875</v>
      </c>
      <c r="D1748" s="7" t="s">
        <v>71</v>
      </c>
      <c r="E1748" t="s">
        <v>72</v>
      </c>
      <c r="F1748" t="s">
        <v>176</v>
      </c>
      <c r="G1748" t="s">
        <v>171</v>
      </c>
      <c r="H1748">
        <v>18</v>
      </c>
      <c r="I1748">
        <v>0</v>
      </c>
      <c r="J1748">
        <v>18</v>
      </c>
      <c r="K1748" s="133">
        <v>18005</v>
      </c>
      <c r="L1748" s="133">
        <v>18005</v>
      </c>
      <c r="M1748" s="150">
        <v>0.62231481481481488</v>
      </c>
      <c r="N1748" s="150">
        <v>0.62245370370370368</v>
      </c>
      <c r="O1748" t="s">
        <v>172</v>
      </c>
      <c r="Q1748">
        <v>2536170</v>
      </c>
      <c r="R1748">
        <v>2536170</v>
      </c>
      <c r="S1748">
        <v>0</v>
      </c>
      <c r="T1748">
        <v>0</v>
      </c>
      <c r="U1748" t="s">
        <v>173</v>
      </c>
      <c r="V1748">
        <v>0</v>
      </c>
      <c r="W1748" t="s">
        <v>174</v>
      </c>
      <c r="X1748">
        <v>0</v>
      </c>
      <c r="Z1748" t="s">
        <v>173</v>
      </c>
      <c r="AA1748" t="s">
        <v>173</v>
      </c>
    </row>
    <row r="1749" spans="1:27" x14ac:dyDescent="0.3">
      <c r="A1749">
        <v>1748</v>
      </c>
      <c r="B1749" t="s">
        <v>169</v>
      </c>
      <c r="C1749">
        <v>99019875</v>
      </c>
      <c r="D1749" s="7" t="s">
        <v>118</v>
      </c>
      <c r="E1749" t="s">
        <v>119</v>
      </c>
      <c r="F1749" t="s">
        <v>176</v>
      </c>
      <c r="G1749" t="s">
        <v>171</v>
      </c>
      <c r="H1749">
        <v>20</v>
      </c>
      <c r="I1749">
        <v>0</v>
      </c>
      <c r="J1749">
        <v>20</v>
      </c>
      <c r="K1749" s="133">
        <v>12410</v>
      </c>
      <c r="L1749" s="133">
        <v>12410</v>
      </c>
      <c r="M1749" s="150">
        <v>0.62231481481481488</v>
      </c>
      <c r="N1749" s="150">
        <v>0.62305555555555558</v>
      </c>
      <c r="O1749" t="s">
        <v>172</v>
      </c>
      <c r="Q1749">
        <v>2536172</v>
      </c>
      <c r="R1749">
        <v>2536172</v>
      </c>
      <c r="S1749">
        <v>0</v>
      </c>
      <c r="T1749">
        <v>0</v>
      </c>
      <c r="U1749" t="s">
        <v>173</v>
      </c>
      <c r="V1749">
        <v>0</v>
      </c>
      <c r="W1749" t="s">
        <v>174</v>
      </c>
      <c r="X1749">
        <v>0</v>
      </c>
      <c r="Z1749" t="s">
        <v>173</v>
      </c>
      <c r="AA1749" t="s">
        <v>173</v>
      </c>
    </row>
    <row r="1750" spans="1:27" x14ac:dyDescent="0.3">
      <c r="A1750">
        <v>1749</v>
      </c>
      <c r="B1750" t="s">
        <v>169</v>
      </c>
      <c r="C1750">
        <v>99019875</v>
      </c>
      <c r="D1750" s="7" t="s">
        <v>96</v>
      </c>
      <c r="E1750" t="s">
        <v>97</v>
      </c>
      <c r="F1750" t="s">
        <v>170</v>
      </c>
      <c r="G1750" t="s">
        <v>171</v>
      </c>
      <c r="H1750">
        <v>27</v>
      </c>
      <c r="I1750">
        <v>0</v>
      </c>
      <c r="J1750">
        <v>27</v>
      </c>
      <c r="K1750" s="133">
        <v>8295</v>
      </c>
      <c r="L1750" s="133">
        <v>8295</v>
      </c>
      <c r="M1750" s="150">
        <v>0.62231481481481488</v>
      </c>
      <c r="N1750" s="150">
        <v>0.62396990740740743</v>
      </c>
      <c r="O1750" t="s">
        <v>172</v>
      </c>
      <c r="Q1750">
        <v>2536173</v>
      </c>
      <c r="R1750">
        <v>2536173</v>
      </c>
      <c r="S1750">
        <v>0</v>
      </c>
      <c r="T1750">
        <v>0</v>
      </c>
      <c r="U1750" t="s">
        <v>173</v>
      </c>
      <c r="V1750">
        <v>0</v>
      </c>
      <c r="W1750" t="s">
        <v>174</v>
      </c>
      <c r="X1750">
        <v>0</v>
      </c>
      <c r="Z1750" t="s">
        <v>173</v>
      </c>
      <c r="AA1750" t="s">
        <v>173</v>
      </c>
    </row>
    <row r="1751" spans="1:27" x14ac:dyDescent="0.3">
      <c r="A1751">
        <v>1750</v>
      </c>
      <c r="B1751" t="s">
        <v>169</v>
      </c>
      <c r="C1751">
        <v>99019875</v>
      </c>
      <c r="D1751" s="7" t="s">
        <v>140</v>
      </c>
      <c r="E1751" t="s">
        <v>178</v>
      </c>
      <c r="F1751" t="s">
        <v>170</v>
      </c>
      <c r="G1751" t="s">
        <v>171</v>
      </c>
      <c r="H1751">
        <v>20</v>
      </c>
      <c r="I1751">
        <v>0</v>
      </c>
      <c r="J1751">
        <v>20</v>
      </c>
      <c r="K1751" s="133">
        <v>8630</v>
      </c>
      <c r="L1751" s="133">
        <v>8630</v>
      </c>
      <c r="M1751" s="150">
        <v>0.62231481481481488</v>
      </c>
      <c r="N1751" s="150">
        <v>0.62255787037037036</v>
      </c>
      <c r="O1751" t="s">
        <v>172</v>
      </c>
      <c r="Q1751">
        <v>2536174</v>
      </c>
      <c r="R1751">
        <v>2536174</v>
      </c>
      <c r="S1751">
        <v>0</v>
      </c>
      <c r="T1751">
        <v>0</v>
      </c>
      <c r="U1751" t="s">
        <v>173</v>
      </c>
      <c r="V1751">
        <v>0</v>
      </c>
      <c r="W1751" t="s">
        <v>174</v>
      </c>
      <c r="X1751">
        <v>0</v>
      </c>
      <c r="Z1751" t="s">
        <v>173</v>
      </c>
      <c r="AA1751" t="s">
        <v>173</v>
      </c>
    </row>
    <row r="1752" spans="1:27" x14ac:dyDescent="0.3">
      <c r="A1752">
        <v>1751</v>
      </c>
      <c r="B1752" t="s">
        <v>169</v>
      </c>
      <c r="C1752">
        <v>99019875</v>
      </c>
      <c r="D1752" s="7" t="s">
        <v>69</v>
      </c>
      <c r="E1752" t="s">
        <v>70</v>
      </c>
      <c r="F1752" t="s">
        <v>170</v>
      </c>
      <c r="G1752" t="s">
        <v>177</v>
      </c>
      <c r="H1752">
        <v>17</v>
      </c>
      <c r="I1752">
        <v>0</v>
      </c>
      <c r="J1752">
        <v>17</v>
      </c>
      <c r="K1752" s="133">
        <v>10230</v>
      </c>
      <c r="L1752" s="133">
        <v>10230</v>
      </c>
      <c r="M1752" s="150">
        <v>0.62233796296296295</v>
      </c>
      <c r="N1752" s="150">
        <v>0.62238425925925933</v>
      </c>
      <c r="O1752" t="s">
        <v>172</v>
      </c>
      <c r="Q1752">
        <v>2536242</v>
      </c>
      <c r="R1752">
        <v>2536242</v>
      </c>
      <c r="S1752">
        <v>2536175</v>
      </c>
      <c r="T1752">
        <v>0</v>
      </c>
      <c r="U1752" t="s">
        <v>173</v>
      </c>
      <c r="V1752">
        <v>0</v>
      </c>
      <c r="W1752" t="s">
        <v>174</v>
      </c>
      <c r="X1752">
        <v>2536175</v>
      </c>
      <c r="Z1752" t="s">
        <v>173</v>
      </c>
      <c r="AA1752" t="s">
        <v>173</v>
      </c>
    </row>
    <row r="1753" spans="1:27" x14ac:dyDescent="0.3">
      <c r="A1753">
        <v>1752</v>
      </c>
      <c r="B1753" t="s">
        <v>169</v>
      </c>
      <c r="C1753">
        <v>99019875</v>
      </c>
      <c r="D1753" s="7" t="s">
        <v>87</v>
      </c>
      <c r="E1753" t="s">
        <v>88</v>
      </c>
      <c r="F1753" t="s">
        <v>170</v>
      </c>
      <c r="G1753" t="s">
        <v>177</v>
      </c>
      <c r="H1753">
        <v>6</v>
      </c>
      <c r="I1753">
        <v>0</v>
      </c>
      <c r="J1753">
        <v>6</v>
      </c>
      <c r="K1753" s="133">
        <v>12130</v>
      </c>
      <c r="L1753" s="133">
        <v>12130</v>
      </c>
      <c r="M1753" s="150">
        <v>0.62241898148148145</v>
      </c>
      <c r="N1753" s="150">
        <v>0.62305555555555558</v>
      </c>
      <c r="O1753" t="s">
        <v>172</v>
      </c>
      <c r="Q1753">
        <v>2536466</v>
      </c>
      <c r="R1753">
        <v>2536466</v>
      </c>
      <c r="S1753">
        <v>2534178</v>
      </c>
      <c r="T1753">
        <v>0</v>
      </c>
      <c r="U1753" t="s">
        <v>173</v>
      </c>
      <c r="V1753">
        <v>0</v>
      </c>
      <c r="W1753" t="s">
        <v>174</v>
      </c>
      <c r="X1753">
        <v>2534178</v>
      </c>
      <c r="Z1753" t="s">
        <v>173</v>
      </c>
      <c r="AA1753" t="s">
        <v>173</v>
      </c>
    </row>
    <row r="1754" spans="1:27" x14ac:dyDescent="0.3">
      <c r="A1754">
        <v>1753</v>
      </c>
      <c r="B1754" t="s">
        <v>169</v>
      </c>
      <c r="C1754">
        <v>99019875</v>
      </c>
      <c r="D1754" s="7" t="s">
        <v>87</v>
      </c>
      <c r="E1754" t="s">
        <v>88</v>
      </c>
      <c r="F1754" t="s">
        <v>170</v>
      </c>
      <c r="G1754" t="s">
        <v>177</v>
      </c>
      <c r="H1754">
        <v>6</v>
      </c>
      <c r="I1754">
        <v>0</v>
      </c>
      <c r="J1754">
        <v>6</v>
      </c>
      <c r="K1754" s="133">
        <v>12130</v>
      </c>
      <c r="L1754" s="133">
        <v>12130</v>
      </c>
      <c r="M1754" s="150">
        <v>0.62241898148148145</v>
      </c>
      <c r="N1754" s="150">
        <v>0.62305555555555558</v>
      </c>
      <c r="O1754" t="s">
        <v>172</v>
      </c>
      <c r="Q1754">
        <v>2536467</v>
      </c>
      <c r="R1754">
        <v>2536467</v>
      </c>
      <c r="S1754">
        <v>2534179</v>
      </c>
      <c r="T1754">
        <v>0</v>
      </c>
      <c r="U1754" t="s">
        <v>173</v>
      </c>
      <c r="V1754">
        <v>0</v>
      </c>
      <c r="W1754" t="s">
        <v>174</v>
      </c>
      <c r="X1754">
        <v>2534179</v>
      </c>
      <c r="Z1754" t="s">
        <v>173</v>
      </c>
      <c r="AA1754" t="s">
        <v>173</v>
      </c>
    </row>
    <row r="1755" spans="1:27" x14ac:dyDescent="0.3">
      <c r="A1755">
        <v>1754</v>
      </c>
      <c r="B1755" t="s">
        <v>169</v>
      </c>
      <c r="C1755">
        <v>99019875</v>
      </c>
      <c r="D1755" s="7" t="s">
        <v>87</v>
      </c>
      <c r="E1755" t="s">
        <v>88</v>
      </c>
      <c r="F1755" t="s">
        <v>170</v>
      </c>
      <c r="G1755" t="s">
        <v>177</v>
      </c>
      <c r="H1755">
        <v>5</v>
      </c>
      <c r="I1755">
        <v>0</v>
      </c>
      <c r="J1755">
        <v>5</v>
      </c>
      <c r="K1755" s="133">
        <v>12130</v>
      </c>
      <c r="L1755" s="133">
        <v>12130</v>
      </c>
      <c r="M1755" s="150">
        <v>0.62241898148148145</v>
      </c>
      <c r="N1755" s="150">
        <v>0.62305555555555558</v>
      </c>
      <c r="O1755" t="s">
        <v>172</v>
      </c>
      <c r="Q1755">
        <v>2536468</v>
      </c>
      <c r="R1755">
        <v>2536468</v>
      </c>
      <c r="S1755">
        <v>2534180</v>
      </c>
      <c r="T1755">
        <v>0</v>
      </c>
      <c r="U1755" t="s">
        <v>173</v>
      </c>
      <c r="V1755">
        <v>0</v>
      </c>
      <c r="W1755" t="s">
        <v>174</v>
      </c>
      <c r="X1755">
        <v>2534180</v>
      </c>
      <c r="Z1755" t="s">
        <v>173</v>
      </c>
      <c r="AA1755" t="s">
        <v>173</v>
      </c>
    </row>
    <row r="1756" spans="1:27" x14ac:dyDescent="0.3">
      <c r="A1756">
        <v>1755</v>
      </c>
      <c r="B1756" t="s">
        <v>169</v>
      </c>
      <c r="C1756">
        <v>99019875</v>
      </c>
      <c r="D1756" s="7" t="s">
        <v>87</v>
      </c>
      <c r="E1756" t="s">
        <v>88</v>
      </c>
      <c r="F1756" t="s">
        <v>170</v>
      </c>
      <c r="G1756" t="s">
        <v>177</v>
      </c>
      <c r="H1756">
        <v>6</v>
      </c>
      <c r="I1756">
        <v>0</v>
      </c>
      <c r="J1756">
        <v>6</v>
      </c>
      <c r="K1756" s="133">
        <v>12130</v>
      </c>
      <c r="L1756" s="133">
        <v>12130</v>
      </c>
      <c r="M1756" s="150">
        <v>0.62241898148148145</v>
      </c>
      <c r="N1756" s="150">
        <v>0.62305555555555558</v>
      </c>
      <c r="O1756" t="s">
        <v>172</v>
      </c>
      <c r="Q1756">
        <v>2536469</v>
      </c>
      <c r="R1756">
        <v>2536469</v>
      </c>
      <c r="S1756">
        <v>2534322</v>
      </c>
      <c r="T1756">
        <v>0</v>
      </c>
      <c r="U1756" t="s">
        <v>173</v>
      </c>
      <c r="V1756">
        <v>0</v>
      </c>
      <c r="W1756" t="s">
        <v>174</v>
      </c>
      <c r="X1756">
        <v>2534322</v>
      </c>
      <c r="Z1756" t="s">
        <v>173</v>
      </c>
      <c r="AA1756" t="s">
        <v>173</v>
      </c>
    </row>
    <row r="1757" spans="1:27" x14ac:dyDescent="0.3">
      <c r="A1757">
        <v>1756</v>
      </c>
      <c r="B1757" t="s">
        <v>169</v>
      </c>
      <c r="C1757">
        <v>99019875</v>
      </c>
      <c r="D1757" s="7" t="s">
        <v>87</v>
      </c>
      <c r="E1757" t="s">
        <v>88</v>
      </c>
      <c r="F1757" t="s">
        <v>170</v>
      </c>
      <c r="G1757" t="s">
        <v>177</v>
      </c>
      <c r="H1757">
        <v>6</v>
      </c>
      <c r="I1757">
        <v>0</v>
      </c>
      <c r="J1757">
        <v>6</v>
      </c>
      <c r="K1757" s="133">
        <v>12130</v>
      </c>
      <c r="L1757" s="133">
        <v>12130</v>
      </c>
      <c r="M1757" s="150">
        <v>0.62241898148148145</v>
      </c>
      <c r="N1757" s="150">
        <v>0.62305555555555558</v>
      </c>
      <c r="O1757" t="s">
        <v>172</v>
      </c>
      <c r="Q1757">
        <v>2536470</v>
      </c>
      <c r="R1757">
        <v>2536470</v>
      </c>
      <c r="S1757">
        <v>2535180</v>
      </c>
      <c r="T1757">
        <v>0</v>
      </c>
      <c r="U1757" t="s">
        <v>173</v>
      </c>
      <c r="V1757">
        <v>0</v>
      </c>
      <c r="W1757" t="s">
        <v>174</v>
      </c>
      <c r="X1757">
        <v>2535180</v>
      </c>
      <c r="Z1757" t="s">
        <v>173</v>
      </c>
      <c r="AA1757" t="s">
        <v>173</v>
      </c>
    </row>
    <row r="1758" spans="1:27" x14ac:dyDescent="0.3">
      <c r="A1758">
        <v>1757</v>
      </c>
      <c r="B1758" t="s">
        <v>169</v>
      </c>
      <c r="C1758">
        <v>99019875</v>
      </c>
      <c r="D1758" s="7" t="s">
        <v>87</v>
      </c>
      <c r="E1758" t="s">
        <v>88</v>
      </c>
      <c r="F1758" t="s">
        <v>170</v>
      </c>
      <c r="G1758" t="s">
        <v>177</v>
      </c>
      <c r="H1758">
        <v>6</v>
      </c>
      <c r="I1758">
        <v>0</v>
      </c>
      <c r="J1758">
        <v>6</v>
      </c>
      <c r="K1758" s="133">
        <v>12130</v>
      </c>
      <c r="L1758" s="133">
        <v>12130</v>
      </c>
      <c r="M1758" s="150">
        <v>0.62241898148148145</v>
      </c>
      <c r="N1758" s="150">
        <v>0.62305555555555558</v>
      </c>
      <c r="O1758" t="s">
        <v>172</v>
      </c>
      <c r="Q1758">
        <v>2536471</v>
      </c>
      <c r="R1758">
        <v>2536471</v>
      </c>
      <c r="S1758">
        <v>2536163</v>
      </c>
      <c r="T1758">
        <v>0</v>
      </c>
      <c r="U1758" t="s">
        <v>173</v>
      </c>
      <c r="V1758">
        <v>0</v>
      </c>
      <c r="W1758" t="s">
        <v>174</v>
      </c>
      <c r="X1758">
        <v>2536163</v>
      </c>
      <c r="Z1758" t="s">
        <v>173</v>
      </c>
      <c r="AA1758" t="s">
        <v>173</v>
      </c>
    </row>
    <row r="1759" spans="1:27" x14ac:dyDescent="0.3">
      <c r="A1759">
        <v>1758</v>
      </c>
      <c r="B1759" t="s">
        <v>169</v>
      </c>
      <c r="C1759">
        <v>99019875</v>
      </c>
      <c r="D1759" s="7" t="s">
        <v>75</v>
      </c>
      <c r="E1759" t="s">
        <v>76</v>
      </c>
      <c r="F1759" t="s">
        <v>170</v>
      </c>
      <c r="G1759" t="s">
        <v>177</v>
      </c>
      <c r="H1759">
        <v>77</v>
      </c>
      <c r="I1759">
        <v>0</v>
      </c>
      <c r="J1759">
        <v>77</v>
      </c>
      <c r="K1759" s="133">
        <v>20760</v>
      </c>
      <c r="L1759" s="133">
        <v>20760</v>
      </c>
      <c r="M1759" s="150">
        <v>0.62245370370370368</v>
      </c>
      <c r="N1759" s="150">
        <v>0.62292824074074071</v>
      </c>
      <c r="O1759" t="s">
        <v>172</v>
      </c>
      <c r="Q1759">
        <v>2536550</v>
      </c>
      <c r="R1759">
        <v>2536550</v>
      </c>
      <c r="S1759">
        <v>2534316</v>
      </c>
      <c r="T1759">
        <v>0</v>
      </c>
      <c r="U1759" t="s">
        <v>173</v>
      </c>
      <c r="V1759">
        <v>0</v>
      </c>
      <c r="W1759" t="s">
        <v>174</v>
      </c>
      <c r="X1759">
        <v>2534316</v>
      </c>
      <c r="Z1759" t="s">
        <v>173</v>
      </c>
      <c r="AA1759" t="s">
        <v>173</v>
      </c>
    </row>
    <row r="1760" spans="1:27" x14ac:dyDescent="0.3">
      <c r="A1760">
        <v>1759</v>
      </c>
      <c r="B1760" t="s">
        <v>169</v>
      </c>
      <c r="C1760">
        <v>99019875</v>
      </c>
      <c r="D1760" s="7" t="s">
        <v>75</v>
      </c>
      <c r="E1760" t="s">
        <v>76</v>
      </c>
      <c r="F1760" t="s">
        <v>170</v>
      </c>
      <c r="G1760" t="s">
        <v>177</v>
      </c>
      <c r="H1760">
        <v>83</v>
      </c>
      <c r="I1760">
        <v>0</v>
      </c>
      <c r="J1760">
        <v>83</v>
      </c>
      <c r="K1760" s="133">
        <v>20760</v>
      </c>
      <c r="L1760" s="133">
        <v>20760</v>
      </c>
      <c r="M1760" s="150">
        <v>0.62245370370370368</v>
      </c>
      <c r="N1760" s="150">
        <v>0.62292824074074071</v>
      </c>
      <c r="O1760" t="s">
        <v>172</v>
      </c>
      <c r="Q1760">
        <v>2536551</v>
      </c>
      <c r="R1760">
        <v>2536551</v>
      </c>
      <c r="S1760">
        <v>2535174</v>
      </c>
      <c r="T1760">
        <v>0</v>
      </c>
      <c r="U1760" t="s">
        <v>173</v>
      </c>
      <c r="V1760">
        <v>0</v>
      </c>
      <c r="W1760" t="s">
        <v>174</v>
      </c>
      <c r="X1760">
        <v>2535174</v>
      </c>
      <c r="Z1760" t="s">
        <v>173</v>
      </c>
      <c r="AA1760" t="s">
        <v>173</v>
      </c>
    </row>
    <row r="1761" spans="1:27" x14ac:dyDescent="0.3">
      <c r="A1761">
        <v>1760</v>
      </c>
      <c r="B1761" t="s">
        <v>169</v>
      </c>
      <c r="C1761">
        <v>99019875</v>
      </c>
      <c r="D1761" s="7" t="s">
        <v>75</v>
      </c>
      <c r="E1761" t="s">
        <v>76</v>
      </c>
      <c r="F1761" t="s">
        <v>170</v>
      </c>
      <c r="G1761" t="s">
        <v>177</v>
      </c>
      <c r="H1761">
        <v>83</v>
      </c>
      <c r="I1761">
        <v>0</v>
      </c>
      <c r="J1761">
        <v>83</v>
      </c>
      <c r="K1761" s="133">
        <v>20760</v>
      </c>
      <c r="L1761" s="133">
        <v>20760</v>
      </c>
      <c r="M1761" s="150">
        <v>0.62245370370370368</v>
      </c>
      <c r="N1761" s="150">
        <v>0.62292824074074071</v>
      </c>
      <c r="O1761" t="s">
        <v>172</v>
      </c>
      <c r="Q1761">
        <v>2536552</v>
      </c>
      <c r="R1761">
        <v>2536552</v>
      </c>
      <c r="S1761">
        <v>2536157</v>
      </c>
      <c r="T1761">
        <v>0</v>
      </c>
      <c r="U1761" t="s">
        <v>173</v>
      </c>
      <c r="V1761">
        <v>0</v>
      </c>
      <c r="W1761" t="s">
        <v>174</v>
      </c>
      <c r="X1761">
        <v>2536157</v>
      </c>
      <c r="Z1761" t="s">
        <v>173</v>
      </c>
      <c r="AA1761" t="s">
        <v>173</v>
      </c>
    </row>
    <row r="1762" spans="1:27" x14ac:dyDescent="0.3">
      <c r="A1762">
        <v>1761</v>
      </c>
      <c r="B1762" t="s">
        <v>169</v>
      </c>
      <c r="C1762">
        <v>99019875</v>
      </c>
      <c r="D1762" s="7" t="s">
        <v>65</v>
      </c>
      <c r="E1762" t="s">
        <v>66</v>
      </c>
      <c r="F1762" t="s">
        <v>176</v>
      </c>
      <c r="G1762" t="s">
        <v>177</v>
      </c>
      <c r="H1762">
        <v>58</v>
      </c>
      <c r="I1762">
        <v>0</v>
      </c>
      <c r="J1762">
        <v>58</v>
      </c>
      <c r="K1762" s="133">
        <v>4745</v>
      </c>
      <c r="L1762" s="133">
        <v>4745</v>
      </c>
      <c r="M1762" s="150">
        <v>0.62246527777777783</v>
      </c>
      <c r="N1762" s="150">
        <v>0.62252314814814813</v>
      </c>
      <c r="O1762" t="s">
        <v>172</v>
      </c>
      <c r="Q1762">
        <v>2536580</v>
      </c>
      <c r="R1762">
        <v>2536580</v>
      </c>
      <c r="S1762">
        <v>2536171</v>
      </c>
      <c r="T1762">
        <v>0</v>
      </c>
      <c r="U1762" t="s">
        <v>173</v>
      </c>
      <c r="V1762">
        <v>0</v>
      </c>
      <c r="W1762" t="s">
        <v>174</v>
      </c>
      <c r="X1762">
        <v>2536171</v>
      </c>
      <c r="Z1762" t="s">
        <v>173</v>
      </c>
      <c r="AA1762" t="s">
        <v>173</v>
      </c>
    </row>
    <row r="1763" spans="1:27" x14ac:dyDescent="0.3">
      <c r="A1763">
        <v>1762</v>
      </c>
      <c r="B1763" t="s">
        <v>169</v>
      </c>
      <c r="C1763">
        <v>99019875</v>
      </c>
      <c r="D1763" s="7" t="s">
        <v>106</v>
      </c>
      <c r="E1763" t="s">
        <v>107</v>
      </c>
      <c r="F1763" t="s">
        <v>170</v>
      </c>
      <c r="G1763" t="s">
        <v>171</v>
      </c>
      <c r="H1763">
        <v>1</v>
      </c>
      <c r="I1763">
        <v>0</v>
      </c>
      <c r="J1763">
        <v>1</v>
      </c>
      <c r="K1763" s="133">
        <v>3510</v>
      </c>
      <c r="L1763" s="133">
        <v>3510</v>
      </c>
      <c r="M1763" s="150">
        <v>0.62246527777777783</v>
      </c>
      <c r="N1763" s="150">
        <v>0.62349537037037039</v>
      </c>
      <c r="O1763" t="s">
        <v>172</v>
      </c>
      <c r="Q1763">
        <v>2536598</v>
      </c>
      <c r="R1763">
        <v>2536598</v>
      </c>
      <c r="S1763">
        <v>0</v>
      </c>
      <c r="T1763">
        <v>0</v>
      </c>
      <c r="U1763" t="s">
        <v>173</v>
      </c>
      <c r="V1763">
        <v>0</v>
      </c>
      <c r="W1763" t="s">
        <v>174</v>
      </c>
      <c r="X1763">
        <v>0</v>
      </c>
      <c r="Z1763" t="s">
        <v>173</v>
      </c>
      <c r="AA1763" t="s">
        <v>173</v>
      </c>
    </row>
    <row r="1764" spans="1:27" x14ac:dyDescent="0.3">
      <c r="A1764">
        <v>1763</v>
      </c>
      <c r="B1764" t="s">
        <v>169</v>
      </c>
      <c r="C1764">
        <v>99019875</v>
      </c>
      <c r="D1764" s="7" t="s">
        <v>102</v>
      </c>
      <c r="E1764" t="s">
        <v>103</v>
      </c>
      <c r="F1764" t="s">
        <v>170</v>
      </c>
      <c r="G1764" t="s">
        <v>177</v>
      </c>
      <c r="H1764">
        <v>34</v>
      </c>
      <c r="I1764">
        <v>0</v>
      </c>
      <c r="J1764">
        <v>34</v>
      </c>
      <c r="K1764" s="133">
        <v>26810</v>
      </c>
      <c r="L1764" s="133">
        <v>26810</v>
      </c>
      <c r="M1764" s="150">
        <v>0.62252314814814813</v>
      </c>
      <c r="N1764" s="150">
        <v>0.62270833333333331</v>
      </c>
      <c r="O1764" t="s">
        <v>172</v>
      </c>
      <c r="Q1764">
        <v>2536771</v>
      </c>
      <c r="R1764">
        <v>2536771</v>
      </c>
      <c r="S1764">
        <v>2536158</v>
      </c>
      <c r="T1764">
        <v>0</v>
      </c>
      <c r="U1764" t="s">
        <v>173</v>
      </c>
      <c r="V1764">
        <v>0</v>
      </c>
      <c r="W1764" t="s">
        <v>174</v>
      </c>
      <c r="X1764">
        <v>2536158</v>
      </c>
      <c r="Z1764" t="s">
        <v>173</v>
      </c>
      <c r="AA1764" t="s">
        <v>173</v>
      </c>
    </row>
    <row r="1765" spans="1:27" x14ac:dyDescent="0.3">
      <c r="A1765">
        <v>1764</v>
      </c>
      <c r="B1765" t="s">
        <v>169</v>
      </c>
      <c r="C1765">
        <v>99019875</v>
      </c>
      <c r="D1765" s="7" t="s">
        <v>114</v>
      </c>
      <c r="E1765" t="s">
        <v>115</v>
      </c>
      <c r="F1765" t="s">
        <v>176</v>
      </c>
      <c r="G1765" t="s">
        <v>171</v>
      </c>
      <c r="H1765">
        <v>66</v>
      </c>
      <c r="I1765">
        <v>0</v>
      </c>
      <c r="J1765">
        <v>66</v>
      </c>
      <c r="K1765" s="133">
        <v>53790</v>
      </c>
      <c r="L1765" s="133">
        <v>53790</v>
      </c>
      <c r="M1765" s="150">
        <v>0.62261574074074078</v>
      </c>
      <c r="N1765" s="150">
        <v>0.62271990740740735</v>
      </c>
      <c r="O1765" t="s">
        <v>172</v>
      </c>
      <c r="Q1765">
        <v>2536946</v>
      </c>
      <c r="R1765">
        <v>2536946</v>
      </c>
      <c r="S1765">
        <v>0</v>
      </c>
      <c r="T1765">
        <v>0</v>
      </c>
      <c r="U1765" t="s">
        <v>173</v>
      </c>
      <c r="V1765">
        <v>0</v>
      </c>
      <c r="W1765" t="s">
        <v>174</v>
      </c>
      <c r="X1765">
        <v>0</v>
      </c>
      <c r="Z1765" t="s">
        <v>173</v>
      </c>
      <c r="AA1765" t="s">
        <v>173</v>
      </c>
    </row>
    <row r="1766" spans="1:27" x14ac:dyDescent="0.3">
      <c r="A1766">
        <v>1765</v>
      </c>
      <c r="B1766" t="s">
        <v>169</v>
      </c>
      <c r="C1766">
        <v>99019875</v>
      </c>
      <c r="D1766" s="7" t="s">
        <v>75</v>
      </c>
      <c r="E1766" t="s">
        <v>76</v>
      </c>
      <c r="F1766" t="s">
        <v>170</v>
      </c>
      <c r="G1766" t="s">
        <v>171</v>
      </c>
      <c r="H1766">
        <v>83</v>
      </c>
      <c r="I1766">
        <v>0</v>
      </c>
      <c r="J1766">
        <v>83</v>
      </c>
      <c r="K1766" s="133">
        <v>20760</v>
      </c>
      <c r="L1766" s="133">
        <v>20760</v>
      </c>
      <c r="M1766" s="150">
        <v>0.62261574074074078</v>
      </c>
      <c r="N1766" s="150">
        <v>0.62292824074074071</v>
      </c>
      <c r="O1766" t="s">
        <v>172</v>
      </c>
      <c r="Q1766">
        <v>2536949</v>
      </c>
      <c r="R1766">
        <v>2536949</v>
      </c>
      <c r="S1766">
        <v>0</v>
      </c>
      <c r="T1766">
        <v>0</v>
      </c>
      <c r="U1766" t="s">
        <v>173</v>
      </c>
      <c r="V1766">
        <v>0</v>
      </c>
      <c r="W1766" t="s">
        <v>174</v>
      </c>
      <c r="X1766">
        <v>0</v>
      </c>
      <c r="Z1766" t="s">
        <v>173</v>
      </c>
      <c r="AA1766" t="s">
        <v>173</v>
      </c>
    </row>
    <row r="1767" spans="1:27" x14ac:dyDescent="0.3">
      <c r="A1767">
        <v>1766</v>
      </c>
      <c r="B1767" t="s">
        <v>169</v>
      </c>
      <c r="C1767">
        <v>99019875</v>
      </c>
      <c r="D1767" s="7" t="s">
        <v>102</v>
      </c>
      <c r="E1767" t="s">
        <v>103</v>
      </c>
      <c r="F1767" t="s">
        <v>170</v>
      </c>
      <c r="G1767" t="s">
        <v>171</v>
      </c>
      <c r="H1767">
        <v>53</v>
      </c>
      <c r="I1767">
        <v>0</v>
      </c>
      <c r="J1767">
        <v>53</v>
      </c>
      <c r="K1767" s="133">
        <v>26810</v>
      </c>
      <c r="L1767" s="133">
        <v>26810</v>
      </c>
      <c r="M1767" s="150">
        <v>0.62261574074074078</v>
      </c>
      <c r="N1767" s="150">
        <v>0.62309027777777781</v>
      </c>
      <c r="O1767" t="s">
        <v>172</v>
      </c>
      <c r="Q1767">
        <v>2536950</v>
      </c>
      <c r="R1767">
        <v>2536950</v>
      </c>
      <c r="S1767">
        <v>0</v>
      </c>
      <c r="T1767">
        <v>0</v>
      </c>
      <c r="U1767" t="s">
        <v>173</v>
      </c>
      <c r="V1767">
        <v>0</v>
      </c>
      <c r="W1767" t="s">
        <v>174</v>
      </c>
      <c r="X1767">
        <v>0</v>
      </c>
      <c r="Z1767" t="s">
        <v>173</v>
      </c>
      <c r="AA1767" t="s">
        <v>173</v>
      </c>
    </row>
    <row r="1768" spans="1:27" x14ac:dyDescent="0.3">
      <c r="A1768">
        <v>1767</v>
      </c>
      <c r="B1768" t="s">
        <v>169</v>
      </c>
      <c r="C1768">
        <v>99019875</v>
      </c>
      <c r="D1768" s="7" t="s">
        <v>67</v>
      </c>
      <c r="E1768" t="s">
        <v>68</v>
      </c>
      <c r="F1768" t="s">
        <v>170</v>
      </c>
      <c r="G1768" t="s">
        <v>171</v>
      </c>
      <c r="H1768">
        <v>36</v>
      </c>
      <c r="I1768">
        <v>0</v>
      </c>
      <c r="J1768">
        <v>36</v>
      </c>
      <c r="K1768" s="133">
        <v>4795</v>
      </c>
      <c r="L1768" s="133">
        <v>4795</v>
      </c>
      <c r="M1768" s="150">
        <v>0.62261574074074078</v>
      </c>
      <c r="N1768" s="150">
        <v>0.62326388888888895</v>
      </c>
      <c r="O1768" t="s">
        <v>172</v>
      </c>
      <c r="Q1768">
        <v>2536951</v>
      </c>
      <c r="R1768">
        <v>2536951</v>
      </c>
      <c r="S1768">
        <v>0</v>
      </c>
      <c r="T1768">
        <v>0</v>
      </c>
      <c r="U1768" t="s">
        <v>173</v>
      </c>
      <c r="V1768">
        <v>0</v>
      </c>
      <c r="W1768" t="s">
        <v>174</v>
      </c>
      <c r="X1768">
        <v>0</v>
      </c>
      <c r="Z1768" t="s">
        <v>173</v>
      </c>
      <c r="AA1768" t="s">
        <v>173</v>
      </c>
    </row>
    <row r="1769" spans="1:27" x14ac:dyDescent="0.3">
      <c r="A1769">
        <v>1768</v>
      </c>
      <c r="B1769" t="s">
        <v>169</v>
      </c>
      <c r="C1769">
        <v>99019875</v>
      </c>
      <c r="D1769" s="7" t="s">
        <v>110</v>
      </c>
      <c r="E1769" t="s">
        <v>179</v>
      </c>
      <c r="F1769" t="s">
        <v>170</v>
      </c>
      <c r="G1769" t="s">
        <v>171</v>
      </c>
      <c r="H1769">
        <v>3</v>
      </c>
      <c r="I1769">
        <v>0</v>
      </c>
      <c r="J1769">
        <v>3</v>
      </c>
      <c r="K1769" s="133">
        <v>48405</v>
      </c>
      <c r="L1769" s="133">
        <v>48405</v>
      </c>
      <c r="M1769" s="150">
        <v>0.62261574074074078</v>
      </c>
      <c r="N1769" s="150">
        <v>0.62284722222222222</v>
      </c>
      <c r="O1769" t="s">
        <v>172</v>
      </c>
      <c r="Q1769">
        <v>2536952</v>
      </c>
      <c r="R1769">
        <v>2536952</v>
      </c>
      <c r="S1769">
        <v>0</v>
      </c>
      <c r="T1769">
        <v>0</v>
      </c>
      <c r="U1769" t="s">
        <v>173</v>
      </c>
      <c r="V1769">
        <v>0</v>
      </c>
      <c r="W1769" t="s">
        <v>174</v>
      </c>
      <c r="X1769">
        <v>0</v>
      </c>
      <c r="Z1769" t="s">
        <v>173</v>
      </c>
      <c r="AA1769" t="s">
        <v>173</v>
      </c>
    </row>
    <row r="1770" spans="1:27" x14ac:dyDescent="0.3">
      <c r="A1770">
        <v>1769</v>
      </c>
      <c r="B1770" t="s">
        <v>169</v>
      </c>
      <c r="C1770">
        <v>99019875</v>
      </c>
      <c r="D1770" s="7" t="s">
        <v>100</v>
      </c>
      <c r="E1770" t="s">
        <v>101</v>
      </c>
      <c r="F1770" t="s">
        <v>170</v>
      </c>
      <c r="G1770" t="s">
        <v>171</v>
      </c>
      <c r="H1770">
        <v>4</v>
      </c>
      <c r="I1770">
        <v>0</v>
      </c>
      <c r="J1770">
        <v>4</v>
      </c>
      <c r="K1770" s="133">
        <v>15500</v>
      </c>
      <c r="L1770" s="133">
        <v>15500</v>
      </c>
      <c r="M1770" s="150">
        <v>0.62261574074074078</v>
      </c>
      <c r="N1770" s="150">
        <v>0.62378472222222225</v>
      </c>
      <c r="O1770" t="s">
        <v>172</v>
      </c>
      <c r="Q1770">
        <v>2536954</v>
      </c>
      <c r="R1770">
        <v>2536954</v>
      </c>
      <c r="S1770">
        <v>0</v>
      </c>
      <c r="T1770">
        <v>0</v>
      </c>
      <c r="U1770" t="s">
        <v>173</v>
      </c>
      <c r="V1770">
        <v>0</v>
      </c>
      <c r="W1770" t="s">
        <v>174</v>
      </c>
      <c r="X1770">
        <v>0</v>
      </c>
      <c r="Z1770" t="s">
        <v>173</v>
      </c>
      <c r="AA1770" t="s">
        <v>173</v>
      </c>
    </row>
    <row r="1771" spans="1:27" x14ac:dyDescent="0.3">
      <c r="A1771">
        <v>1770</v>
      </c>
      <c r="B1771" t="s">
        <v>169</v>
      </c>
      <c r="C1771">
        <v>99019875</v>
      </c>
      <c r="D1771" s="7" t="s">
        <v>87</v>
      </c>
      <c r="E1771" t="s">
        <v>88</v>
      </c>
      <c r="F1771" t="s">
        <v>170</v>
      </c>
      <c r="G1771" t="s">
        <v>171</v>
      </c>
      <c r="H1771">
        <v>5</v>
      </c>
      <c r="I1771">
        <v>0</v>
      </c>
      <c r="J1771">
        <v>5</v>
      </c>
      <c r="K1771" s="133">
        <v>12130</v>
      </c>
      <c r="L1771" s="133">
        <v>12130</v>
      </c>
      <c r="M1771" s="150">
        <v>0.62261574074074078</v>
      </c>
      <c r="N1771" s="150">
        <v>0.62305555555555558</v>
      </c>
      <c r="O1771" t="s">
        <v>172</v>
      </c>
      <c r="Q1771">
        <v>2536955</v>
      </c>
      <c r="R1771">
        <v>2536955</v>
      </c>
      <c r="S1771">
        <v>0</v>
      </c>
      <c r="T1771">
        <v>0</v>
      </c>
      <c r="U1771" t="s">
        <v>173</v>
      </c>
      <c r="V1771">
        <v>0</v>
      </c>
      <c r="W1771" t="s">
        <v>174</v>
      </c>
      <c r="X1771">
        <v>0</v>
      </c>
      <c r="Z1771" t="s">
        <v>173</v>
      </c>
      <c r="AA1771" t="s">
        <v>173</v>
      </c>
    </row>
    <row r="1772" spans="1:27" x14ac:dyDescent="0.3">
      <c r="A1772">
        <v>1771</v>
      </c>
      <c r="B1772" t="s">
        <v>169</v>
      </c>
      <c r="C1772">
        <v>99019875</v>
      </c>
      <c r="D1772" s="7" t="s">
        <v>108</v>
      </c>
      <c r="E1772" t="s">
        <v>109</v>
      </c>
      <c r="F1772" t="s">
        <v>170</v>
      </c>
      <c r="G1772" t="s">
        <v>171</v>
      </c>
      <c r="H1772">
        <v>23</v>
      </c>
      <c r="I1772">
        <v>0</v>
      </c>
      <c r="J1772">
        <v>23</v>
      </c>
      <c r="K1772" s="133">
        <v>2715</v>
      </c>
      <c r="L1772" s="133">
        <v>2715</v>
      </c>
      <c r="M1772" s="150">
        <v>0.62261574074074078</v>
      </c>
      <c r="N1772" s="150">
        <v>0.62402777777777774</v>
      </c>
      <c r="O1772" t="s">
        <v>172</v>
      </c>
      <c r="Q1772">
        <v>2536956</v>
      </c>
      <c r="R1772">
        <v>2536956</v>
      </c>
      <c r="S1772">
        <v>0</v>
      </c>
      <c r="T1772">
        <v>0</v>
      </c>
      <c r="U1772" t="s">
        <v>173</v>
      </c>
      <c r="V1772">
        <v>0</v>
      </c>
      <c r="W1772" t="s">
        <v>174</v>
      </c>
      <c r="X1772">
        <v>0</v>
      </c>
      <c r="Z1772" t="s">
        <v>173</v>
      </c>
      <c r="AA1772" t="s">
        <v>173</v>
      </c>
    </row>
    <row r="1773" spans="1:27" x14ac:dyDescent="0.3">
      <c r="A1773">
        <v>1772</v>
      </c>
      <c r="B1773" t="s">
        <v>169</v>
      </c>
      <c r="C1773">
        <v>99019875</v>
      </c>
      <c r="D1773" s="7" t="s">
        <v>122</v>
      </c>
      <c r="E1773" t="s">
        <v>123</v>
      </c>
      <c r="F1773" t="s">
        <v>170</v>
      </c>
      <c r="G1773" t="s">
        <v>171</v>
      </c>
      <c r="H1773">
        <v>20</v>
      </c>
      <c r="I1773">
        <v>0</v>
      </c>
      <c r="J1773">
        <v>20</v>
      </c>
      <c r="K1773" s="133">
        <v>36015</v>
      </c>
      <c r="L1773" s="133">
        <v>36015</v>
      </c>
      <c r="M1773" s="150">
        <v>0.62261574074074078</v>
      </c>
      <c r="N1773" s="150">
        <v>0.62354166666666666</v>
      </c>
      <c r="O1773" t="s">
        <v>172</v>
      </c>
      <c r="Q1773">
        <v>2536957</v>
      </c>
      <c r="R1773">
        <v>2536957</v>
      </c>
      <c r="S1773">
        <v>0</v>
      </c>
      <c r="T1773">
        <v>0</v>
      </c>
      <c r="U1773" t="s">
        <v>173</v>
      </c>
      <c r="V1773">
        <v>0</v>
      </c>
      <c r="W1773" t="s">
        <v>174</v>
      </c>
      <c r="X1773">
        <v>0</v>
      </c>
      <c r="Z1773" t="s">
        <v>173</v>
      </c>
      <c r="AA1773" t="s">
        <v>173</v>
      </c>
    </row>
    <row r="1774" spans="1:27" x14ac:dyDescent="0.3">
      <c r="A1774">
        <v>1773</v>
      </c>
      <c r="B1774" t="s">
        <v>169</v>
      </c>
      <c r="C1774">
        <v>99019875</v>
      </c>
      <c r="D1774" s="7" t="s">
        <v>65</v>
      </c>
      <c r="E1774" t="s">
        <v>66</v>
      </c>
      <c r="F1774" t="s">
        <v>176</v>
      </c>
      <c r="G1774" t="s">
        <v>171</v>
      </c>
      <c r="H1774">
        <v>57</v>
      </c>
      <c r="I1774">
        <v>0</v>
      </c>
      <c r="J1774">
        <v>57</v>
      </c>
      <c r="K1774" s="133">
        <v>4745</v>
      </c>
      <c r="L1774" s="133">
        <v>4745</v>
      </c>
      <c r="M1774" s="150">
        <v>0.62261574074074078</v>
      </c>
      <c r="N1774" s="150">
        <v>0.62262731481481481</v>
      </c>
      <c r="O1774" t="s">
        <v>172</v>
      </c>
      <c r="Q1774">
        <v>2536961</v>
      </c>
      <c r="R1774">
        <v>2536961</v>
      </c>
      <c r="S1774">
        <v>0</v>
      </c>
      <c r="T1774">
        <v>0</v>
      </c>
      <c r="U1774" t="s">
        <v>173</v>
      </c>
      <c r="V1774">
        <v>0</v>
      </c>
      <c r="W1774" t="s">
        <v>174</v>
      </c>
      <c r="X1774">
        <v>0</v>
      </c>
      <c r="Z1774" t="s">
        <v>173</v>
      </c>
      <c r="AA1774" t="s">
        <v>173</v>
      </c>
    </row>
    <row r="1775" spans="1:27" x14ac:dyDescent="0.3">
      <c r="A1775">
        <v>1774</v>
      </c>
      <c r="B1775" t="s">
        <v>169</v>
      </c>
      <c r="C1775">
        <v>99019875</v>
      </c>
      <c r="D1775" s="7" t="s">
        <v>118</v>
      </c>
      <c r="E1775" t="s">
        <v>119</v>
      </c>
      <c r="F1775" t="s">
        <v>176</v>
      </c>
      <c r="G1775" t="s">
        <v>171</v>
      </c>
      <c r="H1775">
        <v>20</v>
      </c>
      <c r="I1775">
        <v>0</v>
      </c>
      <c r="J1775">
        <v>9</v>
      </c>
      <c r="K1775" s="133">
        <v>12410</v>
      </c>
      <c r="L1775" s="133">
        <v>12410</v>
      </c>
      <c r="M1775" s="150">
        <v>0.62261574074074078</v>
      </c>
      <c r="N1775" s="150">
        <v>0.62305555555555558</v>
      </c>
      <c r="O1775" t="s">
        <v>172</v>
      </c>
      <c r="Q1775">
        <v>2536962</v>
      </c>
      <c r="R1775">
        <v>2536962</v>
      </c>
      <c r="S1775">
        <v>0</v>
      </c>
      <c r="T1775">
        <v>11</v>
      </c>
      <c r="U1775" t="s">
        <v>173</v>
      </c>
      <c r="V1775">
        <v>0</v>
      </c>
      <c r="W1775" t="s">
        <v>174</v>
      </c>
      <c r="X1775">
        <v>0</v>
      </c>
      <c r="Z1775" t="s">
        <v>173</v>
      </c>
      <c r="AA1775" t="s">
        <v>173</v>
      </c>
    </row>
    <row r="1776" spans="1:27" x14ac:dyDescent="0.3">
      <c r="A1776">
        <v>1775</v>
      </c>
      <c r="B1776" t="s">
        <v>169</v>
      </c>
      <c r="C1776">
        <v>99019875</v>
      </c>
      <c r="D1776" s="7" t="s">
        <v>96</v>
      </c>
      <c r="E1776" t="s">
        <v>97</v>
      </c>
      <c r="F1776" t="s">
        <v>170</v>
      </c>
      <c r="G1776" t="s">
        <v>171</v>
      </c>
      <c r="H1776">
        <v>28</v>
      </c>
      <c r="I1776">
        <v>0</v>
      </c>
      <c r="J1776">
        <v>28</v>
      </c>
      <c r="K1776" s="133">
        <v>8295</v>
      </c>
      <c r="L1776" s="133">
        <v>8295</v>
      </c>
      <c r="M1776" s="150">
        <v>0.62261574074074078</v>
      </c>
      <c r="N1776" s="150">
        <v>0.62396990740740743</v>
      </c>
      <c r="O1776" t="s">
        <v>172</v>
      </c>
      <c r="Q1776">
        <v>2536963</v>
      </c>
      <c r="R1776">
        <v>2536963</v>
      </c>
      <c r="S1776">
        <v>0</v>
      </c>
      <c r="T1776">
        <v>0</v>
      </c>
      <c r="U1776" t="s">
        <v>173</v>
      </c>
      <c r="V1776">
        <v>0</v>
      </c>
      <c r="W1776" t="s">
        <v>174</v>
      </c>
      <c r="X1776">
        <v>0</v>
      </c>
      <c r="Z1776" t="s">
        <v>173</v>
      </c>
      <c r="AA1776" t="s">
        <v>173</v>
      </c>
    </row>
    <row r="1777" spans="1:27" x14ac:dyDescent="0.3">
      <c r="A1777">
        <v>1776</v>
      </c>
      <c r="B1777" t="s">
        <v>169</v>
      </c>
      <c r="C1777">
        <v>99019875</v>
      </c>
      <c r="D1777" s="7" t="s">
        <v>94</v>
      </c>
      <c r="E1777" t="s">
        <v>95</v>
      </c>
      <c r="F1777" t="s">
        <v>170</v>
      </c>
      <c r="G1777" t="s">
        <v>177</v>
      </c>
      <c r="H1777">
        <v>1</v>
      </c>
      <c r="I1777">
        <v>0</v>
      </c>
      <c r="J1777">
        <v>1</v>
      </c>
      <c r="K1777" s="133">
        <v>21965</v>
      </c>
      <c r="L1777" s="133">
        <v>21965</v>
      </c>
      <c r="M1777" s="150">
        <v>0.62265046296296289</v>
      </c>
      <c r="N1777" s="150">
        <v>0.62343749999999998</v>
      </c>
      <c r="O1777" t="s">
        <v>172</v>
      </c>
      <c r="Q1777">
        <v>2537041</v>
      </c>
      <c r="R1777">
        <v>2537041</v>
      </c>
      <c r="S1777">
        <v>2536412</v>
      </c>
      <c r="T1777">
        <v>0</v>
      </c>
      <c r="U1777" t="s">
        <v>173</v>
      </c>
      <c r="V1777">
        <v>0</v>
      </c>
      <c r="W1777" t="s">
        <v>174</v>
      </c>
      <c r="X1777">
        <v>2536412</v>
      </c>
      <c r="Z1777" t="s">
        <v>173</v>
      </c>
      <c r="AA1777" t="s">
        <v>173</v>
      </c>
    </row>
    <row r="1778" spans="1:27" x14ac:dyDescent="0.3">
      <c r="A1778">
        <v>1777</v>
      </c>
      <c r="B1778" t="s">
        <v>169</v>
      </c>
      <c r="C1778">
        <v>99019875</v>
      </c>
      <c r="D1778" s="7" t="s">
        <v>94</v>
      </c>
      <c r="E1778" t="s">
        <v>95</v>
      </c>
      <c r="F1778" t="s">
        <v>170</v>
      </c>
      <c r="G1778" t="s">
        <v>177</v>
      </c>
      <c r="H1778">
        <v>1</v>
      </c>
      <c r="I1778">
        <v>0</v>
      </c>
      <c r="J1778">
        <v>1</v>
      </c>
      <c r="K1778" s="133">
        <v>21965</v>
      </c>
      <c r="L1778" s="133">
        <v>21965</v>
      </c>
      <c r="M1778" s="150">
        <v>0.62265046296296289</v>
      </c>
      <c r="N1778" s="150">
        <v>0.62343749999999998</v>
      </c>
      <c r="O1778" t="s">
        <v>172</v>
      </c>
      <c r="Q1778">
        <v>2537042</v>
      </c>
      <c r="R1778">
        <v>2537042</v>
      </c>
      <c r="S1778">
        <v>2536413</v>
      </c>
      <c r="T1778">
        <v>0</v>
      </c>
      <c r="U1778" t="s">
        <v>173</v>
      </c>
      <c r="V1778">
        <v>0</v>
      </c>
      <c r="W1778" t="s">
        <v>174</v>
      </c>
      <c r="X1778">
        <v>2536413</v>
      </c>
      <c r="Z1778" t="s">
        <v>173</v>
      </c>
      <c r="AA1778" t="s">
        <v>173</v>
      </c>
    </row>
    <row r="1779" spans="1:27" x14ac:dyDescent="0.3">
      <c r="A1779">
        <v>1778</v>
      </c>
      <c r="B1779" t="s">
        <v>169</v>
      </c>
      <c r="C1779">
        <v>99019875</v>
      </c>
      <c r="D1779" s="7" t="s">
        <v>77</v>
      </c>
      <c r="E1779" t="s">
        <v>78</v>
      </c>
      <c r="F1779" t="s">
        <v>170</v>
      </c>
      <c r="G1779" t="s">
        <v>177</v>
      </c>
      <c r="H1779">
        <v>73</v>
      </c>
      <c r="I1779">
        <v>0</v>
      </c>
      <c r="J1779">
        <v>73</v>
      </c>
      <c r="K1779" s="133">
        <v>7340</v>
      </c>
      <c r="L1779" s="133">
        <v>7340</v>
      </c>
      <c r="M1779" s="150">
        <v>0.62276620370370372</v>
      </c>
      <c r="N1779" s="150">
        <v>0.62285879629629626</v>
      </c>
      <c r="O1779" t="s">
        <v>172</v>
      </c>
      <c r="Q1779">
        <v>2537315</v>
      </c>
      <c r="R1779">
        <v>2537315</v>
      </c>
      <c r="S1779">
        <v>2536959</v>
      </c>
      <c r="T1779">
        <v>0</v>
      </c>
      <c r="U1779" t="s">
        <v>173</v>
      </c>
      <c r="V1779">
        <v>0</v>
      </c>
      <c r="W1779" t="s">
        <v>174</v>
      </c>
      <c r="X1779">
        <v>2536959</v>
      </c>
      <c r="Z1779" t="s">
        <v>173</v>
      </c>
      <c r="AA1779" t="s">
        <v>173</v>
      </c>
    </row>
    <row r="1780" spans="1:27" x14ac:dyDescent="0.3">
      <c r="A1780">
        <v>1779</v>
      </c>
      <c r="B1780" t="s">
        <v>169</v>
      </c>
      <c r="C1780">
        <v>99019875</v>
      </c>
      <c r="D1780" s="7" t="s">
        <v>62</v>
      </c>
      <c r="E1780" t="s">
        <v>63</v>
      </c>
      <c r="F1780" t="s">
        <v>176</v>
      </c>
      <c r="G1780" t="s">
        <v>177</v>
      </c>
      <c r="H1780">
        <v>89</v>
      </c>
      <c r="I1780">
        <v>0</v>
      </c>
      <c r="J1780">
        <v>89</v>
      </c>
      <c r="K1780" s="133">
        <v>34000</v>
      </c>
      <c r="L1780" s="133">
        <v>34000</v>
      </c>
      <c r="M1780" s="150">
        <v>0.62277777777777776</v>
      </c>
      <c r="N1780" s="150">
        <v>0.62280092592592595</v>
      </c>
      <c r="O1780" t="s">
        <v>172</v>
      </c>
      <c r="Q1780">
        <v>2537355</v>
      </c>
      <c r="R1780">
        <v>2537355</v>
      </c>
      <c r="S1780">
        <v>2537291</v>
      </c>
      <c r="T1780">
        <v>0</v>
      </c>
      <c r="U1780" t="s">
        <v>173</v>
      </c>
      <c r="V1780">
        <v>0</v>
      </c>
      <c r="W1780" t="s">
        <v>174</v>
      </c>
      <c r="X1780">
        <v>2537291</v>
      </c>
      <c r="Z1780" t="s">
        <v>173</v>
      </c>
      <c r="AA1780" t="s">
        <v>173</v>
      </c>
    </row>
    <row r="1781" spans="1:27" x14ac:dyDescent="0.3">
      <c r="A1781">
        <v>1780</v>
      </c>
      <c r="B1781" t="s">
        <v>169</v>
      </c>
      <c r="C1781">
        <v>99019875</v>
      </c>
      <c r="D1781" s="7" t="s">
        <v>69</v>
      </c>
      <c r="E1781" t="s">
        <v>70</v>
      </c>
      <c r="F1781" t="s">
        <v>170</v>
      </c>
      <c r="G1781" t="s">
        <v>177</v>
      </c>
      <c r="H1781">
        <v>16</v>
      </c>
      <c r="I1781">
        <v>0</v>
      </c>
      <c r="J1781">
        <v>16</v>
      </c>
      <c r="K1781" s="133">
        <v>10230</v>
      </c>
      <c r="L1781" s="133">
        <v>10230</v>
      </c>
      <c r="M1781" s="150">
        <v>0.62282407407407414</v>
      </c>
      <c r="N1781" s="150">
        <v>0.62284722222222222</v>
      </c>
      <c r="O1781" t="s">
        <v>172</v>
      </c>
      <c r="Q1781">
        <v>2537494</v>
      </c>
      <c r="R1781">
        <v>2537494</v>
      </c>
      <c r="S1781">
        <v>2536965</v>
      </c>
      <c r="T1781">
        <v>0</v>
      </c>
      <c r="U1781" t="s">
        <v>173</v>
      </c>
      <c r="V1781">
        <v>0</v>
      </c>
      <c r="W1781" t="s">
        <v>174</v>
      </c>
      <c r="X1781">
        <v>2536965</v>
      </c>
      <c r="Z1781" t="s">
        <v>173</v>
      </c>
      <c r="AA1781" t="s">
        <v>173</v>
      </c>
    </row>
    <row r="1782" spans="1:27" x14ac:dyDescent="0.3">
      <c r="A1782">
        <v>1781</v>
      </c>
      <c r="B1782" t="s">
        <v>169</v>
      </c>
      <c r="C1782">
        <v>99019875</v>
      </c>
      <c r="D1782" s="7" t="s">
        <v>75</v>
      </c>
      <c r="E1782" t="s">
        <v>76</v>
      </c>
      <c r="F1782" t="s">
        <v>170</v>
      </c>
      <c r="G1782" t="s">
        <v>171</v>
      </c>
      <c r="H1782">
        <v>83</v>
      </c>
      <c r="I1782">
        <v>0</v>
      </c>
      <c r="J1782">
        <v>83</v>
      </c>
      <c r="K1782" s="133">
        <v>20760</v>
      </c>
      <c r="L1782" s="133">
        <v>20760</v>
      </c>
      <c r="M1782" s="150">
        <v>0.62290509259259264</v>
      </c>
      <c r="N1782" s="150">
        <v>0.62292824074074071</v>
      </c>
      <c r="O1782" t="s">
        <v>172</v>
      </c>
      <c r="Q1782">
        <v>2537779</v>
      </c>
      <c r="R1782">
        <v>2537779</v>
      </c>
      <c r="S1782">
        <v>0</v>
      </c>
      <c r="T1782">
        <v>0</v>
      </c>
      <c r="U1782" t="s">
        <v>173</v>
      </c>
      <c r="V1782">
        <v>0</v>
      </c>
      <c r="W1782" t="s">
        <v>174</v>
      </c>
      <c r="X1782">
        <v>0</v>
      </c>
      <c r="Z1782" t="s">
        <v>173</v>
      </c>
      <c r="AA1782" t="s">
        <v>173</v>
      </c>
    </row>
    <row r="1783" spans="1:27" x14ac:dyDescent="0.3">
      <c r="A1783">
        <v>1782</v>
      </c>
      <c r="B1783" t="s">
        <v>169</v>
      </c>
      <c r="C1783">
        <v>99019875</v>
      </c>
      <c r="D1783" s="7" t="s">
        <v>102</v>
      </c>
      <c r="E1783" t="s">
        <v>103</v>
      </c>
      <c r="F1783" t="s">
        <v>170</v>
      </c>
      <c r="G1783" t="s">
        <v>171</v>
      </c>
      <c r="H1783">
        <v>54</v>
      </c>
      <c r="I1783">
        <v>0</v>
      </c>
      <c r="J1783">
        <v>54</v>
      </c>
      <c r="K1783" s="133">
        <v>26810</v>
      </c>
      <c r="L1783" s="133">
        <v>26810</v>
      </c>
      <c r="M1783" s="150">
        <v>0.62290509259259264</v>
      </c>
      <c r="N1783" s="150">
        <v>0.62311342592592589</v>
      </c>
      <c r="O1783" t="s">
        <v>172</v>
      </c>
      <c r="Q1783">
        <v>2537780</v>
      </c>
      <c r="R1783">
        <v>2537780</v>
      </c>
      <c r="S1783">
        <v>0</v>
      </c>
      <c r="T1783">
        <v>0</v>
      </c>
      <c r="U1783" t="s">
        <v>173</v>
      </c>
      <c r="V1783">
        <v>0</v>
      </c>
      <c r="W1783" t="s">
        <v>174</v>
      </c>
      <c r="X1783">
        <v>0</v>
      </c>
      <c r="Z1783" t="s">
        <v>173</v>
      </c>
      <c r="AA1783" t="s">
        <v>173</v>
      </c>
    </row>
    <row r="1784" spans="1:27" x14ac:dyDescent="0.3">
      <c r="A1784">
        <v>1783</v>
      </c>
      <c r="B1784" t="s">
        <v>169</v>
      </c>
      <c r="C1784">
        <v>99019875</v>
      </c>
      <c r="D1784" s="7" t="s">
        <v>67</v>
      </c>
      <c r="E1784" t="s">
        <v>68</v>
      </c>
      <c r="F1784" t="s">
        <v>170</v>
      </c>
      <c r="G1784" t="s">
        <v>171</v>
      </c>
      <c r="H1784">
        <v>35</v>
      </c>
      <c r="I1784">
        <v>0</v>
      </c>
      <c r="J1784">
        <v>35</v>
      </c>
      <c r="K1784" s="133">
        <v>4795</v>
      </c>
      <c r="L1784" s="133">
        <v>4795</v>
      </c>
      <c r="M1784" s="150">
        <v>0.62290509259259264</v>
      </c>
      <c r="N1784" s="150">
        <v>0.62326388888888895</v>
      </c>
      <c r="O1784" t="s">
        <v>172</v>
      </c>
      <c r="Q1784">
        <v>2537782</v>
      </c>
      <c r="R1784">
        <v>2537782</v>
      </c>
      <c r="S1784">
        <v>0</v>
      </c>
      <c r="T1784">
        <v>0</v>
      </c>
      <c r="U1784" t="s">
        <v>173</v>
      </c>
      <c r="V1784">
        <v>0</v>
      </c>
      <c r="W1784" t="s">
        <v>174</v>
      </c>
      <c r="X1784">
        <v>0</v>
      </c>
      <c r="Z1784" t="s">
        <v>173</v>
      </c>
      <c r="AA1784" t="s">
        <v>173</v>
      </c>
    </row>
    <row r="1785" spans="1:27" x14ac:dyDescent="0.3">
      <c r="A1785">
        <v>1784</v>
      </c>
      <c r="B1785" t="s">
        <v>169</v>
      </c>
      <c r="C1785">
        <v>99019875</v>
      </c>
      <c r="D1785" s="7" t="s">
        <v>110</v>
      </c>
      <c r="E1785" t="s">
        <v>179</v>
      </c>
      <c r="F1785" t="s">
        <v>170</v>
      </c>
      <c r="G1785" t="s">
        <v>171</v>
      </c>
      <c r="H1785">
        <v>3</v>
      </c>
      <c r="I1785">
        <v>0</v>
      </c>
      <c r="J1785">
        <v>3</v>
      </c>
      <c r="K1785" s="133">
        <v>48405</v>
      </c>
      <c r="L1785" s="133">
        <v>48405</v>
      </c>
      <c r="M1785" s="150">
        <v>0.62290509259259264</v>
      </c>
      <c r="N1785" s="150">
        <v>0.62306712962962962</v>
      </c>
      <c r="O1785" t="s">
        <v>172</v>
      </c>
      <c r="Q1785">
        <v>2537783</v>
      </c>
      <c r="R1785">
        <v>2537783</v>
      </c>
      <c r="S1785">
        <v>0</v>
      </c>
      <c r="T1785">
        <v>0</v>
      </c>
      <c r="U1785" t="s">
        <v>173</v>
      </c>
      <c r="V1785">
        <v>0</v>
      </c>
      <c r="W1785" t="s">
        <v>174</v>
      </c>
      <c r="X1785">
        <v>0</v>
      </c>
      <c r="Z1785" t="s">
        <v>173</v>
      </c>
      <c r="AA1785" t="s">
        <v>173</v>
      </c>
    </row>
    <row r="1786" spans="1:27" x14ac:dyDescent="0.3">
      <c r="A1786">
        <v>1785</v>
      </c>
      <c r="B1786" t="s">
        <v>169</v>
      </c>
      <c r="C1786">
        <v>99019875</v>
      </c>
      <c r="D1786" s="7" t="s">
        <v>100</v>
      </c>
      <c r="E1786" t="s">
        <v>101</v>
      </c>
      <c r="F1786" t="s">
        <v>170</v>
      </c>
      <c r="G1786" t="s">
        <v>171</v>
      </c>
      <c r="H1786">
        <v>5</v>
      </c>
      <c r="I1786">
        <v>0</v>
      </c>
      <c r="J1786">
        <v>5</v>
      </c>
      <c r="K1786" s="133">
        <v>15500</v>
      </c>
      <c r="L1786" s="133">
        <v>15500</v>
      </c>
      <c r="M1786" s="150">
        <v>0.62290509259259264</v>
      </c>
      <c r="N1786" s="150">
        <v>0.62378472222222225</v>
      </c>
      <c r="O1786" t="s">
        <v>172</v>
      </c>
      <c r="Q1786">
        <v>2537785</v>
      </c>
      <c r="R1786">
        <v>2537785</v>
      </c>
      <c r="S1786">
        <v>0</v>
      </c>
      <c r="T1786">
        <v>0</v>
      </c>
      <c r="U1786" t="s">
        <v>173</v>
      </c>
      <c r="V1786">
        <v>0</v>
      </c>
      <c r="W1786" t="s">
        <v>174</v>
      </c>
      <c r="X1786">
        <v>0</v>
      </c>
      <c r="Z1786" t="s">
        <v>173</v>
      </c>
      <c r="AA1786" t="s">
        <v>173</v>
      </c>
    </row>
    <row r="1787" spans="1:27" x14ac:dyDescent="0.3">
      <c r="A1787">
        <v>1786</v>
      </c>
      <c r="B1787" t="s">
        <v>169</v>
      </c>
      <c r="C1787">
        <v>99019875</v>
      </c>
      <c r="D1787" s="7" t="s">
        <v>87</v>
      </c>
      <c r="E1787" t="s">
        <v>88</v>
      </c>
      <c r="F1787" t="s">
        <v>170</v>
      </c>
      <c r="G1787" t="s">
        <v>171</v>
      </c>
      <c r="H1787">
        <v>6</v>
      </c>
      <c r="I1787">
        <v>0</v>
      </c>
      <c r="J1787">
        <v>6</v>
      </c>
      <c r="K1787" s="133">
        <v>12130</v>
      </c>
      <c r="L1787" s="133">
        <v>12130</v>
      </c>
      <c r="M1787" s="150">
        <v>0.62290509259259264</v>
      </c>
      <c r="N1787" s="150">
        <v>0.62305555555555558</v>
      </c>
      <c r="O1787" t="s">
        <v>172</v>
      </c>
      <c r="Q1787">
        <v>2537786</v>
      </c>
      <c r="R1787">
        <v>2537786</v>
      </c>
      <c r="S1787">
        <v>0</v>
      </c>
      <c r="T1787">
        <v>0</v>
      </c>
      <c r="U1787" t="s">
        <v>173</v>
      </c>
      <c r="V1787">
        <v>0</v>
      </c>
      <c r="W1787" t="s">
        <v>174</v>
      </c>
      <c r="X1787">
        <v>0</v>
      </c>
      <c r="Z1787" t="s">
        <v>173</v>
      </c>
      <c r="AA1787" t="s">
        <v>173</v>
      </c>
    </row>
    <row r="1788" spans="1:27" x14ac:dyDescent="0.3">
      <c r="A1788">
        <v>1787</v>
      </c>
      <c r="B1788" t="s">
        <v>169</v>
      </c>
      <c r="C1788">
        <v>99019875</v>
      </c>
      <c r="D1788" s="7" t="s">
        <v>108</v>
      </c>
      <c r="E1788" t="s">
        <v>109</v>
      </c>
      <c r="F1788" t="s">
        <v>170</v>
      </c>
      <c r="G1788" t="s">
        <v>171</v>
      </c>
      <c r="H1788">
        <v>24</v>
      </c>
      <c r="I1788">
        <v>0</v>
      </c>
      <c r="J1788">
        <v>24</v>
      </c>
      <c r="K1788" s="133">
        <v>2715</v>
      </c>
      <c r="L1788" s="133">
        <v>2715</v>
      </c>
      <c r="M1788" s="150">
        <v>0.62290509259259264</v>
      </c>
      <c r="N1788" s="150">
        <v>0.62402777777777774</v>
      </c>
      <c r="O1788" t="s">
        <v>172</v>
      </c>
      <c r="Q1788">
        <v>2537787</v>
      </c>
      <c r="R1788">
        <v>2537787</v>
      </c>
      <c r="S1788">
        <v>0</v>
      </c>
      <c r="T1788">
        <v>0</v>
      </c>
      <c r="U1788" t="s">
        <v>173</v>
      </c>
      <c r="V1788">
        <v>0</v>
      </c>
      <c r="W1788" t="s">
        <v>174</v>
      </c>
      <c r="X1788">
        <v>0</v>
      </c>
      <c r="Z1788" t="s">
        <v>173</v>
      </c>
      <c r="AA1788" t="s">
        <v>173</v>
      </c>
    </row>
    <row r="1789" spans="1:27" x14ac:dyDescent="0.3">
      <c r="A1789">
        <v>1788</v>
      </c>
      <c r="B1789" t="s">
        <v>169</v>
      </c>
      <c r="C1789">
        <v>99019875</v>
      </c>
      <c r="D1789" s="7" t="s">
        <v>122</v>
      </c>
      <c r="E1789" t="s">
        <v>123</v>
      </c>
      <c r="F1789" t="s">
        <v>170</v>
      </c>
      <c r="G1789" t="s">
        <v>171</v>
      </c>
      <c r="H1789">
        <v>19</v>
      </c>
      <c r="I1789">
        <v>0</v>
      </c>
      <c r="J1789">
        <v>19</v>
      </c>
      <c r="K1789" s="133">
        <v>36015</v>
      </c>
      <c r="L1789" s="133">
        <v>36015</v>
      </c>
      <c r="M1789" s="150">
        <v>0.62290509259259264</v>
      </c>
      <c r="N1789" s="150">
        <v>0.62354166666666666</v>
      </c>
      <c r="O1789" t="s">
        <v>172</v>
      </c>
      <c r="Q1789">
        <v>2537788</v>
      </c>
      <c r="R1789">
        <v>2537788</v>
      </c>
      <c r="S1789">
        <v>0</v>
      </c>
      <c r="T1789">
        <v>0</v>
      </c>
      <c r="U1789" t="s">
        <v>173</v>
      </c>
      <c r="V1789">
        <v>0</v>
      </c>
      <c r="W1789" t="s">
        <v>174</v>
      </c>
      <c r="X1789">
        <v>0</v>
      </c>
      <c r="Z1789" t="s">
        <v>173</v>
      </c>
      <c r="AA1789" t="s">
        <v>173</v>
      </c>
    </row>
    <row r="1790" spans="1:27" x14ac:dyDescent="0.3">
      <c r="A1790">
        <v>1789</v>
      </c>
      <c r="B1790" t="s">
        <v>169</v>
      </c>
      <c r="C1790">
        <v>99019875</v>
      </c>
      <c r="D1790" s="7" t="s">
        <v>77</v>
      </c>
      <c r="E1790" t="s">
        <v>78</v>
      </c>
      <c r="F1790" t="s">
        <v>170</v>
      </c>
      <c r="G1790" t="s">
        <v>171</v>
      </c>
      <c r="H1790">
        <v>74</v>
      </c>
      <c r="I1790">
        <v>0</v>
      </c>
      <c r="J1790">
        <v>74</v>
      </c>
      <c r="K1790" s="133">
        <v>7345</v>
      </c>
      <c r="L1790" s="133">
        <v>7345</v>
      </c>
      <c r="M1790" s="150">
        <v>0.62290509259259264</v>
      </c>
      <c r="N1790" s="150">
        <v>0.62321759259259257</v>
      </c>
      <c r="O1790" t="s">
        <v>172</v>
      </c>
      <c r="Q1790">
        <v>2537790</v>
      </c>
      <c r="R1790">
        <v>2537790</v>
      </c>
      <c r="S1790">
        <v>0</v>
      </c>
      <c r="T1790">
        <v>0</v>
      </c>
      <c r="U1790" t="s">
        <v>173</v>
      </c>
      <c r="V1790">
        <v>0</v>
      </c>
      <c r="W1790" t="s">
        <v>174</v>
      </c>
      <c r="X1790">
        <v>0</v>
      </c>
      <c r="Z1790" t="s">
        <v>173</v>
      </c>
      <c r="AA1790" t="s">
        <v>173</v>
      </c>
    </row>
    <row r="1791" spans="1:27" x14ac:dyDescent="0.3">
      <c r="A1791">
        <v>1790</v>
      </c>
      <c r="B1791" t="s">
        <v>169</v>
      </c>
      <c r="C1791">
        <v>99019875</v>
      </c>
      <c r="D1791" s="7" t="s">
        <v>96</v>
      </c>
      <c r="E1791" t="s">
        <v>97</v>
      </c>
      <c r="F1791" t="s">
        <v>170</v>
      </c>
      <c r="G1791" t="s">
        <v>171</v>
      </c>
      <c r="H1791">
        <v>27</v>
      </c>
      <c r="I1791">
        <v>0</v>
      </c>
      <c r="J1791">
        <v>27</v>
      </c>
      <c r="K1791" s="133">
        <v>8295</v>
      </c>
      <c r="L1791" s="133">
        <v>8295</v>
      </c>
      <c r="M1791" s="150">
        <v>0.62290509259259264</v>
      </c>
      <c r="N1791" s="150">
        <v>0.62396990740740743</v>
      </c>
      <c r="O1791" t="s">
        <v>172</v>
      </c>
      <c r="Q1791">
        <v>2537794</v>
      </c>
      <c r="R1791">
        <v>2537794</v>
      </c>
      <c r="S1791">
        <v>0</v>
      </c>
      <c r="T1791">
        <v>0</v>
      </c>
      <c r="U1791" t="s">
        <v>173</v>
      </c>
      <c r="V1791">
        <v>0</v>
      </c>
      <c r="W1791" t="s">
        <v>174</v>
      </c>
      <c r="X1791">
        <v>0</v>
      </c>
      <c r="Z1791" t="s">
        <v>173</v>
      </c>
      <c r="AA1791" t="s">
        <v>173</v>
      </c>
    </row>
    <row r="1792" spans="1:27" x14ac:dyDescent="0.3">
      <c r="A1792">
        <v>1791</v>
      </c>
      <c r="B1792" t="s">
        <v>169</v>
      </c>
      <c r="C1792">
        <v>99019875</v>
      </c>
      <c r="D1792" s="7" t="s">
        <v>69</v>
      </c>
      <c r="E1792" t="s">
        <v>70</v>
      </c>
      <c r="F1792" t="s">
        <v>170</v>
      </c>
      <c r="G1792" t="s">
        <v>171</v>
      </c>
      <c r="H1792">
        <v>17</v>
      </c>
      <c r="I1792">
        <v>0</v>
      </c>
      <c r="J1792">
        <v>17</v>
      </c>
      <c r="K1792" s="133">
        <v>10220</v>
      </c>
      <c r="L1792" s="133">
        <v>10220</v>
      </c>
      <c r="M1792" s="150">
        <v>0.62290509259259264</v>
      </c>
      <c r="N1792" s="150">
        <v>0.62305555555555558</v>
      </c>
      <c r="O1792" t="s">
        <v>172</v>
      </c>
      <c r="Q1792">
        <v>2537796</v>
      </c>
      <c r="R1792">
        <v>2537796</v>
      </c>
      <c r="S1792">
        <v>0</v>
      </c>
      <c r="T1792">
        <v>0</v>
      </c>
      <c r="U1792" t="s">
        <v>173</v>
      </c>
      <c r="V1792">
        <v>0</v>
      </c>
      <c r="W1792" t="s">
        <v>174</v>
      </c>
      <c r="X1792">
        <v>0</v>
      </c>
      <c r="Z1792" t="s">
        <v>173</v>
      </c>
      <c r="AA1792" t="s">
        <v>173</v>
      </c>
    </row>
    <row r="1793" spans="1:27" x14ac:dyDescent="0.3">
      <c r="A1793">
        <v>1792</v>
      </c>
      <c r="B1793" t="s">
        <v>169</v>
      </c>
      <c r="C1793">
        <v>99019875</v>
      </c>
      <c r="D1793" s="7" t="s">
        <v>62</v>
      </c>
      <c r="E1793" t="s">
        <v>63</v>
      </c>
      <c r="F1793" t="s">
        <v>176</v>
      </c>
      <c r="G1793" t="s">
        <v>177</v>
      </c>
      <c r="H1793">
        <v>89</v>
      </c>
      <c r="I1793">
        <v>0</v>
      </c>
      <c r="J1793">
        <v>89</v>
      </c>
      <c r="K1793" s="133">
        <v>34005</v>
      </c>
      <c r="L1793" s="133">
        <v>34005</v>
      </c>
      <c r="M1793" s="150">
        <v>0.62291666666666667</v>
      </c>
      <c r="N1793" s="150">
        <v>0.62293981481481475</v>
      </c>
      <c r="O1793" t="s">
        <v>172</v>
      </c>
      <c r="Q1793">
        <v>2537856</v>
      </c>
      <c r="R1793">
        <v>2537856</v>
      </c>
      <c r="S1793">
        <v>2537777</v>
      </c>
      <c r="T1793">
        <v>0</v>
      </c>
      <c r="U1793" t="s">
        <v>173</v>
      </c>
      <c r="V1793">
        <v>0</v>
      </c>
      <c r="W1793" t="s">
        <v>174</v>
      </c>
      <c r="X1793">
        <v>2537777</v>
      </c>
      <c r="Z1793" t="s">
        <v>173</v>
      </c>
      <c r="AA1793" t="s">
        <v>173</v>
      </c>
    </row>
    <row r="1794" spans="1:27" x14ac:dyDescent="0.3">
      <c r="A1794">
        <v>1793</v>
      </c>
      <c r="B1794" t="s">
        <v>169</v>
      </c>
      <c r="C1794">
        <v>99019875</v>
      </c>
      <c r="D1794" s="7" t="s">
        <v>81</v>
      </c>
      <c r="E1794" t="s">
        <v>82</v>
      </c>
      <c r="F1794" t="s">
        <v>176</v>
      </c>
      <c r="G1794" t="s">
        <v>177</v>
      </c>
      <c r="H1794">
        <v>24</v>
      </c>
      <c r="I1794">
        <v>0</v>
      </c>
      <c r="J1794">
        <v>24</v>
      </c>
      <c r="K1794" s="133">
        <v>36375</v>
      </c>
      <c r="L1794" s="133">
        <v>36375</v>
      </c>
      <c r="M1794" s="150">
        <v>0.62292824074074071</v>
      </c>
      <c r="N1794" s="150">
        <v>0.62318287037037035</v>
      </c>
      <c r="O1794" t="s">
        <v>172</v>
      </c>
      <c r="Q1794">
        <v>2537882</v>
      </c>
      <c r="R1794">
        <v>2537882</v>
      </c>
      <c r="S1794">
        <v>2537443</v>
      </c>
      <c r="T1794">
        <v>0</v>
      </c>
      <c r="U1794" t="s">
        <v>173</v>
      </c>
      <c r="V1794">
        <v>0</v>
      </c>
      <c r="W1794" t="s">
        <v>174</v>
      </c>
      <c r="X1794">
        <v>2537443</v>
      </c>
      <c r="Z1794" t="s">
        <v>173</v>
      </c>
      <c r="AA1794" t="s">
        <v>173</v>
      </c>
    </row>
    <row r="1795" spans="1:27" x14ac:dyDescent="0.3">
      <c r="A1795">
        <v>1794</v>
      </c>
      <c r="B1795" t="s">
        <v>169</v>
      </c>
      <c r="C1795">
        <v>99019875</v>
      </c>
      <c r="D1795" s="7" t="s">
        <v>81</v>
      </c>
      <c r="E1795" t="s">
        <v>82</v>
      </c>
      <c r="F1795" t="s">
        <v>176</v>
      </c>
      <c r="G1795" t="s">
        <v>177</v>
      </c>
      <c r="H1795">
        <v>76</v>
      </c>
      <c r="I1795">
        <v>0</v>
      </c>
      <c r="J1795">
        <v>76</v>
      </c>
      <c r="K1795" s="133">
        <v>36375</v>
      </c>
      <c r="L1795" s="133">
        <v>36375</v>
      </c>
      <c r="M1795" s="150">
        <v>0.62292824074074071</v>
      </c>
      <c r="N1795" s="150">
        <v>0.62318287037037035</v>
      </c>
      <c r="O1795" t="s">
        <v>172</v>
      </c>
      <c r="Q1795">
        <v>2537883</v>
      </c>
      <c r="R1795">
        <v>2537883</v>
      </c>
      <c r="S1795">
        <v>2537444</v>
      </c>
      <c r="T1795">
        <v>0</v>
      </c>
      <c r="U1795" t="s">
        <v>173</v>
      </c>
      <c r="V1795">
        <v>0</v>
      </c>
      <c r="W1795" t="s">
        <v>174</v>
      </c>
      <c r="X1795">
        <v>2537444</v>
      </c>
      <c r="Z1795" t="s">
        <v>173</v>
      </c>
      <c r="AA1795" t="s">
        <v>173</v>
      </c>
    </row>
    <row r="1796" spans="1:27" x14ac:dyDescent="0.3">
      <c r="A1796">
        <v>1795</v>
      </c>
      <c r="B1796" t="s">
        <v>169</v>
      </c>
      <c r="C1796">
        <v>99019875</v>
      </c>
      <c r="D1796" s="7" t="s">
        <v>81</v>
      </c>
      <c r="E1796" t="s">
        <v>82</v>
      </c>
      <c r="F1796" t="s">
        <v>176</v>
      </c>
      <c r="G1796" t="s">
        <v>177</v>
      </c>
      <c r="H1796">
        <v>75</v>
      </c>
      <c r="I1796">
        <v>0</v>
      </c>
      <c r="J1796">
        <v>75</v>
      </c>
      <c r="K1796" s="133">
        <v>36375</v>
      </c>
      <c r="L1796" s="133">
        <v>36375</v>
      </c>
      <c r="M1796" s="150">
        <v>0.62292824074074071</v>
      </c>
      <c r="N1796" s="150">
        <v>0.62318287037037035</v>
      </c>
      <c r="O1796" t="s">
        <v>172</v>
      </c>
      <c r="Q1796">
        <v>2537884</v>
      </c>
      <c r="R1796">
        <v>2537884</v>
      </c>
      <c r="S1796">
        <v>2537778</v>
      </c>
      <c r="T1796">
        <v>0</v>
      </c>
      <c r="U1796" t="s">
        <v>173</v>
      </c>
      <c r="V1796">
        <v>0</v>
      </c>
      <c r="W1796" t="s">
        <v>174</v>
      </c>
      <c r="X1796">
        <v>2537778</v>
      </c>
      <c r="Z1796" t="s">
        <v>173</v>
      </c>
      <c r="AA1796" t="s">
        <v>173</v>
      </c>
    </row>
    <row r="1797" spans="1:27" x14ac:dyDescent="0.3">
      <c r="A1797">
        <v>1796</v>
      </c>
      <c r="B1797" t="s">
        <v>169</v>
      </c>
      <c r="C1797">
        <v>99019875</v>
      </c>
      <c r="D1797" s="7" t="s">
        <v>114</v>
      </c>
      <c r="E1797" t="s">
        <v>115</v>
      </c>
      <c r="F1797" t="s">
        <v>176</v>
      </c>
      <c r="G1797" t="s">
        <v>177</v>
      </c>
      <c r="H1797">
        <v>65</v>
      </c>
      <c r="I1797">
        <v>0</v>
      </c>
      <c r="J1797">
        <v>65</v>
      </c>
      <c r="K1797" s="133">
        <v>53745</v>
      </c>
      <c r="L1797" s="133">
        <v>53745</v>
      </c>
      <c r="M1797" s="150">
        <v>0.62292824074074071</v>
      </c>
      <c r="N1797" s="150">
        <v>0.62293981481481475</v>
      </c>
      <c r="O1797" t="s">
        <v>172</v>
      </c>
      <c r="Q1797">
        <v>2537885</v>
      </c>
      <c r="R1797">
        <v>2537885</v>
      </c>
      <c r="S1797">
        <v>2537776</v>
      </c>
      <c r="T1797">
        <v>0</v>
      </c>
      <c r="U1797" t="s">
        <v>173</v>
      </c>
      <c r="V1797">
        <v>0</v>
      </c>
      <c r="W1797" t="s">
        <v>174</v>
      </c>
      <c r="X1797">
        <v>2537776</v>
      </c>
      <c r="Z1797" t="s">
        <v>173</v>
      </c>
      <c r="AA1797" t="s">
        <v>173</v>
      </c>
    </row>
    <row r="1798" spans="1:27" x14ac:dyDescent="0.3">
      <c r="A1798">
        <v>1797</v>
      </c>
      <c r="B1798" t="s">
        <v>169</v>
      </c>
      <c r="C1798">
        <v>99019875</v>
      </c>
      <c r="D1798" s="7" t="s">
        <v>106</v>
      </c>
      <c r="E1798" t="s">
        <v>107</v>
      </c>
      <c r="F1798" t="s">
        <v>170</v>
      </c>
      <c r="G1798" t="s">
        <v>171</v>
      </c>
      <c r="H1798">
        <v>1</v>
      </c>
      <c r="I1798">
        <v>0</v>
      </c>
      <c r="J1798">
        <v>1</v>
      </c>
      <c r="K1798" s="133">
        <v>3510</v>
      </c>
      <c r="L1798" s="133">
        <v>3510</v>
      </c>
      <c r="M1798" s="150">
        <v>0.62296296296296294</v>
      </c>
      <c r="N1798" s="150">
        <v>0.62349537037037039</v>
      </c>
      <c r="O1798" t="s">
        <v>172</v>
      </c>
      <c r="Q1798">
        <v>2537977</v>
      </c>
      <c r="R1798">
        <v>2537977</v>
      </c>
      <c r="S1798">
        <v>0</v>
      </c>
      <c r="T1798">
        <v>0</v>
      </c>
      <c r="U1798" t="s">
        <v>173</v>
      </c>
      <c r="V1798">
        <v>0</v>
      </c>
      <c r="W1798" t="s">
        <v>174</v>
      </c>
      <c r="X1798">
        <v>0</v>
      </c>
      <c r="Z1798" t="s">
        <v>173</v>
      </c>
      <c r="AA1798" t="s">
        <v>173</v>
      </c>
    </row>
    <row r="1799" spans="1:27" x14ac:dyDescent="0.3">
      <c r="A1799">
        <v>1798</v>
      </c>
      <c r="B1799" t="s">
        <v>169</v>
      </c>
      <c r="C1799">
        <v>99019875</v>
      </c>
      <c r="D1799" s="7" t="s">
        <v>98</v>
      </c>
      <c r="E1799" t="s">
        <v>99</v>
      </c>
      <c r="F1799" t="s">
        <v>170</v>
      </c>
      <c r="G1799" t="s">
        <v>177</v>
      </c>
      <c r="H1799">
        <v>6</v>
      </c>
      <c r="I1799">
        <v>0</v>
      </c>
      <c r="J1799">
        <v>6</v>
      </c>
      <c r="K1799" s="133">
        <v>14275</v>
      </c>
      <c r="L1799" s="133">
        <v>14275</v>
      </c>
      <c r="M1799" s="150">
        <v>0.62297453703703709</v>
      </c>
      <c r="N1799" s="150">
        <v>0.62304398148148155</v>
      </c>
      <c r="O1799" t="s">
        <v>172</v>
      </c>
      <c r="Q1799">
        <v>2537984</v>
      </c>
      <c r="R1799">
        <v>2537984</v>
      </c>
      <c r="S1799">
        <v>2535183</v>
      </c>
      <c r="T1799">
        <v>0</v>
      </c>
      <c r="U1799" t="s">
        <v>173</v>
      </c>
      <c r="V1799">
        <v>0</v>
      </c>
      <c r="W1799" t="s">
        <v>174</v>
      </c>
      <c r="X1799">
        <v>2535183</v>
      </c>
      <c r="Z1799" t="s">
        <v>173</v>
      </c>
      <c r="AA1799" t="s">
        <v>173</v>
      </c>
    </row>
    <row r="1800" spans="1:27" x14ac:dyDescent="0.3">
      <c r="A1800">
        <v>1799</v>
      </c>
      <c r="B1800" t="s">
        <v>169</v>
      </c>
      <c r="C1800">
        <v>99019875</v>
      </c>
      <c r="D1800" s="7" t="s">
        <v>98</v>
      </c>
      <c r="E1800" t="s">
        <v>99</v>
      </c>
      <c r="F1800" t="s">
        <v>170</v>
      </c>
      <c r="G1800" t="s">
        <v>177</v>
      </c>
      <c r="H1800">
        <v>39</v>
      </c>
      <c r="I1800">
        <v>0</v>
      </c>
      <c r="J1800">
        <v>39</v>
      </c>
      <c r="K1800" s="133">
        <v>14275</v>
      </c>
      <c r="L1800" s="133">
        <v>14275</v>
      </c>
      <c r="M1800" s="150">
        <v>0.62297453703703709</v>
      </c>
      <c r="N1800" s="150">
        <v>0.62304398148148155</v>
      </c>
      <c r="O1800" t="s">
        <v>172</v>
      </c>
      <c r="Q1800">
        <v>2537985</v>
      </c>
      <c r="R1800">
        <v>2537985</v>
      </c>
      <c r="S1800">
        <v>2536168</v>
      </c>
      <c r="T1800">
        <v>0</v>
      </c>
      <c r="U1800" t="s">
        <v>173</v>
      </c>
      <c r="V1800">
        <v>0</v>
      </c>
      <c r="W1800" t="s">
        <v>174</v>
      </c>
      <c r="X1800">
        <v>2536168</v>
      </c>
      <c r="Z1800" t="s">
        <v>173</v>
      </c>
      <c r="AA1800" t="s">
        <v>173</v>
      </c>
    </row>
    <row r="1801" spans="1:27" x14ac:dyDescent="0.3">
      <c r="A1801">
        <v>1800</v>
      </c>
      <c r="B1801" t="s">
        <v>169</v>
      </c>
      <c r="C1801">
        <v>99019875</v>
      </c>
      <c r="D1801" s="7" t="s">
        <v>98</v>
      </c>
      <c r="E1801" t="s">
        <v>99</v>
      </c>
      <c r="F1801" t="s">
        <v>170</v>
      </c>
      <c r="G1801" t="s">
        <v>177</v>
      </c>
      <c r="H1801">
        <v>38</v>
      </c>
      <c r="I1801">
        <v>0</v>
      </c>
      <c r="J1801">
        <v>38</v>
      </c>
      <c r="K1801" s="133">
        <v>14275</v>
      </c>
      <c r="L1801" s="133">
        <v>14275</v>
      </c>
      <c r="M1801" s="150">
        <v>0.62297453703703709</v>
      </c>
      <c r="N1801" s="150">
        <v>0.62304398148148155</v>
      </c>
      <c r="O1801" t="s">
        <v>172</v>
      </c>
      <c r="Q1801">
        <v>2537986</v>
      </c>
      <c r="R1801">
        <v>2537986</v>
      </c>
      <c r="S1801">
        <v>2536958</v>
      </c>
      <c r="T1801">
        <v>0</v>
      </c>
      <c r="U1801" t="s">
        <v>173</v>
      </c>
      <c r="V1801">
        <v>0</v>
      </c>
      <c r="W1801" t="s">
        <v>174</v>
      </c>
      <c r="X1801">
        <v>2536958</v>
      </c>
      <c r="Z1801" t="s">
        <v>173</v>
      </c>
      <c r="AA1801" t="s">
        <v>173</v>
      </c>
    </row>
    <row r="1802" spans="1:27" x14ac:dyDescent="0.3">
      <c r="A1802">
        <v>1801</v>
      </c>
      <c r="B1802" t="s">
        <v>169</v>
      </c>
      <c r="C1802">
        <v>99019875</v>
      </c>
      <c r="D1802" s="7" t="s">
        <v>98</v>
      </c>
      <c r="E1802" t="s">
        <v>99</v>
      </c>
      <c r="F1802" t="s">
        <v>170</v>
      </c>
      <c r="G1802" t="s">
        <v>177</v>
      </c>
      <c r="H1802">
        <v>39</v>
      </c>
      <c r="I1802">
        <v>0</v>
      </c>
      <c r="J1802">
        <v>39</v>
      </c>
      <c r="K1802" s="133">
        <v>14275</v>
      </c>
      <c r="L1802" s="133">
        <v>14275</v>
      </c>
      <c r="M1802" s="150">
        <v>0.62297453703703709</v>
      </c>
      <c r="N1802" s="150">
        <v>0.62317129629629631</v>
      </c>
      <c r="O1802" t="s">
        <v>172</v>
      </c>
      <c r="Q1802">
        <v>2537987</v>
      </c>
      <c r="R1802">
        <v>2537987</v>
      </c>
      <c r="S1802">
        <v>2537789</v>
      </c>
      <c r="T1802">
        <v>0</v>
      </c>
      <c r="U1802" t="s">
        <v>173</v>
      </c>
      <c r="V1802">
        <v>0</v>
      </c>
      <c r="W1802" t="s">
        <v>174</v>
      </c>
      <c r="X1802">
        <v>2537789</v>
      </c>
      <c r="Z1802" t="s">
        <v>173</v>
      </c>
      <c r="AA1802" t="s">
        <v>173</v>
      </c>
    </row>
    <row r="1803" spans="1:27" x14ac:dyDescent="0.3">
      <c r="A1803">
        <v>1802</v>
      </c>
      <c r="B1803" t="s">
        <v>169</v>
      </c>
      <c r="C1803">
        <v>99019875</v>
      </c>
      <c r="D1803" s="7" t="s">
        <v>140</v>
      </c>
      <c r="E1803" t="s">
        <v>178</v>
      </c>
      <c r="F1803" t="s">
        <v>170</v>
      </c>
      <c r="G1803" t="s">
        <v>177</v>
      </c>
      <c r="H1803">
        <v>20</v>
      </c>
      <c r="I1803">
        <v>0</v>
      </c>
      <c r="J1803">
        <v>20</v>
      </c>
      <c r="K1803" s="133">
        <v>8630</v>
      </c>
      <c r="L1803" s="133">
        <v>8630</v>
      </c>
      <c r="M1803" s="150">
        <v>0.62300925925925921</v>
      </c>
      <c r="N1803" s="150">
        <v>0.62302083333333336</v>
      </c>
      <c r="O1803" t="s">
        <v>172</v>
      </c>
      <c r="Q1803">
        <v>2538113</v>
      </c>
      <c r="R1803">
        <v>2538113</v>
      </c>
      <c r="S1803">
        <v>2536964</v>
      </c>
      <c r="T1803">
        <v>0</v>
      </c>
      <c r="U1803" t="s">
        <v>173</v>
      </c>
      <c r="V1803">
        <v>0</v>
      </c>
      <c r="W1803" t="s">
        <v>174</v>
      </c>
      <c r="X1803">
        <v>2536964</v>
      </c>
      <c r="Z1803" t="s">
        <v>173</v>
      </c>
      <c r="AA1803" t="s">
        <v>173</v>
      </c>
    </row>
    <row r="1804" spans="1:27" x14ac:dyDescent="0.3">
      <c r="A1804">
        <v>1803</v>
      </c>
      <c r="B1804" t="s">
        <v>169</v>
      </c>
      <c r="C1804">
        <v>99019875</v>
      </c>
      <c r="D1804" s="7" t="s">
        <v>140</v>
      </c>
      <c r="E1804" t="s">
        <v>178</v>
      </c>
      <c r="F1804" t="s">
        <v>170</v>
      </c>
      <c r="G1804" t="s">
        <v>177</v>
      </c>
      <c r="H1804">
        <v>20</v>
      </c>
      <c r="I1804">
        <v>0</v>
      </c>
      <c r="J1804">
        <v>20</v>
      </c>
      <c r="K1804" s="133">
        <v>8630</v>
      </c>
      <c r="L1804" s="133">
        <v>8630</v>
      </c>
      <c r="M1804" s="150">
        <v>0.62300925925925921</v>
      </c>
      <c r="N1804" s="150">
        <v>0.62302083333333336</v>
      </c>
      <c r="O1804" t="s">
        <v>172</v>
      </c>
      <c r="Q1804">
        <v>2538114</v>
      </c>
      <c r="R1804">
        <v>2538114</v>
      </c>
      <c r="S1804">
        <v>2537795</v>
      </c>
      <c r="T1804">
        <v>0</v>
      </c>
      <c r="U1804" t="s">
        <v>173</v>
      </c>
      <c r="V1804">
        <v>0</v>
      </c>
      <c r="W1804" t="s">
        <v>174</v>
      </c>
      <c r="X1804">
        <v>2537795</v>
      </c>
      <c r="Z1804" t="s">
        <v>173</v>
      </c>
      <c r="AA1804" t="s">
        <v>173</v>
      </c>
    </row>
    <row r="1805" spans="1:27" x14ac:dyDescent="0.3">
      <c r="A1805">
        <v>1804</v>
      </c>
      <c r="B1805" t="s">
        <v>169</v>
      </c>
      <c r="C1805">
        <v>99019875</v>
      </c>
      <c r="D1805" s="7" t="s">
        <v>94</v>
      </c>
      <c r="E1805" t="s">
        <v>95</v>
      </c>
      <c r="F1805" t="s">
        <v>170</v>
      </c>
      <c r="G1805" t="s">
        <v>171</v>
      </c>
      <c r="H1805">
        <v>1</v>
      </c>
      <c r="I1805">
        <v>0</v>
      </c>
      <c r="J1805">
        <v>1</v>
      </c>
      <c r="K1805" s="133">
        <v>21965</v>
      </c>
      <c r="L1805" s="133">
        <v>21965</v>
      </c>
      <c r="M1805" s="150">
        <v>0.6230324074074074</v>
      </c>
      <c r="N1805" s="150">
        <v>0.62343749999999998</v>
      </c>
      <c r="O1805" t="s">
        <v>172</v>
      </c>
      <c r="Q1805">
        <v>2538159</v>
      </c>
      <c r="R1805">
        <v>2538159</v>
      </c>
      <c r="S1805">
        <v>0</v>
      </c>
      <c r="T1805">
        <v>0</v>
      </c>
      <c r="U1805" t="s">
        <v>173</v>
      </c>
      <c r="V1805">
        <v>0</v>
      </c>
      <c r="W1805" t="s">
        <v>174</v>
      </c>
      <c r="X1805">
        <v>0</v>
      </c>
      <c r="Z1805" t="s">
        <v>173</v>
      </c>
      <c r="AA1805" t="s">
        <v>173</v>
      </c>
    </row>
    <row r="1806" spans="1:27" x14ac:dyDescent="0.3">
      <c r="A1806">
        <v>1805</v>
      </c>
      <c r="B1806" t="s">
        <v>169</v>
      </c>
      <c r="C1806">
        <v>99019875</v>
      </c>
      <c r="D1806" s="7" t="s">
        <v>71</v>
      </c>
      <c r="E1806" t="s">
        <v>72</v>
      </c>
      <c r="F1806" t="s">
        <v>176</v>
      </c>
      <c r="G1806" t="s">
        <v>177</v>
      </c>
      <c r="H1806">
        <v>18</v>
      </c>
      <c r="I1806">
        <v>0</v>
      </c>
      <c r="J1806">
        <v>18</v>
      </c>
      <c r="K1806" s="133">
        <v>17995</v>
      </c>
      <c r="L1806" s="133">
        <v>17995</v>
      </c>
      <c r="M1806" s="150">
        <v>0.62305555555555558</v>
      </c>
      <c r="N1806" s="150">
        <v>0.62318287037037035</v>
      </c>
      <c r="O1806" t="s">
        <v>172</v>
      </c>
      <c r="Q1806">
        <v>2538265</v>
      </c>
      <c r="R1806">
        <v>2538265</v>
      </c>
      <c r="S1806">
        <v>2538249</v>
      </c>
      <c r="T1806">
        <v>0</v>
      </c>
      <c r="U1806" t="s">
        <v>173</v>
      </c>
      <c r="V1806">
        <v>0</v>
      </c>
      <c r="W1806" t="s">
        <v>174</v>
      </c>
      <c r="X1806">
        <v>2538249</v>
      </c>
      <c r="Z1806" t="s">
        <v>173</v>
      </c>
      <c r="AA1806" t="s">
        <v>173</v>
      </c>
    </row>
    <row r="1807" spans="1:27" x14ac:dyDescent="0.3">
      <c r="A1807">
        <v>1806</v>
      </c>
      <c r="B1807" t="s">
        <v>169</v>
      </c>
      <c r="C1807">
        <v>99019875</v>
      </c>
      <c r="D1807" s="7" t="s">
        <v>71</v>
      </c>
      <c r="E1807" t="s">
        <v>72</v>
      </c>
      <c r="F1807" t="s">
        <v>176</v>
      </c>
      <c r="G1807" t="s">
        <v>177</v>
      </c>
      <c r="H1807">
        <v>18</v>
      </c>
      <c r="I1807">
        <v>0</v>
      </c>
      <c r="J1807">
        <v>18</v>
      </c>
      <c r="K1807" s="133">
        <v>17995</v>
      </c>
      <c r="L1807" s="133">
        <v>17995</v>
      </c>
      <c r="M1807" s="150">
        <v>0.62305555555555558</v>
      </c>
      <c r="N1807" s="150">
        <v>0.62318287037037035</v>
      </c>
      <c r="O1807" t="s">
        <v>172</v>
      </c>
      <c r="Q1807">
        <v>2538266</v>
      </c>
      <c r="R1807">
        <v>2538266</v>
      </c>
      <c r="S1807">
        <v>2538250</v>
      </c>
      <c r="T1807">
        <v>0</v>
      </c>
      <c r="U1807" t="s">
        <v>173</v>
      </c>
      <c r="V1807">
        <v>0</v>
      </c>
      <c r="W1807" t="s">
        <v>174</v>
      </c>
      <c r="X1807">
        <v>2538250</v>
      </c>
      <c r="Z1807" t="s">
        <v>173</v>
      </c>
      <c r="AA1807" t="s">
        <v>173</v>
      </c>
    </row>
    <row r="1808" spans="1:27" x14ac:dyDescent="0.3">
      <c r="A1808">
        <v>1807</v>
      </c>
      <c r="B1808" t="s">
        <v>169</v>
      </c>
      <c r="C1808">
        <v>99019875</v>
      </c>
      <c r="D1808" s="7" t="s">
        <v>128</v>
      </c>
      <c r="E1808" t="s">
        <v>129</v>
      </c>
      <c r="F1808" t="s">
        <v>170</v>
      </c>
      <c r="G1808" t="s">
        <v>177</v>
      </c>
      <c r="H1808">
        <v>1</v>
      </c>
      <c r="I1808">
        <v>0</v>
      </c>
      <c r="J1808">
        <v>1</v>
      </c>
      <c r="K1808" s="133">
        <v>6495</v>
      </c>
      <c r="L1808" s="133">
        <v>6495</v>
      </c>
      <c r="M1808" s="150">
        <v>0.62305555555555558</v>
      </c>
      <c r="N1808" s="150">
        <v>0.62376157407407407</v>
      </c>
      <c r="O1808" t="s">
        <v>172</v>
      </c>
      <c r="Q1808">
        <v>2538269</v>
      </c>
      <c r="R1808">
        <v>2538269</v>
      </c>
      <c r="S1808">
        <v>2533013</v>
      </c>
      <c r="T1808">
        <v>0</v>
      </c>
      <c r="U1808" t="s">
        <v>173</v>
      </c>
      <c r="V1808">
        <v>0</v>
      </c>
      <c r="W1808" t="s">
        <v>174</v>
      </c>
      <c r="X1808">
        <v>2533013</v>
      </c>
      <c r="Z1808" t="s">
        <v>173</v>
      </c>
      <c r="AA1808" t="s">
        <v>173</v>
      </c>
    </row>
    <row r="1809" spans="1:27" x14ac:dyDescent="0.3">
      <c r="A1809">
        <v>1808</v>
      </c>
      <c r="B1809" t="s">
        <v>169</v>
      </c>
      <c r="C1809">
        <v>99019875</v>
      </c>
      <c r="D1809" s="7" t="s">
        <v>128</v>
      </c>
      <c r="E1809" t="s">
        <v>129</v>
      </c>
      <c r="F1809" t="s">
        <v>170</v>
      </c>
      <c r="G1809" t="s">
        <v>177</v>
      </c>
      <c r="H1809">
        <v>1</v>
      </c>
      <c r="I1809">
        <v>0</v>
      </c>
      <c r="J1809">
        <v>1</v>
      </c>
      <c r="K1809" s="133">
        <v>6495</v>
      </c>
      <c r="L1809" s="133">
        <v>6495</v>
      </c>
      <c r="M1809" s="150">
        <v>0.62305555555555558</v>
      </c>
      <c r="N1809" s="150">
        <v>0.62376157407407407</v>
      </c>
      <c r="O1809" t="s">
        <v>172</v>
      </c>
      <c r="Q1809">
        <v>2538270</v>
      </c>
      <c r="R1809">
        <v>2538270</v>
      </c>
      <c r="S1809">
        <v>2534414</v>
      </c>
      <c r="T1809">
        <v>0</v>
      </c>
      <c r="U1809" t="s">
        <v>173</v>
      </c>
      <c r="V1809">
        <v>0</v>
      </c>
      <c r="W1809" t="s">
        <v>174</v>
      </c>
      <c r="X1809">
        <v>2534414</v>
      </c>
      <c r="Z1809" t="s">
        <v>173</v>
      </c>
      <c r="AA1809" t="s">
        <v>173</v>
      </c>
    </row>
    <row r="1810" spans="1:27" x14ac:dyDescent="0.3">
      <c r="A1810">
        <v>1809</v>
      </c>
      <c r="B1810" t="s">
        <v>169</v>
      </c>
      <c r="C1810">
        <v>99019875</v>
      </c>
      <c r="D1810" s="7" t="s">
        <v>128</v>
      </c>
      <c r="E1810" t="s">
        <v>129</v>
      </c>
      <c r="F1810" t="s">
        <v>170</v>
      </c>
      <c r="G1810" t="s">
        <v>177</v>
      </c>
      <c r="H1810">
        <v>1</v>
      </c>
      <c r="I1810">
        <v>0</v>
      </c>
      <c r="J1810">
        <v>1</v>
      </c>
      <c r="K1810" s="133">
        <v>6495</v>
      </c>
      <c r="L1810" s="133">
        <v>6495</v>
      </c>
      <c r="M1810" s="150">
        <v>0.62305555555555558</v>
      </c>
      <c r="N1810" s="150">
        <v>0.62376157407407407</v>
      </c>
      <c r="O1810" t="s">
        <v>172</v>
      </c>
      <c r="Q1810">
        <v>2538271</v>
      </c>
      <c r="R1810">
        <v>2538271</v>
      </c>
      <c r="S1810">
        <v>2535634</v>
      </c>
      <c r="T1810">
        <v>0</v>
      </c>
      <c r="U1810" t="s">
        <v>173</v>
      </c>
      <c r="V1810">
        <v>0</v>
      </c>
      <c r="W1810" t="s">
        <v>174</v>
      </c>
      <c r="X1810">
        <v>2535634</v>
      </c>
      <c r="Z1810" t="s">
        <v>173</v>
      </c>
      <c r="AA1810" t="s">
        <v>173</v>
      </c>
    </row>
    <row r="1811" spans="1:27" x14ac:dyDescent="0.3">
      <c r="A1811">
        <v>1810</v>
      </c>
      <c r="B1811" t="s">
        <v>169</v>
      </c>
      <c r="C1811">
        <v>99019875</v>
      </c>
      <c r="D1811" s="7" t="s">
        <v>128</v>
      </c>
      <c r="E1811" t="s">
        <v>129</v>
      </c>
      <c r="F1811" t="s">
        <v>170</v>
      </c>
      <c r="G1811" t="s">
        <v>177</v>
      </c>
      <c r="H1811">
        <v>1</v>
      </c>
      <c r="I1811">
        <v>0</v>
      </c>
      <c r="J1811">
        <v>1</v>
      </c>
      <c r="K1811" s="133">
        <v>6495</v>
      </c>
      <c r="L1811" s="133">
        <v>6495</v>
      </c>
      <c r="M1811" s="150">
        <v>0.62305555555555558</v>
      </c>
      <c r="N1811" s="150">
        <v>0.62376157407407407</v>
      </c>
      <c r="O1811" t="s">
        <v>172</v>
      </c>
      <c r="Q1811">
        <v>2538272</v>
      </c>
      <c r="R1811">
        <v>2538272</v>
      </c>
      <c r="S1811">
        <v>2536827</v>
      </c>
      <c r="T1811">
        <v>0</v>
      </c>
      <c r="U1811" t="s">
        <v>173</v>
      </c>
      <c r="V1811">
        <v>0</v>
      </c>
      <c r="W1811" t="s">
        <v>174</v>
      </c>
      <c r="X1811">
        <v>2536827</v>
      </c>
      <c r="Z1811" t="s">
        <v>173</v>
      </c>
      <c r="AA1811" t="s">
        <v>173</v>
      </c>
    </row>
    <row r="1812" spans="1:27" x14ac:dyDescent="0.3">
      <c r="A1812">
        <v>1811</v>
      </c>
      <c r="B1812" t="s">
        <v>169</v>
      </c>
      <c r="C1812">
        <v>99019875</v>
      </c>
      <c r="D1812" s="7" t="s">
        <v>128</v>
      </c>
      <c r="E1812" t="s">
        <v>129</v>
      </c>
      <c r="F1812" t="s">
        <v>170</v>
      </c>
      <c r="G1812" t="s">
        <v>177</v>
      </c>
      <c r="H1812">
        <v>1</v>
      </c>
      <c r="I1812">
        <v>0</v>
      </c>
      <c r="J1812">
        <v>1</v>
      </c>
      <c r="K1812" s="133">
        <v>6495</v>
      </c>
      <c r="L1812" s="133">
        <v>6495</v>
      </c>
      <c r="M1812" s="150">
        <v>0.62305555555555558</v>
      </c>
      <c r="N1812" s="150">
        <v>0.62376157407407407</v>
      </c>
      <c r="O1812" t="s">
        <v>172</v>
      </c>
      <c r="Q1812">
        <v>2538273</v>
      </c>
      <c r="R1812">
        <v>2538273</v>
      </c>
      <c r="S1812">
        <v>2537942</v>
      </c>
      <c r="T1812">
        <v>0</v>
      </c>
      <c r="U1812" t="s">
        <v>173</v>
      </c>
      <c r="V1812">
        <v>0</v>
      </c>
      <c r="W1812" t="s">
        <v>174</v>
      </c>
      <c r="X1812">
        <v>2537942</v>
      </c>
      <c r="Z1812" t="s">
        <v>173</v>
      </c>
      <c r="AA1812" t="s">
        <v>173</v>
      </c>
    </row>
    <row r="1813" spans="1:27" x14ac:dyDescent="0.3">
      <c r="A1813">
        <v>1812</v>
      </c>
      <c r="B1813" t="s">
        <v>169</v>
      </c>
      <c r="C1813">
        <v>99019875</v>
      </c>
      <c r="D1813" s="7" t="s">
        <v>118</v>
      </c>
      <c r="E1813" t="s">
        <v>119</v>
      </c>
      <c r="F1813" t="s">
        <v>176</v>
      </c>
      <c r="G1813" t="s">
        <v>177</v>
      </c>
      <c r="H1813">
        <v>11</v>
      </c>
      <c r="I1813">
        <v>0</v>
      </c>
      <c r="J1813">
        <v>11</v>
      </c>
      <c r="K1813" s="133">
        <v>12405</v>
      </c>
      <c r="L1813" s="133">
        <v>12405</v>
      </c>
      <c r="M1813" s="150">
        <v>0.62311342592592589</v>
      </c>
      <c r="N1813" s="150">
        <v>0.62312500000000004</v>
      </c>
      <c r="O1813" t="s">
        <v>172</v>
      </c>
      <c r="Q1813">
        <v>2538373</v>
      </c>
      <c r="R1813">
        <v>2538373</v>
      </c>
      <c r="S1813">
        <v>2536962</v>
      </c>
      <c r="T1813">
        <v>0</v>
      </c>
      <c r="U1813" t="s">
        <v>173</v>
      </c>
      <c r="V1813">
        <v>0</v>
      </c>
      <c r="W1813" t="s">
        <v>174</v>
      </c>
      <c r="X1813">
        <v>2536962</v>
      </c>
      <c r="Z1813" t="s">
        <v>173</v>
      </c>
      <c r="AA1813" t="s">
        <v>173</v>
      </c>
    </row>
    <row r="1814" spans="1:27" x14ac:dyDescent="0.3">
      <c r="A1814">
        <v>1813</v>
      </c>
      <c r="B1814" t="s">
        <v>169</v>
      </c>
      <c r="C1814">
        <v>99019875</v>
      </c>
      <c r="D1814" s="7" t="s">
        <v>118</v>
      </c>
      <c r="E1814" t="s">
        <v>119</v>
      </c>
      <c r="F1814" t="s">
        <v>176</v>
      </c>
      <c r="G1814" t="s">
        <v>177</v>
      </c>
      <c r="H1814">
        <v>19</v>
      </c>
      <c r="I1814">
        <v>0</v>
      </c>
      <c r="J1814">
        <v>19</v>
      </c>
      <c r="K1814" s="133">
        <v>12405</v>
      </c>
      <c r="L1814" s="133">
        <v>12405</v>
      </c>
      <c r="M1814" s="150">
        <v>0.62311342592592589</v>
      </c>
      <c r="N1814" s="150">
        <v>0.62312500000000004</v>
      </c>
      <c r="O1814" t="s">
        <v>172</v>
      </c>
      <c r="Q1814">
        <v>2538374</v>
      </c>
      <c r="R1814">
        <v>2538374</v>
      </c>
      <c r="S1814">
        <v>2537793</v>
      </c>
      <c r="T1814">
        <v>0</v>
      </c>
      <c r="U1814" t="s">
        <v>173</v>
      </c>
      <c r="V1814">
        <v>0</v>
      </c>
      <c r="W1814" t="s">
        <v>174</v>
      </c>
      <c r="X1814">
        <v>2537793</v>
      </c>
      <c r="Z1814" t="s">
        <v>173</v>
      </c>
      <c r="AA1814" t="s">
        <v>173</v>
      </c>
    </row>
    <row r="1815" spans="1:27" x14ac:dyDescent="0.3">
      <c r="A1815">
        <v>1814</v>
      </c>
      <c r="B1815" t="s">
        <v>169</v>
      </c>
      <c r="C1815">
        <v>99019875</v>
      </c>
      <c r="D1815" s="7" t="s">
        <v>75</v>
      </c>
      <c r="E1815" t="s">
        <v>76</v>
      </c>
      <c r="F1815" t="s">
        <v>170</v>
      </c>
      <c r="G1815" t="s">
        <v>171</v>
      </c>
      <c r="H1815">
        <v>82</v>
      </c>
      <c r="I1815">
        <v>0</v>
      </c>
      <c r="J1815">
        <v>82</v>
      </c>
      <c r="K1815" s="133">
        <v>20755</v>
      </c>
      <c r="L1815" s="133">
        <v>20755</v>
      </c>
      <c r="M1815" s="150">
        <v>0.6231944444444445</v>
      </c>
      <c r="N1815" s="150">
        <v>0.62347222222222221</v>
      </c>
      <c r="O1815" t="s">
        <v>172</v>
      </c>
      <c r="Q1815">
        <v>2538632</v>
      </c>
      <c r="R1815">
        <v>2538632</v>
      </c>
      <c r="S1815">
        <v>0</v>
      </c>
      <c r="T1815">
        <v>0</v>
      </c>
      <c r="U1815" t="s">
        <v>173</v>
      </c>
      <c r="V1815">
        <v>0</v>
      </c>
      <c r="W1815" t="s">
        <v>174</v>
      </c>
      <c r="X1815">
        <v>0</v>
      </c>
      <c r="Z1815" t="s">
        <v>173</v>
      </c>
      <c r="AA1815" t="s">
        <v>173</v>
      </c>
    </row>
    <row r="1816" spans="1:27" x14ac:dyDescent="0.3">
      <c r="A1816">
        <v>1815</v>
      </c>
      <c r="B1816" t="s">
        <v>169</v>
      </c>
      <c r="C1816">
        <v>99019875</v>
      </c>
      <c r="D1816" s="7" t="s">
        <v>67</v>
      </c>
      <c r="E1816" t="s">
        <v>68</v>
      </c>
      <c r="F1816" t="s">
        <v>170</v>
      </c>
      <c r="G1816" t="s">
        <v>171</v>
      </c>
      <c r="H1816">
        <v>35</v>
      </c>
      <c r="I1816">
        <v>0</v>
      </c>
      <c r="J1816">
        <v>35</v>
      </c>
      <c r="K1816" s="133">
        <v>4795</v>
      </c>
      <c r="L1816" s="133">
        <v>4795</v>
      </c>
      <c r="M1816" s="150">
        <v>0.62320601851851853</v>
      </c>
      <c r="N1816" s="150">
        <v>0.62336805555555552</v>
      </c>
      <c r="O1816" t="s">
        <v>172</v>
      </c>
      <c r="Q1816">
        <v>2538634</v>
      </c>
      <c r="R1816">
        <v>2538634</v>
      </c>
      <c r="S1816">
        <v>0</v>
      </c>
      <c r="T1816">
        <v>0</v>
      </c>
      <c r="U1816" t="s">
        <v>173</v>
      </c>
      <c r="V1816">
        <v>0</v>
      </c>
      <c r="W1816" t="s">
        <v>174</v>
      </c>
      <c r="X1816">
        <v>0</v>
      </c>
      <c r="Z1816" t="s">
        <v>173</v>
      </c>
      <c r="AA1816" t="s">
        <v>173</v>
      </c>
    </row>
    <row r="1817" spans="1:27" x14ac:dyDescent="0.3">
      <c r="A1817">
        <v>1816</v>
      </c>
      <c r="B1817" t="s">
        <v>169</v>
      </c>
      <c r="C1817">
        <v>99019875</v>
      </c>
      <c r="D1817" s="7" t="s">
        <v>110</v>
      </c>
      <c r="E1817" t="s">
        <v>179</v>
      </c>
      <c r="F1817" t="s">
        <v>170</v>
      </c>
      <c r="G1817" t="s">
        <v>171</v>
      </c>
      <c r="H1817">
        <v>3</v>
      </c>
      <c r="I1817">
        <v>0</v>
      </c>
      <c r="J1817">
        <v>3</v>
      </c>
      <c r="K1817" s="133">
        <v>48405</v>
      </c>
      <c r="L1817" s="133">
        <v>48405</v>
      </c>
      <c r="M1817" s="150">
        <v>0.62320601851851853</v>
      </c>
      <c r="N1817" s="150">
        <v>0.62334490740740744</v>
      </c>
      <c r="O1817" t="s">
        <v>172</v>
      </c>
      <c r="Q1817">
        <v>2538635</v>
      </c>
      <c r="R1817">
        <v>2538635</v>
      </c>
      <c r="S1817">
        <v>0</v>
      </c>
      <c r="T1817">
        <v>0</v>
      </c>
      <c r="U1817" t="s">
        <v>173</v>
      </c>
      <c r="V1817">
        <v>0</v>
      </c>
      <c r="W1817" t="s">
        <v>174</v>
      </c>
      <c r="X1817">
        <v>0</v>
      </c>
      <c r="Z1817" t="s">
        <v>173</v>
      </c>
      <c r="AA1817" t="s">
        <v>173</v>
      </c>
    </row>
    <row r="1818" spans="1:27" x14ac:dyDescent="0.3">
      <c r="A1818">
        <v>1817</v>
      </c>
      <c r="B1818" t="s">
        <v>169</v>
      </c>
      <c r="C1818">
        <v>99019875</v>
      </c>
      <c r="D1818" s="7" t="s">
        <v>100</v>
      </c>
      <c r="E1818" t="s">
        <v>101</v>
      </c>
      <c r="F1818" t="s">
        <v>170</v>
      </c>
      <c r="G1818" t="s">
        <v>171</v>
      </c>
      <c r="H1818">
        <v>5</v>
      </c>
      <c r="I1818">
        <v>0</v>
      </c>
      <c r="J1818">
        <v>5</v>
      </c>
      <c r="K1818" s="133">
        <v>15500</v>
      </c>
      <c r="L1818" s="133">
        <v>15500</v>
      </c>
      <c r="M1818" s="150">
        <v>0.62320601851851853</v>
      </c>
      <c r="N1818" s="150">
        <v>0.62378472222222225</v>
      </c>
      <c r="O1818" t="s">
        <v>172</v>
      </c>
      <c r="Q1818">
        <v>2538637</v>
      </c>
      <c r="R1818">
        <v>2538637</v>
      </c>
      <c r="S1818">
        <v>0</v>
      </c>
      <c r="T1818">
        <v>0</v>
      </c>
      <c r="U1818" t="s">
        <v>173</v>
      </c>
      <c r="V1818">
        <v>0</v>
      </c>
      <c r="W1818" t="s">
        <v>174</v>
      </c>
      <c r="X1818">
        <v>0</v>
      </c>
      <c r="Z1818" t="s">
        <v>173</v>
      </c>
      <c r="AA1818" t="s">
        <v>173</v>
      </c>
    </row>
    <row r="1819" spans="1:27" x14ac:dyDescent="0.3">
      <c r="A1819">
        <v>1818</v>
      </c>
      <c r="B1819" t="s">
        <v>169</v>
      </c>
      <c r="C1819">
        <v>99019875</v>
      </c>
      <c r="D1819" s="7" t="s">
        <v>87</v>
      </c>
      <c r="E1819" t="s">
        <v>88</v>
      </c>
      <c r="F1819" t="s">
        <v>170</v>
      </c>
      <c r="G1819" t="s">
        <v>171</v>
      </c>
      <c r="H1819">
        <v>6</v>
      </c>
      <c r="I1819">
        <v>0</v>
      </c>
      <c r="J1819">
        <v>6</v>
      </c>
      <c r="K1819" s="133">
        <v>12120</v>
      </c>
      <c r="L1819" s="133">
        <v>12120</v>
      </c>
      <c r="M1819" s="150">
        <v>0.62320601851851853</v>
      </c>
      <c r="N1819" s="150">
        <v>0.62358796296296293</v>
      </c>
      <c r="O1819" t="s">
        <v>172</v>
      </c>
      <c r="Q1819">
        <v>2538638</v>
      </c>
      <c r="R1819">
        <v>2538638</v>
      </c>
      <c r="S1819">
        <v>0</v>
      </c>
      <c r="T1819">
        <v>0</v>
      </c>
      <c r="U1819" t="s">
        <v>173</v>
      </c>
      <c r="V1819">
        <v>0</v>
      </c>
      <c r="W1819" t="s">
        <v>174</v>
      </c>
      <c r="X1819">
        <v>0</v>
      </c>
      <c r="Z1819" t="s">
        <v>173</v>
      </c>
      <c r="AA1819" t="s">
        <v>173</v>
      </c>
    </row>
    <row r="1820" spans="1:27" x14ac:dyDescent="0.3">
      <c r="A1820">
        <v>1819</v>
      </c>
      <c r="B1820" t="s">
        <v>169</v>
      </c>
      <c r="C1820">
        <v>99019875</v>
      </c>
      <c r="D1820" s="7" t="s">
        <v>108</v>
      </c>
      <c r="E1820" t="s">
        <v>109</v>
      </c>
      <c r="F1820" t="s">
        <v>170</v>
      </c>
      <c r="G1820" t="s">
        <v>171</v>
      </c>
      <c r="H1820">
        <v>23</v>
      </c>
      <c r="I1820">
        <v>0</v>
      </c>
      <c r="J1820">
        <v>23</v>
      </c>
      <c r="K1820" s="133">
        <v>2715</v>
      </c>
      <c r="L1820" s="133">
        <v>2715</v>
      </c>
      <c r="M1820" s="150">
        <v>0.62320601851851853</v>
      </c>
      <c r="N1820" s="150">
        <v>0.62402777777777774</v>
      </c>
      <c r="O1820" t="s">
        <v>172</v>
      </c>
      <c r="Q1820">
        <v>2538639</v>
      </c>
      <c r="R1820">
        <v>2538639</v>
      </c>
      <c r="S1820">
        <v>0</v>
      </c>
      <c r="T1820">
        <v>0</v>
      </c>
      <c r="U1820" t="s">
        <v>173</v>
      </c>
      <c r="V1820">
        <v>0</v>
      </c>
      <c r="W1820" t="s">
        <v>174</v>
      </c>
      <c r="X1820">
        <v>0</v>
      </c>
      <c r="Z1820" t="s">
        <v>173</v>
      </c>
      <c r="AA1820" t="s">
        <v>173</v>
      </c>
    </row>
    <row r="1821" spans="1:27" x14ac:dyDescent="0.3">
      <c r="A1821">
        <v>1820</v>
      </c>
      <c r="B1821" t="s">
        <v>169</v>
      </c>
      <c r="C1821">
        <v>99019875</v>
      </c>
      <c r="D1821" s="7" t="s">
        <v>122</v>
      </c>
      <c r="E1821" t="s">
        <v>123</v>
      </c>
      <c r="F1821" t="s">
        <v>170</v>
      </c>
      <c r="G1821" t="s">
        <v>171</v>
      </c>
      <c r="H1821">
        <v>20</v>
      </c>
      <c r="I1821">
        <v>0</v>
      </c>
      <c r="J1821">
        <v>20</v>
      </c>
      <c r="K1821" s="133">
        <v>36015</v>
      </c>
      <c r="L1821" s="133">
        <v>36015</v>
      </c>
      <c r="M1821" s="150">
        <v>0.62320601851851853</v>
      </c>
      <c r="N1821" s="150">
        <v>0.62354166666666666</v>
      </c>
      <c r="O1821" t="s">
        <v>172</v>
      </c>
      <c r="Q1821">
        <v>2538640</v>
      </c>
      <c r="R1821">
        <v>2538640</v>
      </c>
      <c r="S1821">
        <v>0</v>
      </c>
      <c r="T1821">
        <v>0</v>
      </c>
      <c r="U1821" t="s">
        <v>173</v>
      </c>
      <c r="V1821">
        <v>0</v>
      </c>
      <c r="W1821" t="s">
        <v>174</v>
      </c>
      <c r="X1821">
        <v>0</v>
      </c>
      <c r="Z1821" t="s">
        <v>173</v>
      </c>
      <c r="AA1821" t="s">
        <v>173</v>
      </c>
    </row>
    <row r="1822" spans="1:27" x14ac:dyDescent="0.3">
      <c r="A1822">
        <v>1821</v>
      </c>
      <c r="B1822" t="s">
        <v>169</v>
      </c>
      <c r="C1822">
        <v>99019875</v>
      </c>
      <c r="D1822" s="7" t="s">
        <v>98</v>
      </c>
      <c r="E1822" t="s">
        <v>99</v>
      </c>
      <c r="F1822" t="s">
        <v>170</v>
      </c>
      <c r="G1822" t="s">
        <v>171</v>
      </c>
      <c r="H1822">
        <v>38</v>
      </c>
      <c r="I1822">
        <v>0</v>
      </c>
      <c r="J1822">
        <v>38</v>
      </c>
      <c r="K1822" s="133">
        <v>14270</v>
      </c>
      <c r="L1822" s="133">
        <v>14270</v>
      </c>
      <c r="M1822" s="150">
        <v>0.62320601851851853</v>
      </c>
      <c r="N1822" s="150">
        <v>0.62348379629629636</v>
      </c>
      <c r="O1822" t="s">
        <v>172</v>
      </c>
      <c r="Q1822">
        <v>2538641</v>
      </c>
      <c r="R1822">
        <v>2538641</v>
      </c>
      <c r="S1822">
        <v>0</v>
      </c>
      <c r="T1822">
        <v>0</v>
      </c>
      <c r="U1822" t="s">
        <v>173</v>
      </c>
      <c r="V1822">
        <v>0</v>
      </c>
      <c r="W1822" t="s">
        <v>174</v>
      </c>
      <c r="X1822">
        <v>0</v>
      </c>
      <c r="Z1822" t="s">
        <v>173</v>
      </c>
      <c r="AA1822" t="s">
        <v>173</v>
      </c>
    </row>
    <row r="1823" spans="1:27" x14ac:dyDescent="0.3">
      <c r="A1823">
        <v>1822</v>
      </c>
      <c r="B1823" t="s">
        <v>169</v>
      </c>
      <c r="C1823">
        <v>99019875</v>
      </c>
      <c r="D1823" s="7" t="s">
        <v>77</v>
      </c>
      <c r="E1823" t="s">
        <v>78</v>
      </c>
      <c r="F1823" t="s">
        <v>170</v>
      </c>
      <c r="G1823" t="s">
        <v>171</v>
      </c>
      <c r="H1823">
        <v>73</v>
      </c>
      <c r="I1823">
        <v>0</v>
      </c>
      <c r="J1823">
        <v>73</v>
      </c>
      <c r="K1823" s="133">
        <v>7345</v>
      </c>
      <c r="L1823" s="133">
        <v>7345</v>
      </c>
      <c r="M1823" s="150">
        <v>0.62320601851851853</v>
      </c>
      <c r="N1823" s="150">
        <v>0.62349537037037039</v>
      </c>
      <c r="O1823" t="s">
        <v>172</v>
      </c>
      <c r="Q1823">
        <v>2538642</v>
      </c>
      <c r="R1823">
        <v>2538642</v>
      </c>
      <c r="S1823">
        <v>0</v>
      </c>
      <c r="T1823">
        <v>0</v>
      </c>
      <c r="U1823" t="s">
        <v>173</v>
      </c>
      <c r="V1823">
        <v>0</v>
      </c>
      <c r="W1823" t="s">
        <v>174</v>
      </c>
      <c r="X1823">
        <v>0</v>
      </c>
      <c r="Z1823" t="s">
        <v>173</v>
      </c>
      <c r="AA1823" t="s">
        <v>173</v>
      </c>
    </row>
    <row r="1824" spans="1:27" x14ac:dyDescent="0.3">
      <c r="A1824">
        <v>1823</v>
      </c>
      <c r="B1824" t="s">
        <v>169</v>
      </c>
      <c r="C1824">
        <v>99019875</v>
      </c>
      <c r="D1824" s="7" t="s">
        <v>96</v>
      </c>
      <c r="E1824" t="s">
        <v>97</v>
      </c>
      <c r="F1824" t="s">
        <v>170</v>
      </c>
      <c r="G1824" t="s">
        <v>171</v>
      </c>
      <c r="H1824">
        <v>27</v>
      </c>
      <c r="I1824">
        <v>0</v>
      </c>
      <c r="J1824">
        <v>27</v>
      </c>
      <c r="K1824" s="133">
        <v>8295</v>
      </c>
      <c r="L1824" s="133">
        <v>8295</v>
      </c>
      <c r="M1824" s="150">
        <v>0.62320601851851853</v>
      </c>
      <c r="N1824" s="150">
        <v>0.62396990740740743</v>
      </c>
      <c r="O1824" t="s">
        <v>172</v>
      </c>
      <c r="Q1824">
        <v>2538646</v>
      </c>
      <c r="R1824">
        <v>2538646</v>
      </c>
      <c r="S1824">
        <v>0</v>
      </c>
      <c r="T1824">
        <v>0</v>
      </c>
      <c r="U1824" t="s">
        <v>173</v>
      </c>
      <c r="V1824">
        <v>0</v>
      </c>
      <c r="W1824" t="s">
        <v>174</v>
      </c>
      <c r="X1824">
        <v>0</v>
      </c>
      <c r="Z1824" t="s">
        <v>173</v>
      </c>
      <c r="AA1824" t="s">
        <v>173</v>
      </c>
    </row>
    <row r="1825" spans="1:27" x14ac:dyDescent="0.3">
      <c r="A1825">
        <v>1824</v>
      </c>
      <c r="B1825" t="s">
        <v>169</v>
      </c>
      <c r="C1825">
        <v>99019875</v>
      </c>
      <c r="D1825" s="7" t="s">
        <v>140</v>
      </c>
      <c r="E1825" t="s">
        <v>178</v>
      </c>
      <c r="F1825" t="s">
        <v>170</v>
      </c>
      <c r="G1825" t="s">
        <v>171</v>
      </c>
      <c r="H1825">
        <v>20</v>
      </c>
      <c r="I1825">
        <v>0</v>
      </c>
      <c r="J1825">
        <v>20</v>
      </c>
      <c r="K1825" s="133">
        <v>8625</v>
      </c>
      <c r="L1825" s="133">
        <v>8625</v>
      </c>
      <c r="M1825" s="150">
        <v>0.62320601851851853</v>
      </c>
      <c r="N1825" s="150">
        <v>0.62333333333333341</v>
      </c>
      <c r="O1825" t="s">
        <v>172</v>
      </c>
      <c r="Q1825">
        <v>2538647</v>
      </c>
      <c r="R1825">
        <v>2538647</v>
      </c>
      <c r="S1825">
        <v>0</v>
      </c>
      <c r="T1825">
        <v>0</v>
      </c>
      <c r="U1825" t="s">
        <v>173</v>
      </c>
      <c r="V1825">
        <v>0</v>
      </c>
      <c r="W1825" t="s">
        <v>174</v>
      </c>
      <c r="X1825">
        <v>0</v>
      </c>
      <c r="Z1825" t="s">
        <v>173</v>
      </c>
      <c r="AA1825" t="s">
        <v>173</v>
      </c>
    </row>
    <row r="1826" spans="1:27" x14ac:dyDescent="0.3">
      <c r="A1826">
        <v>1825</v>
      </c>
      <c r="B1826" t="s">
        <v>169</v>
      </c>
      <c r="C1826">
        <v>99019875</v>
      </c>
      <c r="D1826" s="7" t="s">
        <v>69</v>
      </c>
      <c r="E1826" t="s">
        <v>70</v>
      </c>
      <c r="F1826" t="s">
        <v>170</v>
      </c>
      <c r="G1826" t="s">
        <v>171</v>
      </c>
      <c r="H1826">
        <v>17</v>
      </c>
      <c r="I1826">
        <v>0</v>
      </c>
      <c r="J1826">
        <v>17</v>
      </c>
      <c r="K1826" s="133">
        <v>10225</v>
      </c>
      <c r="L1826" s="133">
        <v>10225</v>
      </c>
      <c r="M1826" s="150">
        <v>0.62320601851851853</v>
      </c>
      <c r="N1826" s="150">
        <v>0.62322916666666661</v>
      </c>
      <c r="O1826" t="s">
        <v>172</v>
      </c>
      <c r="Q1826">
        <v>2538648</v>
      </c>
      <c r="R1826">
        <v>2538648</v>
      </c>
      <c r="S1826">
        <v>0</v>
      </c>
      <c r="T1826">
        <v>0</v>
      </c>
      <c r="U1826" t="s">
        <v>173</v>
      </c>
      <c r="V1826">
        <v>0</v>
      </c>
      <c r="W1826" t="s">
        <v>174</v>
      </c>
      <c r="X1826">
        <v>0</v>
      </c>
      <c r="Z1826" t="s">
        <v>173</v>
      </c>
      <c r="AA1826" t="s">
        <v>173</v>
      </c>
    </row>
    <row r="1827" spans="1:27" x14ac:dyDescent="0.3">
      <c r="A1827">
        <v>1826</v>
      </c>
      <c r="B1827" t="s">
        <v>169</v>
      </c>
      <c r="C1827">
        <v>99019875</v>
      </c>
      <c r="D1827" s="7" t="s">
        <v>62</v>
      </c>
      <c r="E1827" t="s">
        <v>63</v>
      </c>
      <c r="F1827" t="s">
        <v>176</v>
      </c>
      <c r="G1827" t="s">
        <v>177</v>
      </c>
      <c r="H1827">
        <v>89</v>
      </c>
      <c r="I1827">
        <v>0</v>
      </c>
      <c r="J1827">
        <v>89</v>
      </c>
      <c r="K1827" s="133">
        <v>34010</v>
      </c>
      <c r="L1827" s="133">
        <v>34010</v>
      </c>
      <c r="M1827" s="150">
        <v>0.62322916666666661</v>
      </c>
      <c r="N1827" s="150">
        <v>0.62324074074074076</v>
      </c>
      <c r="O1827" t="s">
        <v>172</v>
      </c>
      <c r="Q1827">
        <v>2538734</v>
      </c>
      <c r="R1827">
        <v>2538734</v>
      </c>
      <c r="S1827">
        <v>2538718</v>
      </c>
      <c r="T1827">
        <v>0</v>
      </c>
      <c r="U1827" t="s">
        <v>173</v>
      </c>
      <c r="V1827">
        <v>0</v>
      </c>
      <c r="W1827" t="s">
        <v>174</v>
      </c>
      <c r="X1827">
        <v>2538718</v>
      </c>
      <c r="Z1827" t="s">
        <v>173</v>
      </c>
      <c r="AA1827" t="s">
        <v>173</v>
      </c>
    </row>
    <row r="1828" spans="1:27" x14ac:dyDescent="0.3">
      <c r="A1828">
        <v>1827</v>
      </c>
      <c r="B1828" t="s">
        <v>169</v>
      </c>
      <c r="C1828">
        <v>99019875</v>
      </c>
      <c r="D1828" s="7" t="s">
        <v>102</v>
      </c>
      <c r="E1828" t="s">
        <v>103</v>
      </c>
      <c r="F1828" t="s">
        <v>170</v>
      </c>
      <c r="G1828" t="s">
        <v>177</v>
      </c>
      <c r="H1828">
        <v>53</v>
      </c>
      <c r="I1828">
        <v>0</v>
      </c>
      <c r="J1828">
        <v>49</v>
      </c>
      <c r="K1828" s="133">
        <v>26810</v>
      </c>
      <c r="L1828" s="133">
        <v>26810</v>
      </c>
      <c r="M1828" s="150">
        <v>0.62322916666666661</v>
      </c>
      <c r="N1828" s="150">
        <v>0.62329861111111107</v>
      </c>
      <c r="O1828" t="s">
        <v>172</v>
      </c>
      <c r="Q1828">
        <v>2538739</v>
      </c>
      <c r="R1828">
        <v>2538739</v>
      </c>
      <c r="S1828">
        <v>2538633</v>
      </c>
      <c r="T1828">
        <v>4</v>
      </c>
      <c r="U1828" t="s">
        <v>173</v>
      </c>
      <c r="V1828">
        <v>0</v>
      </c>
      <c r="W1828" t="s">
        <v>174</v>
      </c>
      <c r="X1828">
        <v>2538633</v>
      </c>
      <c r="Z1828" t="s">
        <v>173</v>
      </c>
      <c r="AA1828" t="s">
        <v>173</v>
      </c>
    </row>
    <row r="1829" spans="1:27" x14ac:dyDescent="0.3">
      <c r="A1829">
        <v>1828</v>
      </c>
      <c r="B1829" t="s">
        <v>169</v>
      </c>
      <c r="C1829">
        <v>99019875</v>
      </c>
      <c r="D1829" s="7" t="s">
        <v>102</v>
      </c>
      <c r="E1829" t="s">
        <v>103</v>
      </c>
      <c r="F1829" t="s">
        <v>170</v>
      </c>
      <c r="G1829" t="s">
        <v>177</v>
      </c>
      <c r="H1829">
        <v>4</v>
      </c>
      <c r="I1829">
        <v>0</v>
      </c>
      <c r="J1829">
        <v>4</v>
      </c>
      <c r="K1829" s="133">
        <v>26815</v>
      </c>
      <c r="L1829" s="133">
        <v>26815</v>
      </c>
      <c r="M1829" s="150">
        <v>0.62332175925925926</v>
      </c>
      <c r="N1829" s="150">
        <v>0.62334490740740744</v>
      </c>
      <c r="O1829" t="s">
        <v>172</v>
      </c>
      <c r="Q1829">
        <v>2538985</v>
      </c>
      <c r="R1829">
        <v>2538985</v>
      </c>
      <c r="S1829">
        <v>2538739</v>
      </c>
      <c r="T1829">
        <v>0</v>
      </c>
      <c r="U1829" t="s">
        <v>173</v>
      </c>
      <c r="V1829">
        <v>0</v>
      </c>
      <c r="W1829" t="s">
        <v>174</v>
      </c>
      <c r="X1829">
        <v>2538739</v>
      </c>
      <c r="Z1829" t="s">
        <v>173</v>
      </c>
      <c r="AA1829" t="s">
        <v>173</v>
      </c>
    </row>
    <row r="1830" spans="1:27" x14ac:dyDescent="0.3">
      <c r="A1830">
        <v>1829</v>
      </c>
      <c r="B1830" t="s">
        <v>169</v>
      </c>
      <c r="C1830">
        <v>99019875</v>
      </c>
      <c r="D1830" s="7" t="s">
        <v>114</v>
      </c>
      <c r="E1830" t="s">
        <v>115</v>
      </c>
      <c r="F1830" t="s">
        <v>176</v>
      </c>
      <c r="G1830" t="s">
        <v>177</v>
      </c>
      <c r="H1830">
        <v>66</v>
      </c>
      <c r="I1830">
        <v>0</v>
      </c>
      <c r="J1830">
        <v>66</v>
      </c>
      <c r="K1830" s="133">
        <v>53775</v>
      </c>
      <c r="L1830" s="133">
        <v>53775</v>
      </c>
      <c r="M1830" s="150">
        <v>0.62333333333333341</v>
      </c>
      <c r="N1830" s="150">
        <v>0.6234143518518519</v>
      </c>
      <c r="O1830" t="s">
        <v>172</v>
      </c>
      <c r="Q1830">
        <v>2538995</v>
      </c>
      <c r="R1830">
        <v>2538995</v>
      </c>
      <c r="S1830">
        <v>2538759</v>
      </c>
      <c r="T1830">
        <v>0</v>
      </c>
      <c r="U1830" t="s">
        <v>173</v>
      </c>
      <c r="V1830">
        <v>0</v>
      </c>
      <c r="W1830" t="s">
        <v>174</v>
      </c>
      <c r="X1830">
        <v>2538759</v>
      </c>
      <c r="Z1830" t="s">
        <v>173</v>
      </c>
      <c r="AA1830" t="s">
        <v>173</v>
      </c>
    </row>
    <row r="1831" spans="1:27" x14ac:dyDescent="0.3">
      <c r="A1831">
        <v>1830</v>
      </c>
      <c r="B1831" t="s">
        <v>169</v>
      </c>
      <c r="C1831">
        <v>99019875</v>
      </c>
      <c r="D1831" s="7" t="s">
        <v>128</v>
      </c>
      <c r="E1831" t="s">
        <v>129</v>
      </c>
      <c r="F1831" t="s">
        <v>170</v>
      </c>
      <c r="G1831" t="s">
        <v>171</v>
      </c>
      <c r="H1831">
        <v>1</v>
      </c>
      <c r="I1831">
        <v>0</v>
      </c>
      <c r="J1831">
        <v>1</v>
      </c>
      <c r="K1831" s="133">
        <v>6495</v>
      </c>
      <c r="L1831" s="133">
        <v>6495</v>
      </c>
      <c r="M1831" s="150">
        <v>0.62335648148148148</v>
      </c>
      <c r="N1831" s="150">
        <v>0.62376157407407407</v>
      </c>
      <c r="O1831" t="s">
        <v>172</v>
      </c>
      <c r="Q1831">
        <v>2539050</v>
      </c>
      <c r="R1831">
        <v>2539050</v>
      </c>
      <c r="S1831">
        <v>0</v>
      </c>
      <c r="T1831">
        <v>0</v>
      </c>
      <c r="U1831" t="s">
        <v>173</v>
      </c>
      <c r="V1831">
        <v>0</v>
      </c>
      <c r="W1831" t="s">
        <v>174</v>
      </c>
      <c r="X1831">
        <v>0</v>
      </c>
      <c r="Z1831" t="s">
        <v>173</v>
      </c>
      <c r="AA1831" t="s">
        <v>173</v>
      </c>
    </row>
    <row r="1832" spans="1:27" x14ac:dyDescent="0.3">
      <c r="A1832">
        <v>1831</v>
      </c>
      <c r="B1832" t="s">
        <v>169</v>
      </c>
      <c r="C1832">
        <v>99019875</v>
      </c>
      <c r="D1832" s="7" t="s">
        <v>106</v>
      </c>
      <c r="E1832" t="s">
        <v>107</v>
      </c>
      <c r="F1832" t="s">
        <v>170</v>
      </c>
      <c r="G1832" t="s">
        <v>171</v>
      </c>
      <c r="H1832">
        <v>1</v>
      </c>
      <c r="I1832">
        <v>0</v>
      </c>
      <c r="J1832">
        <v>1</v>
      </c>
      <c r="K1832" s="133">
        <v>3510</v>
      </c>
      <c r="L1832" s="133">
        <v>3510</v>
      </c>
      <c r="M1832" s="150">
        <v>0.62346064814814817</v>
      </c>
      <c r="N1832" s="150">
        <v>0.62396990740740743</v>
      </c>
      <c r="O1832" t="s">
        <v>172</v>
      </c>
      <c r="Q1832">
        <v>2539378</v>
      </c>
      <c r="R1832">
        <v>2539378</v>
      </c>
      <c r="S1832">
        <v>0</v>
      </c>
      <c r="T1832">
        <v>0</v>
      </c>
      <c r="U1832" t="s">
        <v>173</v>
      </c>
      <c r="V1832">
        <v>0</v>
      </c>
      <c r="W1832" t="s">
        <v>174</v>
      </c>
      <c r="X1832">
        <v>0</v>
      </c>
      <c r="Z1832" t="s">
        <v>173</v>
      </c>
      <c r="AA1832" t="s">
        <v>173</v>
      </c>
    </row>
    <row r="1833" spans="1:27" x14ac:dyDescent="0.3">
      <c r="A1833">
        <v>1832</v>
      </c>
      <c r="B1833" t="s">
        <v>169</v>
      </c>
      <c r="C1833">
        <v>99019875</v>
      </c>
      <c r="D1833" s="7" t="s">
        <v>71</v>
      </c>
      <c r="E1833" t="s">
        <v>72</v>
      </c>
      <c r="F1833" t="s">
        <v>176</v>
      </c>
      <c r="G1833" t="s">
        <v>177</v>
      </c>
      <c r="H1833">
        <v>19</v>
      </c>
      <c r="I1833">
        <v>0</v>
      </c>
      <c r="J1833">
        <v>19</v>
      </c>
      <c r="K1833" s="133">
        <v>17985</v>
      </c>
      <c r="L1833" s="133">
        <v>17985</v>
      </c>
      <c r="M1833" s="150">
        <v>0.62348379629629636</v>
      </c>
      <c r="N1833" s="150">
        <v>0.62364583333333334</v>
      </c>
      <c r="O1833" t="s">
        <v>172</v>
      </c>
      <c r="Q1833">
        <v>2539436</v>
      </c>
      <c r="R1833">
        <v>2539436</v>
      </c>
      <c r="S1833">
        <v>2539330</v>
      </c>
      <c r="T1833">
        <v>0</v>
      </c>
      <c r="U1833" t="s">
        <v>173</v>
      </c>
      <c r="V1833">
        <v>0</v>
      </c>
      <c r="W1833" t="s">
        <v>174</v>
      </c>
      <c r="X1833">
        <v>2539330</v>
      </c>
      <c r="Z1833" t="s">
        <v>173</v>
      </c>
      <c r="AA1833" t="s">
        <v>173</v>
      </c>
    </row>
    <row r="1834" spans="1:27" x14ac:dyDescent="0.3">
      <c r="A1834">
        <v>1833</v>
      </c>
      <c r="B1834" t="s">
        <v>169</v>
      </c>
      <c r="C1834">
        <v>99019875</v>
      </c>
      <c r="D1834" s="7" t="s">
        <v>75</v>
      </c>
      <c r="E1834" t="s">
        <v>76</v>
      </c>
      <c r="F1834" t="s">
        <v>170</v>
      </c>
      <c r="G1834" t="s">
        <v>171</v>
      </c>
      <c r="H1834">
        <v>83</v>
      </c>
      <c r="I1834">
        <v>0</v>
      </c>
      <c r="J1834">
        <v>83</v>
      </c>
      <c r="K1834" s="133">
        <v>20750</v>
      </c>
      <c r="L1834" s="133">
        <v>20750</v>
      </c>
      <c r="M1834" s="150">
        <v>0.62349537037037039</v>
      </c>
      <c r="N1834" s="150">
        <v>0.62361111111111112</v>
      </c>
      <c r="O1834" t="s">
        <v>172</v>
      </c>
      <c r="Q1834">
        <v>2539492</v>
      </c>
      <c r="R1834">
        <v>2539492</v>
      </c>
      <c r="S1834">
        <v>0</v>
      </c>
      <c r="T1834">
        <v>0</v>
      </c>
      <c r="U1834" t="s">
        <v>173</v>
      </c>
      <c r="V1834">
        <v>0</v>
      </c>
      <c r="W1834" t="s">
        <v>174</v>
      </c>
      <c r="X1834">
        <v>0</v>
      </c>
      <c r="Z1834" t="s">
        <v>173</v>
      </c>
      <c r="AA1834" t="s">
        <v>173</v>
      </c>
    </row>
    <row r="1835" spans="1:27" x14ac:dyDescent="0.3">
      <c r="A1835">
        <v>1834</v>
      </c>
      <c r="B1835" t="s">
        <v>169</v>
      </c>
      <c r="C1835">
        <v>99019875</v>
      </c>
      <c r="D1835" s="7" t="s">
        <v>102</v>
      </c>
      <c r="E1835" t="s">
        <v>103</v>
      </c>
      <c r="F1835" t="s">
        <v>170</v>
      </c>
      <c r="G1835" t="s">
        <v>171</v>
      </c>
      <c r="H1835">
        <v>54</v>
      </c>
      <c r="I1835">
        <v>0</v>
      </c>
      <c r="J1835">
        <v>54</v>
      </c>
      <c r="K1835" s="133">
        <v>26805</v>
      </c>
      <c r="L1835" s="133">
        <v>26805</v>
      </c>
      <c r="M1835" s="150">
        <v>0.62349537037037039</v>
      </c>
      <c r="N1835" s="150">
        <v>0.62364583333333334</v>
      </c>
      <c r="O1835" t="s">
        <v>172</v>
      </c>
      <c r="Q1835">
        <v>2539493</v>
      </c>
      <c r="R1835">
        <v>2539493</v>
      </c>
      <c r="S1835">
        <v>0</v>
      </c>
      <c r="T1835">
        <v>0</v>
      </c>
      <c r="U1835" t="s">
        <v>173</v>
      </c>
      <c r="V1835">
        <v>0</v>
      </c>
      <c r="W1835" t="s">
        <v>174</v>
      </c>
      <c r="X1835">
        <v>0</v>
      </c>
      <c r="Z1835" t="s">
        <v>173</v>
      </c>
      <c r="AA1835" t="s">
        <v>173</v>
      </c>
    </row>
    <row r="1836" spans="1:27" x14ac:dyDescent="0.3">
      <c r="A1836">
        <v>1835</v>
      </c>
      <c r="B1836" t="s">
        <v>169</v>
      </c>
      <c r="C1836">
        <v>99019875</v>
      </c>
      <c r="D1836" s="7" t="s">
        <v>67</v>
      </c>
      <c r="E1836" t="s">
        <v>68</v>
      </c>
      <c r="F1836" t="s">
        <v>170</v>
      </c>
      <c r="G1836" t="s">
        <v>171</v>
      </c>
      <c r="H1836">
        <v>36</v>
      </c>
      <c r="I1836">
        <v>0</v>
      </c>
      <c r="J1836">
        <v>36</v>
      </c>
      <c r="K1836" s="133">
        <v>4790</v>
      </c>
      <c r="L1836" s="133">
        <v>4790</v>
      </c>
      <c r="M1836" s="150">
        <v>0.62349537037037039</v>
      </c>
      <c r="N1836" s="150">
        <v>0.62373842592592588</v>
      </c>
      <c r="O1836" t="s">
        <v>172</v>
      </c>
      <c r="Q1836">
        <v>2539494</v>
      </c>
      <c r="R1836">
        <v>2539494</v>
      </c>
      <c r="S1836">
        <v>0</v>
      </c>
      <c r="T1836">
        <v>0</v>
      </c>
      <c r="U1836" t="s">
        <v>173</v>
      </c>
      <c r="V1836">
        <v>0</v>
      </c>
      <c r="W1836" t="s">
        <v>174</v>
      </c>
      <c r="X1836">
        <v>0</v>
      </c>
      <c r="Z1836" t="s">
        <v>173</v>
      </c>
      <c r="AA1836" t="s">
        <v>173</v>
      </c>
    </row>
    <row r="1837" spans="1:27" x14ac:dyDescent="0.3">
      <c r="A1837">
        <v>1836</v>
      </c>
      <c r="B1837" t="s">
        <v>169</v>
      </c>
      <c r="C1837">
        <v>99019875</v>
      </c>
      <c r="D1837" s="7" t="s">
        <v>110</v>
      </c>
      <c r="E1837" t="s">
        <v>179</v>
      </c>
      <c r="F1837" t="s">
        <v>170</v>
      </c>
      <c r="G1837" t="s">
        <v>171</v>
      </c>
      <c r="H1837">
        <v>4</v>
      </c>
      <c r="I1837">
        <v>0</v>
      </c>
      <c r="J1837">
        <v>4</v>
      </c>
      <c r="K1837" s="133">
        <v>48380</v>
      </c>
      <c r="L1837" s="133">
        <v>48380</v>
      </c>
      <c r="M1837" s="150">
        <v>0.62349537037037039</v>
      </c>
      <c r="N1837" s="150">
        <v>0.62353009259259262</v>
      </c>
      <c r="O1837" t="s">
        <v>172</v>
      </c>
      <c r="Q1837">
        <v>2539495</v>
      </c>
      <c r="R1837">
        <v>2539495</v>
      </c>
      <c r="S1837">
        <v>0</v>
      </c>
      <c r="T1837">
        <v>0</v>
      </c>
      <c r="U1837" t="s">
        <v>173</v>
      </c>
      <c r="V1837">
        <v>0</v>
      </c>
      <c r="W1837" t="s">
        <v>174</v>
      </c>
      <c r="X1837">
        <v>0</v>
      </c>
      <c r="Z1837" t="s">
        <v>173</v>
      </c>
      <c r="AA1837" t="s">
        <v>173</v>
      </c>
    </row>
    <row r="1838" spans="1:27" x14ac:dyDescent="0.3">
      <c r="A1838">
        <v>1837</v>
      </c>
      <c r="B1838" t="s">
        <v>169</v>
      </c>
      <c r="C1838">
        <v>99019875</v>
      </c>
      <c r="D1838" s="7" t="s">
        <v>100</v>
      </c>
      <c r="E1838" t="s">
        <v>101</v>
      </c>
      <c r="F1838" t="s">
        <v>170</v>
      </c>
      <c r="G1838" t="s">
        <v>171</v>
      </c>
      <c r="H1838">
        <v>4</v>
      </c>
      <c r="I1838">
        <v>0</v>
      </c>
      <c r="J1838">
        <v>4</v>
      </c>
      <c r="K1838" s="133">
        <v>15500</v>
      </c>
      <c r="L1838" s="133">
        <v>15500</v>
      </c>
      <c r="M1838" s="150">
        <v>0.62349537037037039</v>
      </c>
      <c r="N1838" s="150">
        <v>0.62378472222222225</v>
      </c>
      <c r="O1838" t="s">
        <v>172</v>
      </c>
      <c r="Q1838">
        <v>2539497</v>
      </c>
      <c r="R1838">
        <v>2539497</v>
      </c>
      <c r="S1838">
        <v>0</v>
      </c>
      <c r="T1838">
        <v>0</v>
      </c>
      <c r="U1838" t="s">
        <v>173</v>
      </c>
      <c r="V1838">
        <v>0</v>
      </c>
      <c r="W1838" t="s">
        <v>174</v>
      </c>
      <c r="X1838">
        <v>0</v>
      </c>
      <c r="Z1838" t="s">
        <v>173</v>
      </c>
      <c r="AA1838" t="s">
        <v>173</v>
      </c>
    </row>
    <row r="1839" spans="1:27" x14ac:dyDescent="0.3">
      <c r="A1839">
        <v>1838</v>
      </c>
      <c r="B1839" t="s">
        <v>169</v>
      </c>
      <c r="C1839">
        <v>99019875</v>
      </c>
      <c r="D1839" s="7" t="s">
        <v>87</v>
      </c>
      <c r="E1839" t="s">
        <v>88</v>
      </c>
      <c r="F1839" t="s">
        <v>170</v>
      </c>
      <c r="G1839" t="s">
        <v>171</v>
      </c>
      <c r="H1839">
        <v>6</v>
      </c>
      <c r="I1839">
        <v>0</v>
      </c>
      <c r="J1839">
        <v>6</v>
      </c>
      <c r="K1839" s="133">
        <v>12120</v>
      </c>
      <c r="L1839" s="133">
        <v>12120</v>
      </c>
      <c r="M1839" s="150">
        <v>0.62349537037037039</v>
      </c>
      <c r="N1839" s="150">
        <v>0.62358796296296293</v>
      </c>
      <c r="O1839" t="s">
        <v>172</v>
      </c>
      <c r="Q1839">
        <v>2539498</v>
      </c>
      <c r="R1839">
        <v>2539498</v>
      </c>
      <c r="S1839">
        <v>0</v>
      </c>
      <c r="T1839">
        <v>0</v>
      </c>
      <c r="U1839" t="s">
        <v>173</v>
      </c>
      <c r="V1839">
        <v>0</v>
      </c>
      <c r="W1839" t="s">
        <v>174</v>
      </c>
      <c r="X1839">
        <v>0</v>
      </c>
      <c r="Z1839" t="s">
        <v>173</v>
      </c>
      <c r="AA1839" t="s">
        <v>173</v>
      </c>
    </row>
    <row r="1840" spans="1:27" x14ac:dyDescent="0.3">
      <c r="A1840">
        <v>1839</v>
      </c>
      <c r="B1840" t="s">
        <v>169</v>
      </c>
      <c r="C1840">
        <v>99019875</v>
      </c>
      <c r="D1840" s="7" t="s">
        <v>108</v>
      </c>
      <c r="E1840" t="s">
        <v>109</v>
      </c>
      <c r="F1840" t="s">
        <v>170</v>
      </c>
      <c r="G1840" t="s">
        <v>171</v>
      </c>
      <c r="H1840">
        <v>24</v>
      </c>
      <c r="I1840">
        <v>0</v>
      </c>
      <c r="J1840">
        <v>24</v>
      </c>
      <c r="K1840" s="133">
        <v>2715</v>
      </c>
      <c r="L1840" s="133">
        <v>2715</v>
      </c>
      <c r="M1840" s="150">
        <v>0.62349537037037039</v>
      </c>
      <c r="N1840" s="150">
        <v>0.62402777777777774</v>
      </c>
      <c r="O1840" t="s">
        <v>172</v>
      </c>
      <c r="Q1840">
        <v>2539499</v>
      </c>
      <c r="R1840">
        <v>2539499</v>
      </c>
      <c r="S1840">
        <v>0</v>
      </c>
      <c r="T1840">
        <v>0</v>
      </c>
      <c r="U1840" t="s">
        <v>173</v>
      </c>
      <c r="V1840">
        <v>0</v>
      </c>
      <c r="W1840" t="s">
        <v>174</v>
      </c>
      <c r="X1840">
        <v>0</v>
      </c>
      <c r="Z1840" t="s">
        <v>173</v>
      </c>
      <c r="AA1840" t="s">
        <v>173</v>
      </c>
    </row>
    <row r="1841" spans="1:27" x14ac:dyDescent="0.3">
      <c r="A1841">
        <v>1840</v>
      </c>
      <c r="B1841" t="s">
        <v>169</v>
      </c>
      <c r="C1841">
        <v>99019875</v>
      </c>
      <c r="D1841" s="7" t="s">
        <v>122</v>
      </c>
      <c r="E1841" t="s">
        <v>123</v>
      </c>
      <c r="F1841" t="s">
        <v>170</v>
      </c>
      <c r="G1841" t="s">
        <v>171</v>
      </c>
      <c r="H1841">
        <v>20</v>
      </c>
      <c r="I1841">
        <v>0</v>
      </c>
      <c r="J1841">
        <v>20</v>
      </c>
      <c r="K1841" s="133">
        <v>36015</v>
      </c>
      <c r="L1841" s="133">
        <v>36015</v>
      </c>
      <c r="M1841" s="150">
        <v>0.62349537037037039</v>
      </c>
      <c r="N1841" s="150">
        <v>0.62354166666666666</v>
      </c>
      <c r="O1841" t="s">
        <v>172</v>
      </c>
      <c r="Q1841">
        <v>2539505</v>
      </c>
      <c r="R1841">
        <v>2539505</v>
      </c>
      <c r="S1841">
        <v>0</v>
      </c>
      <c r="T1841">
        <v>0</v>
      </c>
      <c r="U1841" t="s">
        <v>173</v>
      </c>
      <c r="V1841">
        <v>0</v>
      </c>
      <c r="W1841" t="s">
        <v>174</v>
      </c>
      <c r="X1841">
        <v>0</v>
      </c>
      <c r="Z1841" t="s">
        <v>173</v>
      </c>
      <c r="AA1841" t="s">
        <v>173</v>
      </c>
    </row>
    <row r="1842" spans="1:27" x14ac:dyDescent="0.3">
      <c r="A1842">
        <v>1841</v>
      </c>
      <c r="B1842" t="s">
        <v>169</v>
      </c>
      <c r="C1842">
        <v>99019875</v>
      </c>
      <c r="D1842" s="7" t="s">
        <v>98</v>
      </c>
      <c r="E1842" t="s">
        <v>99</v>
      </c>
      <c r="F1842" t="s">
        <v>170</v>
      </c>
      <c r="G1842" t="s">
        <v>171</v>
      </c>
      <c r="H1842">
        <v>38</v>
      </c>
      <c r="I1842">
        <v>0</v>
      </c>
      <c r="J1842">
        <v>38</v>
      </c>
      <c r="K1842" s="133">
        <v>14260</v>
      </c>
      <c r="L1842" s="133">
        <v>14260</v>
      </c>
      <c r="M1842" s="150">
        <v>0.62349537037037039</v>
      </c>
      <c r="N1842" s="150">
        <v>0.62350694444444443</v>
      </c>
      <c r="O1842" t="s">
        <v>172</v>
      </c>
      <c r="Q1842">
        <v>2539506</v>
      </c>
      <c r="R1842">
        <v>2539506</v>
      </c>
      <c r="S1842">
        <v>0</v>
      </c>
      <c r="T1842">
        <v>0</v>
      </c>
      <c r="U1842" t="s">
        <v>173</v>
      </c>
      <c r="V1842">
        <v>0</v>
      </c>
      <c r="W1842" t="s">
        <v>174</v>
      </c>
      <c r="X1842">
        <v>0</v>
      </c>
      <c r="Z1842" t="s">
        <v>173</v>
      </c>
      <c r="AA1842" t="s">
        <v>173</v>
      </c>
    </row>
    <row r="1843" spans="1:27" x14ac:dyDescent="0.3">
      <c r="A1843">
        <v>1842</v>
      </c>
      <c r="B1843" t="s">
        <v>169</v>
      </c>
      <c r="C1843">
        <v>99019875</v>
      </c>
      <c r="D1843" s="7" t="s">
        <v>77</v>
      </c>
      <c r="E1843" t="s">
        <v>78</v>
      </c>
      <c r="F1843" t="s">
        <v>170</v>
      </c>
      <c r="G1843" t="s">
        <v>171</v>
      </c>
      <c r="H1843">
        <v>73</v>
      </c>
      <c r="I1843">
        <v>0</v>
      </c>
      <c r="J1843">
        <v>73</v>
      </c>
      <c r="K1843" s="133">
        <v>7345</v>
      </c>
      <c r="L1843" s="133">
        <v>7345</v>
      </c>
      <c r="M1843" s="150">
        <v>0.62349537037037039</v>
      </c>
      <c r="N1843" s="150">
        <v>0.62355324074074081</v>
      </c>
      <c r="O1843" t="s">
        <v>172</v>
      </c>
      <c r="Q1843">
        <v>2539507</v>
      </c>
      <c r="R1843">
        <v>2539507</v>
      </c>
      <c r="S1843">
        <v>0</v>
      </c>
      <c r="T1843">
        <v>0</v>
      </c>
      <c r="U1843" t="s">
        <v>173</v>
      </c>
      <c r="V1843">
        <v>0</v>
      </c>
      <c r="W1843" t="s">
        <v>174</v>
      </c>
      <c r="X1843">
        <v>0</v>
      </c>
      <c r="Z1843" t="s">
        <v>173</v>
      </c>
      <c r="AA1843" t="s">
        <v>173</v>
      </c>
    </row>
    <row r="1844" spans="1:27" x14ac:dyDescent="0.3">
      <c r="A1844">
        <v>1843</v>
      </c>
      <c r="B1844" t="s">
        <v>169</v>
      </c>
      <c r="C1844">
        <v>99019875</v>
      </c>
      <c r="D1844" s="7" t="s">
        <v>71</v>
      </c>
      <c r="E1844" t="s">
        <v>72</v>
      </c>
      <c r="F1844" t="s">
        <v>176</v>
      </c>
      <c r="G1844" t="s">
        <v>171</v>
      </c>
      <c r="H1844">
        <v>18</v>
      </c>
      <c r="I1844">
        <v>0</v>
      </c>
      <c r="J1844">
        <v>18</v>
      </c>
      <c r="K1844" s="133">
        <v>17985</v>
      </c>
      <c r="L1844" s="133">
        <v>17985</v>
      </c>
      <c r="M1844" s="150">
        <v>0.62349537037037039</v>
      </c>
      <c r="N1844" s="150">
        <v>0.62364583333333334</v>
      </c>
      <c r="O1844" t="s">
        <v>172</v>
      </c>
      <c r="Q1844">
        <v>2539508</v>
      </c>
      <c r="R1844">
        <v>2539508</v>
      </c>
      <c r="S1844">
        <v>0</v>
      </c>
      <c r="T1844">
        <v>0</v>
      </c>
      <c r="U1844" t="s">
        <v>173</v>
      </c>
      <c r="V1844">
        <v>0</v>
      </c>
      <c r="W1844" t="s">
        <v>174</v>
      </c>
      <c r="X1844">
        <v>0</v>
      </c>
      <c r="Z1844" t="s">
        <v>173</v>
      </c>
      <c r="AA1844" t="s">
        <v>173</v>
      </c>
    </row>
    <row r="1845" spans="1:27" x14ac:dyDescent="0.3">
      <c r="A1845">
        <v>1844</v>
      </c>
      <c r="B1845" t="s">
        <v>169</v>
      </c>
      <c r="C1845">
        <v>99019875</v>
      </c>
      <c r="D1845" s="7" t="s">
        <v>96</v>
      </c>
      <c r="E1845" t="s">
        <v>97</v>
      </c>
      <c r="F1845" t="s">
        <v>170</v>
      </c>
      <c r="G1845" t="s">
        <v>171</v>
      </c>
      <c r="H1845">
        <v>27</v>
      </c>
      <c r="I1845">
        <v>0</v>
      </c>
      <c r="J1845">
        <v>27</v>
      </c>
      <c r="K1845" s="133">
        <v>8295</v>
      </c>
      <c r="L1845" s="133">
        <v>8295</v>
      </c>
      <c r="M1845" s="150">
        <v>0.62349537037037039</v>
      </c>
      <c r="N1845" s="150">
        <v>0.62396990740740743</v>
      </c>
      <c r="O1845" t="s">
        <v>172</v>
      </c>
      <c r="Q1845">
        <v>2539511</v>
      </c>
      <c r="R1845">
        <v>2539511</v>
      </c>
      <c r="S1845">
        <v>0</v>
      </c>
      <c r="T1845">
        <v>0</v>
      </c>
      <c r="U1845" t="s">
        <v>173</v>
      </c>
      <c r="V1845">
        <v>0</v>
      </c>
      <c r="W1845" t="s">
        <v>174</v>
      </c>
      <c r="X1845">
        <v>0</v>
      </c>
      <c r="Z1845" t="s">
        <v>173</v>
      </c>
      <c r="AA1845" t="s">
        <v>173</v>
      </c>
    </row>
    <row r="1846" spans="1:27" x14ac:dyDescent="0.3">
      <c r="A1846">
        <v>1845</v>
      </c>
      <c r="B1846" t="s">
        <v>169</v>
      </c>
      <c r="C1846">
        <v>99019875</v>
      </c>
      <c r="D1846" s="7" t="s">
        <v>140</v>
      </c>
      <c r="E1846" t="s">
        <v>178</v>
      </c>
      <c r="F1846" t="s">
        <v>170</v>
      </c>
      <c r="G1846" t="s">
        <v>171</v>
      </c>
      <c r="H1846">
        <v>20</v>
      </c>
      <c r="I1846">
        <v>0</v>
      </c>
      <c r="J1846">
        <v>20</v>
      </c>
      <c r="K1846" s="133">
        <v>8615</v>
      </c>
      <c r="L1846" s="133">
        <v>8615</v>
      </c>
      <c r="M1846" s="150">
        <v>0.62349537037037039</v>
      </c>
      <c r="N1846" s="150">
        <v>0.62379629629629629</v>
      </c>
      <c r="O1846" t="s">
        <v>172</v>
      </c>
      <c r="Q1846">
        <v>2539512</v>
      </c>
      <c r="R1846">
        <v>2539512</v>
      </c>
      <c r="S1846">
        <v>0</v>
      </c>
      <c r="T1846">
        <v>0</v>
      </c>
      <c r="U1846" t="s">
        <v>173</v>
      </c>
      <c r="V1846">
        <v>0</v>
      </c>
      <c r="W1846" t="s">
        <v>174</v>
      </c>
      <c r="X1846">
        <v>0</v>
      </c>
      <c r="Z1846" t="s">
        <v>173</v>
      </c>
      <c r="AA1846" t="s">
        <v>173</v>
      </c>
    </row>
    <row r="1847" spans="1:27" x14ac:dyDescent="0.3">
      <c r="A1847">
        <v>1846</v>
      </c>
      <c r="B1847" t="s">
        <v>169</v>
      </c>
      <c r="C1847">
        <v>99019875</v>
      </c>
      <c r="D1847" s="7" t="s">
        <v>69</v>
      </c>
      <c r="E1847" t="s">
        <v>70</v>
      </c>
      <c r="F1847" t="s">
        <v>170</v>
      </c>
      <c r="G1847" t="s">
        <v>177</v>
      </c>
      <c r="H1847">
        <v>17</v>
      </c>
      <c r="I1847">
        <v>0</v>
      </c>
      <c r="J1847">
        <v>17</v>
      </c>
      <c r="K1847" s="133">
        <v>10220</v>
      </c>
      <c r="L1847" s="133">
        <v>10220</v>
      </c>
      <c r="M1847" s="150">
        <v>0.62349537037037039</v>
      </c>
      <c r="N1847" s="150">
        <v>0.62351851851851847</v>
      </c>
      <c r="O1847" t="s">
        <v>172</v>
      </c>
      <c r="Q1847">
        <v>2539530</v>
      </c>
      <c r="R1847">
        <v>2539530</v>
      </c>
      <c r="S1847">
        <v>2539513</v>
      </c>
      <c r="T1847">
        <v>0</v>
      </c>
      <c r="U1847" t="s">
        <v>173</v>
      </c>
      <c r="V1847">
        <v>0</v>
      </c>
      <c r="W1847" t="s">
        <v>174</v>
      </c>
      <c r="X1847">
        <v>2539513</v>
      </c>
      <c r="Z1847" t="s">
        <v>173</v>
      </c>
      <c r="AA1847" t="s">
        <v>173</v>
      </c>
    </row>
    <row r="1848" spans="1:27" x14ac:dyDescent="0.3">
      <c r="A1848">
        <v>1847</v>
      </c>
      <c r="B1848" t="s">
        <v>169</v>
      </c>
      <c r="C1848">
        <v>99019875</v>
      </c>
      <c r="D1848" s="7" t="s">
        <v>62</v>
      </c>
      <c r="E1848" t="s">
        <v>63</v>
      </c>
      <c r="F1848" t="s">
        <v>176</v>
      </c>
      <c r="G1848" t="s">
        <v>177</v>
      </c>
      <c r="H1848">
        <v>89</v>
      </c>
      <c r="I1848">
        <v>0</v>
      </c>
      <c r="J1848">
        <v>89</v>
      </c>
      <c r="K1848" s="133">
        <v>33975</v>
      </c>
      <c r="L1848" s="133">
        <v>33975</v>
      </c>
      <c r="M1848" s="150">
        <v>0.62354166666666666</v>
      </c>
      <c r="N1848" s="150">
        <v>0.62361111111111112</v>
      </c>
      <c r="O1848" t="s">
        <v>172</v>
      </c>
      <c r="Q1848">
        <v>2539670</v>
      </c>
      <c r="R1848">
        <v>2539670</v>
      </c>
      <c r="S1848">
        <v>2539596</v>
      </c>
      <c r="T1848">
        <v>0</v>
      </c>
      <c r="U1848" t="s">
        <v>173</v>
      </c>
      <c r="V1848">
        <v>0</v>
      </c>
      <c r="W1848" t="s">
        <v>174</v>
      </c>
      <c r="X1848">
        <v>2539596</v>
      </c>
      <c r="Z1848" t="s">
        <v>173</v>
      </c>
      <c r="AA1848" t="s">
        <v>173</v>
      </c>
    </row>
    <row r="1849" spans="1:27" x14ac:dyDescent="0.3">
      <c r="A1849">
        <v>1848</v>
      </c>
      <c r="B1849" t="s">
        <v>169</v>
      </c>
      <c r="C1849">
        <v>99019875</v>
      </c>
      <c r="D1849" s="7" t="s">
        <v>128</v>
      </c>
      <c r="E1849" t="s">
        <v>129</v>
      </c>
      <c r="F1849" t="s">
        <v>170</v>
      </c>
      <c r="G1849" t="s">
        <v>171</v>
      </c>
      <c r="H1849">
        <v>1</v>
      </c>
      <c r="I1849">
        <v>0</v>
      </c>
      <c r="J1849">
        <v>1</v>
      </c>
      <c r="K1849" s="133">
        <v>6495</v>
      </c>
      <c r="L1849" s="133">
        <v>6495</v>
      </c>
      <c r="M1849" s="150">
        <v>0.62375000000000003</v>
      </c>
      <c r="N1849" s="150">
        <v>0.62396990740740743</v>
      </c>
      <c r="O1849" t="s">
        <v>172</v>
      </c>
      <c r="Q1849">
        <v>2540446</v>
      </c>
      <c r="R1849">
        <v>2540446</v>
      </c>
      <c r="S1849">
        <v>0</v>
      </c>
      <c r="T1849">
        <v>0</v>
      </c>
      <c r="U1849" t="s">
        <v>173</v>
      </c>
      <c r="V1849">
        <v>0</v>
      </c>
      <c r="W1849" t="s">
        <v>174</v>
      </c>
      <c r="X1849">
        <v>0</v>
      </c>
      <c r="Z1849" t="s">
        <v>173</v>
      </c>
      <c r="AA1849" t="s">
        <v>173</v>
      </c>
    </row>
    <row r="1850" spans="1:27" x14ac:dyDescent="0.3">
      <c r="A1850">
        <v>1849</v>
      </c>
      <c r="B1850" t="s">
        <v>169</v>
      </c>
      <c r="C1850">
        <v>99019875</v>
      </c>
      <c r="D1850" s="7" t="s">
        <v>114</v>
      </c>
      <c r="E1850" t="s">
        <v>115</v>
      </c>
      <c r="F1850" t="s">
        <v>176</v>
      </c>
      <c r="G1850" t="s">
        <v>177</v>
      </c>
      <c r="H1850">
        <v>65</v>
      </c>
      <c r="I1850">
        <v>0</v>
      </c>
      <c r="J1850">
        <v>65</v>
      </c>
      <c r="K1850" s="133">
        <v>53660</v>
      </c>
      <c r="L1850" s="133">
        <v>53660</v>
      </c>
      <c r="M1850" s="150">
        <v>0.62378472222222225</v>
      </c>
      <c r="N1850" s="150">
        <v>0.62379629629629629</v>
      </c>
      <c r="O1850" t="s">
        <v>172</v>
      </c>
      <c r="Q1850">
        <v>2540598</v>
      </c>
      <c r="R1850">
        <v>2540598</v>
      </c>
      <c r="S1850">
        <v>2540574</v>
      </c>
      <c r="T1850">
        <v>0</v>
      </c>
      <c r="U1850" t="s">
        <v>173</v>
      </c>
      <c r="V1850">
        <v>0</v>
      </c>
      <c r="W1850" t="s">
        <v>174</v>
      </c>
      <c r="X1850">
        <v>2540574</v>
      </c>
      <c r="Z1850" t="s">
        <v>173</v>
      </c>
      <c r="AA1850" t="s">
        <v>173</v>
      </c>
    </row>
    <row r="1851" spans="1:27" x14ac:dyDescent="0.3">
      <c r="A1851">
        <v>1850</v>
      </c>
      <c r="B1851" t="s">
        <v>169</v>
      </c>
      <c r="C1851">
        <v>99019875</v>
      </c>
      <c r="D1851" s="7" t="s">
        <v>114</v>
      </c>
      <c r="E1851" t="s">
        <v>115</v>
      </c>
      <c r="F1851" t="s">
        <v>176</v>
      </c>
      <c r="G1851" t="s">
        <v>171</v>
      </c>
      <c r="H1851">
        <v>66</v>
      </c>
      <c r="I1851">
        <v>0</v>
      </c>
      <c r="J1851">
        <v>66</v>
      </c>
      <c r="K1851" s="133">
        <v>53660</v>
      </c>
      <c r="L1851" s="133">
        <v>53660</v>
      </c>
      <c r="M1851" s="150">
        <v>0.62378472222222225</v>
      </c>
      <c r="N1851" s="150">
        <v>0.62379629629629629</v>
      </c>
      <c r="O1851" t="s">
        <v>172</v>
      </c>
      <c r="Q1851">
        <v>2540623</v>
      </c>
      <c r="R1851">
        <v>2540623</v>
      </c>
      <c r="S1851">
        <v>0</v>
      </c>
      <c r="T1851">
        <v>0</v>
      </c>
      <c r="U1851" t="s">
        <v>173</v>
      </c>
      <c r="V1851">
        <v>0</v>
      </c>
      <c r="W1851" t="s">
        <v>174</v>
      </c>
      <c r="X1851">
        <v>0</v>
      </c>
      <c r="Z1851" t="s">
        <v>173</v>
      </c>
      <c r="AA1851" t="s">
        <v>173</v>
      </c>
    </row>
    <row r="1852" spans="1:27" x14ac:dyDescent="0.3">
      <c r="A1852">
        <v>1851</v>
      </c>
      <c r="B1852" t="s">
        <v>169</v>
      </c>
      <c r="C1852">
        <v>99019875</v>
      </c>
      <c r="D1852" s="7" t="s">
        <v>62</v>
      </c>
      <c r="E1852" t="s">
        <v>63</v>
      </c>
      <c r="F1852" t="s">
        <v>176</v>
      </c>
      <c r="G1852" t="s">
        <v>171</v>
      </c>
      <c r="H1852">
        <v>89</v>
      </c>
      <c r="I1852">
        <v>0</v>
      </c>
      <c r="J1852">
        <v>89</v>
      </c>
      <c r="K1852" s="133">
        <v>33950</v>
      </c>
      <c r="L1852" s="133">
        <v>33950</v>
      </c>
      <c r="M1852" s="150">
        <v>0.62378472222222225</v>
      </c>
      <c r="N1852" s="150">
        <v>0.62379629629629629</v>
      </c>
      <c r="O1852" t="s">
        <v>172</v>
      </c>
      <c r="Q1852">
        <v>2540624</v>
      </c>
      <c r="R1852">
        <v>2540624</v>
      </c>
      <c r="S1852">
        <v>0</v>
      </c>
      <c r="T1852">
        <v>0</v>
      </c>
      <c r="U1852" t="s">
        <v>173</v>
      </c>
      <c r="V1852">
        <v>0</v>
      </c>
      <c r="W1852" t="s">
        <v>174</v>
      </c>
      <c r="X1852">
        <v>0</v>
      </c>
      <c r="Z1852" t="s">
        <v>173</v>
      </c>
      <c r="AA1852" t="s">
        <v>173</v>
      </c>
    </row>
    <row r="1853" spans="1:27" x14ac:dyDescent="0.3">
      <c r="A1853">
        <v>1852</v>
      </c>
      <c r="B1853" t="s">
        <v>169</v>
      </c>
      <c r="C1853">
        <v>99019875</v>
      </c>
      <c r="D1853" s="7" t="s">
        <v>75</v>
      </c>
      <c r="E1853" t="s">
        <v>76</v>
      </c>
      <c r="F1853" t="s">
        <v>170</v>
      </c>
      <c r="G1853" t="s">
        <v>171</v>
      </c>
      <c r="H1853">
        <v>83</v>
      </c>
      <c r="I1853">
        <v>0</v>
      </c>
      <c r="J1853">
        <v>83</v>
      </c>
      <c r="K1853" s="133">
        <v>20745</v>
      </c>
      <c r="L1853" s="133">
        <v>20745</v>
      </c>
      <c r="M1853" s="150">
        <v>0.62378472222222225</v>
      </c>
      <c r="N1853" s="150">
        <v>0.62379629629629629</v>
      </c>
      <c r="O1853" t="s">
        <v>172</v>
      </c>
      <c r="Q1853">
        <v>2540626</v>
      </c>
      <c r="R1853">
        <v>2540626</v>
      </c>
      <c r="S1853">
        <v>0</v>
      </c>
      <c r="T1853">
        <v>0</v>
      </c>
      <c r="U1853" t="s">
        <v>173</v>
      </c>
      <c r="V1853">
        <v>0</v>
      </c>
      <c r="W1853" t="s">
        <v>174</v>
      </c>
      <c r="X1853">
        <v>0</v>
      </c>
      <c r="Z1853" t="s">
        <v>173</v>
      </c>
      <c r="AA1853" t="s">
        <v>173</v>
      </c>
    </row>
    <row r="1854" spans="1:27" x14ac:dyDescent="0.3">
      <c r="A1854">
        <v>1853</v>
      </c>
      <c r="B1854" t="s">
        <v>169</v>
      </c>
      <c r="C1854">
        <v>99019875</v>
      </c>
      <c r="D1854" s="7" t="s">
        <v>67</v>
      </c>
      <c r="E1854" t="s">
        <v>68</v>
      </c>
      <c r="F1854" t="s">
        <v>170</v>
      </c>
      <c r="G1854" t="s">
        <v>171</v>
      </c>
      <c r="H1854">
        <v>35</v>
      </c>
      <c r="I1854">
        <v>0</v>
      </c>
      <c r="J1854">
        <v>35</v>
      </c>
      <c r="K1854" s="133">
        <v>4785</v>
      </c>
      <c r="L1854" s="133">
        <v>4785</v>
      </c>
      <c r="M1854" s="150">
        <v>0.62379629629629629</v>
      </c>
      <c r="N1854" s="150">
        <v>0.62388888888888883</v>
      </c>
      <c r="O1854" t="s">
        <v>172</v>
      </c>
      <c r="Q1854">
        <v>2540630</v>
      </c>
      <c r="R1854">
        <v>2540630</v>
      </c>
      <c r="S1854">
        <v>0</v>
      </c>
      <c r="T1854">
        <v>0</v>
      </c>
      <c r="U1854" t="s">
        <v>173</v>
      </c>
      <c r="V1854">
        <v>0</v>
      </c>
      <c r="W1854" t="s">
        <v>174</v>
      </c>
      <c r="X1854">
        <v>0</v>
      </c>
      <c r="Z1854" t="s">
        <v>173</v>
      </c>
      <c r="AA1854" t="s">
        <v>173</v>
      </c>
    </row>
    <row r="1855" spans="1:27" x14ac:dyDescent="0.3">
      <c r="A1855">
        <v>1854</v>
      </c>
      <c r="B1855" t="s">
        <v>169</v>
      </c>
      <c r="C1855">
        <v>99019875</v>
      </c>
      <c r="D1855" s="7" t="s">
        <v>110</v>
      </c>
      <c r="E1855" t="s">
        <v>179</v>
      </c>
      <c r="F1855" t="s">
        <v>170</v>
      </c>
      <c r="G1855" t="s">
        <v>171</v>
      </c>
      <c r="H1855">
        <v>3</v>
      </c>
      <c r="I1855">
        <v>0</v>
      </c>
      <c r="J1855">
        <v>3</v>
      </c>
      <c r="K1855" s="133">
        <v>48355</v>
      </c>
      <c r="L1855" s="133">
        <v>48355</v>
      </c>
      <c r="M1855" s="150">
        <v>0.62379629629629629</v>
      </c>
      <c r="N1855" s="150">
        <v>0.62392361111111116</v>
      </c>
      <c r="O1855" t="s">
        <v>172</v>
      </c>
      <c r="Q1855">
        <v>2540631</v>
      </c>
      <c r="R1855">
        <v>2540631</v>
      </c>
      <c r="S1855">
        <v>0</v>
      </c>
      <c r="T1855">
        <v>0</v>
      </c>
      <c r="U1855" t="s">
        <v>173</v>
      </c>
      <c r="V1855">
        <v>0</v>
      </c>
      <c r="W1855" t="s">
        <v>174</v>
      </c>
      <c r="X1855">
        <v>0</v>
      </c>
      <c r="Z1855" t="s">
        <v>173</v>
      </c>
      <c r="AA1855" t="s">
        <v>173</v>
      </c>
    </row>
    <row r="1856" spans="1:27" x14ac:dyDescent="0.3">
      <c r="A1856">
        <v>1855</v>
      </c>
      <c r="B1856" t="s">
        <v>169</v>
      </c>
      <c r="C1856">
        <v>99019875</v>
      </c>
      <c r="D1856" s="7" t="s">
        <v>108</v>
      </c>
      <c r="E1856" t="s">
        <v>109</v>
      </c>
      <c r="F1856" t="s">
        <v>170</v>
      </c>
      <c r="G1856" t="s">
        <v>171</v>
      </c>
      <c r="H1856">
        <v>23</v>
      </c>
      <c r="I1856">
        <v>0</v>
      </c>
      <c r="J1856">
        <v>23</v>
      </c>
      <c r="K1856" s="133">
        <v>2715</v>
      </c>
      <c r="L1856" s="133">
        <v>2715</v>
      </c>
      <c r="M1856" s="150">
        <v>0.62379629629629629</v>
      </c>
      <c r="N1856" s="150">
        <v>0.62402777777777774</v>
      </c>
      <c r="O1856" t="s">
        <v>172</v>
      </c>
      <c r="Q1856">
        <v>2540635</v>
      </c>
      <c r="R1856">
        <v>2540635</v>
      </c>
      <c r="S1856">
        <v>0</v>
      </c>
      <c r="T1856">
        <v>0</v>
      </c>
      <c r="U1856" t="s">
        <v>173</v>
      </c>
      <c r="V1856">
        <v>0</v>
      </c>
      <c r="W1856" t="s">
        <v>174</v>
      </c>
      <c r="X1856">
        <v>0</v>
      </c>
      <c r="Z1856" t="s">
        <v>173</v>
      </c>
      <c r="AA1856" t="s">
        <v>173</v>
      </c>
    </row>
    <row r="1857" spans="1:27" x14ac:dyDescent="0.3">
      <c r="A1857">
        <v>1856</v>
      </c>
      <c r="B1857" t="s">
        <v>169</v>
      </c>
      <c r="C1857">
        <v>99019875</v>
      </c>
      <c r="D1857" s="7" t="s">
        <v>122</v>
      </c>
      <c r="E1857" t="s">
        <v>123</v>
      </c>
      <c r="F1857" t="s">
        <v>170</v>
      </c>
      <c r="G1857" t="s">
        <v>171</v>
      </c>
      <c r="H1857">
        <v>19</v>
      </c>
      <c r="I1857">
        <v>0</v>
      </c>
      <c r="J1857">
        <v>19</v>
      </c>
      <c r="K1857" s="133">
        <v>36000</v>
      </c>
      <c r="L1857" s="133">
        <v>36000</v>
      </c>
      <c r="M1857" s="150">
        <v>0.62379629629629629</v>
      </c>
      <c r="N1857" s="150">
        <v>0.62396990740740743</v>
      </c>
      <c r="O1857" t="s">
        <v>172</v>
      </c>
      <c r="Q1857">
        <v>2540636</v>
      </c>
      <c r="R1857">
        <v>2540636</v>
      </c>
      <c r="S1857">
        <v>0</v>
      </c>
      <c r="T1857">
        <v>0</v>
      </c>
      <c r="U1857" t="s">
        <v>173</v>
      </c>
      <c r="V1857">
        <v>0</v>
      </c>
      <c r="W1857" t="s">
        <v>174</v>
      </c>
      <c r="X1857">
        <v>0</v>
      </c>
      <c r="Z1857" t="s">
        <v>173</v>
      </c>
      <c r="AA1857" t="s">
        <v>173</v>
      </c>
    </row>
    <row r="1858" spans="1:27" x14ac:dyDescent="0.3">
      <c r="A1858">
        <v>1857</v>
      </c>
      <c r="B1858" t="s">
        <v>169</v>
      </c>
      <c r="C1858">
        <v>99019875</v>
      </c>
      <c r="D1858" s="7" t="s">
        <v>98</v>
      </c>
      <c r="E1858" t="s">
        <v>99</v>
      </c>
      <c r="F1858" t="s">
        <v>170</v>
      </c>
      <c r="G1858" t="s">
        <v>171</v>
      </c>
      <c r="H1858">
        <v>39</v>
      </c>
      <c r="I1858">
        <v>0</v>
      </c>
      <c r="J1858">
        <v>39</v>
      </c>
      <c r="K1858" s="133">
        <v>14240</v>
      </c>
      <c r="L1858" s="133">
        <v>14240</v>
      </c>
      <c r="M1858" s="150">
        <v>0.62379629629629629</v>
      </c>
      <c r="N1858" s="150">
        <v>0.62443287037037043</v>
      </c>
      <c r="O1858" t="s">
        <v>172</v>
      </c>
      <c r="Q1858">
        <v>2540637</v>
      </c>
      <c r="R1858">
        <v>2540637</v>
      </c>
      <c r="S1858">
        <v>0</v>
      </c>
      <c r="T1858">
        <v>0</v>
      </c>
      <c r="U1858" t="s">
        <v>173</v>
      </c>
      <c r="V1858">
        <v>0</v>
      </c>
      <c r="W1858" t="s">
        <v>174</v>
      </c>
      <c r="X1858">
        <v>0</v>
      </c>
      <c r="Z1858" t="s">
        <v>173</v>
      </c>
      <c r="AA1858" t="s">
        <v>173</v>
      </c>
    </row>
    <row r="1859" spans="1:27" x14ac:dyDescent="0.3">
      <c r="A1859">
        <v>1858</v>
      </c>
      <c r="B1859" t="s">
        <v>169</v>
      </c>
      <c r="C1859">
        <v>99019875</v>
      </c>
      <c r="D1859" s="7" t="s">
        <v>96</v>
      </c>
      <c r="E1859" t="s">
        <v>97</v>
      </c>
      <c r="F1859" t="s">
        <v>170</v>
      </c>
      <c r="G1859" t="s">
        <v>171</v>
      </c>
      <c r="H1859">
        <v>27</v>
      </c>
      <c r="I1859">
        <v>0</v>
      </c>
      <c r="J1859">
        <v>27</v>
      </c>
      <c r="K1859" s="133">
        <v>8295</v>
      </c>
      <c r="L1859" s="133">
        <v>8295</v>
      </c>
      <c r="M1859" s="150">
        <v>0.62379629629629629</v>
      </c>
      <c r="N1859" s="150">
        <v>0.62396990740740743</v>
      </c>
      <c r="O1859" t="s">
        <v>172</v>
      </c>
      <c r="Q1859">
        <v>2540642</v>
      </c>
      <c r="R1859">
        <v>2540642</v>
      </c>
      <c r="S1859">
        <v>0</v>
      </c>
      <c r="T1859">
        <v>0</v>
      </c>
      <c r="U1859" t="s">
        <v>173</v>
      </c>
      <c r="V1859">
        <v>0</v>
      </c>
      <c r="W1859" t="s">
        <v>174</v>
      </c>
      <c r="X1859">
        <v>0</v>
      </c>
      <c r="Z1859" t="s">
        <v>173</v>
      </c>
      <c r="AA1859" t="s">
        <v>173</v>
      </c>
    </row>
    <row r="1860" spans="1:27" x14ac:dyDescent="0.3">
      <c r="A1860">
        <v>1859</v>
      </c>
      <c r="B1860" t="s">
        <v>169</v>
      </c>
      <c r="C1860">
        <v>99019875</v>
      </c>
      <c r="D1860" s="7" t="s">
        <v>140</v>
      </c>
      <c r="E1860" t="s">
        <v>178</v>
      </c>
      <c r="F1860" t="s">
        <v>170</v>
      </c>
      <c r="G1860" t="s">
        <v>171</v>
      </c>
      <c r="H1860">
        <v>20</v>
      </c>
      <c r="I1860">
        <v>0</v>
      </c>
      <c r="J1860">
        <v>20</v>
      </c>
      <c r="K1860" s="133">
        <v>8615</v>
      </c>
      <c r="L1860" s="133">
        <v>8615</v>
      </c>
      <c r="M1860" s="150">
        <v>0.62379629629629629</v>
      </c>
      <c r="N1860" s="150">
        <v>0.62383101851851852</v>
      </c>
      <c r="O1860" t="s">
        <v>172</v>
      </c>
      <c r="Q1860">
        <v>2540643</v>
      </c>
      <c r="R1860">
        <v>2540643</v>
      </c>
      <c r="S1860">
        <v>0</v>
      </c>
      <c r="T1860">
        <v>0</v>
      </c>
      <c r="U1860" t="s">
        <v>173</v>
      </c>
      <c r="V1860">
        <v>0</v>
      </c>
      <c r="W1860" t="s">
        <v>174</v>
      </c>
      <c r="X1860">
        <v>0</v>
      </c>
      <c r="Z1860" t="s">
        <v>173</v>
      </c>
      <c r="AA1860" t="s">
        <v>173</v>
      </c>
    </row>
    <row r="1861" spans="1:27" x14ac:dyDescent="0.3">
      <c r="A1861">
        <v>1860</v>
      </c>
      <c r="B1861" t="s">
        <v>169</v>
      </c>
      <c r="C1861">
        <v>99019875</v>
      </c>
      <c r="D1861" s="7" t="s">
        <v>69</v>
      </c>
      <c r="E1861" t="s">
        <v>70</v>
      </c>
      <c r="F1861" t="s">
        <v>170</v>
      </c>
      <c r="G1861" t="s">
        <v>171</v>
      </c>
      <c r="H1861">
        <v>16</v>
      </c>
      <c r="I1861">
        <v>0</v>
      </c>
      <c r="J1861">
        <v>16</v>
      </c>
      <c r="K1861" s="133">
        <v>10205</v>
      </c>
      <c r="L1861" s="133">
        <v>10205</v>
      </c>
      <c r="M1861" s="150">
        <v>0.62379629629629629</v>
      </c>
      <c r="N1861" s="150">
        <v>0.62392361111111116</v>
      </c>
      <c r="O1861" t="s">
        <v>172</v>
      </c>
      <c r="Q1861">
        <v>2540644</v>
      </c>
      <c r="R1861">
        <v>2540644</v>
      </c>
      <c r="S1861">
        <v>0</v>
      </c>
      <c r="T1861">
        <v>0</v>
      </c>
      <c r="U1861" t="s">
        <v>173</v>
      </c>
      <c r="V1861">
        <v>0</v>
      </c>
      <c r="W1861" t="s">
        <v>174</v>
      </c>
      <c r="X1861">
        <v>0</v>
      </c>
      <c r="Z1861" t="s">
        <v>173</v>
      </c>
      <c r="AA1861" t="s">
        <v>173</v>
      </c>
    </row>
    <row r="1862" spans="1:27" x14ac:dyDescent="0.3">
      <c r="A1862">
        <v>1861</v>
      </c>
      <c r="B1862" t="s">
        <v>169</v>
      </c>
      <c r="C1862">
        <v>99019875</v>
      </c>
      <c r="D1862" s="7" t="s">
        <v>102</v>
      </c>
      <c r="E1862" t="s">
        <v>103</v>
      </c>
      <c r="F1862" t="s">
        <v>170</v>
      </c>
      <c r="G1862" t="s">
        <v>177</v>
      </c>
      <c r="H1862">
        <v>53</v>
      </c>
      <c r="I1862">
        <v>0</v>
      </c>
      <c r="J1862">
        <v>53</v>
      </c>
      <c r="K1862" s="133">
        <v>26805</v>
      </c>
      <c r="L1862" s="133">
        <v>26805</v>
      </c>
      <c r="M1862" s="150">
        <v>0.62380787037037033</v>
      </c>
      <c r="N1862" s="150">
        <v>0.62386574074074075</v>
      </c>
      <c r="O1862" t="s">
        <v>172</v>
      </c>
      <c r="Q1862">
        <v>2540696</v>
      </c>
      <c r="R1862">
        <v>2540696</v>
      </c>
      <c r="S1862">
        <v>2540627</v>
      </c>
      <c r="T1862">
        <v>0</v>
      </c>
      <c r="U1862" t="s">
        <v>173</v>
      </c>
      <c r="V1862">
        <v>0</v>
      </c>
      <c r="W1862" t="s">
        <v>174</v>
      </c>
      <c r="X1862">
        <v>2540627</v>
      </c>
      <c r="Z1862" t="s">
        <v>173</v>
      </c>
      <c r="AA1862" t="s">
        <v>173</v>
      </c>
    </row>
    <row r="1863" spans="1:27" x14ac:dyDescent="0.3">
      <c r="A1863">
        <v>1862</v>
      </c>
      <c r="B1863" t="s">
        <v>169</v>
      </c>
      <c r="C1863">
        <v>99019875</v>
      </c>
      <c r="D1863" s="7" t="s">
        <v>77</v>
      </c>
      <c r="E1863" t="s">
        <v>78</v>
      </c>
      <c r="F1863" t="s">
        <v>170</v>
      </c>
      <c r="G1863" t="s">
        <v>177</v>
      </c>
      <c r="H1863">
        <v>73</v>
      </c>
      <c r="I1863">
        <v>0</v>
      </c>
      <c r="J1863">
        <v>73</v>
      </c>
      <c r="K1863" s="133">
        <v>7335</v>
      </c>
      <c r="L1863" s="133">
        <v>7335</v>
      </c>
      <c r="M1863" s="150">
        <v>0.62384259259259256</v>
      </c>
      <c r="N1863" s="150">
        <v>0.6239351851851852</v>
      </c>
      <c r="O1863" t="s">
        <v>172</v>
      </c>
      <c r="Q1863">
        <v>2540879</v>
      </c>
      <c r="R1863">
        <v>2540879</v>
      </c>
      <c r="S1863">
        <v>2540638</v>
      </c>
      <c r="T1863">
        <v>0</v>
      </c>
      <c r="U1863" t="s">
        <v>173</v>
      </c>
      <c r="V1863">
        <v>0</v>
      </c>
      <c r="W1863" t="s">
        <v>174</v>
      </c>
      <c r="X1863">
        <v>2540638</v>
      </c>
      <c r="Z1863" t="s">
        <v>173</v>
      </c>
      <c r="AA1863" t="s">
        <v>173</v>
      </c>
    </row>
    <row r="1864" spans="1:27" x14ac:dyDescent="0.3">
      <c r="A1864">
        <v>1863</v>
      </c>
      <c r="B1864" t="s">
        <v>169</v>
      </c>
      <c r="C1864">
        <v>99019875</v>
      </c>
      <c r="D1864" s="7" t="s">
        <v>81</v>
      </c>
      <c r="E1864" t="s">
        <v>82</v>
      </c>
      <c r="F1864" t="s">
        <v>176</v>
      </c>
      <c r="G1864" t="s">
        <v>177</v>
      </c>
      <c r="H1864">
        <v>75</v>
      </c>
      <c r="I1864">
        <v>0</v>
      </c>
      <c r="J1864">
        <v>75</v>
      </c>
      <c r="K1864" s="133">
        <v>36320</v>
      </c>
      <c r="L1864" s="133">
        <v>36320</v>
      </c>
      <c r="M1864" s="150">
        <v>0.62388888888888883</v>
      </c>
      <c r="N1864" s="150">
        <v>0.62398148148148147</v>
      </c>
      <c r="O1864" t="s">
        <v>172</v>
      </c>
      <c r="Q1864">
        <v>2541073</v>
      </c>
      <c r="R1864">
        <v>2541073</v>
      </c>
      <c r="S1864">
        <v>2540849</v>
      </c>
      <c r="T1864">
        <v>0</v>
      </c>
      <c r="U1864" t="s">
        <v>173</v>
      </c>
      <c r="V1864">
        <v>0</v>
      </c>
      <c r="W1864" t="s">
        <v>174</v>
      </c>
      <c r="X1864">
        <v>2540849</v>
      </c>
      <c r="Z1864" t="s">
        <v>173</v>
      </c>
      <c r="AA1864" t="s">
        <v>173</v>
      </c>
    </row>
    <row r="1865" spans="1:27" x14ac:dyDescent="0.3">
      <c r="A1865">
        <v>1864</v>
      </c>
      <c r="B1865" t="s">
        <v>169</v>
      </c>
      <c r="C1865">
        <v>99019875</v>
      </c>
      <c r="D1865" s="7" t="s">
        <v>81</v>
      </c>
      <c r="E1865" t="s">
        <v>82</v>
      </c>
      <c r="F1865" t="s">
        <v>176</v>
      </c>
      <c r="G1865" t="s">
        <v>177</v>
      </c>
      <c r="H1865">
        <v>75</v>
      </c>
      <c r="I1865">
        <v>0</v>
      </c>
      <c r="J1865">
        <v>75</v>
      </c>
      <c r="K1865" s="133">
        <v>36320</v>
      </c>
      <c r="L1865" s="133">
        <v>36320</v>
      </c>
      <c r="M1865" s="150">
        <v>0.62388888888888883</v>
      </c>
      <c r="N1865" s="150">
        <v>0.62398148148148147</v>
      </c>
      <c r="O1865" t="s">
        <v>172</v>
      </c>
      <c r="Q1865">
        <v>2541074</v>
      </c>
      <c r="R1865">
        <v>2541074</v>
      </c>
      <c r="S1865">
        <v>2540850</v>
      </c>
      <c r="T1865">
        <v>0</v>
      </c>
      <c r="U1865" t="s">
        <v>173</v>
      </c>
      <c r="V1865">
        <v>0</v>
      </c>
      <c r="W1865" t="s">
        <v>174</v>
      </c>
      <c r="X1865">
        <v>2540850</v>
      </c>
      <c r="Z1865" t="s">
        <v>173</v>
      </c>
      <c r="AA1865" t="s">
        <v>173</v>
      </c>
    </row>
    <row r="1866" spans="1:27" x14ac:dyDescent="0.3">
      <c r="A1866">
        <v>1865</v>
      </c>
      <c r="B1866" t="s">
        <v>169</v>
      </c>
      <c r="C1866">
        <v>99019875</v>
      </c>
      <c r="D1866" s="7" t="s">
        <v>81</v>
      </c>
      <c r="E1866" t="s">
        <v>82</v>
      </c>
      <c r="F1866" t="s">
        <v>176</v>
      </c>
      <c r="G1866" t="s">
        <v>177</v>
      </c>
      <c r="H1866">
        <v>75</v>
      </c>
      <c r="I1866">
        <v>0</v>
      </c>
      <c r="J1866">
        <v>75</v>
      </c>
      <c r="K1866" s="133">
        <v>36320</v>
      </c>
      <c r="L1866" s="133">
        <v>36320</v>
      </c>
      <c r="M1866" s="150">
        <v>0.62388888888888883</v>
      </c>
      <c r="N1866" s="150">
        <v>0.62406249999999996</v>
      </c>
      <c r="O1866" t="s">
        <v>172</v>
      </c>
      <c r="Q1866">
        <v>2541075</v>
      </c>
      <c r="R1866">
        <v>2541075</v>
      </c>
      <c r="S1866">
        <v>2540851</v>
      </c>
      <c r="T1866">
        <v>0</v>
      </c>
      <c r="U1866" t="s">
        <v>173</v>
      </c>
      <c r="V1866">
        <v>0</v>
      </c>
      <c r="W1866" t="s">
        <v>174</v>
      </c>
      <c r="X1866">
        <v>2540851</v>
      </c>
      <c r="Z1866" t="s">
        <v>173</v>
      </c>
      <c r="AA1866" t="s">
        <v>173</v>
      </c>
    </row>
    <row r="1867" spans="1:27" x14ac:dyDescent="0.3">
      <c r="A1867">
        <v>1866</v>
      </c>
      <c r="B1867" t="s">
        <v>169</v>
      </c>
      <c r="C1867">
        <v>99019875</v>
      </c>
      <c r="D1867" s="7" t="s">
        <v>120</v>
      </c>
      <c r="E1867" t="s">
        <v>121</v>
      </c>
      <c r="F1867" t="s">
        <v>176</v>
      </c>
      <c r="G1867" t="s">
        <v>177</v>
      </c>
      <c r="H1867">
        <v>1</v>
      </c>
      <c r="I1867">
        <v>0</v>
      </c>
      <c r="J1867">
        <v>1</v>
      </c>
      <c r="K1867" s="133">
        <v>22860</v>
      </c>
      <c r="L1867" s="133">
        <v>22860</v>
      </c>
      <c r="M1867" s="150">
        <v>0.62392361111111116</v>
      </c>
      <c r="N1867" s="150">
        <v>0.62446759259259255</v>
      </c>
      <c r="O1867" t="s">
        <v>172</v>
      </c>
      <c r="Q1867">
        <v>2541167</v>
      </c>
      <c r="R1867">
        <v>2541167</v>
      </c>
      <c r="S1867">
        <v>2540922</v>
      </c>
      <c r="T1867">
        <v>0</v>
      </c>
      <c r="U1867" t="s">
        <v>173</v>
      </c>
      <c r="V1867">
        <v>0</v>
      </c>
      <c r="W1867" t="s">
        <v>174</v>
      </c>
      <c r="X1867">
        <v>2540922</v>
      </c>
      <c r="Z1867" t="s">
        <v>173</v>
      </c>
      <c r="AA1867" t="s">
        <v>173</v>
      </c>
    </row>
    <row r="1868" spans="1:27" x14ac:dyDescent="0.3">
      <c r="A1868">
        <v>1867</v>
      </c>
      <c r="B1868" t="s">
        <v>169</v>
      </c>
      <c r="C1868">
        <v>99019875</v>
      </c>
      <c r="D1868" s="7" t="s">
        <v>89</v>
      </c>
      <c r="E1868" t="s">
        <v>90</v>
      </c>
      <c r="F1868" t="s">
        <v>176</v>
      </c>
      <c r="G1868" t="s">
        <v>177</v>
      </c>
      <c r="H1868">
        <v>3</v>
      </c>
      <c r="I1868">
        <v>0</v>
      </c>
      <c r="J1868">
        <v>3</v>
      </c>
      <c r="K1868" s="133">
        <v>3080</v>
      </c>
      <c r="L1868" s="133">
        <v>3080</v>
      </c>
      <c r="M1868" s="150">
        <v>0.6239351851851852</v>
      </c>
      <c r="N1868" s="150">
        <v>0.62406249999999996</v>
      </c>
      <c r="O1868" t="s">
        <v>172</v>
      </c>
      <c r="Q1868">
        <v>2541272</v>
      </c>
      <c r="R1868">
        <v>2541272</v>
      </c>
      <c r="S1868">
        <v>2533197</v>
      </c>
      <c r="T1868">
        <v>0</v>
      </c>
      <c r="U1868" t="s">
        <v>173</v>
      </c>
      <c r="V1868">
        <v>0</v>
      </c>
      <c r="W1868" t="s">
        <v>174</v>
      </c>
      <c r="X1868">
        <v>2533197</v>
      </c>
      <c r="Z1868" t="s">
        <v>173</v>
      </c>
      <c r="AA1868" t="s">
        <v>173</v>
      </c>
    </row>
    <row r="1869" spans="1:27" x14ac:dyDescent="0.3">
      <c r="A1869">
        <v>1868</v>
      </c>
      <c r="B1869" t="s">
        <v>169</v>
      </c>
      <c r="C1869">
        <v>99019875</v>
      </c>
      <c r="D1869" s="7" t="s">
        <v>89</v>
      </c>
      <c r="E1869" t="s">
        <v>90</v>
      </c>
      <c r="F1869" t="s">
        <v>176</v>
      </c>
      <c r="G1869" t="s">
        <v>177</v>
      </c>
      <c r="H1869">
        <v>31</v>
      </c>
      <c r="I1869">
        <v>0</v>
      </c>
      <c r="J1869">
        <v>31</v>
      </c>
      <c r="K1869" s="133">
        <v>3080</v>
      </c>
      <c r="L1869" s="133">
        <v>3080</v>
      </c>
      <c r="M1869" s="150">
        <v>0.6239351851851852</v>
      </c>
      <c r="N1869" s="150">
        <v>0.62406249999999996</v>
      </c>
      <c r="O1869" t="s">
        <v>172</v>
      </c>
      <c r="Q1869">
        <v>2541273</v>
      </c>
      <c r="R1869">
        <v>2541273</v>
      </c>
      <c r="S1869">
        <v>2533198</v>
      </c>
      <c r="T1869">
        <v>0</v>
      </c>
      <c r="U1869" t="s">
        <v>173</v>
      </c>
      <c r="V1869">
        <v>0</v>
      </c>
      <c r="W1869" t="s">
        <v>174</v>
      </c>
      <c r="X1869">
        <v>2533198</v>
      </c>
      <c r="Z1869" t="s">
        <v>173</v>
      </c>
      <c r="AA1869" t="s">
        <v>173</v>
      </c>
    </row>
    <row r="1870" spans="1:27" x14ac:dyDescent="0.3">
      <c r="A1870">
        <v>1869</v>
      </c>
      <c r="B1870" t="s">
        <v>169</v>
      </c>
      <c r="C1870">
        <v>99019875</v>
      </c>
      <c r="D1870" s="7" t="s">
        <v>89</v>
      </c>
      <c r="E1870" t="s">
        <v>90</v>
      </c>
      <c r="F1870" t="s">
        <v>176</v>
      </c>
      <c r="G1870" t="s">
        <v>177</v>
      </c>
      <c r="H1870">
        <v>30</v>
      </c>
      <c r="I1870">
        <v>0</v>
      </c>
      <c r="J1870">
        <v>30</v>
      </c>
      <c r="K1870" s="133">
        <v>3080</v>
      </c>
      <c r="L1870" s="133">
        <v>3080</v>
      </c>
      <c r="M1870" s="150">
        <v>0.6239351851851852</v>
      </c>
      <c r="N1870" s="150">
        <v>0.62406249999999996</v>
      </c>
      <c r="O1870" t="s">
        <v>172</v>
      </c>
      <c r="Q1870">
        <v>2541274</v>
      </c>
      <c r="R1870">
        <v>2541274</v>
      </c>
      <c r="S1870">
        <v>2533199</v>
      </c>
      <c r="T1870">
        <v>0</v>
      </c>
      <c r="U1870" t="s">
        <v>173</v>
      </c>
      <c r="V1870">
        <v>0</v>
      </c>
      <c r="W1870" t="s">
        <v>174</v>
      </c>
      <c r="X1870">
        <v>2533199</v>
      </c>
      <c r="Z1870" t="s">
        <v>173</v>
      </c>
      <c r="AA1870" t="s">
        <v>173</v>
      </c>
    </row>
    <row r="1871" spans="1:27" x14ac:dyDescent="0.3">
      <c r="A1871">
        <v>1870</v>
      </c>
      <c r="B1871" t="s">
        <v>169</v>
      </c>
      <c r="C1871">
        <v>99019875</v>
      </c>
      <c r="D1871" s="7" t="s">
        <v>89</v>
      </c>
      <c r="E1871" t="s">
        <v>90</v>
      </c>
      <c r="F1871" t="s">
        <v>176</v>
      </c>
      <c r="G1871" t="s">
        <v>177</v>
      </c>
      <c r="H1871">
        <v>31</v>
      </c>
      <c r="I1871">
        <v>0</v>
      </c>
      <c r="J1871">
        <v>31</v>
      </c>
      <c r="K1871" s="133">
        <v>3080</v>
      </c>
      <c r="L1871" s="133">
        <v>3080</v>
      </c>
      <c r="M1871" s="150">
        <v>0.6239351851851852</v>
      </c>
      <c r="N1871" s="150">
        <v>0.62406249999999996</v>
      </c>
      <c r="O1871" t="s">
        <v>172</v>
      </c>
      <c r="Q1871">
        <v>2541275</v>
      </c>
      <c r="R1871">
        <v>2541275</v>
      </c>
      <c r="S1871">
        <v>2533200</v>
      </c>
      <c r="T1871">
        <v>0</v>
      </c>
      <c r="U1871" t="s">
        <v>173</v>
      </c>
      <c r="V1871">
        <v>0</v>
      </c>
      <c r="W1871" t="s">
        <v>174</v>
      </c>
      <c r="X1871">
        <v>2533200</v>
      </c>
      <c r="Z1871" t="s">
        <v>173</v>
      </c>
      <c r="AA1871" t="s">
        <v>173</v>
      </c>
    </row>
    <row r="1872" spans="1:27" x14ac:dyDescent="0.3">
      <c r="A1872">
        <v>1871</v>
      </c>
      <c r="B1872" t="s">
        <v>169</v>
      </c>
      <c r="C1872">
        <v>99019875</v>
      </c>
      <c r="D1872" s="7" t="s">
        <v>89</v>
      </c>
      <c r="E1872" t="s">
        <v>90</v>
      </c>
      <c r="F1872" t="s">
        <v>176</v>
      </c>
      <c r="G1872" t="s">
        <v>177</v>
      </c>
      <c r="H1872">
        <v>30</v>
      </c>
      <c r="I1872">
        <v>0</v>
      </c>
      <c r="J1872">
        <v>30</v>
      </c>
      <c r="K1872" s="133">
        <v>3080</v>
      </c>
      <c r="L1872" s="133">
        <v>3080</v>
      </c>
      <c r="M1872" s="150">
        <v>0.6239351851851852</v>
      </c>
      <c r="N1872" s="150">
        <v>0.62406249999999996</v>
      </c>
      <c r="O1872" t="s">
        <v>172</v>
      </c>
      <c r="Q1872">
        <v>2541276</v>
      </c>
      <c r="R1872">
        <v>2541276</v>
      </c>
      <c r="S1872">
        <v>2533201</v>
      </c>
      <c r="T1872">
        <v>0</v>
      </c>
      <c r="U1872" t="s">
        <v>173</v>
      </c>
      <c r="V1872">
        <v>0</v>
      </c>
      <c r="W1872" t="s">
        <v>174</v>
      </c>
      <c r="X1872">
        <v>2533201</v>
      </c>
      <c r="Z1872" t="s">
        <v>173</v>
      </c>
      <c r="AA1872" t="s">
        <v>173</v>
      </c>
    </row>
    <row r="1873" spans="1:27" x14ac:dyDescent="0.3">
      <c r="A1873">
        <v>1872</v>
      </c>
      <c r="B1873" t="s">
        <v>169</v>
      </c>
      <c r="C1873">
        <v>99019875</v>
      </c>
      <c r="D1873" s="7" t="s">
        <v>89</v>
      </c>
      <c r="E1873" t="s">
        <v>90</v>
      </c>
      <c r="F1873" t="s">
        <v>176</v>
      </c>
      <c r="G1873" t="s">
        <v>177</v>
      </c>
      <c r="H1873">
        <v>31</v>
      </c>
      <c r="I1873">
        <v>0</v>
      </c>
      <c r="J1873">
        <v>31</v>
      </c>
      <c r="K1873" s="133">
        <v>3080</v>
      </c>
      <c r="L1873" s="133">
        <v>3080</v>
      </c>
      <c r="M1873" s="150">
        <v>0.6239351851851852</v>
      </c>
      <c r="N1873" s="150">
        <v>0.62406249999999996</v>
      </c>
      <c r="O1873" t="s">
        <v>172</v>
      </c>
      <c r="Q1873">
        <v>2541277</v>
      </c>
      <c r="R1873">
        <v>2541277</v>
      </c>
      <c r="S1873">
        <v>2533202</v>
      </c>
      <c r="T1873">
        <v>0</v>
      </c>
      <c r="U1873" t="s">
        <v>173</v>
      </c>
      <c r="V1873">
        <v>0</v>
      </c>
      <c r="W1873" t="s">
        <v>174</v>
      </c>
      <c r="X1873">
        <v>2533202</v>
      </c>
      <c r="Z1873" t="s">
        <v>173</v>
      </c>
      <c r="AA1873" t="s">
        <v>173</v>
      </c>
    </row>
    <row r="1874" spans="1:27" x14ac:dyDescent="0.3">
      <c r="A1874">
        <v>1873</v>
      </c>
      <c r="B1874" t="s">
        <v>169</v>
      </c>
      <c r="C1874">
        <v>99019875</v>
      </c>
      <c r="D1874" s="7" t="s">
        <v>89</v>
      </c>
      <c r="E1874" t="s">
        <v>90</v>
      </c>
      <c r="F1874" t="s">
        <v>176</v>
      </c>
      <c r="G1874" t="s">
        <v>177</v>
      </c>
      <c r="H1874">
        <v>30</v>
      </c>
      <c r="I1874">
        <v>0</v>
      </c>
      <c r="J1874">
        <v>30</v>
      </c>
      <c r="K1874" s="133">
        <v>3080</v>
      </c>
      <c r="L1874" s="133">
        <v>3080</v>
      </c>
      <c r="M1874" s="150">
        <v>0.6239351851851852</v>
      </c>
      <c r="N1874" s="150">
        <v>0.62406249999999996</v>
      </c>
      <c r="O1874" t="s">
        <v>172</v>
      </c>
      <c r="Q1874">
        <v>2541278</v>
      </c>
      <c r="R1874">
        <v>2541278</v>
      </c>
      <c r="S1874">
        <v>2533203</v>
      </c>
      <c r="T1874">
        <v>0</v>
      </c>
      <c r="U1874" t="s">
        <v>173</v>
      </c>
      <c r="V1874">
        <v>0</v>
      </c>
      <c r="W1874" t="s">
        <v>174</v>
      </c>
      <c r="X1874">
        <v>2533203</v>
      </c>
      <c r="Z1874" t="s">
        <v>173</v>
      </c>
      <c r="AA1874" t="s">
        <v>173</v>
      </c>
    </row>
    <row r="1875" spans="1:27" x14ac:dyDescent="0.3">
      <c r="A1875">
        <v>1874</v>
      </c>
      <c r="B1875" t="s">
        <v>169</v>
      </c>
      <c r="C1875">
        <v>99019875</v>
      </c>
      <c r="D1875" s="7" t="s">
        <v>89</v>
      </c>
      <c r="E1875" t="s">
        <v>90</v>
      </c>
      <c r="F1875" t="s">
        <v>176</v>
      </c>
      <c r="G1875" t="s">
        <v>177</v>
      </c>
      <c r="H1875">
        <v>31</v>
      </c>
      <c r="I1875">
        <v>0</v>
      </c>
      <c r="J1875">
        <v>31</v>
      </c>
      <c r="K1875" s="133">
        <v>3080</v>
      </c>
      <c r="L1875" s="133">
        <v>3080</v>
      </c>
      <c r="M1875" s="150">
        <v>0.6239351851851852</v>
      </c>
      <c r="N1875" s="150">
        <v>0.62406249999999996</v>
      </c>
      <c r="O1875" t="s">
        <v>172</v>
      </c>
      <c r="Q1875">
        <v>2541279</v>
      </c>
      <c r="R1875">
        <v>2541279</v>
      </c>
      <c r="S1875">
        <v>2533379</v>
      </c>
      <c r="T1875">
        <v>0</v>
      </c>
      <c r="U1875" t="s">
        <v>173</v>
      </c>
      <c r="V1875">
        <v>0</v>
      </c>
      <c r="W1875" t="s">
        <v>174</v>
      </c>
      <c r="X1875">
        <v>2533379</v>
      </c>
      <c r="Z1875" t="s">
        <v>173</v>
      </c>
      <c r="AA1875" t="s">
        <v>173</v>
      </c>
    </row>
    <row r="1876" spans="1:27" x14ac:dyDescent="0.3">
      <c r="A1876">
        <v>1875</v>
      </c>
      <c r="B1876" t="s">
        <v>169</v>
      </c>
      <c r="C1876">
        <v>99019875</v>
      </c>
      <c r="D1876" s="7" t="s">
        <v>89</v>
      </c>
      <c r="E1876" t="s">
        <v>90</v>
      </c>
      <c r="F1876" t="s">
        <v>176</v>
      </c>
      <c r="G1876" t="s">
        <v>177</v>
      </c>
      <c r="H1876">
        <v>30</v>
      </c>
      <c r="I1876">
        <v>0</v>
      </c>
      <c r="J1876">
        <v>30</v>
      </c>
      <c r="K1876" s="133">
        <v>3080</v>
      </c>
      <c r="L1876" s="133">
        <v>3080</v>
      </c>
      <c r="M1876" s="150">
        <v>0.6239351851851852</v>
      </c>
      <c r="N1876" s="150">
        <v>0.62406249999999996</v>
      </c>
      <c r="O1876" t="s">
        <v>172</v>
      </c>
      <c r="Q1876">
        <v>2541280</v>
      </c>
      <c r="R1876">
        <v>2541280</v>
      </c>
      <c r="S1876">
        <v>2534320</v>
      </c>
      <c r="T1876">
        <v>0</v>
      </c>
      <c r="U1876" t="s">
        <v>173</v>
      </c>
      <c r="V1876">
        <v>0</v>
      </c>
      <c r="W1876" t="s">
        <v>174</v>
      </c>
      <c r="X1876">
        <v>2534320</v>
      </c>
      <c r="Z1876" t="s">
        <v>173</v>
      </c>
      <c r="AA1876" t="s">
        <v>173</v>
      </c>
    </row>
    <row r="1877" spans="1:27" x14ac:dyDescent="0.3">
      <c r="A1877">
        <v>1876</v>
      </c>
      <c r="B1877" t="s">
        <v>169</v>
      </c>
      <c r="C1877">
        <v>99019875</v>
      </c>
      <c r="D1877" s="7" t="s">
        <v>89</v>
      </c>
      <c r="E1877" t="s">
        <v>90</v>
      </c>
      <c r="F1877" t="s">
        <v>176</v>
      </c>
      <c r="G1877" t="s">
        <v>177</v>
      </c>
      <c r="H1877">
        <v>31</v>
      </c>
      <c r="I1877">
        <v>0</v>
      </c>
      <c r="J1877">
        <v>31</v>
      </c>
      <c r="K1877" s="133">
        <v>3080</v>
      </c>
      <c r="L1877" s="133">
        <v>3080</v>
      </c>
      <c r="M1877" s="150">
        <v>0.6239351851851852</v>
      </c>
      <c r="N1877" s="150">
        <v>0.62406249999999996</v>
      </c>
      <c r="O1877" t="s">
        <v>172</v>
      </c>
      <c r="Q1877">
        <v>2541281</v>
      </c>
      <c r="R1877">
        <v>2541281</v>
      </c>
      <c r="S1877">
        <v>2535178</v>
      </c>
      <c r="T1877">
        <v>0</v>
      </c>
      <c r="U1877" t="s">
        <v>173</v>
      </c>
      <c r="V1877">
        <v>0</v>
      </c>
      <c r="W1877" t="s">
        <v>174</v>
      </c>
      <c r="X1877">
        <v>2535178</v>
      </c>
      <c r="Z1877" t="s">
        <v>173</v>
      </c>
      <c r="AA1877" t="s">
        <v>173</v>
      </c>
    </row>
    <row r="1878" spans="1:27" x14ac:dyDescent="0.3">
      <c r="A1878">
        <v>1877</v>
      </c>
      <c r="B1878" t="s">
        <v>169</v>
      </c>
      <c r="C1878">
        <v>99019875</v>
      </c>
      <c r="D1878" s="7" t="s">
        <v>89</v>
      </c>
      <c r="E1878" t="s">
        <v>90</v>
      </c>
      <c r="F1878" t="s">
        <v>176</v>
      </c>
      <c r="G1878" t="s">
        <v>177</v>
      </c>
      <c r="H1878">
        <v>30</v>
      </c>
      <c r="I1878">
        <v>0</v>
      </c>
      <c r="J1878">
        <v>30</v>
      </c>
      <c r="K1878" s="133">
        <v>3080</v>
      </c>
      <c r="L1878" s="133">
        <v>3080</v>
      </c>
      <c r="M1878" s="150">
        <v>0.6239351851851852</v>
      </c>
      <c r="N1878" s="150">
        <v>0.62406249999999996</v>
      </c>
      <c r="O1878" t="s">
        <v>172</v>
      </c>
      <c r="Q1878">
        <v>2541282</v>
      </c>
      <c r="R1878">
        <v>2541282</v>
      </c>
      <c r="S1878">
        <v>2536161</v>
      </c>
      <c r="T1878">
        <v>0</v>
      </c>
      <c r="U1878" t="s">
        <v>173</v>
      </c>
      <c r="V1878">
        <v>0</v>
      </c>
      <c r="W1878" t="s">
        <v>174</v>
      </c>
      <c r="X1878">
        <v>2536161</v>
      </c>
      <c r="Z1878" t="s">
        <v>173</v>
      </c>
      <c r="AA1878" t="s">
        <v>173</v>
      </c>
    </row>
    <row r="1879" spans="1:27" x14ac:dyDescent="0.3">
      <c r="A1879">
        <v>1878</v>
      </c>
      <c r="B1879" t="s">
        <v>169</v>
      </c>
      <c r="C1879">
        <v>99019875</v>
      </c>
      <c r="D1879" s="7" t="s">
        <v>89</v>
      </c>
      <c r="E1879" t="s">
        <v>90</v>
      </c>
      <c r="F1879" t="s">
        <v>176</v>
      </c>
      <c r="G1879" t="s">
        <v>177</v>
      </c>
      <c r="H1879">
        <v>31</v>
      </c>
      <c r="I1879">
        <v>0</v>
      </c>
      <c r="J1879">
        <v>31</v>
      </c>
      <c r="K1879" s="133">
        <v>3080</v>
      </c>
      <c r="L1879" s="133">
        <v>3080</v>
      </c>
      <c r="M1879" s="150">
        <v>0.6239351851851852</v>
      </c>
      <c r="N1879" s="150">
        <v>0.62406249999999996</v>
      </c>
      <c r="O1879" t="s">
        <v>172</v>
      </c>
      <c r="Q1879">
        <v>2541283</v>
      </c>
      <c r="R1879">
        <v>2541283</v>
      </c>
      <c r="S1879">
        <v>2536953</v>
      </c>
      <c r="T1879">
        <v>0</v>
      </c>
      <c r="U1879" t="s">
        <v>173</v>
      </c>
      <c r="V1879">
        <v>0</v>
      </c>
      <c r="W1879" t="s">
        <v>174</v>
      </c>
      <c r="X1879">
        <v>2536953</v>
      </c>
      <c r="Z1879" t="s">
        <v>173</v>
      </c>
      <c r="AA1879" t="s">
        <v>173</v>
      </c>
    </row>
    <row r="1880" spans="1:27" x14ac:dyDescent="0.3">
      <c r="A1880">
        <v>1879</v>
      </c>
      <c r="B1880" t="s">
        <v>169</v>
      </c>
      <c r="C1880">
        <v>99019875</v>
      </c>
      <c r="D1880" s="7" t="s">
        <v>89</v>
      </c>
      <c r="E1880" t="s">
        <v>90</v>
      </c>
      <c r="F1880" t="s">
        <v>176</v>
      </c>
      <c r="G1880" t="s">
        <v>177</v>
      </c>
      <c r="H1880">
        <v>30</v>
      </c>
      <c r="I1880">
        <v>0</v>
      </c>
      <c r="J1880">
        <v>30</v>
      </c>
      <c r="K1880" s="133">
        <v>3080</v>
      </c>
      <c r="L1880" s="133">
        <v>3080</v>
      </c>
      <c r="M1880" s="150">
        <v>0.6239351851851852</v>
      </c>
      <c r="N1880" s="150">
        <v>0.62406249999999996</v>
      </c>
      <c r="O1880" t="s">
        <v>172</v>
      </c>
      <c r="Q1880">
        <v>2541284</v>
      </c>
      <c r="R1880">
        <v>2541284</v>
      </c>
      <c r="S1880">
        <v>2537784</v>
      </c>
      <c r="T1880">
        <v>0</v>
      </c>
      <c r="U1880" t="s">
        <v>173</v>
      </c>
      <c r="V1880">
        <v>0</v>
      </c>
      <c r="W1880" t="s">
        <v>174</v>
      </c>
      <c r="X1880">
        <v>2537784</v>
      </c>
      <c r="Z1880" t="s">
        <v>173</v>
      </c>
      <c r="AA1880" t="s">
        <v>173</v>
      </c>
    </row>
    <row r="1881" spans="1:27" x14ac:dyDescent="0.3">
      <c r="A1881">
        <v>1880</v>
      </c>
      <c r="B1881" t="s">
        <v>169</v>
      </c>
      <c r="C1881">
        <v>99019875</v>
      </c>
      <c r="D1881" s="7" t="s">
        <v>89</v>
      </c>
      <c r="E1881" t="s">
        <v>90</v>
      </c>
      <c r="F1881" t="s">
        <v>176</v>
      </c>
      <c r="G1881" t="s">
        <v>177</v>
      </c>
      <c r="H1881">
        <v>31</v>
      </c>
      <c r="I1881">
        <v>0</v>
      </c>
      <c r="J1881">
        <v>31</v>
      </c>
      <c r="K1881" s="133">
        <v>3080</v>
      </c>
      <c r="L1881" s="133">
        <v>3080</v>
      </c>
      <c r="M1881" s="150">
        <v>0.6239351851851852</v>
      </c>
      <c r="N1881" s="150">
        <v>0.62406249999999996</v>
      </c>
      <c r="O1881" t="s">
        <v>172</v>
      </c>
      <c r="Q1881">
        <v>2541285</v>
      </c>
      <c r="R1881">
        <v>2541285</v>
      </c>
      <c r="S1881">
        <v>2538636</v>
      </c>
      <c r="T1881">
        <v>0</v>
      </c>
      <c r="U1881" t="s">
        <v>173</v>
      </c>
      <c r="V1881">
        <v>0</v>
      </c>
      <c r="W1881" t="s">
        <v>174</v>
      </c>
      <c r="X1881">
        <v>2538636</v>
      </c>
      <c r="Z1881" t="s">
        <v>173</v>
      </c>
      <c r="AA1881" t="s">
        <v>173</v>
      </c>
    </row>
    <row r="1882" spans="1:27" x14ac:dyDescent="0.3">
      <c r="A1882">
        <v>1881</v>
      </c>
      <c r="B1882" t="s">
        <v>169</v>
      </c>
      <c r="C1882">
        <v>99019875</v>
      </c>
      <c r="D1882" s="7" t="s">
        <v>89</v>
      </c>
      <c r="E1882" t="s">
        <v>90</v>
      </c>
      <c r="F1882" t="s">
        <v>176</v>
      </c>
      <c r="G1882" t="s">
        <v>177</v>
      </c>
      <c r="H1882">
        <v>30</v>
      </c>
      <c r="I1882">
        <v>0</v>
      </c>
      <c r="J1882">
        <v>30</v>
      </c>
      <c r="K1882" s="133">
        <v>3080</v>
      </c>
      <c r="L1882" s="133">
        <v>3080</v>
      </c>
      <c r="M1882" s="150">
        <v>0.6239351851851852</v>
      </c>
      <c r="N1882" s="150">
        <v>0.62406249999999996</v>
      </c>
      <c r="O1882" t="s">
        <v>172</v>
      </c>
      <c r="Q1882">
        <v>2541286</v>
      </c>
      <c r="R1882">
        <v>2541286</v>
      </c>
      <c r="S1882">
        <v>2539496</v>
      </c>
      <c r="T1882">
        <v>0</v>
      </c>
      <c r="U1882" t="s">
        <v>173</v>
      </c>
      <c r="V1882">
        <v>0</v>
      </c>
      <c r="W1882" t="s">
        <v>174</v>
      </c>
      <c r="X1882">
        <v>2539496</v>
      </c>
      <c r="Z1882" t="s">
        <v>173</v>
      </c>
      <c r="AA1882" t="s">
        <v>173</v>
      </c>
    </row>
    <row r="1883" spans="1:27" x14ac:dyDescent="0.3">
      <c r="A1883">
        <v>1882</v>
      </c>
      <c r="B1883" t="s">
        <v>169</v>
      </c>
      <c r="C1883">
        <v>99019875</v>
      </c>
      <c r="D1883" s="7" t="s">
        <v>89</v>
      </c>
      <c r="E1883" t="s">
        <v>90</v>
      </c>
      <c r="F1883" t="s">
        <v>176</v>
      </c>
      <c r="G1883" t="s">
        <v>177</v>
      </c>
      <c r="H1883">
        <v>31</v>
      </c>
      <c r="I1883">
        <v>0</v>
      </c>
      <c r="J1883">
        <v>31</v>
      </c>
      <c r="K1883" s="133">
        <v>3080</v>
      </c>
      <c r="L1883" s="133">
        <v>3080</v>
      </c>
      <c r="M1883" s="150">
        <v>0.6239351851851852</v>
      </c>
      <c r="N1883" s="150">
        <v>0.62408564814814815</v>
      </c>
      <c r="O1883" t="s">
        <v>172</v>
      </c>
      <c r="Q1883">
        <v>2541287</v>
      </c>
      <c r="R1883">
        <v>2541287</v>
      </c>
      <c r="S1883">
        <v>2540632</v>
      </c>
      <c r="T1883">
        <v>0</v>
      </c>
      <c r="U1883" t="s">
        <v>173</v>
      </c>
      <c r="V1883">
        <v>0</v>
      </c>
      <c r="W1883" t="s">
        <v>174</v>
      </c>
      <c r="X1883">
        <v>2540632</v>
      </c>
      <c r="Z1883" t="s">
        <v>173</v>
      </c>
      <c r="AA1883" t="s">
        <v>173</v>
      </c>
    </row>
    <row r="1884" spans="1:27" x14ac:dyDescent="0.3">
      <c r="A1884">
        <v>1883</v>
      </c>
      <c r="B1884" t="s">
        <v>169</v>
      </c>
      <c r="C1884">
        <v>99019875</v>
      </c>
      <c r="D1884" s="7" t="s">
        <v>65</v>
      </c>
      <c r="E1884" t="s">
        <v>66</v>
      </c>
      <c r="F1884" t="s">
        <v>176</v>
      </c>
      <c r="G1884" t="s">
        <v>177</v>
      </c>
      <c r="H1884">
        <v>58</v>
      </c>
      <c r="I1884">
        <v>0</v>
      </c>
      <c r="J1884">
        <v>58</v>
      </c>
      <c r="K1884" s="133">
        <v>4735</v>
      </c>
      <c r="L1884" s="133">
        <v>4735</v>
      </c>
      <c r="M1884" s="150">
        <v>0.62394675925925924</v>
      </c>
      <c r="N1884" s="150">
        <v>0.62496527777777777</v>
      </c>
      <c r="O1884" t="s">
        <v>172</v>
      </c>
      <c r="Q1884">
        <v>2541307</v>
      </c>
      <c r="R1884">
        <v>2541307</v>
      </c>
      <c r="S1884">
        <v>2539717</v>
      </c>
      <c r="T1884">
        <v>0</v>
      </c>
      <c r="U1884" t="s">
        <v>173</v>
      </c>
      <c r="V1884">
        <v>0</v>
      </c>
      <c r="W1884" t="s">
        <v>174</v>
      </c>
      <c r="X1884">
        <v>2539717</v>
      </c>
      <c r="Z1884" t="s">
        <v>173</v>
      </c>
      <c r="AA1884" t="s">
        <v>173</v>
      </c>
    </row>
    <row r="1885" spans="1:27" x14ac:dyDescent="0.3">
      <c r="A1885">
        <v>1884</v>
      </c>
      <c r="B1885" t="s">
        <v>169</v>
      </c>
      <c r="C1885">
        <v>99019875</v>
      </c>
      <c r="D1885" s="7" t="s">
        <v>65</v>
      </c>
      <c r="E1885" t="s">
        <v>66</v>
      </c>
      <c r="F1885" t="s">
        <v>176</v>
      </c>
      <c r="G1885" t="s">
        <v>177</v>
      </c>
      <c r="H1885">
        <v>57</v>
      </c>
      <c r="I1885">
        <v>0</v>
      </c>
      <c r="J1885">
        <v>57</v>
      </c>
      <c r="K1885" s="133">
        <v>4735</v>
      </c>
      <c r="L1885" s="133">
        <v>4735</v>
      </c>
      <c r="M1885" s="150">
        <v>0.62394675925925924</v>
      </c>
      <c r="N1885" s="150">
        <v>0.62496527777777777</v>
      </c>
      <c r="O1885" t="s">
        <v>172</v>
      </c>
      <c r="Q1885">
        <v>2541308</v>
      </c>
      <c r="R1885">
        <v>2541308</v>
      </c>
      <c r="S1885">
        <v>2539718</v>
      </c>
      <c r="T1885">
        <v>0</v>
      </c>
      <c r="U1885" t="s">
        <v>173</v>
      </c>
      <c r="V1885">
        <v>0</v>
      </c>
      <c r="W1885" t="s">
        <v>174</v>
      </c>
      <c r="X1885">
        <v>2539718</v>
      </c>
      <c r="Z1885" t="s">
        <v>173</v>
      </c>
      <c r="AA1885" t="s">
        <v>173</v>
      </c>
    </row>
    <row r="1886" spans="1:27" x14ac:dyDescent="0.3">
      <c r="A1886">
        <v>1885</v>
      </c>
      <c r="B1886" t="s">
        <v>169</v>
      </c>
      <c r="C1886">
        <v>99019875</v>
      </c>
      <c r="D1886" s="7" t="s">
        <v>65</v>
      </c>
      <c r="E1886" t="s">
        <v>66</v>
      </c>
      <c r="F1886" t="s">
        <v>176</v>
      </c>
      <c r="G1886" t="s">
        <v>177</v>
      </c>
      <c r="H1886">
        <v>57</v>
      </c>
      <c r="I1886">
        <v>0</v>
      </c>
      <c r="J1886">
        <v>57</v>
      </c>
      <c r="K1886" s="133">
        <v>4735</v>
      </c>
      <c r="L1886" s="133">
        <v>4735</v>
      </c>
      <c r="M1886" s="150">
        <v>0.62394675925925924</v>
      </c>
      <c r="N1886" s="150">
        <v>0.62498842592592596</v>
      </c>
      <c r="O1886" t="s">
        <v>172</v>
      </c>
      <c r="Q1886">
        <v>2541309</v>
      </c>
      <c r="R1886">
        <v>2541309</v>
      </c>
      <c r="S1886">
        <v>2539719</v>
      </c>
      <c r="T1886">
        <v>0</v>
      </c>
      <c r="U1886" t="s">
        <v>173</v>
      </c>
      <c r="V1886">
        <v>0</v>
      </c>
      <c r="W1886" t="s">
        <v>174</v>
      </c>
      <c r="X1886">
        <v>2539719</v>
      </c>
      <c r="Z1886" t="s">
        <v>173</v>
      </c>
      <c r="AA1886" t="s">
        <v>173</v>
      </c>
    </row>
    <row r="1887" spans="1:27" x14ac:dyDescent="0.3">
      <c r="A1887">
        <v>1886</v>
      </c>
      <c r="B1887" t="s">
        <v>169</v>
      </c>
      <c r="C1887">
        <v>99019875</v>
      </c>
      <c r="D1887" s="7" t="s">
        <v>65</v>
      </c>
      <c r="E1887" t="s">
        <v>66</v>
      </c>
      <c r="F1887" t="s">
        <v>176</v>
      </c>
      <c r="G1887" t="s">
        <v>177</v>
      </c>
      <c r="H1887">
        <v>58</v>
      </c>
      <c r="I1887">
        <v>0</v>
      </c>
      <c r="J1887">
        <v>58</v>
      </c>
      <c r="K1887" s="133">
        <v>4735</v>
      </c>
      <c r="L1887" s="133">
        <v>4735</v>
      </c>
      <c r="M1887" s="150">
        <v>0.62394675925925924</v>
      </c>
      <c r="N1887" s="150">
        <v>0.625</v>
      </c>
      <c r="O1887" t="s">
        <v>172</v>
      </c>
      <c r="Q1887">
        <v>2541310</v>
      </c>
      <c r="R1887">
        <v>2541310</v>
      </c>
      <c r="S1887">
        <v>2540640</v>
      </c>
      <c r="T1887">
        <v>0</v>
      </c>
      <c r="U1887" t="s">
        <v>173</v>
      </c>
      <c r="V1887">
        <v>0</v>
      </c>
      <c r="W1887" t="s">
        <v>174</v>
      </c>
      <c r="X1887">
        <v>2540640</v>
      </c>
      <c r="Z1887" t="s">
        <v>173</v>
      </c>
      <c r="AA1887" t="s">
        <v>173</v>
      </c>
    </row>
    <row r="1888" spans="1:27" x14ac:dyDescent="0.3">
      <c r="A1888">
        <v>1887</v>
      </c>
      <c r="B1888" t="s">
        <v>169</v>
      </c>
      <c r="C1888">
        <v>99019875</v>
      </c>
      <c r="D1888" s="7" t="s">
        <v>106</v>
      </c>
      <c r="E1888" t="s">
        <v>107</v>
      </c>
      <c r="F1888" t="s">
        <v>170</v>
      </c>
      <c r="G1888" t="s">
        <v>171</v>
      </c>
      <c r="H1888">
        <v>1</v>
      </c>
      <c r="I1888">
        <v>0</v>
      </c>
      <c r="J1888">
        <v>1</v>
      </c>
      <c r="K1888" s="133">
        <v>3510</v>
      </c>
      <c r="L1888" s="133">
        <v>3510</v>
      </c>
      <c r="M1888" s="150">
        <v>0.62395833333333328</v>
      </c>
      <c r="N1888" s="150">
        <v>0.62396990740740743</v>
      </c>
      <c r="O1888" t="s">
        <v>172</v>
      </c>
      <c r="Q1888">
        <v>2541405</v>
      </c>
      <c r="R1888">
        <v>2541405</v>
      </c>
      <c r="S1888">
        <v>0</v>
      </c>
      <c r="T1888">
        <v>0</v>
      </c>
      <c r="U1888" t="s">
        <v>173</v>
      </c>
      <c r="V1888">
        <v>0</v>
      </c>
      <c r="W1888" t="s">
        <v>174</v>
      </c>
      <c r="X1888">
        <v>0</v>
      </c>
      <c r="Z1888" t="s">
        <v>173</v>
      </c>
      <c r="AA1888" t="s">
        <v>173</v>
      </c>
    </row>
    <row r="1889" spans="1:27" x14ac:dyDescent="0.3">
      <c r="A1889">
        <v>1888</v>
      </c>
      <c r="B1889" t="s">
        <v>169</v>
      </c>
      <c r="C1889">
        <v>99019875</v>
      </c>
      <c r="D1889" s="7" t="s">
        <v>124</v>
      </c>
      <c r="E1889" t="s">
        <v>125</v>
      </c>
      <c r="F1889" t="s">
        <v>176</v>
      </c>
      <c r="G1889" t="s">
        <v>177</v>
      </c>
      <c r="H1889">
        <v>1</v>
      </c>
      <c r="I1889">
        <v>0</v>
      </c>
      <c r="J1889">
        <v>1</v>
      </c>
      <c r="K1889" s="133">
        <v>17485</v>
      </c>
      <c r="L1889" s="133">
        <v>17485</v>
      </c>
      <c r="M1889" s="150">
        <v>0.62399305555555562</v>
      </c>
      <c r="N1889" s="150">
        <v>0.62489583333333332</v>
      </c>
      <c r="O1889" t="s">
        <v>172</v>
      </c>
      <c r="Q1889">
        <v>2541563</v>
      </c>
      <c r="R1889">
        <v>2541563</v>
      </c>
      <c r="S1889">
        <v>2541059</v>
      </c>
      <c r="T1889">
        <v>0</v>
      </c>
      <c r="U1889" t="s">
        <v>173</v>
      </c>
      <c r="V1889">
        <v>0</v>
      </c>
      <c r="W1889" t="s">
        <v>174</v>
      </c>
      <c r="X1889">
        <v>2541059</v>
      </c>
      <c r="Z1889" t="s">
        <v>173</v>
      </c>
      <c r="AA1889" t="s">
        <v>173</v>
      </c>
    </row>
    <row r="1890" spans="1:27" x14ac:dyDescent="0.3">
      <c r="A1890">
        <v>1889</v>
      </c>
      <c r="B1890" t="s">
        <v>169</v>
      </c>
      <c r="C1890">
        <v>99019875</v>
      </c>
      <c r="D1890" s="7" t="s">
        <v>124</v>
      </c>
      <c r="E1890" t="s">
        <v>125</v>
      </c>
      <c r="F1890" t="s">
        <v>176</v>
      </c>
      <c r="G1890" t="s">
        <v>177</v>
      </c>
      <c r="H1890">
        <v>1</v>
      </c>
      <c r="I1890">
        <v>0</v>
      </c>
      <c r="J1890">
        <v>1</v>
      </c>
      <c r="K1890" s="133">
        <v>17485</v>
      </c>
      <c r="L1890" s="133">
        <v>17485</v>
      </c>
      <c r="M1890" s="150">
        <v>0.62399305555555562</v>
      </c>
      <c r="N1890" s="150">
        <v>0.62489583333333332</v>
      </c>
      <c r="O1890" t="s">
        <v>172</v>
      </c>
      <c r="Q1890">
        <v>2541564</v>
      </c>
      <c r="R1890">
        <v>2541564</v>
      </c>
      <c r="S1890">
        <v>2541060</v>
      </c>
      <c r="T1890">
        <v>0</v>
      </c>
      <c r="U1890" t="s">
        <v>173</v>
      </c>
      <c r="V1890">
        <v>0</v>
      </c>
      <c r="W1890" t="s">
        <v>174</v>
      </c>
      <c r="X1890">
        <v>2541060</v>
      </c>
      <c r="Z1890" t="s">
        <v>173</v>
      </c>
      <c r="AA1890" t="s">
        <v>173</v>
      </c>
    </row>
    <row r="1891" spans="1:27" x14ac:dyDescent="0.3">
      <c r="A1891">
        <v>1890</v>
      </c>
      <c r="B1891" t="s">
        <v>169</v>
      </c>
      <c r="C1891">
        <v>99019875</v>
      </c>
      <c r="D1891" s="7" t="s">
        <v>124</v>
      </c>
      <c r="E1891" t="s">
        <v>125</v>
      </c>
      <c r="F1891" t="s">
        <v>176</v>
      </c>
      <c r="G1891" t="s">
        <v>177</v>
      </c>
      <c r="H1891">
        <v>1</v>
      </c>
      <c r="I1891">
        <v>0</v>
      </c>
      <c r="J1891">
        <v>1</v>
      </c>
      <c r="K1891" s="133">
        <v>17485</v>
      </c>
      <c r="L1891" s="133">
        <v>17485</v>
      </c>
      <c r="M1891" s="150">
        <v>0.62399305555555562</v>
      </c>
      <c r="N1891" s="150">
        <v>0.62489583333333332</v>
      </c>
      <c r="O1891" t="s">
        <v>172</v>
      </c>
      <c r="Q1891">
        <v>2541565</v>
      </c>
      <c r="R1891">
        <v>2541565</v>
      </c>
      <c r="S1891">
        <v>2541061</v>
      </c>
      <c r="T1891">
        <v>0</v>
      </c>
      <c r="U1891" t="s">
        <v>173</v>
      </c>
      <c r="V1891">
        <v>0</v>
      </c>
      <c r="W1891" t="s">
        <v>174</v>
      </c>
      <c r="X1891">
        <v>2541061</v>
      </c>
      <c r="Z1891" t="s">
        <v>173</v>
      </c>
      <c r="AA1891" t="s">
        <v>173</v>
      </c>
    </row>
    <row r="1892" spans="1:27" x14ac:dyDescent="0.3">
      <c r="A1892">
        <v>1891</v>
      </c>
      <c r="B1892" t="s">
        <v>169</v>
      </c>
      <c r="C1892">
        <v>99019875</v>
      </c>
      <c r="D1892" s="7" t="s">
        <v>124</v>
      </c>
      <c r="E1892" t="s">
        <v>125</v>
      </c>
      <c r="F1892" t="s">
        <v>176</v>
      </c>
      <c r="G1892" t="s">
        <v>177</v>
      </c>
      <c r="H1892">
        <v>1</v>
      </c>
      <c r="I1892">
        <v>0</v>
      </c>
      <c r="J1892">
        <v>1</v>
      </c>
      <c r="K1892" s="133">
        <v>17485</v>
      </c>
      <c r="L1892" s="133">
        <v>17485</v>
      </c>
      <c r="M1892" s="150">
        <v>0.62399305555555562</v>
      </c>
      <c r="N1892" s="150">
        <v>0.62489583333333332</v>
      </c>
      <c r="O1892" t="s">
        <v>172</v>
      </c>
      <c r="Q1892">
        <v>2541566</v>
      </c>
      <c r="R1892">
        <v>2541566</v>
      </c>
      <c r="S1892">
        <v>2541062</v>
      </c>
      <c r="T1892">
        <v>0</v>
      </c>
      <c r="U1892" t="s">
        <v>173</v>
      </c>
      <c r="V1892">
        <v>0</v>
      </c>
      <c r="W1892" t="s">
        <v>174</v>
      </c>
      <c r="X1892">
        <v>2541062</v>
      </c>
      <c r="Z1892" t="s">
        <v>173</v>
      </c>
      <c r="AA1892" t="s">
        <v>173</v>
      </c>
    </row>
    <row r="1893" spans="1:27" x14ac:dyDescent="0.3">
      <c r="A1893">
        <v>1892</v>
      </c>
      <c r="B1893" t="s">
        <v>169</v>
      </c>
      <c r="C1893">
        <v>99019875</v>
      </c>
      <c r="D1893" s="7" t="s">
        <v>124</v>
      </c>
      <c r="E1893" t="s">
        <v>125</v>
      </c>
      <c r="F1893" t="s">
        <v>176</v>
      </c>
      <c r="G1893" t="s">
        <v>177</v>
      </c>
      <c r="H1893">
        <v>1</v>
      </c>
      <c r="I1893">
        <v>0</v>
      </c>
      <c r="J1893">
        <v>1</v>
      </c>
      <c r="K1893" s="133">
        <v>17485</v>
      </c>
      <c r="L1893" s="133">
        <v>17485</v>
      </c>
      <c r="M1893" s="150">
        <v>0.62399305555555562</v>
      </c>
      <c r="N1893" s="150">
        <v>0.62489583333333332</v>
      </c>
      <c r="O1893" t="s">
        <v>172</v>
      </c>
      <c r="Q1893">
        <v>2541567</v>
      </c>
      <c r="R1893">
        <v>2541567</v>
      </c>
      <c r="S1893">
        <v>2541063</v>
      </c>
      <c r="T1893">
        <v>0</v>
      </c>
      <c r="U1893" t="s">
        <v>173</v>
      </c>
      <c r="V1893">
        <v>0</v>
      </c>
      <c r="W1893" t="s">
        <v>174</v>
      </c>
      <c r="X1893">
        <v>2541063</v>
      </c>
      <c r="Z1893" t="s">
        <v>173</v>
      </c>
      <c r="AA1893" t="s">
        <v>173</v>
      </c>
    </row>
    <row r="1894" spans="1:27" x14ac:dyDescent="0.3">
      <c r="A1894">
        <v>1893</v>
      </c>
      <c r="B1894" t="s">
        <v>169</v>
      </c>
      <c r="C1894">
        <v>99019875</v>
      </c>
      <c r="D1894" s="7" t="s">
        <v>124</v>
      </c>
      <c r="E1894" t="s">
        <v>125</v>
      </c>
      <c r="F1894" t="s">
        <v>176</v>
      </c>
      <c r="G1894" t="s">
        <v>177</v>
      </c>
      <c r="H1894">
        <v>1</v>
      </c>
      <c r="I1894">
        <v>0</v>
      </c>
      <c r="J1894">
        <v>1</v>
      </c>
      <c r="K1894" s="133">
        <v>17485</v>
      </c>
      <c r="L1894" s="133">
        <v>17485</v>
      </c>
      <c r="M1894" s="150">
        <v>0.62399305555555562</v>
      </c>
      <c r="N1894" s="150">
        <v>0.62489583333333332</v>
      </c>
      <c r="O1894" t="s">
        <v>172</v>
      </c>
      <c r="Q1894">
        <v>2541568</v>
      </c>
      <c r="R1894">
        <v>2541568</v>
      </c>
      <c r="S1894">
        <v>2541064</v>
      </c>
      <c r="T1894">
        <v>0</v>
      </c>
      <c r="U1894" t="s">
        <v>173</v>
      </c>
      <c r="V1894">
        <v>0</v>
      </c>
      <c r="W1894" t="s">
        <v>174</v>
      </c>
      <c r="X1894">
        <v>2541064</v>
      </c>
      <c r="Z1894" t="s">
        <v>173</v>
      </c>
      <c r="AA1894" t="s">
        <v>173</v>
      </c>
    </row>
    <row r="1895" spans="1:27" x14ac:dyDescent="0.3">
      <c r="A1895">
        <v>1894</v>
      </c>
      <c r="B1895" t="s">
        <v>169</v>
      </c>
      <c r="C1895">
        <v>99019875</v>
      </c>
      <c r="D1895" s="7" t="s">
        <v>124</v>
      </c>
      <c r="E1895" t="s">
        <v>125</v>
      </c>
      <c r="F1895" t="s">
        <v>176</v>
      </c>
      <c r="G1895" t="s">
        <v>177</v>
      </c>
      <c r="H1895">
        <v>1</v>
      </c>
      <c r="I1895">
        <v>0</v>
      </c>
      <c r="J1895">
        <v>1</v>
      </c>
      <c r="K1895" s="133">
        <v>17485</v>
      </c>
      <c r="L1895" s="133">
        <v>17485</v>
      </c>
      <c r="M1895" s="150">
        <v>0.62399305555555562</v>
      </c>
      <c r="N1895" s="150">
        <v>0.62489583333333332</v>
      </c>
      <c r="O1895" t="s">
        <v>172</v>
      </c>
      <c r="Q1895">
        <v>2541569</v>
      </c>
      <c r="R1895">
        <v>2541569</v>
      </c>
      <c r="S1895">
        <v>2541065</v>
      </c>
      <c r="T1895">
        <v>0</v>
      </c>
      <c r="U1895" t="s">
        <v>173</v>
      </c>
      <c r="V1895">
        <v>0</v>
      </c>
      <c r="W1895" t="s">
        <v>174</v>
      </c>
      <c r="X1895">
        <v>2541065</v>
      </c>
      <c r="Z1895" t="s">
        <v>173</v>
      </c>
      <c r="AA1895" t="s">
        <v>173</v>
      </c>
    </row>
    <row r="1896" spans="1:27" x14ac:dyDescent="0.3">
      <c r="A1896">
        <v>1895</v>
      </c>
      <c r="B1896" t="s">
        <v>169</v>
      </c>
      <c r="C1896">
        <v>99019875</v>
      </c>
      <c r="D1896" s="7" t="s">
        <v>124</v>
      </c>
      <c r="E1896" t="s">
        <v>125</v>
      </c>
      <c r="F1896" t="s">
        <v>176</v>
      </c>
      <c r="G1896" t="s">
        <v>177</v>
      </c>
      <c r="H1896">
        <v>1</v>
      </c>
      <c r="I1896">
        <v>0</v>
      </c>
      <c r="J1896">
        <v>1</v>
      </c>
      <c r="K1896" s="133">
        <v>17485</v>
      </c>
      <c r="L1896" s="133">
        <v>17485</v>
      </c>
      <c r="M1896" s="150">
        <v>0.62399305555555562</v>
      </c>
      <c r="N1896" s="150">
        <v>0.62489583333333332</v>
      </c>
      <c r="O1896" t="s">
        <v>172</v>
      </c>
      <c r="Q1896">
        <v>2541570</v>
      </c>
      <c r="R1896">
        <v>2541570</v>
      </c>
      <c r="S1896">
        <v>2541066</v>
      </c>
      <c r="T1896">
        <v>0</v>
      </c>
      <c r="U1896" t="s">
        <v>173</v>
      </c>
      <c r="V1896">
        <v>0</v>
      </c>
      <c r="W1896" t="s">
        <v>174</v>
      </c>
      <c r="X1896">
        <v>2541066</v>
      </c>
      <c r="Z1896" t="s">
        <v>173</v>
      </c>
      <c r="AA1896" t="s">
        <v>173</v>
      </c>
    </row>
    <row r="1897" spans="1:27" x14ac:dyDescent="0.3">
      <c r="A1897">
        <v>1896</v>
      </c>
      <c r="B1897" t="s">
        <v>169</v>
      </c>
      <c r="C1897">
        <v>99019875</v>
      </c>
      <c r="D1897" s="7" t="s">
        <v>124</v>
      </c>
      <c r="E1897" t="s">
        <v>125</v>
      </c>
      <c r="F1897" t="s">
        <v>176</v>
      </c>
      <c r="G1897" t="s">
        <v>177</v>
      </c>
      <c r="H1897">
        <v>1</v>
      </c>
      <c r="I1897">
        <v>0</v>
      </c>
      <c r="J1897">
        <v>1</v>
      </c>
      <c r="K1897" s="133">
        <v>17485</v>
      </c>
      <c r="L1897" s="133">
        <v>17485</v>
      </c>
      <c r="M1897" s="150">
        <v>0.62399305555555562</v>
      </c>
      <c r="N1897" s="150">
        <v>0.62489583333333332</v>
      </c>
      <c r="O1897" t="s">
        <v>172</v>
      </c>
      <c r="Q1897">
        <v>2541571</v>
      </c>
      <c r="R1897">
        <v>2541571</v>
      </c>
      <c r="S1897">
        <v>2541067</v>
      </c>
      <c r="T1897">
        <v>0</v>
      </c>
      <c r="U1897" t="s">
        <v>173</v>
      </c>
      <c r="V1897">
        <v>0</v>
      </c>
      <c r="W1897" t="s">
        <v>174</v>
      </c>
      <c r="X1897">
        <v>2541067</v>
      </c>
      <c r="Z1897" t="s">
        <v>173</v>
      </c>
      <c r="AA1897" t="s">
        <v>173</v>
      </c>
    </row>
    <row r="1898" spans="1:27" x14ac:dyDescent="0.3">
      <c r="A1898">
        <v>1897</v>
      </c>
      <c r="B1898" t="s">
        <v>169</v>
      </c>
      <c r="C1898">
        <v>99019875</v>
      </c>
      <c r="D1898" s="7" t="s">
        <v>124</v>
      </c>
      <c r="E1898" t="s">
        <v>125</v>
      </c>
      <c r="F1898" t="s">
        <v>176</v>
      </c>
      <c r="G1898" t="s">
        <v>177</v>
      </c>
      <c r="H1898">
        <v>1</v>
      </c>
      <c r="I1898">
        <v>0</v>
      </c>
      <c r="J1898">
        <v>1</v>
      </c>
      <c r="K1898" s="133">
        <v>17485</v>
      </c>
      <c r="L1898" s="133">
        <v>17485</v>
      </c>
      <c r="M1898" s="150">
        <v>0.62399305555555562</v>
      </c>
      <c r="N1898" s="150">
        <v>0.62489583333333332</v>
      </c>
      <c r="O1898" t="s">
        <v>172</v>
      </c>
      <c r="Q1898">
        <v>2541572</v>
      </c>
      <c r="R1898">
        <v>2541572</v>
      </c>
      <c r="S1898">
        <v>2541068</v>
      </c>
      <c r="T1898">
        <v>0</v>
      </c>
      <c r="U1898" t="s">
        <v>173</v>
      </c>
      <c r="V1898">
        <v>0</v>
      </c>
      <c r="W1898" t="s">
        <v>174</v>
      </c>
      <c r="X1898">
        <v>2541068</v>
      </c>
      <c r="Z1898" t="s">
        <v>173</v>
      </c>
      <c r="AA1898" t="s">
        <v>173</v>
      </c>
    </row>
    <row r="1899" spans="1:27" x14ac:dyDescent="0.3">
      <c r="A1899">
        <v>1898</v>
      </c>
      <c r="B1899" t="s">
        <v>169</v>
      </c>
      <c r="C1899">
        <v>99019875</v>
      </c>
      <c r="D1899" s="7" t="s">
        <v>124</v>
      </c>
      <c r="E1899" t="s">
        <v>125</v>
      </c>
      <c r="F1899" t="s">
        <v>176</v>
      </c>
      <c r="G1899" t="s">
        <v>177</v>
      </c>
      <c r="H1899">
        <v>1</v>
      </c>
      <c r="I1899">
        <v>0</v>
      </c>
      <c r="J1899">
        <v>1</v>
      </c>
      <c r="K1899" s="133">
        <v>17485</v>
      </c>
      <c r="L1899" s="133">
        <v>17485</v>
      </c>
      <c r="M1899" s="150">
        <v>0.62399305555555562</v>
      </c>
      <c r="N1899" s="150">
        <v>0.62489583333333332</v>
      </c>
      <c r="O1899" t="s">
        <v>172</v>
      </c>
      <c r="Q1899">
        <v>2541573</v>
      </c>
      <c r="R1899">
        <v>2541573</v>
      </c>
      <c r="S1899">
        <v>2541069</v>
      </c>
      <c r="T1899">
        <v>0</v>
      </c>
      <c r="U1899" t="s">
        <v>173</v>
      </c>
      <c r="V1899">
        <v>0</v>
      </c>
      <c r="W1899" t="s">
        <v>174</v>
      </c>
      <c r="X1899">
        <v>2541069</v>
      </c>
      <c r="Z1899" t="s">
        <v>173</v>
      </c>
      <c r="AA1899" t="s">
        <v>173</v>
      </c>
    </row>
    <row r="1900" spans="1:27" x14ac:dyDescent="0.3">
      <c r="A1900">
        <v>1899</v>
      </c>
      <c r="B1900" t="s">
        <v>169</v>
      </c>
      <c r="C1900">
        <v>99019875</v>
      </c>
      <c r="D1900" s="7" t="s">
        <v>124</v>
      </c>
      <c r="E1900" t="s">
        <v>125</v>
      </c>
      <c r="F1900" t="s">
        <v>176</v>
      </c>
      <c r="G1900" t="s">
        <v>177</v>
      </c>
      <c r="H1900">
        <v>1</v>
      </c>
      <c r="I1900">
        <v>0</v>
      </c>
      <c r="J1900">
        <v>1</v>
      </c>
      <c r="K1900" s="133">
        <v>17485</v>
      </c>
      <c r="L1900" s="133">
        <v>17485</v>
      </c>
      <c r="M1900" s="150">
        <v>0.62399305555555562</v>
      </c>
      <c r="N1900" s="150">
        <v>0.62489583333333332</v>
      </c>
      <c r="O1900" t="s">
        <v>172</v>
      </c>
      <c r="Q1900">
        <v>2541574</v>
      </c>
      <c r="R1900">
        <v>2541574</v>
      </c>
      <c r="S1900">
        <v>2541070</v>
      </c>
      <c r="T1900">
        <v>0</v>
      </c>
      <c r="U1900" t="s">
        <v>173</v>
      </c>
      <c r="V1900">
        <v>0</v>
      </c>
      <c r="W1900" t="s">
        <v>174</v>
      </c>
      <c r="X1900">
        <v>2541070</v>
      </c>
      <c r="Z1900" t="s">
        <v>173</v>
      </c>
      <c r="AA1900" t="s">
        <v>173</v>
      </c>
    </row>
    <row r="1901" spans="1:27" x14ac:dyDescent="0.3">
      <c r="A1901">
        <v>1900</v>
      </c>
      <c r="B1901" t="s">
        <v>169</v>
      </c>
      <c r="C1901">
        <v>99019875</v>
      </c>
      <c r="D1901" s="7" t="s">
        <v>124</v>
      </c>
      <c r="E1901" t="s">
        <v>125</v>
      </c>
      <c r="F1901" t="s">
        <v>176</v>
      </c>
      <c r="G1901" t="s">
        <v>177</v>
      </c>
      <c r="H1901">
        <v>1</v>
      </c>
      <c r="I1901">
        <v>0</v>
      </c>
      <c r="J1901">
        <v>1</v>
      </c>
      <c r="K1901" s="133">
        <v>17485</v>
      </c>
      <c r="L1901" s="133">
        <v>17485</v>
      </c>
      <c r="M1901" s="150">
        <v>0.62399305555555562</v>
      </c>
      <c r="N1901" s="150">
        <v>0.62489583333333332</v>
      </c>
      <c r="O1901" t="s">
        <v>172</v>
      </c>
      <c r="Q1901">
        <v>2541575</v>
      </c>
      <c r="R1901">
        <v>2541575</v>
      </c>
      <c r="S1901">
        <v>2541071</v>
      </c>
      <c r="T1901">
        <v>0</v>
      </c>
      <c r="U1901" t="s">
        <v>173</v>
      </c>
      <c r="V1901">
        <v>0</v>
      </c>
      <c r="W1901" t="s">
        <v>174</v>
      </c>
      <c r="X1901">
        <v>2541071</v>
      </c>
      <c r="Z1901" t="s">
        <v>173</v>
      </c>
      <c r="AA1901" t="s">
        <v>173</v>
      </c>
    </row>
    <row r="1902" spans="1:27" x14ac:dyDescent="0.3">
      <c r="A1902">
        <v>1901</v>
      </c>
      <c r="B1902" t="s">
        <v>169</v>
      </c>
      <c r="C1902">
        <v>99019875</v>
      </c>
      <c r="D1902" s="7" t="s">
        <v>124</v>
      </c>
      <c r="E1902" t="s">
        <v>125</v>
      </c>
      <c r="F1902" t="s">
        <v>176</v>
      </c>
      <c r="G1902" t="s">
        <v>177</v>
      </c>
      <c r="H1902">
        <v>1</v>
      </c>
      <c r="I1902">
        <v>0</v>
      </c>
      <c r="J1902">
        <v>1</v>
      </c>
      <c r="K1902" s="133">
        <v>17485</v>
      </c>
      <c r="L1902" s="133">
        <v>17485</v>
      </c>
      <c r="M1902" s="150">
        <v>0.62399305555555562</v>
      </c>
      <c r="N1902" s="150">
        <v>0.62489583333333332</v>
      </c>
      <c r="O1902" t="s">
        <v>172</v>
      </c>
      <c r="Q1902">
        <v>2541576</v>
      </c>
      <c r="R1902">
        <v>2541576</v>
      </c>
      <c r="S1902">
        <v>2541072</v>
      </c>
      <c r="T1902">
        <v>0</v>
      </c>
      <c r="U1902" t="s">
        <v>173</v>
      </c>
      <c r="V1902">
        <v>0</v>
      </c>
      <c r="W1902" t="s">
        <v>174</v>
      </c>
      <c r="X1902">
        <v>2541072</v>
      </c>
      <c r="Z1902" t="s">
        <v>173</v>
      </c>
      <c r="AA1902" t="s">
        <v>173</v>
      </c>
    </row>
    <row r="1903" spans="1:27" x14ac:dyDescent="0.3">
      <c r="A1903">
        <v>1902</v>
      </c>
      <c r="B1903" t="s">
        <v>169</v>
      </c>
      <c r="C1903">
        <v>99019875</v>
      </c>
      <c r="D1903" s="7" t="s">
        <v>71</v>
      </c>
      <c r="E1903" t="s">
        <v>72</v>
      </c>
      <c r="F1903" t="s">
        <v>176</v>
      </c>
      <c r="G1903" t="s">
        <v>177</v>
      </c>
      <c r="H1903">
        <v>18</v>
      </c>
      <c r="I1903">
        <v>0</v>
      </c>
      <c r="J1903">
        <v>18</v>
      </c>
      <c r="K1903" s="133">
        <v>17965</v>
      </c>
      <c r="L1903" s="133">
        <v>17965</v>
      </c>
      <c r="M1903" s="150">
        <v>0.62402777777777774</v>
      </c>
      <c r="N1903" s="150">
        <v>0.62418981481481484</v>
      </c>
      <c r="O1903" t="s">
        <v>172</v>
      </c>
      <c r="Q1903">
        <v>2541669</v>
      </c>
      <c r="R1903">
        <v>2541669</v>
      </c>
      <c r="S1903">
        <v>2541181</v>
      </c>
      <c r="T1903">
        <v>0</v>
      </c>
      <c r="U1903" t="s">
        <v>173</v>
      </c>
      <c r="V1903">
        <v>0</v>
      </c>
      <c r="W1903" t="s">
        <v>174</v>
      </c>
      <c r="X1903">
        <v>2541181</v>
      </c>
      <c r="Z1903" t="s">
        <v>173</v>
      </c>
      <c r="AA1903" t="s">
        <v>173</v>
      </c>
    </row>
    <row r="1904" spans="1:27" x14ac:dyDescent="0.3">
      <c r="A1904">
        <v>1903</v>
      </c>
      <c r="B1904" t="s">
        <v>169</v>
      </c>
      <c r="C1904">
        <v>99019875</v>
      </c>
      <c r="D1904" s="7" t="s">
        <v>114</v>
      </c>
      <c r="E1904" t="s">
        <v>115</v>
      </c>
      <c r="F1904" t="s">
        <v>176</v>
      </c>
      <c r="G1904" t="s">
        <v>171</v>
      </c>
      <c r="H1904">
        <v>65</v>
      </c>
      <c r="I1904">
        <v>0</v>
      </c>
      <c r="J1904">
        <v>65</v>
      </c>
      <c r="K1904" s="133">
        <v>53705</v>
      </c>
      <c r="L1904" s="133">
        <v>53705</v>
      </c>
      <c r="M1904" s="150">
        <v>0.62408564814814815</v>
      </c>
      <c r="N1904" s="150">
        <v>0.62410879629629623</v>
      </c>
      <c r="O1904" t="s">
        <v>172</v>
      </c>
      <c r="Q1904">
        <v>2541965</v>
      </c>
      <c r="R1904">
        <v>2541965</v>
      </c>
      <c r="S1904">
        <v>0</v>
      </c>
      <c r="T1904">
        <v>0</v>
      </c>
      <c r="U1904" t="s">
        <v>173</v>
      </c>
      <c r="V1904">
        <v>0</v>
      </c>
      <c r="W1904" t="s">
        <v>174</v>
      </c>
      <c r="X1904">
        <v>0</v>
      </c>
      <c r="Z1904" t="s">
        <v>173</v>
      </c>
      <c r="AA1904" t="s">
        <v>173</v>
      </c>
    </row>
    <row r="1905" spans="1:27" x14ac:dyDescent="0.3">
      <c r="A1905">
        <v>1904</v>
      </c>
      <c r="B1905" t="s">
        <v>169</v>
      </c>
      <c r="C1905">
        <v>99019875</v>
      </c>
      <c r="D1905" s="7" t="s">
        <v>62</v>
      </c>
      <c r="E1905" t="s">
        <v>63</v>
      </c>
      <c r="F1905" t="s">
        <v>176</v>
      </c>
      <c r="G1905" t="s">
        <v>171</v>
      </c>
      <c r="H1905">
        <v>89</v>
      </c>
      <c r="I1905">
        <v>0</v>
      </c>
      <c r="J1905">
        <v>89</v>
      </c>
      <c r="K1905" s="133">
        <v>33965</v>
      </c>
      <c r="L1905" s="133">
        <v>33965</v>
      </c>
      <c r="M1905" s="150">
        <v>0.62408564814814815</v>
      </c>
      <c r="N1905" s="150">
        <v>0.62413194444444442</v>
      </c>
      <c r="O1905" t="s">
        <v>172</v>
      </c>
      <c r="Q1905">
        <v>2541966</v>
      </c>
      <c r="R1905">
        <v>2541966</v>
      </c>
      <c r="S1905">
        <v>0</v>
      </c>
      <c r="T1905">
        <v>0</v>
      </c>
      <c r="U1905" t="s">
        <v>173</v>
      </c>
      <c r="V1905">
        <v>0</v>
      </c>
      <c r="W1905" t="s">
        <v>174</v>
      </c>
      <c r="X1905">
        <v>0</v>
      </c>
      <c r="Z1905" t="s">
        <v>173</v>
      </c>
      <c r="AA1905" t="s">
        <v>173</v>
      </c>
    </row>
    <row r="1906" spans="1:27" x14ac:dyDescent="0.3">
      <c r="A1906">
        <v>1905</v>
      </c>
      <c r="B1906" t="s">
        <v>169</v>
      </c>
      <c r="C1906">
        <v>99019875</v>
      </c>
      <c r="D1906" s="7" t="s">
        <v>81</v>
      </c>
      <c r="E1906" t="s">
        <v>82</v>
      </c>
      <c r="F1906" t="s">
        <v>176</v>
      </c>
      <c r="G1906" t="s">
        <v>171</v>
      </c>
      <c r="H1906">
        <v>75</v>
      </c>
      <c r="I1906">
        <v>0</v>
      </c>
      <c r="J1906">
        <v>75</v>
      </c>
      <c r="K1906" s="133">
        <v>36330</v>
      </c>
      <c r="L1906" s="133">
        <v>36330</v>
      </c>
      <c r="M1906" s="150">
        <v>0.62408564814814815</v>
      </c>
      <c r="N1906" s="150">
        <v>0.62414351851851857</v>
      </c>
      <c r="O1906" t="s">
        <v>172</v>
      </c>
      <c r="Q1906">
        <v>2541967</v>
      </c>
      <c r="R1906">
        <v>2541967</v>
      </c>
      <c r="S1906">
        <v>0</v>
      </c>
      <c r="T1906">
        <v>0</v>
      </c>
      <c r="U1906" t="s">
        <v>173</v>
      </c>
      <c r="V1906">
        <v>0</v>
      </c>
      <c r="W1906" t="s">
        <v>174</v>
      </c>
      <c r="X1906">
        <v>0</v>
      </c>
      <c r="Z1906" t="s">
        <v>173</v>
      </c>
      <c r="AA1906" t="s">
        <v>173</v>
      </c>
    </row>
    <row r="1907" spans="1:27" x14ac:dyDescent="0.3">
      <c r="A1907">
        <v>1906</v>
      </c>
      <c r="B1907" t="s">
        <v>169</v>
      </c>
      <c r="C1907">
        <v>99019875</v>
      </c>
      <c r="D1907" s="7" t="s">
        <v>102</v>
      </c>
      <c r="E1907" t="s">
        <v>103</v>
      </c>
      <c r="F1907" t="s">
        <v>170</v>
      </c>
      <c r="G1907" t="s">
        <v>171</v>
      </c>
      <c r="H1907">
        <v>53</v>
      </c>
      <c r="I1907">
        <v>0</v>
      </c>
      <c r="J1907">
        <v>53</v>
      </c>
      <c r="K1907" s="133">
        <v>26800</v>
      </c>
      <c r="L1907" s="133">
        <v>26800</v>
      </c>
      <c r="M1907" s="150">
        <v>0.62408564814814815</v>
      </c>
      <c r="N1907" s="150">
        <v>0.62434027777777779</v>
      </c>
      <c r="O1907" t="s">
        <v>172</v>
      </c>
      <c r="Q1907">
        <v>2541969</v>
      </c>
      <c r="R1907">
        <v>2541969</v>
      </c>
      <c r="S1907">
        <v>0</v>
      </c>
      <c r="T1907">
        <v>0</v>
      </c>
      <c r="U1907" t="s">
        <v>173</v>
      </c>
      <c r="V1907">
        <v>0</v>
      </c>
      <c r="W1907" t="s">
        <v>174</v>
      </c>
      <c r="X1907">
        <v>0</v>
      </c>
      <c r="Z1907" t="s">
        <v>173</v>
      </c>
      <c r="AA1907" t="s">
        <v>173</v>
      </c>
    </row>
    <row r="1908" spans="1:27" x14ac:dyDescent="0.3">
      <c r="A1908">
        <v>1907</v>
      </c>
      <c r="B1908" t="s">
        <v>169</v>
      </c>
      <c r="C1908">
        <v>99019875</v>
      </c>
      <c r="D1908" s="7" t="s">
        <v>110</v>
      </c>
      <c r="E1908" t="s">
        <v>179</v>
      </c>
      <c r="F1908" t="s">
        <v>170</v>
      </c>
      <c r="G1908" t="s">
        <v>171</v>
      </c>
      <c r="H1908">
        <v>3</v>
      </c>
      <c r="I1908">
        <v>0</v>
      </c>
      <c r="J1908">
        <v>3</v>
      </c>
      <c r="K1908" s="133">
        <v>48355</v>
      </c>
      <c r="L1908" s="133">
        <v>48355</v>
      </c>
      <c r="M1908" s="150">
        <v>0.62408564814814815</v>
      </c>
      <c r="N1908" s="150">
        <v>0.62416666666666665</v>
      </c>
      <c r="O1908" t="s">
        <v>172</v>
      </c>
      <c r="Q1908">
        <v>2541971</v>
      </c>
      <c r="R1908">
        <v>2541971</v>
      </c>
      <c r="S1908">
        <v>0</v>
      </c>
      <c r="T1908">
        <v>0</v>
      </c>
      <c r="U1908" t="s">
        <v>173</v>
      </c>
      <c r="V1908">
        <v>0</v>
      </c>
      <c r="W1908" t="s">
        <v>174</v>
      </c>
      <c r="X1908">
        <v>0</v>
      </c>
      <c r="Z1908" t="s">
        <v>173</v>
      </c>
      <c r="AA1908" t="s">
        <v>173</v>
      </c>
    </row>
    <row r="1909" spans="1:27" x14ac:dyDescent="0.3">
      <c r="A1909">
        <v>1908</v>
      </c>
      <c r="B1909" t="s">
        <v>169</v>
      </c>
      <c r="C1909">
        <v>99019875</v>
      </c>
      <c r="D1909" s="7" t="s">
        <v>89</v>
      </c>
      <c r="E1909" t="s">
        <v>90</v>
      </c>
      <c r="F1909" t="s">
        <v>176</v>
      </c>
      <c r="G1909" t="s">
        <v>171</v>
      </c>
      <c r="H1909">
        <v>30</v>
      </c>
      <c r="I1909">
        <v>0</v>
      </c>
      <c r="J1909">
        <v>30</v>
      </c>
      <c r="K1909" s="133">
        <v>3080</v>
      </c>
      <c r="L1909" s="133">
        <v>3080</v>
      </c>
      <c r="M1909" s="150">
        <v>0.62408564814814815</v>
      </c>
      <c r="N1909" s="150">
        <v>0.62429398148148152</v>
      </c>
      <c r="O1909" t="s">
        <v>172</v>
      </c>
      <c r="Q1909">
        <v>2541972</v>
      </c>
      <c r="R1909">
        <v>2541972</v>
      </c>
      <c r="S1909">
        <v>0</v>
      </c>
      <c r="T1909">
        <v>0</v>
      </c>
      <c r="U1909" t="s">
        <v>173</v>
      </c>
      <c r="V1909">
        <v>0</v>
      </c>
      <c r="W1909" t="s">
        <v>174</v>
      </c>
      <c r="X1909">
        <v>0</v>
      </c>
      <c r="Z1909" t="s">
        <v>173</v>
      </c>
      <c r="AA1909" t="s">
        <v>173</v>
      </c>
    </row>
    <row r="1910" spans="1:27" x14ac:dyDescent="0.3">
      <c r="A1910">
        <v>1909</v>
      </c>
      <c r="B1910" t="s">
        <v>169</v>
      </c>
      <c r="C1910">
        <v>99019875</v>
      </c>
      <c r="D1910" s="7" t="s">
        <v>98</v>
      </c>
      <c r="E1910" t="s">
        <v>99</v>
      </c>
      <c r="F1910" t="s">
        <v>170</v>
      </c>
      <c r="G1910" t="s">
        <v>171</v>
      </c>
      <c r="H1910">
        <v>38</v>
      </c>
      <c r="I1910">
        <v>0</v>
      </c>
      <c r="J1910">
        <v>38</v>
      </c>
      <c r="K1910" s="133">
        <v>14240</v>
      </c>
      <c r="L1910" s="133">
        <v>14240</v>
      </c>
      <c r="M1910" s="150">
        <v>0.62408564814814815</v>
      </c>
      <c r="N1910" s="150">
        <v>0.62495370370370373</v>
      </c>
      <c r="O1910" t="s">
        <v>172</v>
      </c>
      <c r="Q1910">
        <v>2541979</v>
      </c>
      <c r="R1910">
        <v>2541979</v>
      </c>
      <c r="S1910">
        <v>0</v>
      </c>
      <c r="T1910">
        <v>0</v>
      </c>
      <c r="U1910" t="s">
        <v>173</v>
      </c>
      <c r="V1910">
        <v>0</v>
      </c>
      <c r="W1910" t="s">
        <v>174</v>
      </c>
      <c r="X1910">
        <v>0</v>
      </c>
      <c r="Z1910" t="s">
        <v>173</v>
      </c>
      <c r="AA1910" t="s">
        <v>173</v>
      </c>
    </row>
    <row r="1911" spans="1:27" x14ac:dyDescent="0.3">
      <c r="A1911">
        <v>1910</v>
      </c>
      <c r="B1911" t="s">
        <v>169</v>
      </c>
      <c r="C1911">
        <v>99019875</v>
      </c>
      <c r="D1911" s="7" t="s">
        <v>77</v>
      </c>
      <c r="E1911" t="s">
        <v>78</v>
      </c>
      <c r="F1911" t="s">
        <v>170</v>
      </c>
      <c r="G1911" t="s">
        <v>171</v>
      </c>
      <c r="H1911">
        <v>74</v>
      </c>
      <c r="I1911">
        <v>0</v>
      </c>
      <c r="J1911">
        <v>74</v>
      </c>
      <c r="K1911" s="133">
        <v>7330</v>
      </c>
      <c r="L1911" s="133">
        <v>7330</v>
      </c>
      <c r="M1911" s="150">
        <v>0.62408564814814815</v>
      </c>
      <c r="N1911" s="150">
        <v>0.62449074074074074</v>
      </c>
      <c r="O1911" t="s">
        <v>172</v>
      </c>
      <c r="Q1911">
        <v>2541980</v>
      </c>
      <c r="R1911">
        <v>2541980</v>
      </c>
      <c r="S1911">
        <v>0</v>
      </c>
      <c r="T1911">
        <v>0</v>
      </c>
      <c r="U1911" t="s">
        <v>173</v>
      </c>
      <c r="V1911">
        <v>0</v>
      </c>
      <c r="W1911" t="s">
        <v>174</v>
      </c>
      <c r="X1911">
        <v>0</v>
      </c>
      <c r="Z1911" t="s">
        <v>173</v>
      </c>
      <c r="AA1911" t="s">
        <v>173</v>
      </c>
    </row>
    <row r="1912" spans="1:27" x14ac:dyDescent="0.3">
      <c r="A1912">
        <v>1911</v>
      </c>
      <c r="B1912" t="s">
        <v>169</v>
      </c>
      <c r="C1912">
        <v>99019875</v>
      </c>
      <c r="D1912" s="7" t="s">
        <v>71</v>
      </c>
      <c r="E1912" t="s">
        <v>72</v>
      </c>
      <c r="F1912" t="s">
        <v>176</v>
      </c>
      <c r="G1912" t="s">
        <v>171</v>
      </c>
      <c r="H1912">
        <v>19</v>
      </c>
      <c r="I1912">
        <v>0</v>
      </c>
      <c r="J1912">
        <v>19</v>
      </c>
      <c r="K1912" s="133">
        <v>17965</v>
      </c>
      <c r="L1912" s="133">
        <v>17965</v>
      </c>
      <c r="M1912" s="150">
        <v>0.62408564814814815</v>
      </c>
      <c r="N1912" s="150">
        <v>0.62418981481481484</v>
      </c>
      <c r="O1912" t="s">
        <v>172</v>
      </c>
      <c r="Q1912">
        <v>2541981</v>
      </c>
      <c r="R1912">
        <v>2541981</v>
      </c>
      <c r="S1912">
        <v>0</v>
      </c>
      <c r="T1912">
        <v>0</v>
      </c>
      <c r="U1912" t="s">
        <v>173</v>
      </c>
      <c r="V1912">
        <v>0</v>
      </c>
      <c r="W1912" t="s">
        <v>174</v>
      </c>
      <c r="X1912">
        <v>0</v>
      </c>
      <c r="Z1912" t="s">
        <v>173</v>
      </c>
      <c r="AA1912" t="s">
        <v>173</v>
      </c>
    </row>
    <row r="1913" spans="1:27" x14ac:dyDescent="0.3">
      <c r="A1913">
        <v>1912</v>
      </c>
      <c r="B1913" t="s">
        <v>169</v>
      </c>
      <c r="C1913">
        <v>99019875</v>
      </c>
      <c r="D1913" s="7" t="s">
        <v>65</v>
      </c>
      <c r="E1913" t="s">
        <v>66</v>
      </c>
      <c r="F1913" t="s">
        <v>176</v>
      </c>
      <c r="G1913" t="s">
        <v>171</v>
      </c>
      <c r="H1913">
        <v>57</v>
      </c>
      <c r="I1913">
        <v>0</v>
      </c>
      <c r="J1913">
        <v>57</v>
      </c>
      <c r="K1913" s="133">
        <v>4735</v>
      </c>
      <c r="L1913" s="133">
        <v>4735</v>
      </c>
      <c r="M1913" s="150">
        <v>0.62408564814814815</v>
      </c>
      <c r="N1913" s="150">
        <v>0.625</v>
      </c>
      <c r="O1913" t="s">
        <v>172</v>
      </c>
      <c r="Q1913">
        <v>2541982</v>
      </c>
      <c r="R1913">
        <v>2541982</v>
      </c>
      <c r="S1913">
        <v>0</v>
      </c>
      <c r="T1913">
        <v>0</v>
      </c>
      <c r="U1913" t="s">
        <v>173</v>
      </c>
      <c r="V1913">
        <v>0</v>
      </c>
      <c r="W1913" t="s">
        <v>174</v>
      </c>
      <c r="X1913">
        <v>0</v>
      </c>
      <c r="Z1913" t="s">
        <v>173</v>
      </c>
      <c r="AA1913" t="s">
        <v>173</v>
      </c>
    </row>
    <row r="1914" spans="1:27" x14ac:dyDescent="0.3">
      <c r="A1914">
        <v>1913</v>
      </c>
      <c r="B1914" t="s">
        <v>169</v>
      </c>
      <c r="C1914">
        <v>99019875</v>
      </c>
      <c r="D1914" s="7" t="s">
        <v>140</v>
      </c>
      <c r="E1914" t="s">
        <v>178</v>
      </c>
      <c r="F1914" t="s">
        <v>170</v>
      </c>
      <c r="G1914" t="s">
        <v>171</v>
      </c>
      <c r="H1914">
        <v>20</v>
      </c>
      <c r="I1914">
        <v>0</v>
      </c>
      <c r="J1914">
        <v>20</v>
      </c>
      <c r="K1914" s="133">
        <v>8610</v>
      </c>
      <c r="L1914" s="133">
        <v>8610</v>
      </c>
      <c r="M1914" s="150">
        <v>0.62408564814814815</v>
      </c>
      <c r="N1914" s="150">
        <v>0.6244791666666667</v>
      </c>
      <c r="O1914" t="s">
        <v>172</v>
      </c>
      <c r="Q1914">
        <v>2541985</v>
      </c>
      <c r="R1914">
        <v>2541985</v>
      </c>
      <c r="S1914">
        <v>0</v>
      </c>
      <c r="T1914">
        <v>0</v>
      </c>
      <c r="U1914" t="s">
        <v>173</v>
      </c>
      <c r="V1914">
        <v>0</v>
      </c>
      <c r="W1914" t="s">
        <v>174</v>
      </c>
      <c r="X1914">
        <v>0</v>
      </c>
      <c r="Z1914" t="s">
        <v>173</v>
      </c>
      <c r="AA1914" t="s">
        <v>173</v>
      </c>
    </row>
    <row r="1915" spans="1:27" x14ac:dyDescent="0.3">
      <c r="A1915">
        <v>1914</v>
      </c>
      <c r="B1915" t="s">
        <v>169</v>
      </c>
      <c r="C1915">
        <v>99019875</v>
      </c>
      <c r="D1915" s="7" t="s">
        <v>67</v>
      </c>
      <c r="E1915" t="s">
        <v>68</v>
      </c>
      <c r="F1915" t="s">
        <v>170</v>
      </c>
      <c r="G1915" t="s">
        <v>177</v>
      </c>
      <c r="H1915">
        <v>35</v>
      </c>
      <c r="I1915">
        <v>0</v>
      </c>
      <c r="J1915">
        <v>35</v>
      </c>
      <c r="K1915" s="133">
        <v>4785</v>
      </c>
      <c r="L1915" s="133">
        <v>4785</v>
      </c>
      <c r="M1915" s="150">
        <v>0.62408564814814815</v>
      </c>
      <c r="N1915" s="150">
        <v>0.62503472222222223</v>
      </c>
      <c r="O1915" t="s">
        <v>172</v>
      </c>
      <c r="Q1915">
        <v>2541990</v>
      </c>
      <c r="R1915">
        <v>2541990</v>
      </c>
      <c r="S1915">
        <v>2541970</v>
      </c>
      <c r="T1915">
        <v>0</v>
      </c>
      <c r="U1915" t="s">
        <v>173</v>
      </c>
      <c r="V1915">
        <v>0</v>
      </c>
      <c r="W1915" t="s">
        <v>174</v>
      </c>
      <c r="X1915">
        <v>2541970</v>
      </c>
      <c r="Z1915" t="s">
        <v>173</v>
      </c>
      <c r="AA1915" t="s">
        <v>173</v>
      </c>
    </row>
    <row r="1916" spans="1:27" x14ac:dyDescent="0.3">
      <c r="A1916">
        <v>1915</v>
      </c>
      <c r="B1916" t="s">
        <v>169</v>
      </c>
      <c r="C1916">
        <v>99019875</v>
      </c>
      <c r="D1916" s="7" t="s">
        <v>122</v>
      </c>
      <c r="E1916" t="s">
        <v>123</v>
      </c>
      <c r="F1916" t="s">
        <v>170</v>
      </c>
      <c r="G1916" t="s">
        <v>177</v>
      </c>
      <c r="H1916">
        <v>20</v>
      </c>
      <c r="I1916">
        <v>0</v>
      </c>
      <c r="J1916">
        <v>20</v>
      </c>
      <c r="K1916" s="133">
        <v>36000</v>
      </c>
      <c r="L1916" s="133">
        <v>36000</v>
      </c>
      <c r="M1916" s="150">
        <v>0.62408564814814815</v>
      </c>
      <c r="N1916" s="150">
        <v>0.62409722222222219</v>
      </c>
      <c r="O1916" t="s">
        <v>172</v>
      </c>
      <c r="Q1916">
        <v>2542006</v>
      </c>
      <c r="R1916">
        <v>2542006</v>
      </c>
      <c r="S1916">
        <v>2541978</v>
      </c>
      <c r="T1916">
        <v>0</v>
      </c>
      <c r="U1916" t="s">
        <v>173</v>
      </c>
      <c r="V1916">
        <v>0</v>
      </c>
      <c r="W1916" t="s">
        <v>174</v>
      </c>
      <c r="X1916">
        <v>2541978</v>
      </c>
      <c r="Z1916" t="s">
        <v>173</v>
      </c>
      <c r="AA1916" t="s">
        <v>173</v>
      </c>
    </row>
    <row r="1917" spans="1:27" x14ac:dyDescent="0.3">
      <c r="A1917">
        <v>1916</v>
      </c>
      <c r="B1917" t="s">
        <v>169</v>
      </c>
      <c r="C1917">
        <v>99019875</v>
      </c>
      <c r="D1917" s="7" t="s">
        <v>87</v>
      </c>
      <c r="E1917" t="s">
        <v>88</v>
      </c>
      <c r="F1917" t="s">
        <v>170</v>
      </c>
      <c r="G1917" t="s">
        <v>177</v>
      </c>
      <c r="H1917">
        <v>5</v>
      </c>
      <c r="I1917">
        <v>0</v>
      </c>
      <c r="J1917">
        <v>5</v>
      </c>
      <c r="K1917" s="133">
        <v>12120</v>
      </c>
      <c r="L1917" s="133">
        <v>12120</v>
      </c>
      <c r="M1917" s="150">
        <v>0.62409722222222219</v>
      </c>
      <c r="N1917" s="150">
        <v>0.62415509259259261</v>
      </c>
      <c r="O1917" t="s">
        <v>172</v>
      </c>
      <c r="Q1917">
        <v>2542061</v>
      </c>
      <c r="R1917">
        <v>2542061</v>
      </c>
      <c r="S1917">
        <v>2540634</v>
      </c>
      <c r="T1917">
        <v>0</v>
      </c>
      <c r="U1917" t="s">
        <v>173</v>
      </c>
      <c r="V1917">
        <v>0</v>
      </c>
      <c r="W1917" t="s">
        <v>174</v>
      </c>
      <c r="X1917">
        <v>2540634</v>
      </c>
      <c r="Z1917" t="s">
        <v>173</v>
      </c>
      <c r="AA1917" t="s">
        <v>173</v>
      </c>
    </row>
    <row r="1918" spans="1:27" x14ac:dyDescent="0.3">
      <c r="A1918">
        <v>1917</v>
      </c>
      <c r="B1918" t="s">
        <v>169</v>
      </c>
      <c r="C1918">
        <v>99019875</v>
      </c>
      <c r="D1918" s="7" t="s">
        <v>87</v>
      </c>
      <c r="E1918" t="s">
        <v>88</v>
      </c>
      <c r="F1918" t="s">
        <v>170</v>
      </c>
      <c r="G1918" t="s">
        <v>177</v>
      </c>
      <c r="H1918">
        <v>6</v>
      </c>
      <c r="I1918">
        <v>0</v>
      </c>
      <c r="J1918">
        <v>6</v>
      </c>
      <c r="K1918" s="133">
        <v>12120</v>
      </c>
      <c r="L1918" s="133">
        <v>12120</v>
      </c>
      <c r="M1918" s="150">
        <v>0.62409722222222219</v>
      </c>
      <c r="N1918" s="150">
        <v>0.62439814814814809</v>
      </c>
      <c r="O1918" t="s">
        <v>172</v>
      </c>
      <c r="Q1918">
        <v>2542062</v>
      </c>
      <c r="R1918">
        <v>2542062</v>
      </c>
      <c r="S1918">
        <v>2541974</v>
      </c>
      <c r="T1918">
        <v>0</v>
      </c>
      <c r="U1918" t="s">
        <v>173</v>
      </c>
      <c r="V1918">
        <v>0</v>
      </c>
      <c r="W1918" t="s">
        <v>174</v>
      </c>
      <c r="X1918">
        <v>2541974</v>
      </c>
      <c r="Z1918" t="s">
        <v>173</v>
      </c>
      <c r="AA1918" t="s">
        <v>173</v>
      </c>
    </row>
    <row r="1919" spans="1:27" x14ac:dyDescent="0.3">
      <c r="A1919">
        <v>1918</v>
      </c>
      <c r="B1919" t="s">
        <v>169</v>
      </c>
      <c r="C1919">
        <v>99019875</v>
      </c>
      <c r="D1919" s="7" t="s">
        <v>69</v>
      </c>
      <c r="E1919" t="s">
        <v>70</v>
      </c>
      <c r="F1919" t="s">
        <v>170</v>
      </c>
      <c r="G1919" t="s">
        <v>177</v>
      </c>
      <c r="H1919">
        <v>17</v>
      </c>
      <c r="I1919">
        <v>0</v>
      </c>
      <c r="J1919">
        <v>17</v>
      </c>
      <c r="K1919" s="133">
        <v>10205</v>
      </c>
      <c r="L1919" s="133">
        <v>10205</v>
      </c>
      <c r="M1919" s="150">
        <v>0.62409722222222219</v>
      </c>
      <c r="N1919" s="150">
        <v>0.62414351851851857</v>
      </c>
      <c r="O1919" t="s">
        <v>172</v>
      </c>
      <c r="Q1919">
        <v>2542065</v>
      </c>
      <c r="R1919">
        <v>2542065</v>
      </c>
      <c r="S1919">
        <v>2541986</v>
      </c>
      <c r="T1919">
        <v>0</v>
      </c>
      <c r="U1919" t="s">
        <v>173</v>
      </c>
      <c r="V1919">
        <v>0</v>
      </c>
      <c r="W1919" t="s">
        <v>174</v>
      </c>
      <c r="X1919">
        <v>2541986</v>
      </c>
      <c r="Z1919" t="s">
        <v>173</v>
      </c>
      <c r="AA1919" t="s">
        <v>173</v>
      </c>
    </row>
    <row r="1920" spans="1:27" x14ac:dyDescent="0.3">
      <c r="A1920">
        <v>1919</v>
      </c>
      <c r="B1920" t="s">
        <v>169</v>
      </c>
      <c r="C1920">
        <v>99019875</v>
      </c>
      <c r="D1920" s="7" t="s">
        <v>75</v>
      </c>
      <c r="E1920" t="s">
        <v>76</v>
      </c>
      <c r="F1920" t="s">
        <v>170</v>
      </c>
      <c r="G1920" t="s">
        <v>177</v>
      </c>
      <c r="H1920">
        <v>83</v>
      </c>
      <c r="I1920">
        <v>0</v>
      </c>
      <c r="J1920">
        <v>4</v>
      </c>
      <c r="K1920" s="133">
        <v>20740</v>
      </c>
      <c r="L1920" s="133">
        <v>20740</v>
      </c>
      <c r="M1920" s="150">
        <v>0.62413194444444442</v>
      </c>
      <c r="N1920" s="150">
        <v>0.62446759259259255</v>
      </c>
      <c r="O1920" t="s">
        <v>172</v>
      </c>
      <c r="Q1920">
        <v>2542225</v>
      </c>
      <c r="R1920">
        <v>2542225</v>
      </c>
      <c r="S1920">
        <v>2541968</v>
      </c>
      <c r="T1920">
        <v>79</v>
      </c>
      <c r="U1920" t="s">
        <v>173</v>
      </c>
      <c r="V1920">
        <v>0</v>
      </c>
      <c r="W1920" t="s">
        <v>174</v>
      </c>
      <c r="X1920">
        <v>2541968</v>
      </c>
      <c r="Z1920" t="s">
        <v>173</v>
      </c>
      <c r="AA1920" t="s">
        <v>173</v>
      </c>
    </row>
    <row r="1921" spans="1:27" x14ac:dyDescent="0.3">
      <c r="A1921">
        <v>1920</v>
      </c>
      <c r="B1921" t="s">
        <v>169</v>
      </c>
      <c r="C1921">
        <v>99019875</v>
      </c>
      <c r="D1921" s="7" t="s">
        <v>94</v>
      </c>
      <c r="E1921" t="s">
        <v>95</v>
      </c>
      <c r="F1921" t="s">
        <v>170</v>
      </c>
      <c r="G1921" t="s">
        <v>177</v>
      </c>
      <c r="H1921">
        <v>1</v>
      </c>
      <c r="I1921">
        <v>0</v>
      </c>
      <c r="J1921">
        <v>1</v>
      </c>
      <c r="K1921" s="133">
        <v>21935</v>
      </c>
      <c r="L1921" s="133">
        <v>21935</v>
      </c>
      <c r="M1921" s="150">
        <v>0.62413194444444442</v>
      </c>
      <c r="N1921" s="150">
        <v>0.62434027777777779</v>
      </c>
      <c r="O1921" t="s">
        <v>172</v>
      </c>
      <c r="Q1921">
        <v>2542233</v>
      </c>
      <c r="R1921">
        <v>2542233</v>
      </c>
      <c r="S1921">
        <v>2541561</v>
      </c>
      <c r="T1921">
        <v>0</v>
      </c>
      <c r="U1921" t="s">
        <v>173</v>
      </c>
      <c r="V1921">
        <v>0</v>
      </c>
      <c r="W1921" t="s">
        <v>174</v>
      </c>
      <c r="X1921">
        <v>2541561</v>
      </c>
      <c r="Z1921" t="s">
        <v>173</v>
      </c>
      <c r="AA1921" t="s">
        <v>173</v>
      </c>
    </row>
    <row r="1922" spans="1:27" x14ac:dyDescent="0.3">
      <c r="A1922">
        <v>1921</v>
      </c>
      <c r="B1922" t="s">
        <v>169</v>
      </c>
      <c r="C1922">
        <v>99019875</v>
      </c>
      <c r="D1922" s="7" t="s">
        <v>128</v>
      </c>
      <c r="E1922" t="s">
        <v>129</v>
      </c>
      <c r="F1922" t="s">
        <v>170</v>
      </c>
      <c r="G1922" t="s">
        <v>171</v>
      </c>
      <c r="H1922">
        <v>1</v>
      </c>
      <c r="I1922">
        <v>0</v>
      </c>
      <c r="J1922">
        <v>1</v>
      </c>
      <c r="K1922" s="133">
        <v>6490</v>
      </c>
      <c r="L1922" s="133">
        <v>6490</v>
      </c>
      <c r="M1922" s="150">
        <v>0.62415509259259261</v>
      </c>
      <c r="N1922" s="150">
        <v>0.62710648148148151</v>
      </c>
      <c r="O1922" t="s">
        <v>172</v>
      </c>
      <c r="Q1922">
        <v>2542301</v>
      </c>
      <c r="R1922">
        <v>2542301</v>
      </c>
      <c r="S1922">
        <v>0</v>
      </c>
      <c r="T1922">
        <v>0</v>
      </c>
      <c r="U1922" t="s">
        <v>173</v>
      </c>
      <c r="V1922">
        <v>0</v>
      </c>
      <c r="W1922" t="s">
        <v>174</v>
      </c>
      <c r="X1922">
        <v>0</v>
      </c>
      <c r="Z1922" t="s">
        <v>173</v>
      </c>
      <c r="AA1922" t="s">
        <v>173</v>
      </c>
    </row>
    <row r="1923" spans="1:27" x14ac:dyDescent="0.3">
      <c r="A1923">
        <v>1922</v>
      </c>
      <c r="B1923" t="s">
        <v>169</v>
      </c>
      <c r="C1923">
        <v>99019875</v>
      </c>
      <c r="D1923" s="7" t="s">
        <v>126</v>
      </c>
      <c r="E1923" t="s">
        <v>127</v>
      </c>
      <c r="F1923" t="s">
        <v>176</v>
      </c>
      <c r="G1923" t="s">
        <v>177</v>
      </c>
      <c r="H1923">
        <v>2</v>
      </c>
      <c r="I1923">
        <v>0</v>
      </c>
      <c r="J1923">
        <v>2</v>
      </c>
      <c r="K1923" s="133">
        <v>12305</v>
      </c>
      <c r="L1923" s="133">
        <v>12305</v>
      </c>
      <c r="M1923" s="150">
        <v>0.62437500000000001</v>
      </c>
      <c r="N1923" s="150">
        <v>0.62494212962962969</v>
      </c>
      <c r="O1923" t="s">
        <v>172</v>
      </c>
      <c r="Q1923">
        <v>2543134</v>
      </c>
      <c r="R1923">
        <v>2543134</v>
      </c>
      <c r="S1923">
        <v>2540826</v>
      </c>
      <c r="T1923">
        <v>0</v>
      </c>
      <c r="U1923" t="s">
        <v>173</v>
      </c>
      <c r="V1923">
        <v>0</v>
      </c>
      <c r="W1923" t="s">
        <v>174</v>
      </c>
      <c r="X1923">
        <v>2540826</v>
      </c>
      <c r="Z1923" t="s">
        <v>173</v>
      </c>
      <c r="AA1923" t="s">
        <v>173</v>
      </c>
    </row>
    <row r="1924" spans="1:27" x14ac:dyDescent="0.3">
      <c r="A1924">
        <v>1923</v>
      </c>
      <c r="B1924" t="s">
        <v>169</v>
      </c>
      <c r="C1924">
        <v>99019875</v>
      </c>
      <c r="D1924" s="7" t="s">
        <v>126</v>
      </c>
      <c r="E1924" t="s">
        <v>127</v>
      </c>
      <c r="F1924" t="s">
        <v>176</v>
      </c>
      <c r="G1924" t="s">
        <v>177</v>
      </c>
      <c r="H1924">
        <v>1</v>
      </c>
      <c r="I1924">
        <v>0</v>
      </c>
      <c r="J1924">
        <v>1</v>
      </c>
      <c r="K1924" s="133">
        <v>12305</v>
      </c>
      <c r="L1924" s="133">
        <v>12305</v>
      </c>
      <c r="M1924" s="150">
        <v>0.62437500000000001</v>
      </c>
      <c r="N1924" s="150">
        <v>0.62494212962962969</v>
      </c>
      <c r="O1924" t="s">
        <v>172</v>
      </c>
      <c r="Q1924">
        <v>2543135</v>
      </c>
      <c r="R1924">
        <v>2543135</v>
      </c>
      <c r="S1924">
        <v>2540827</v>
      </c>
      <c r="T1924">
        <v>0</v>
      </c>
      <c r="U1924" t="s">
        <v>173</v>
      </c>
      <c r="V1924">
        <v>0</v>
      </c>
      <c r="W1924" t="s">
        <v>174</v>
      </c>
      <c r="X1924">
        <v>2540827</v>
      </c>
      <c r="Z1924" t="s">
        <v>173</v>
      </c>
      <c r="AA1924" t="s">
        <v>173</v>
      </c>
    </row>
    <row r="1925" spans="1:27" x14ac:dyDescent="0.3">
      <c r="A1925">
        <v>1924</v>
      </c>
      <c r="B1925" t="s">
        <v>169</v>
      </c>
      <c r="C1925">
        <v>99019875</v>
      </c>
      <c r="D1925" s="7" t="s">
        <v>126</v>
      </c>
      <c r="E1925" t="s">
        <v>127</v>
      </c>
      <c r="F1925" t="s">
        <v>176</v>
      </c>
      <c r="G1925" t="s">
        <v>177</v>
      </c>
      <c r="H1925">
        <v>2</v>
      </c>
      <c r="I1925">
        <v>0</v>
      </c>
      <c r="J1925">
        <v>2</v>
      </c>
      <c r="K1925" s="133">
        <v>12305</v>
      </c>
      <c r="L1925" s="133">
        <v>12305</v>
      </c>
      <c r="M1925" s="150">
        <v>0.62437500000000001</v>
      </c>
      <c r="N1925" s="150">
        <v>0.62494212962962969</v>
      </c>
      <c r="O1925" t="s">
        <v>172</v>
      </c>
      <c r="Q1925">
        <v>2543136</v>
      </c>
      <c r="R1925">
        <v>2543136</v>
      </c>
      <c r="S1925">
        <v>2540828</v>
      </c>
      <c r="T1925">
        <v>0</v>
      </c>
      <c r="U1925" t="s">
        <v>173</v>
      </c>
      <c r="V1925">
        <v>0</v>
      </c>
      <c r="W1925" t="s">
        <v>174</v>
      </c>
      <c r="X1925">
        <v>2540828</v>
      </c>
      <c r="Z1925" t="s">
        <v>173</v>
      </c>
      <c r="AA1925" t="s">
        <v>173</v>
      </c>
    </row>
    <row r="1926" spans="1:27" x14ac:dyDescent="0.3">
      <c r="A1926">
        <v>1925</v>
      </c>
      <c r="B1926" t="s">
        <v>169</v>
      </c>
      <c r="C1926">
        <v>99019875</v>
      </c>
      <c r="D1926" s="7" t="s">
        <v>126</v>
      </c>
      <c r="E1926" t="s">
        <v>127</v>
      </c>
      <c r="F1926" t="s">
        <v>176</v>
      </c>
      <c r="G1926" t="s">
        <v>177</v>
      </c>
      <c r="H1926">
        <v>1</v>
      </c>
      <c r="I1926">
        <v>0</v>
      </c>
      <c r="J1926">
        <v>1</v>
      </c>
      <c r="K1926" s="133">
        <v>12305</v>
      </c>
      <c r="L1926" s="133">
        <v>12305</v>
      </c>
      <c r="M1926" s="150">
        <v>0.62437500000000001</v>
      </c>
      <c r="N1926" s="150">
        <v>0.62494212962962969</v>
      </c>
      <c r="O1926" t="s">
        <v>172</v>
      </c>
      <c r="Q1926">
        <v>2543137</v>
      </c>
      <c r="R1926">
        <v>2543137</v>
      </c>
      <c r="S1926">
        <v>2540829</v>
      </c>
      <c r="T1926">
        <v>0</v>
      </c>
      <c r="U1926" t="s">
        <v>173</v>
      </c>
      <c r="V1926">
        <v>0</v>
      </c>
      <c r="W1926" t="s">
        <v>174</v>
      </c>
      <c r="X1926">
        <v>2540829</v>
      </c>
      <c r="Z1926" t="s">
        <v>173</v>
      </c>
      <c r="AA1926" t="s">
        <v>173</v>
      </c>
    </row>
    <row r="1927" spans="1:27" x14ac:dyDescent="0.3">
      <c r="A1927">
        <v>1926</v>
      </c>
      <c r="B1927" t="s">
        <v>169</v>
      </c>
      <c r="C1927">
        <v>99019875</v>
      </c>
      <c r="D1927" s="7" t="s">
        <v>126</v>
      </c>
      <c r="E1927" t="s">
        <v>127</v>
      </c>
      <c r="F1927" t="s">
        <v>176</v>
      </c>
      <c r="G1927" t="s">
        <v>177</v>
      </c>
      <c r="H1927">
        <v>2</v>
      </c>
      <c r="I1927">
        <v>0</v>
      </c>
      <c r="J1927">
        <v>2</v>
      </c>
      <c r="K1927" s="133">
        <v>12305</v>
      </c>
      <c r="L1927" s="133">
        <v>12305</v>
      </c>
      <c r="M1927" s="150">
        <v>0.62437500000000001</v>
      </c>
      <c r="N1927" s="150">
        <v>0.62494212962962969</v>
      </c>
      <c r="O1927" t="s">
        <v>172</v>
      </c>
      <c r="Q1927">
        <v>2543138</v>
      </c>
      <c r="R1927">
        <v>2543138</v>
      </c>
      <c r="S1927">
        <v>2540830</v>
      </c>
      <c r="T1927">
        <v>0</v>
      </c>
      <c r="U1927" t="s">
        <v>173</v>
      </c>
      <c r="V1927">
        <v>0</v>
      </c>
      <c r="W1927" t="s">
        <v>174</v>
      </c>
      <c r="X1927">
        <v>2540830</v>
      </c>
      <c r="Z1927" t="s">
        <v>173</v>
      </c>
      <c r="AA1927" t="s">
        <v>173</v>
      </c>
    </row>
    <row r="1928" spans="1:27" x14ac:dyDescent="0.3">
      <c r="A1928">
        <v>1927</v>
      </c>
      <c r="B1928" t="s">
        <v>169</v>
      </c>
      <c r="C1928">
        <v>99019875</v>
      </c>
      <c r="D1928" s="7" t="s">
        <v>126</v>
      </c>
      <c r="E1928" t="s">
        <v>127</v>
      </c>
      <c r="F1928" t="s">
        <v>176</v>
      </c>
      <c r="G1928" t="s">
        <v>177</v>
      </c>
      <c r="H1928">
        <v>1</v>
      </c>
      <c r="I1928">
        <v>0</v>
      </c>
      <c r="J1928">
        <v>1</v>
      </c>
      <c r="K1928" s="133">
        <v>12305</v>
      </c>
      <c r="L1928" s="133">
        <v>12305</v>
      </c>
      <c r="M1928" s="150">
        <v>0.62437500000000001</v>
      </c>
      <c r="N1928" s="150">
        <v>0.62494212962962969</v>
      </c>
      <c r="O1928" t="s">
        <v>172</v>
      </c>
      <c r="Q1928">
        <v>2543139</v>
      </c>
      <c r="R1928">
        <v>2543139</v>
      </c>
      <c r="S1928">
        <v>2540831</v>
      </c>
      <c r="T1928">
        <v>0</v>
      </c>
      <c r="U1928" t="s">
        <v>173</v>
      </c>
      <c r="V1928">
        <v>0</v>
      </c>
      <c r="W1928" t="s">
        <v>174</v>
      </c>
      <c r="X1928">
        <v>2540831</v>
      </c>
      <c r="Z1928" t="s">
        <v>173</v>
      </c>
      <c r="AA1928" t="s">
        <v>173</v>
      </c>
    </row>
    <row r="1929" spans="1:27" x14ac:dyDescent="0.3">
      <c r="A1929">
        <v>1928</v>
      </c>
      <c r="B1929" t="s">
        <v>169</v>
      </c>
      <c r="C1929">
        <v>99019875</v>
      </c>
      <c r="D1929" s="7" t="s">
        <v>126</v>
      </c>
      <c r="E1929" t="s">
        <v>127</v>
      </c>
      <c r="F1929" t="s">
        <v>176</v>
      </c>
      <c r="G1929" t="s">
        <v>177</v>
      </c>
      <c r="H1929">
        <v>2</v>
      </c>
      <c r="I1929">
        <v>0</v>
      </c>
      <c r="J1929">
        <v>2</v>
      </c>
      <c r="K1929" s="133">
        <v>12305</v>
      </c>
      <c r="L1929" s="133">
        <v>12305</v>
      </c>
      <c r="M1929" s="150">
        <v>0.62437500000000001</v>
      </c>
      <c r="N1929" s="150">
        <v>0.62494212962962969</v>
      </c>
      <c r="O1929" t="s">
        <v>172</v>
      </c>
      <c r="Q1929">
        <v>2543140</v>
      </c>
      <c r="R1929">
        <v>2543140</v>
      </c>
      <c r="S1929">
        <v>2540832</v>
      </c>
      <c r="T1929">
        <v>0</v>
      </c>
      <c r="U1929" t="s">
        <v>173</v>
      </c>
      <c r="V1929">
        <v>0</v>
      </c>
      <c r="W1929" t="s">
        <v>174</v>
      </c>
      <c r="X1929">
        <v>2540832</v>
      </c>
      <c r="Z1929" t="s">
        <v>173</v>
      </c>
      <c r="AA1929" t="s">
        <v>173</v>
      </c>
    </row>
    <row r="1930" spans="1:27" x14ac:dyDescent="0.3">
      <c r="A1930">
        <v>1929</v>
      </c>
      <c r="B1930" t="s">
        <v>169</v>
      </c>
      <c r="C1930">
        <v>99019875</v>
      </c>
      <c r="D1930" s="7" t="s">
        <v>126</v>
      </c>
      <c r="E1930" t="s">
        <v>127</v>
      </c>
      <c r="F1930" t="s">
        <v>176</v>
      </c>
      <c r="G1930" t="s">
        <v>177</v>
      </c>
      <c r="H1930">
        <v>1</v>
      </c>
      <c r="I1930">
        <v>0</v>
      </c>
      <c r="J1930">
        <v>1</v>
      </c>
      <c r="K1930" s="133">
        <v>12305</v>
      </c>
      <c r="L1930" s="133">
        <v>12305</v>
      </c>
      <c r="M1930" s="150">
        <v>0.62437500000000001</v>
      </c>
      <c r="N1930" s="150">
        <v>0.62494212962962969</v>
      </c>
      <c r="O1930" t="s">
        <v>172</v>
      </c>
      <c r="Q1930">
        <v>2543141</v>
      </c>
      <c r="R1930">
        <v>2543141</v>
      </c>
      <c r="S1930">
        <v>2540833</v>
      </c>
      <c r="T1930">
        <v>0</v>
      </c>
      <c r="U1930" t="s">
        <v>173</v>
      </c>
      <c r="V1930">
        <v>0</v>
      </c>
      <c r="W1930" t="s">
        <v>174</v>
      </c>
      <c r="X1930">
        <v>2540833</v>
      </c>
      <c r="Z1930" t="s">
        <v>173</v>
      </c>
      <c r="AA1930" t="s">
        <v>173</v>
      </c>
    </row>
    <row r="1931" spans="1:27" x14ac:dyDescent="0.3">
      <c r="A1931">
        <v>1930</v>
      </c>
      <c r="B1931" t="s">
        <v>169</v>
      </c>
      <c r="C1931">
        <v>99019875</v>
      </c>
      <c r="D1931" s="7" t="s">
        <v>126</v>
      </c>
      <c r="E1931" t="s">
        <v>127</v>
      </c>
      <c r="F1931" t="s">
        <v>176</v>
      </c>
      <c r="G1931" t="s">
        <v>177</v>
      </c>
      <c r="H1931">
        <v>2</v>
      </c>
      <c r="I1931">
        <v>0</v>
      </c>
      <c r="J1931">
        <v>2</v>
      </c>
      <c r="K1931" s="133">
        <v>12305</v>
      </c>
      <c r="L1931" s="133">
        <v>12305</v>
      </c>
      <c r="M1931" s="150">
        <v>0.62437500000000001</v>
      </c>
      <c r="N1931" s="150">
        <v>0.62494212962962969</v>
      </c>
      <c r="O1931" t="s">
        <v>172</v>
      </c>
      <c r="Q1931">
        <v>2543142</v>
      </c>
      <c r="R1931">
        <v>2543142</v>
      </c>
      <c r="S1931">
        <v>2540834</v>
      </c>
      <c r="T1931">
        <v>0</v>
      </c>
      <c r="U1931" t="s">
        <v>173</v>
      </c>
      <c r="V1931">
        <v>0</v>
      </c>
      <c r="W1931" t="s">
        <v>174</v>
      </c>
      <c r="X1931">
        <v>2540834</v>
      </c>
      <c r="Z1931" t="s">
        <v>173</v>
      </c>
      <c r="AA1931" t="s">
        <v>173</v>
      </c>
    </row>
    <row r="1932" spans="1:27" x14ac:dyDescent="0.3">
      <c r="A1932">
        <v>1931</v>
      </c>
      <c r="B1932" t="s">
        <v>169</v>
      </c>
      <c r="C1932">
        <v>99019875</v>
      </c>
      <c r="D1932" s="7" t="s">
        <v>126</v>
      </c>
      <c r="E1932" t="s">
        <v>127</v>
      </c>
      <c r="F1932" t="s">
        <v>176</v>
      </c>
      <c r="G1932" t="s">
        <v>177</v>
      </c>
      <c r="H1932">
        <v>1</v>
      </c>
      <c r="I1932">
        <v>0</v>
      </c>
      <c r="J1932">
        <v>1</v>
      </c>
      <c r="K1932" s="133">
        <v>12305</v>
      </c>
      <c r="L1932" s="133">
        <v>12305</v>
      </c>
      <c r="M1932" s="150">
        <v>0.62437500000000001</v>
      </c>
      <c r="N1932" s="150">
        <v>0.62494212962962969</v>
      </c>
      <c r="O1932" t="s">
        <v>172</v>
      </c>
      <c r="Q1932">
        <v>2543143</v>
      </c>
      <c r="R1932">
        <v>2543143</v>
      </c>
      <c r="S1932">
        <v>2540835</v>
      </c>
      <c r="T1932">
        <v>0</v>
      </c>
      <c r="U1932" t="s">
        <v>173</v>
      </c>
      <c r="V1932">
        <v>0</v>
      </c>
      <c r="W1932" t="s">
        <v>174</v>
      </c>
      <c r="X1932">
        <v>2540835</v>
      </c>
      <c r="Z1932" t="s">
        <v>173</v>
      </c>
      <c r="AA1932" t="s">
        <v>173</v>
      </c>
    </row>
    <row r="1933" spans="1:27" x14ac:dyDescent="0.3">
      <c r="A1933">
        <v>1932</v>
      </c>
      <c r="B1933" t="s">
        <v>169</v>
      </c>
      <c r="C1933">
        <v>99019875</v>
      </c>
      <c r="D1933" s="7" t="s">
        <v>126</v>
      </c>
      <c r="E1933" t="s">
        <v>127</v>
      </c>
      <c r="F1933" t="s">
        <v>176</v>
      </c>
      <c r="G1933" t="s">
        <v>177</v>
      </c>
      <c r="H1933">
        <v>2</v>
      </c>
      <c r="I1933">
        <v>0</v>
      </c>
      <c r="J1933">
        <v>2</v>
      </c>
      <c r="K1933" s="133">
        <v>12305</v>
      </c>
      <c r="L1933" s="133">
        <v>12305</v>
      </c>
      <c r="M1933" s="150">
        <v>0.62437500000000001</v>
      </c>
      <c r="N1933" s="150">
        <v>0.62494212962962969</v>
      </c>
      <c r="O1933" t="s">
        <v>172</v>
      </c>
      <c r="Q1933">
        <v>2543144</v>
      </c>
      <c r="R1933">
        <v>2543144</v>
      </c>
      <c r="S1933">
        <v>2540836</v>
      </c>
      <c r="T1933">
        <v>0</v>
      </c>
      <c r="U1933" t="s">
        <v>173</v>
      </c>
      <c r="V1933">
        <v>0</v>
      </c>
      <c r="W1933" t="s">
        <v>174</v>
      </c>
      <c r="X1933">
        <v>2540836</v>
      </c>
      <c r="Z1933" t="s">
        <v>173</v>
      </c>
      <c r="AA1933" t="s">
        <v>173</v>
      </c>
    </row>
    <row r="1934" spans="1:27" x14ac:dyDescent="0.3">
      <c r="A1934">
        <v>1933</v>
      </c>
      <c r="B1934" t="s">
        <v>169</v>
      </c>
      <c r="C1934">
        <v>99019875</v>
      </c>
      <c r="D1934" s="7" t="s">
        <v>126</v>
      </c>
      <c r="E1934" t="s">
        <v>127</v>
      </c>
      <c r="F1934" t="s">
        <v>176</v>
      </c>
      <c r="G1934" t="s">
        <v>177</v>
      </c>
      <c r="H1934">
        <v>1</v>
      </c>
      <c r="I1934">
        <v>0</v>
      </c>
      <c r="J1934">
        <v>1</v>
      </c>
      <c r="K1934" s="133">
        <v>12305</v>
      </c>
      <c r="L1934" s="133">
        <v>12305</v>
      </c>
      <c r="M1934" s="150">
        <v>0.62437500000000001</v>
      </c>
      <c r="N1934" s="150">
        <v>0.62494212962962969</v>
      </c>
      <c r="O1934" t="s">
        <v>172</v>
      </c>
      <c r="Q1934">
        <v>2543145</v>
      </c>
      <c r="R1934">
        <v>2543145</v>
      </c>
      <c r="S1934">
        <v>2540837</v>
      </c>
      <c r="T1934">
        <v>0</v>
      </c>
      <c r="U1934" t="s">
        <v>173</v>
      </c>
      <c r="V1934">
        <v>0</v>
      </c>
      <c r="W1934" t="s">
        <v>174</v>
      </c>
      <c r="X1934">
        <v>2540837</v>
      </c>
      <c r="Z1934" t="s">
        <v>173</v>
      </c>
      <c r="AA1934" t="s">
        <v>173</v>
      </c>
    </row>
    <row r="1935" spans="1:27" x14ac:dyDescent="0.3">
      <c r="A1935">
        <v>1934</v>
      </c>
      <c r="B1935" t="s">
        <v>169</v>
      </c>
      <c r="C1935">
        <v>99019875</v>
      </c>
      <c r="D1935" s="7" t="s">
        <v>126</v>
      </c>
      <c r="E1935" t="s">
        <v>127</v>
      </c>
      <c r="F1935" t="s">
        <v>176</v>
      </c>
      <c r="G1935" t="s">
        <v>177</v>
      </c>
      <c r="H1935">
        <v>2</v>
      </c>
      <c r="I1935">
        <v>0</v>
      </c>
      <c r="J1935">
        <v>2</v>
      </c>
      <c r="K1935" s="133">
        <v>12305</v>
      </c>
      <c r="L1935" s="133">
        <v>12305</v>
      </c>
      <c r="M1935" s="150">
        <v>0.62437500000000001</v>
      </c>
      <c r="N1935" s="150">
        <v>0.62494212962962969</v>
      </c>
      <c r="O1935" t="s">
        <v>172</v>
      </c>
      <c r="Q1935">
        <v>2543146</v>
      </c>
      <c r="R1935">
        <v>2543146</v>
      </c>
      <c r="S1935">
        <v>2540838</v>
      </c>
      <c r="T1935">
        <v>0</v>
      </c>
      <c r="U1935" t="s">
        <v>173</v>
      </c>
      <c r="V1935">
        <v>0</v>
      </c>
      <c r="W1935" t="s">
        <v>174</v>
      </c>
      <c r="X1935">
        <v>2540838</v>
      </c>
      <c r="Z1935" t="s">
        <v>173</v>
      </c>
      <c r="AA1935" t="s">
        <v>173</v>
      </c>
    </row>
    <row r="1936" spans="1:27" x14ac:dyDescent="0.3">
      <c r="A1936">
        <v>1935</v>
      </c>
      <c r="B1936" t="s">
        <v>169</v>
      </c>
      <c r="C1936">
        <v>99019875</v>
      </c>
      <c r="D1936" s="7" t="s">
        <v>126</v>
      </c>
      <c r="E1936" t="s">
        <v>127</v>
      </c>
      <c r="F1936" t="s">
        <v>176</v>
      </c>
      <c r="G1936" t="s">
        <v>177</v>
      </c>
      <c r="H1936">
        <v>1</v>
      </c>
      <c r="I1936">
        <v>0</v>
      </c>
      <c r="J1936">
        <v>1</v>
      </c>
      <c r="K1936" s="133">
        <v>12305</v>
      </c>
      <c r="L1936" s="133">
        <v>12305</v>
      </c>
      <c r="M1936" s="150">
        <v>0.62437500000000001</v>
      </c>
      <c r="N1936" s="150">
        <v>0.62494212962962969</v>
      </c>
      <c r="O1936" t="s">
        <v>172</v>
      </c>
      <c r="Q1936">
        <v>2543147</v>
      </c>
      <c r="R1936">
        <v>2543147</v>
      </c>
      <c r="S1936">
        <v>2541912</v>
      </c>
      <c r="T1936">
        <v>0</v>
      </c>
      <c r="U1936" t="s">
        <v>173</v>
      </c>
      <c r="V1936">
        <v>0</v>
      </c>
      <c r="W1936" t="s">
        <v>174</v>
      </c>
      <c r="X1936">
        <v>2541912</v>
      </c>
      <c r="Z1936" t="s">
        <v>173</v>
      </c>
      <c r="AA1936" t="s">
        <v>173</v>
      </c>
    </row>
    <row r="1937" spans="1:27" x14ac:dyDescent="0.3">
      <c r="A1937">
        <v>1936</v>
      </c>
      <c r="B1937" t="s">
        <v>169</v>
      </c>
      <c r="C1937">
        <v>99019875</v>
      </c>
      <c r="D1937" s="7" t="s">
        <v>126</v>
      </c>
      <c r="E1937" t="s">
        <v>127</v>
      </c>
      <c r="F1937" t="s">
        <v>176</v>
      </c>
      <c r="G1937" t="s">
        <v>177</v>
      </c>
      <c r="H1937">
        <v>2</v>
      </c>
      <c r="I1937">
        <v>0</v>
      </c>
      <c r="J1937">
        <v>2</v>
      </c>
      <c r="K1937" s="133">
        <v>12305</v>
      </c>
      <c r="L1937" s="133">
        <v>12305</v>
      </c>
      <c r="M1937" s="150">
        <v>0.62437500000000001</v>
      </c>
      <c r="N1937" s="150">
        <v>0.62494212962962969</v>
      </c>
      <c r="O1937" t="s">
        <v>172</v>
      </c>
      <c r="Q1937">
        <v>2543148</v>
      </c>
      <c r="R1937">
        <v>2543148</v>
      </c>
      <c r="S1937">
        <v>2543133</v>
      </c>
      <c r="T1937">
        <v>0</v>
      </c>
      <c r="U1937" t="s">
        <v>173</v>
      </c>
      <c r="V1937">
        <v>0</v>
      </c>
      <c r="W1937" t="s">
        <v>174</v>
      </c>
      <c r="X1937">
        <v>2543133</v>
      </c>
      <c r="Z1937" t="s">
        <v>173</v>
      </c>
      <c r="AA1937" t="s">
        <v>173</v>
      </c>
    </row>
    <row r="1938" spans="1:27" x14ac:dyDescent="0.3">
      <c r="A1938">
        <v>1937</v>
      </c>
      <c r="B1938" t="s">
        <v>169</v>
      </c>
      <c r="C1938">
        <v>99019875</v>
      </c>
      <c r="D1938" s="7" t="s">
        <v>81</v>
      </c>
      <c r="E1938" t="s">
        <v>82</v>
      </c>
      <c r="F1938" t="s">
        <v>176</v>
      </c>
      <c r="G1938" t="s">
        <v>171</v>
      </c>
      <c r="H1938">
        <v>75</v>
      </c>
      <c r="I1938">
        <v>0</v>
      </c>
      <c r="J1938">
        <v>75</v>
      </c>
      <c r="K1938" s="133">
        <v>36330</v>
      </c>
      <c r="L1938" s="133">
        <v>36330</v>
      </c>
      <c r="M1938" s="150">
        <v>0.62437500000000001</v>
      </c>
      <c r="N1938" s="150">
        <v>0.62503472222222223</v>
      </c>
      <c r="O1938" t="s">
        <v>172</v>
      </c>
      <c r="Q1938">
        <v>2543176</v>
      </c>
      <c r="R1938">
        <v>2543176</v>
      </c>
      <c r="S1938">
        <v>0</v>
      </c>
      <c r="T1938">
        <v>0</v>
      </c>
      <c r="U1938" t="s">
        <v>173</v>
      </c>
      <c r="V1938">
        <v>0</v>
      </c>
      <c r="W1938" t="s">
        <v>174</v>
      </c>
      <c r="X1938">
        <v>0</v>
      </c>
      <c r="Z1938" t="s">
        <v>173</v>
      </c>
      <c r="AA1938" t="s">
        <v>173</v>
      </c>
    </row>
    <row r="1939" spans="1:27" x14ac:dyDescent="0.3">
      <c r="A1939">
        <v>1938</v>
      </c>
      <c r="B1939" t="s">
        <v>169</v>
      </c>
      <c r="C1939">
        <v>99019875</v>
      </c>
      <c r="D1939" s="7" t="s">
        <v>87</v>
      </c>
      <c r="E1939" t="s">
        <v>88</v>
      </c>
      <c r="F1939" t="s">
        <v>170</v>
      </c>
      <c r="G1939" t="s">
        <v>171</v>
      </c>
      <c r="H1939">
        <v>6</v>
      </c>
      <c r="I1939">
        <v>0</v>
      </c>
      <c r="J1939">
        <v>6</v>
      </c>
      <c r="K1939" s="133">
        <v>12120</v>
      </c>
      <c r="L1939" s="133">
        <v>12120</v>
      </c>
      <c r="M1939" s="150">
        <v>0.62437500000000001</v>
      </c>
      <c r="N1939" s="150">
        <v>0.62439814814814809</v>
      </c>
      <c r="O1939" t="s">
        <v>172</v>
      </c>
      <c r="Q1939">
        <v>2543183</v>
      </c>
      <c r="R1939">
        <v>2543183</v>
      </c>
      <c r="S1939">
        <v>0</v>
      </c>
      <c r="T1939">
        <v>0</v>
      </c>
      <c r="U1939" t="s">
        <v>173</v>
      </c>
      <c r="V1939">
        <v>0</v>
      </c>
      <c r="W1939" t="s">
        <v>174</v>
      </c>
      <c r="X1939">
        <v>0</v>
      </c>
      <c r="Z1939" t="s">
        <v>173</v>
      </c>
      <c r="AA1939" t="s">
        <v>173</v>
      </c>
    </row>
    <row r="1940" spans="1:27" x14ac:dyDescent="0.3">
      <c r="A1940">
        <v>1939</v>
      </c>
      <c r="B1940" t="s">
        <v>169</v>
      </c>
      <c r="C1940">
        <v>99019875</v>
      </c>
      <c r="D1940" s="7" t="s">
        <v>98</v>
      </c>
      <c r="E1940" t="s">
        <v>99</v>
      </c>
      <c r="F1940" t="s">
        <v>170</v>
      </c>
      <c r="G1940" t="s">
        <v>171</v>
      </c>
      <c r="H1940">
        <v>39</v>
      </c>
      <c r="I1940">
        <v>0</v>
      </c>
      <c r="J1940">
        <v>39</v>
      </c>
      <c r="K1940" s="133">
        <v>14240</v>
      </c>
      <c r="L1940" s="133">
        <v>14240</v>
      </c>
      <c r="M1940" s="150">
        <v>0.62437500000000001</v>
      </c>
      <c r="N1940" s="150">
        <v>0.62495370370370373</v>
      </c>
      <c r="O1940" t="s">
        <v>172</v>
      </c>
      <c r="Q1940">
        <v>2543187</v>
      </c>
      <c r="R1940">
        <v>2543187</v>
      </c>
      <c r="S1940">
        <v>0</v>
      </c>
      <c r="T1940">
        <v>0</v>
      </c>
      <c r="U1940" t="s">
        <v>173</v>
      </c>
      <c r="V1940">
        <v>0</v>
      </c>
      <c r="W1940" t="s">
        <v>174</v>
      </c>
      <c r="X1940">
        <v>0</v>
      </c>
      <c r="Z1940" t="s">
        <v>173</v>
      </c>
      <c r="AA1940" t="s">
        <v>173</v>
      </c>
    </row>
    <row r="1941" spans="1:27" x14ac:dyDescent="0.3">
      <c r="A1941">
        <v>1940</v>
      </c>
      <c r="B1941" t="s">
        <v>169</v>
      </c>
      <c r="C1941">
        <v>99019875</v>
      </c>
      <c r="D1941" s="7" t="s">
        <v>77</v>
      </c>
      <c r="E1941" t="s">
        <v>78</v>
      </c>
      <c r="F1941" t="s">
        <v>170</v>
      </c>
      <c r="G1941" t="s">
        <v>171</v>
      </c>
      <c r="H1941">
        <v>73</v>
      </c>
      <c r="I1941">
        <v>0</v>
      </c>
      <c r="J1941">
        <v>73</v>
      </c>
      <c r="K1941" s="133">
        <v>7330</v>
      </c>
      <c r="L1941" s="133">
        <v>7330</v>
      </c>
      <c r="M1941" s="150">
        <v>0.62437500000000001</v>
      </c>
      <c r="N1941" s="150">
        <v>0.6248379629629629</v>
      </c>
      <c r="O1941" t="s">
        <v>172</v>
      </c>
      <c r="Q1941">
        <v>2543188</v>
      </c>
      <c r="R1941">
        <v>2543188</v>
      </c>
      <c r="S1941">
        <v>0</v>
      </c>
      <c r="T1941">
        <v>0</v>
      </c>
      <c r="U1941" t="s">
        <v>173</v>
      </c>
      <c r="V1941">
        <v>0</v>
      </c>
      <c r="W1941" t="s">
        <v>174</v>
      </c>
      <c r="X1941">
        <v>0</v>
      </c>
      <c r="Z1941" t="s">
        <v>173</v>
      </c>
      <c r="AA1941" t="s">
        <v>173</v>
      </c>
    </row>
    <row r="1942" spans="1:27" x14ac:dyDescent="0.3">
      <c r="A1942">
        <v>1941</v>
      </c>
      <c r="B1942" t="s">
        <v>169</v>
      </c>
      <c r="C1942">
        <v>99019875</v>
      </c>
      <c r="D1942" s="7" t="s">
        <v>65</v>
      </c>
      <c r="E1942" t="s">
        <v>66</v>
      </c>
      <c r="F1942" t="s">
        <v>176</v>
      </c>
      <c r="G1942" t="s">
        <v>171</v>
      </c>
      <c r="H1942">
        <v>58</v>
      </c>
      <c r="I1942">
        <v>0</v>
      </c>
      <c r="J1942">
        <v>58</v>
      </c>
      <c r="K1942" s="133">
        <v>4735</v>
      </c>
      <c r="L1942" s="133">
        <v>4735</v>
      </c>
      <c r="M1942" s="150">
        <v>0.62437500000000001</v>
      </c>
      <c r="N1942" s="150">
        <v>0.62582175925925931</v>
      </c>
      <c r="O1942" t="s">
        <v>172</v>
      </c>
      <c r="Q1942">
        <v>2543190</v>
      </c>
      <c r="R1942">
        <v>2543190</v>
      </c>
      <c r="S1942">
        <v>0</v>
      </c>
      <c r="T1942">
        <v>0</v>
      </c>
      <c r="U1942" t="s">
        <v>173</v>
      </c>
      <c r="V1942">
        <v>0</v>
      </c>
      <c r="W1942" t="s">
        <v>174</v>
      </c>
      <c r="X1942">
        <v>0</v>
      </c>
      <c r="Z1942" t="s">
        <v>173</v>
      </c>
      <c r="AA1942" t="s">
        <v>173</v>
      </c>
    </row>
    <row r="1943" spans="1:27" x14ac:dyDescent="0.3">
      <c r="A1943">
        <v>1942</v>
      </c>
      <c r="B1943" t="s">
        <v>169</v>
      </c>
      <c r="C1943">
        <v>99019875</v>
      </c>
      <c r="D1943" s="7" t="s">
        <v>62</v>
      </c>
      <c r="E1943" t="s">
        <v>63</v>
      </c>
      <c r="F1943" t="s">
        <v>176</v>
      </c>
      <c r="G1943" t="s">
        <v>177</v>
      </c>
      <c r="H1943">
        <v>89</v>
      </c>
      <c r="I1943">
        <v>0</v>
      </c>
      <c r="J1943">
        <v>89</v>
      </c>
      <c r="K1943" s="133">
        <v>33950</v>
      </c>
      <c r="L1943" s="133">
        <v>33950</v>
      </c>
      <c r="M1943" s="150">
        <v>0.62438657407407405</v>
      </c>
      <c r="N1943" s="150">
        <v>0.62442129629629628</v>
      </c>
      <c r="O1943" t="s">
        <v>172</v>
      </c>
      <c r="Q1943">
        <v>2543208</v>
      </c>
      <c r="R1943">
        <v>2543208</v>
      </c>
      <c r="S1943">
        <v>2543175</v>
      </c>
      <c r="T1943">
        <v>0</v>
      </c>
      <c r="U1943" t="s">
        <v>173</v>
      </c>
      <c r="V1943">
        <v>0</v>
      </c>
      <c r="W1943" t="s">
        <v>174</v>
      </c>
      <c r="X1943">
        <v>2543175</v>
      </c>
      <c r="Z1943" t="s">
        <v>173</v>
      </c>
      <c r="AA1943" t="s">
        <v>173</v>
      </c>
    </row>
    <row r="1944" spans="1:27" x14ac:dyDescent="0.3">
      <c r="A1944">
        <v>1943</v>
      </c>
      <c r="B1944" t="s">
        <v>169</v>
      </c>
      <c r="C1944">
        <v>99019875</v>
      </c>
      <c r="D1944" s="7" t="s">
        <v>114</v>
      </c>
      <c r="E1944" t="s">
        <v>115</v>
      </c>
      <c r="F1944" t="s">
        <v>176</v>
      </c>
      <c r="G1944" t="s">
        <v>177</v>
      </c>
      <c r="H1944">
        <v>66</v>
      </c>
      <c r="I1944">
        <v>0</v>
      </c>
      <c r="J1944">
        <v>66</v>
      </c>
      <c r="K1944" s="133">
        <v>53670</v>
      </c>
      <c r="L1944" s="133">
        <v>53670</v>
      </c>
      <c r="M1944" s="150">
        <v>0.62438657407407405</v>
      </c>
      <c r="N1944" s="150">
        <v>0.62442129629629628</v>
      </c>
      <c r="O1944" t="s">
        <v>172</v>
      </c>
      <c r="Q1944">
        <v>2543220</v>
      </c>
      <c r="R1944">
        <v>2543220</v>
      </c>
      <c r="S1944">
        <v>2543174</v>
      </c>
      <c r="T1944">
        <v>0</v>
      </c>
      <c r="U1944" t="s">
        <v>173</v>
      </c>
      <c r="V1944">
        <v>0</v>
      </c>
      <c r="W1944" t="s">
        <v>174</v>
      </c>
      <c r="X1944">
        <v>2543174</v>
      </c>
      <c r="Z1944" t="s">
        <v>173</v>
      </c>
      <c r="AA1944" t="s">
        <v>173</v>
      </c>
    </row>
    <row r="1945" spans="1:27" x14ac:dyDescent="0.3">
      <c r="A1945">
        <v>1944</v>
      </c>
      <c r="B1945" t="s">
        <v>169</v>
      </c>
      <c r="C1945">
        <v>99019875</v>
      </c>
      <c r="D1945" s="7" t="s">
        <v>69</v>
      </c>
      <c r="E1945" t="s">
        <v>70</v>
      </c>
      <c r="F1945" t="s">
        <v>170</v>
      </c>
      <c r="G1945" t="s">
        <v>177</v>
      </c>
      <c r="H1945">
        <v>17</v>
      </c>
      <c r="I1945">
        <v>0</v>
      </c>
      <c r="J1945">
        <v>17</v>
      </c>
      <c r="K1945" s="133">
        <v>10205</v>
      </c>
      <c r="L1945" s="133">
        <v>10205</v>
      </c>
      <c r="M1945" s="150">
        <v>0.62440972222222224</v>
      </c>
      <c r="N1945" s="150">
        <v>0.62457175925925923</v>
      </c>
      <c r="O1945" t="s">
        <v>172</v>
      </c>
      <c r="Q1945">
        <v>2543281</v>
      </c>
      <c r="R1945">
        <v>2543281</v>
      </c>
      <c r="S1945">
        <v>2543194</v>
      </c>
      <c r="T1945">
        <v>0</v>
      </c>
      <c r="U1945" t="s">
        <v>173</v>
      </c>
      <c r="V1945">
        <v>0</v>
      </c>
      <c r="W1945" t="s">
        <v>174</v>
      </c>
      <c r="X1945">
        <v>2543194</v>
      </c>
      <c r="Z1945" t="s">
        <v>173</v>
      </c>
      <c r="AA1945" t="s">
        <v>173</v>
      </c>
    </row>
    <row r="1946" spans="1:27" x14ac:dyDescent="0.3">
      <c r="A1946">
        <v>1945</v>
      </c>
      <c r="B1946" t="s">
        <v>169</v>
      </c>
      <c r="C1946">
        <v>99019875</v>
      </c>
      <c r="D1946" s="7" t="s">
        <v>102</v>
      </c>
      <c r="E1946" t="s">
        <v>103</v>
      </c>
      <c r="F1946" t="s">
        <v>170</v>
      </c>
      <c r="G1946" t="s">
        <v>177</v>
      </c>
      <c r="H1946">
        <v>54</v>
      </c>
      <c r="I1946">
        <v>0</v>
      </c>
      <c r="J1946">
        <v>54</v>
      </c>
      <c r="K1946" s="133">
        <v>26800</v>
      </c>
      <c r="L1946" s="133">
        <v>26800</v>
      </c>
      <c r="M1946" s="150">
        <v>0.62442129629629628</v>
      </c>
      <c r="N1946" s="150">
        <v>0.62467592592592591</v>
      </c>
      <c r="O1946" t="s">
        <v>172</v>
      </c>
      <c r="Q1946">
        <v>2543303</v>
      </c>
      <c r="R1946">
        <v>2543303</v>
      </c>
      <c r="S1946">
        <v>2543178</v>
      </c>
      <c r="T1946">
        <v>0</v>
      </c>
      <c r="U1946" t="s">
        <v>173</v>
      </c>
      <c r="V1946">
        <v>0</v>
      </c>
      <c r="W1946" t="s">
        <v>174</v>
      </c>
      <c r="X1946">
        <v>2543178</v>
      </c>
      <c r="Z1946" t="s">
        <v>173</v>
      </c>
      <c r="AA1946" t="s">
        <v>173</v>
      </c>
    </row>
    <row r="1947" spans="1:27" x14ac:dyDescent="0.3">
      <c r="A1947">
        <v>1946</v>
      </c>
      <c r="B1947" t="s">
        <v>169</v>
      </c>
      <c r="C1947">
        <v>99019875</v>
      </c>
      <c r="D1947" s="7" t="s">
        <v>124</v>
      </c>
      <c r="E1947" t="s">
        <v>125</v>
      </c>
      <c r="F1947" t="s">
        <v>176</v>
      </c>
      <c r="G1947" t="s">
        <v>171</v>
      </c>
      <c r="H1947">
        <v>1</v>
      </c>
      <c r="I1947">
        <v>0</v>
      </c>
      <c r="J1947">
        <v>1</v>
      </c>
      <c r="K1947" s="133">
        <v>17485</v>
      </c>
      <c r="L1947" s="133">
        <v>17485</v>
      </c>
      <c r="M1947" s="150">
        <v>0.62442129629629628</v>
      </c>
      <c r="N1947" s="150">
        <v>0.62489583333333332</v>
      </c>
      <c r="O1947" t="s">
        <v>172</v>
      </c>
      <c r="Q1947">
        <v>2543333</v>
      </c>
      <c r="R1947">
        <v>2543333</v>
      </c>
      <c r="S1947">
        <v>0</v>
      </c>
      <c r="T1947">
        <v>0</v>
      </c>
      <c r="U1947" t="s">
        <v>173</v>
      </c>
      <c r="V1947">
        <v>0</v>
      </c>
      <c r="W1947" t="s">
        <v>174</v>
      </c>
      <c r="X1947">
        <v>0</v>
      </c>
      <c r="Z1947" t="s">
        <v>173</v>
      </c>
      <c r="AA1947" t="s">
        <v>173</v>
      </c>
    </row>
    <row r="1948" spans="1:27" x14ac:dyDescent="0.3">
      <c r="A1948">
        <v>1947</v>
      </c>
      <c r="B1948" t="s">
        <v>169</v>
      </c>
      <c r="C1948">
        <v>99019875</v>
      </c>
      <c r="D1948" s="7" t="s">
        <v>106</v>
      </c>
      <c r="E1948" t="s">
        <v>107</v>
      </c>
      <c r="F1948" t="s">
        <v>170</v>
      </c>
      <c r="G1948" t="s">
        <v>171</v>
      </c>
      <c r="H1948">
        <v>1</v>
      </c>
      <c r="I1948">
        <v>0</v>
      </c>
      <c r="J1948">
        <v>1</v>
      </c>
      <c r="K1948" s="133">
        <v>3505</v>
      </c>
      <c r="L1948" s="133">
        <v>3505</v>
      </c>
      <c r="M1948" s="150">
        <v>0.62445601851851851</v>
      </c>
      <c r="N1948" s="150">
        <v>0.62652777777777779</v>
      </c>
      <c r="O1948" t="s">
        <v>172</v>
      </c>
      <c r="Q1948">
        <v>2543435</v>
      </c>
      <c r="R1948">
        <v>2543435</v>
      </c>
      <c r="S1948">
        <v>0</v>
      </c>
      <c r="T1948">
        <v>0</v>
      </c>
      <c r="U1948" t="s">
        <v>173</v>
      </c>
      <c r="V1948">
        <v>0</v>
      </c>
      <c r="W1948" t="s">
        <v>174</v>
      </c>
      <c r="X1948">
        <v>0</v>
      </c>
      <c r="Z1948" t="s">
        <v>173</v>
      </c>
      <c r="AA1948" t="s">
        <v>173</v>
      </c>
    </row>
    <row r="1949" spans="1:27" x14ac:dyDescent="0.3">
      <c r="A1949">
        <v>1948</v>
      </c>
      <c r="B1949" t="s">
        <v>169</v>
      </c>
      <c r="C1949">
        <v>99019875</v>
      </c>
      <c r="D1949" s="7" t="s">
        <v>89</v>
      </c>
      <c r="E1949" t="s">
        <v>90</v>
      </c>
      <c r="F1949" t="s">
        <v>176</v>
      </c>
      <c r="G1949" t="s">
        <v>177</v>
      </c>
      <c r="H1949">
        <v>31</v>
      </c>
      <c r="I1949">
        <v>0</v>
      </c>
      <c r="J1949">
        <v>31</v>
      </c>
      <c r="K1949" s="133">
        <v>3080</v>
      </c>
      <c r="L1949" s="133">
        <v>3080</v>
      </c>
      <c r="M1949" s="150">
        <v>0.6244791666666667</v>
      </c>
      <c r="N1949" s="150">
        <v>0.62467592592592591</v>
      </c>
      <c r="O1949" t="s">
        <v>172</v>
      </c>
      <c r="Q1949">
        <v>2543492</v>
      </c>
      <c r="R1949">
        <v>2543492</v>
      </c>
      <c r="S1949">
        <v>2543181</v>
      </c>
      <c r="T1949">
        <v>0</v>
      </c>
      <c r="U1949" t="s">
        <v>173</v>
      </c>
      <c r="V1949">
        <v>0</v>
      </c>
      <c r="W1949" t="s">
        <v>174</v>
      </c>
      <c r="X1949">
        <v>2543181</v>
      </c>
      <c r="Z1949" t="s">
        <v>173</v>
      </c>
      <c r="AA1949" t="s">
        <v>173</v>
      </c>
    </row>
    <row r="1950" spans="1:27" x14ac:dyDescent="0.3">
      <c r="A1950">
        <v>1949</v>
      </c>
      <c r="B1950" t="s">
        <v>169</v>
      </c>
      <c r="C1950">
        <v>99019875</v>
      </c>
      <c r="D1950" s="7" t="s">
        <v>128</v>
      </c>
      <c r="E1950" t="s">
        <v>129</v>
      </c>
      <c r="F1950" t="s">
        <v>170</v>
      </c>
      <c r="G1950" t="s">
        <v>171</v>
      </c>
      <c r="H1950">
        <v>1</v>
      </c>
      <c r="I1950">
        <v>0</v>
      </c>
      <c r="J1950">
        <v>1</v>
      </c>
      <c r="K1950" s="133">
        <v>6490</v>
      </c>
      <c r="L1950" s="133">
        <v>6490</v>
      </c>
      <c r="M1950" s="150">
        <v>0.62456018518518519</v>
      </c>
      <c r="N1950" s="150">
        <v>0.62710648148148151</v>
      </c>
      <c r="O1950" t="s">
        <v>172</v>
      </c>
      <c r="Q1950">
        <v>2543722</v>
      </c>
      <c r="R1950">
        <v>2543722</v>
      </c>
      <c r="S1950">
        <v>0</v>
      </c>
      <c r="T1950">
        <v>0</v>
      </c>
      <c r="U1950" t="s">
        <v>173</v>
      </c>
      <c r="V1950">
        <v>0</v>
      </c>
      <c r="W1950" t="s">
        <v>174</v>
      </c>
      <c r="X1950">
        <v>0</v>
      </c>
      <c r="Z1950" t="s">
        <v>173</v>
      </c>
      <c r="AA1950" t="s">
        <v>173</v>
      </c>
    </row>
    <row r="1951" spans="1:27" x14ac:dyDescent="0.3">
      <c r="A1951">
        <v>1950</v>
      </c>
      <c r="B1951" t="s">
        <v>169</v>
      </c>
      <c r="C1951">
        <v>99019875</v>
      </c>
      <c r="D1951" s="7" t="s">
        <v>100</v>
      </c>
      <c r="E1951" t="s">
        <v>101</v>
      </c>
      <c r="F1951" t="s">
        <v>170</v>
      </c>
      <c r="G1951" t="s">
        <v>177</v>
      </c>
      <c r="H1951">
        <v>5</v>
      </c>
      <c r="I1951">
        <v>0</v>
      </c>
      <c r="J1951">
        <v>5</v>
      </c>
      <c r="K1951" s="133">
        <v>15500</v>
      </c>
      <c r="L1951" s="133">
        <v>15500</v>
      </c>
      <c r="M1951" s="150">
        <v>0.62456018518518519</v>
      </c>
      <c r="N1951" s="150">
        <v>0.62459490740740742</v>
      </c>
      <c r="O1951" t="s">
        <v>172</v>
      </c>
      <c r="Q1951">
        <v>2543734</v>
      </c>
      <c r="R1951">
        <v>2543734</v>
      </c>
      <c r="S1951">
        <v>2540633</v>
      </c>
      <c r="T1951">
        <v>0</v>
      </c>
      <c r="U1951" t="s">
        <v>173</v>
      </c>
      <c r="V1951">
        <v>0</v>
      </c>
      <c r="W1951" t="s">
        <v>174</v>
      </c>
      <c r="X1951">
        <v>2540633</v>
      </c>
      <c r="Z1951" t="s">
        <v>173</v>
      </c>
      <c r="AA1951" t="s">
        <v>173</v>
      </c>
    </row>
    <row r="1952" spans="1:27" x14ac:dyDescent="0.3">
      <c r="A1952">
        <v>1951</v>
      </c>
      <c r="B1952" t="s">
        <v>169</v>
      </c>
      <c r="C1952">
        <v>99019875</v>
      </c>
      <c r="D1952" s="7" t="s">
        <v>100</v>
      </c>
      <c r="E1952" t="s">
        <v>101</v>
      </c>
      <c r="F1952" t="s">
        <v>170</v>
      </c>
      <c r="G1952" t="s">
        <v>177</v>
      </c>
      <c r="H1952">
        <v>5</v>
      </c>
      <c r="I1952">
        <v>0</v>
      </c>
      <c r="J1952">
        <v>5</v>
      </c>
      <c r="K1952" s="133">
        <v>15500</v>
      </c>
      <c r="L1952" s="133">
        <v>15500</v>
      </c>
      <c r="M1952" s="150">
        <v>0.62456018518518519</v>
      </c>
      <c r="N1952" s="150">
        <v>0.62459490740740742</v>
      </c>
      <c r="O1952" t="s">
        <v>172</v>
      </c>
      <c r="Q1952">
        <v>2543735</v>
      </c>
      <c r="R1952">
        <v>2543735</v>
      </c>
      <c r="S1952">
        <v>2541973</v>
      </c>
      <c r="T1952">
        <v>0</v>
      </c>
      <c r="U1952" t="s">
        <v>173</v>
      </c>
      <c r="V1952">
        <v>0</v>
      </c>
      <c r="W1952" t="s">
        <v>174</v>
      </c>
      <c r="X1952">
        <v>2541973</v>
      </c>
      <c r="Z1952" t="s">
        <v>173</v>
      </c>
      <c r="AA1952" t="s">
        <v>173</v>
      </c>
    </row>
    <row r="1953" spans="1:27" x14ac:dyDescent="0.3">
      <c r="A1953">
        <v>1952</v>
      </c>
      <c r="B1953" t="s">
        <v>169</v>
      </c>
      <c r="C1953">
        <v>99019875</v>
      </c>
      <c r="D1953" s="7" t="s">
        <v>100</v>
      </c>
      <c r="E1953" t="s">
        <v>101</v>
      </c>
      <c r="F1953" t="s">
        <v>170</v>
      </c>
      <c r="G1953" t="s">
        <v>177</v>
      </c>
      <c r="H1953">
        <v>4</v>
      </c>
      <c r="I1953">
        <v>0</v>
      </c>
      <c r="J1953">
        <v>4</v>
      </c>
      <c r="K1953" s="133">
        <v>15500</v>
      </c>
      <c r="L1953" s="133">
        <v>15500</v>
      </c>
      <c r="M1953" s="150">
        <v>0.62456018518518519</v>
      </c>
      <c r="N1953" s="150">
        <v>0.62459490740740742</v>
      </c>
      <c r="O1953" t="s">
        <v>172</v>
      </c>
      <c r="Q1953">
        <v>2543736</v>
      </c>
      <c r="R1953">
        <v>2543736</v>
      </c>
      <c r="S1953">
        <v>2543182</v>
      </c>
      <c r="T1953">
        <v>0</v>
      </c>
      <c r="U1953" t="s">
        <v>173</v>
      </c>
      <c r="V1953">
        <v>0</v>
      </c>
      <c r="W1953" t="s">
        <v>174</v>
      </c>
      <c r="X1953">
        <v>2543182</v>
      </c>
      <c r="Z1953" t="s">
        <v>173</v>
      </c>
      <c r="AA1953" t="s">
        <v>173</v>
      </c>
    </row>
    <row r="1954" spans="1:27" x14ac:dyDescent="0.3">
      <c r="A1954">
        <v>1953</v>
      </c>
      <c r="B1954" t="s">
        <v>169</v>
      </c>
      <c r="C1954">
        <v>99019875</v>
      </c>
      <c r="D1954" s="7" t="s">
        <v>96</v>
      </c>
      <c r="E1954" t="s">
        <v>97</v>
      </c>
      <c r="F1954" t="s">
        <v>170</v>
      </c>
      <c r="G1954" t="s">
        <v>177</v>
      </c>
      <c r="H1954">
        <v>27</v>
      </c>
      <c r="I1954">
        <v>0</v>
      </c>
      <c r="J1954">
        <v>27</v>
      </c>
      <c r="K1954" s="133">
        <v>8290</v>
      </c>
      <c r="L1954" s="133">
        <v>8290</v>
      </c>
      <c r="M1954" s="150">
        <v>0.62459490740740742</v>
      </c>
      <c r="N1954" s="150">
        <v>0.625</v>
      </c>
      <c r="O1954" t="s">
        <v>172</v>
      </c>
      <c r="Q1954">
        <v>2543858</v>
      </c>
      <c r="R1954">
        <v>2543858</v>
      </c>
      <c r="S1954">
        <v>2541984</v>
      </c>
      <c r="T1954">
        <v>0</v>
      </c>
      <c r="U1954" t="s">
        <v>173</v>
      </c>
      <c r="V1954">
        <v>0</v>
      </c>
      <c r="W1954" t="s">
        <v>174</v>
      </c>
      <c r="X1954">
        <v>2541984</v>
      </c>
      <c r="Z1954" t="s">
        <v>173</v>
      </c>
      <c r="AA1954" t="s">
        <v>173</v>
      </c>
    </row>
    <row r="1955" spans="1:27" x14ac:dyDescent="0.3">
      <c r="A1955">
        <v>1954</v>
      </c>
      <c r="B1955" t="s">
        <v>169</v>
      </c>
      <c r="C1955">
        <v>99019875</v>
      </c>
      <c r="D1955" s="7" t="s">
        <v>96</v>
      </c>
      <c r="E1955" t="s">
        <v>97</v>
      </c>
      <c r="F1955" t="s">
        <v>170</v>
      </c>
      <c r="G1955" t="s">
        <v>177</v>
      </c>
      <c r="H1955">
        <v>27</v>
      </c>
      <c r="I1955">
        <v>0</v>
      </c>
      <c r="J1955">
        <v>27</v>
      </c>
      <c r="K1955" s="133">
        <v>8290</v>
      </c>
      <c r="L1955" s="133">
        <v>8290</v>
      </c>
      <c r="M1955" s="150">
        <v>0.62459490740740742</v>
      </c>
      <c r="N1955" s="150">
        <v>0.62782407407407403</v>
      </c>
      <c r="O1955" t="s">
        <v>172</v>
      </c>
      <c r="Q1955">
        <v>2543859</v>
      </c>
      <c r="R1955">
        <v>2543859</v>
      </c>
      <c r="S1955">
        <v>2543192</v>
      </c>
      <c r="T1955">
        <v>0</v>
      </c>
      <c r="U1955" t="s">
        <v>173</v>
      </c>
      <c r="V1955">
        <v>0</v>
      </c>
      <c r="W1955" t="s">
        <v>174</v>
      </c>
      <c r="X1955">
        <v>2543192</v>
      </c>
      <c r="Z1955" t="s">
        <v>173</v>
      </c>
      <c r="AA1955" t="s">
        <v>173</v>
      </c>
    </row>
    <row r="1956" spans="1:27" x14ac:dyDescent="0.3">
      <c r="A1956">
        <v>1955</v>
      </c>
      <c r="B1956" t="s">
        <v>169</v>
      </c>
      <c r="C1956">
        <v>99019875</v>
      </c>
      <c r="D1956" s="7" t="s">
        <v>126</v>
      </c>
      <c r="E1956" t="s">
        <v>127</v>
      </c>
      <c r="F1956" t="s">
        <v>176</v>
      </c>
      <c r="G1956" t="s">
        <v>171</v>
      </c>
      <c r="H1956">
        <v>1</v>
      </c>
      <c r="I1956">
        <v>0</v>
      </c>
      <c r="J1956">
        <v>1</v>
      </c>
      <c r="K1956" s="133">
        <v>12305</v>
      </c>
      <c r="L1956" s="133">
        <v>12305</v>
      </c>
      <c r="M1956" s="150">
        <v>0.62466435185185187</v>
      </c>
      <c r="N1956" s="150">
        <v>0.62494212962962969</v>
      </c>
      <c r="O1956" t="s">
        <v>172</v>
      </c>
      <c r="Q1956">
        <v>2544065</v>
      </c>
      <c r="R1956">
        <v>2544065</v>
      </c>
      <c r="S1956">
        <v>0</v>
      </c>
      <c r="T1956">
        <v>0</v>
      </c>
      <c r="U1956" t="s">
        <v>173</v>
      </c>
      <c r="V1956">
        <v>0</v>
      </c>
      <c r="W1956" t="s">
        <v>174</v>
      </c>
      <c r="X1956">
        <v>0</v>
      </c>
      <c r="Z1956" t="s">
        <v>173</v>
      </c>
      <c r="AA1956" t="s">
        <v>173</v>
      </c>
    </row>
    <row r="1957" spans="1:27" x14ac:dyDescent="0.3">
      <c r="A1957">
        <v>1956</v>
      </c>
      <c r="B1957" t="s">
        <v>169</v>
      </c>
      <c r="C1957">
        <v>99019875</v>
      </c>
      <c r="D1957" s="7" t="s">
        <v>114</v>
      </c>
      <c r="E1957" t="s">
        <v>115</v>
      </c>
      <c r="F1957" t="s">
        <v>176</v>
      </c>
      <c r="G1957" t="s">
        <v>171</v>
      </c>
      <c r="H1957">
        <v>65</v>
      </c>
      <c r="I1957">
        <v>0</v>
      </c>
      <c r="J1957">
        <v>65</v>
      </c>
      <c r="K1957" s="133">
        <v>53685</v>
      </c>
      <c r="L1957" s="133">
        <v>53685</v>
      </c>
      <c r="M1957" s="150">
        <v>0.62467592592592591</v>
      </c>
      <c r="N1957" s="150">
        <v>0.62480324074074078</v>
      </c>
      <c r="O1957" t="s">
        <v>172</v>
      </c>
      <c r="Q1957">
        <v>2544078</v>
      </c>
      <c r="R1957">
        <v>2544078</v>
      </c>
      <c r="S1957">
        <v>0</v>
      </c>
      <c r="T1957">
        <v>0</v>
      </c>
      <c r="U1957" t="s">
        <v>173</v>
      </c>
      <c r="V1957">
        <v>0</v>
      </c>
      <c r="W1957" t="s">
        <v>174</v>
      </c>
      <c r="X1957">
        <v>0</v>
      </c>
      <c r="Z1957" t="s">
        <v>173</v>
      </c>
      <c r="AA1957" t="s">
        <v>173</v>
      </c>
    </row>
    <row r="1958" spans="1:27" x14ac:dyDescent="0.3">
      <c r="A1958">
        <v>1957</v>
      </c>
      <c r="B1958" t="s">
        <v>169</v>
      </c>
      <c r="C1958">
        <v>99019875</v>
      </c>
      <c r="D1958" s="7" t="s">
        <v>62</v>
      </c>
      <c r="E1958" t="s">
        <v>63</v>
      </c>
      <c r="F1958" t="s">
        <v>176</v>
      </c>
      <c r="G1958" t="s">
        <v>171</v>
      </c>
      <c r="H1958">
        <v>89</v>
      </c>
      <c r="I1958">
        <v>0</v>
      </c>
      <c r="J1958">
        <v>2</v>
      </c>
      <c r="K1958" s="133">
        <v>33945</v>
      </c>
      <c r="L1958" s="133">
        <v>33945</v>
      </c>
      <c r="M1958" s="150">
        <v>0.62467592592592591</v>
      </c>
      <c r="N1958" s="150">
        <v>0.6246990740740741</v>
      </c>
      <c r="O1958" t="s">
        <v>172</v>
      </c>
      <c r="Q1958">
        <v>2544079</v>
      </c>
      <c r="R1958">
        <v>2544079</v>
      </c>
      <c r="S1958">
        <v>0</v>
      </c>
      <c r="T1958">
        <v>87</v>
      </c>
      <c r="U1958" t="s">
        <v>173</v>
      </c>
      <c r="V1958">
        <v>0</v>
      </c>
      <c r="W1958" t="s">
        <v>174</v>
      </c>
      <c r="X1958">
        <v>0</v>
      </c>
      <c r="Z1958" t="s">
        <v>173</v>
      </c>
      <c r="AA1958" t="s">
        <v>173</v>
      </c>
    </row>
    <row r="1959" spans="1:27" x14ac:dyDescent="0.3">
      <c r="A1959">
        <v>1958</v>
      </c>
      <c r="B1959" t="s">
        <v>169</v>
      </c>
      <c r="C1959">
        <v>99019875</v>
      </c>
      <c r="D1959" s="7" t="s">
        <v>81</v>
      </c>
      <c r="E1959" t="s">
        <v>82</v>
      </c>
      <c r="F1959" t="s">
        <v>176</v>
      </c>
      <c r="G1959" t="s">
        <v>171</v>
      </c>
      <c r="H1959">
        <v>75</v>
      </c>
      <c r="I1959">
        <v>0</v>
      </c>
      <c r="J1959">
        <v>75</v>
      </c>
      <c r="K1959" s="133">
        <v>36330</v>
      </c>
      <c r="L1959" s="133">
        <v>36330</v>
      </c>
      <c r="M1959" s="150">
        <v>0.62467592592592591</v>
      </c>
      <c r="N1959" s="150">
        <v>0.62503472222222223</v>
      </c>
      <c r="O1959" t="s">
        <v>172</v>
      </c>
      <c r="Q1959">
        <v>2544080</v>
      </c>
      <c r="R1959">
        <v>2544080</v>
      </c>
      <c r="S1959">
        <v>0</v>
      </c>
      <c r="T1959">
        <v>0</v>
      </c>
      <c r="U1959" t="s">
        <v>173</v>
      </c>
      <c r="V1959">
        <v>0</v>
      </c>
      <c r="W1959" t="s">
        <v>174</v>
      </c>
      <c r="X1959">
        <v>0</v>
      </c>
      <c r="Z1959" t="s">
        <v>173</v>
      </c>
      <c r="AA1959" t="s">
        <v>173</v>
      </c>
    </row>
    <row r="1960" spans="1:27" x14ac:dyDescent="0.3">
      <c r="A1960">
        <v>1959</v>
      </c>
      <c r="B1960" t="s">
        <v>169</v>
      </c>
      <c r="C1960">
        <v>99019875</v>
      </c>
      <c r="D1960" s="7" t="s">
        <v>102</v>
      </c>
      <c r="E1960" t="s">
        <v>103</v>
      </c>
      <c r="F1960" t="s">
        <v>170</v>
      </c>
      <c r="G1960" t="s">
        <v>171</v>
      </c>
      <c r="H1960">
        <v>53</v>
      </c>
      <c r="I1960">
        <v>0</v>
      </c>
      <c r="J1960">
        <v>53</v>
      </c>
      <c r="K1960" s="133">
        <v>26800</v>
      </c>
      <c r="L1960" s="133">
        <v>26800</v>
      </c>
      <c r="M1960" s="150">
        <v>0.62467592592592591</v>
      </c>
      <c r="N1960" s="150">
        <v>0.6248379629629629</v>
      </c>
      <c r="O1960" t="s">
        <v>172</v>
      </c>
      <c r="Q1960">
        <v>2544082</v>
      </c>
      <c r="R1960">
        <v>2544082</v>
      </c>
      <c r="S1960">
        <v>0</v>
      </c>
      <c r="T1960">
        <v>0</v>
      </c>
      <c r="U1960" t="s">
        <v>173</v>
      </c>
      <c r="V1960">
        <v>0</v>
      </c>
      <c r="W1960" t="s">
        <v>174</v>
      </c>
      <c r="X1960">
        <v>0</v>
      </c>
      <c r="Z1960" t="s">
        <v>173</v>
      </c>
      <c r="AA1960" t="s">
        <v>173</v>
      </c>
    </row>
    <row r="1961" spans="1:27" x14ac:dyDescent="0.3">
      <c r="A1961">
        <v>1960</v>
      </c>
      <c r="B1961" t="s">
        <v>169</v>
      </c>
      <c r="C1961">
        <v>99019875</v>
      </c>
      <c r="D1961" s="7" t="s">
        <v>100</v>
      </c>
      <c r="E1961" t="s">
        <v>101</v>
      </c>
      <c r="F1961" t="s">
        <v>170</v>
      </c>
      <c r="G1961" t="s">
        <v>171</v>
      </c>
      <c r="H1961">
        <v>5</v>
      </c>
      <c r="I1961">
        <v>0</v>
      </c>
      <c r="J1961">
        <v>5</v>
      </c>
      <c r="K1961" s="133">
        <v>15495</v>
      </c>
      <c r="L1961" s="133">
        <v>15495</v>
      </c>
      <c r="M1961" s="150">
        <v>0.62467592592592591</v>
      </c>
      <c r="N1961" s="150">
        <v>0.62593750000000004</v>
      </c>
      <c r="O1961" t="s">
        <v>172</v>
      </c>
      <c r="Q1961">
        <v>2544086</v>
      </c>
      <c r="R1961">
        <v>2544086</v>
      </c>
      <c r="S1961">
        <v>0</v>
      </c>
      <c r="T1961">
        <v>0</v>
      </c>
      <c r="U1961" t="s">
        <v>173</v>
      </c>
      <c r="V1961">
        <v>0</v>
      </c>
      <c r="W1961" t="s">
        <v>174</v>
      </c>
      <c r="X1961">
        <v>0</v>
      </c>
      <c r="Z1961" t="s">
        <v>173</v>
      </c>
      <c r="AA1961" t="s">
        <v>173</v>
      </c>
    </row>
    <row r="1962" spans="1:27" x14ac:dyDescent="0.3">
      <c r="A1962">
        <v>1961</v>
      </c>
      <c r="B1962" t="s">
        <v>169</v>
      </c>
      <c r="C1962">
        <v>99019875</v>
      </c>
      <c r="D1962" s="7" t="s">
        <v>98</v>
      </c>
      <c r="E1962" t="s">
        <v>99</v>
      </c>
      <c r="F1962" t="s">
        <v>170</v>
      </c>
      <c r="G1962" t="s">
        <v>171</v>
      </c>
      <c r="H1962">
        <v>38</v>
      </c>
      <c r="I1962">
        <v>0</v>
      </c>
      <c r="J1962">
        <v>38</v>
      </c>
      <c r="K1962" s="133">
        <v>14240</v>
      </c>
      <c r="L1962" s="133">
        <v>14240</v>
      </c>
      <c r="M1962" s="150">
        <v>0.62467592592592591</v>
      </c>
      <c r="N1962" s="150">
        <v>0.62495370370370373</v>
      </c>
      <c r="O1962" t="s">
        <v>172</v>
      </c>
      <c r="Q1962">
        <v>2544093</v>
      </c>
      <c r="R1962">
        <v>2544093</v>
      </c>
      <c r="S1962">
        <v>0</v>
      </c>
      <c r="T1962">
        <v>0</v>
      </c>
      <c r="U1962" t="s">
        <v>173</v>
      </c>
      <c r="V1962">
        <v>0</v>
      </c>
      <c r="W1962" t="s">
        <v>174</v>
      </c>
      <c r="X1962">
        <v>0</v>
      </c>
      <c r="Z1962" t="s">
        <v>173</v>
      </c>
      <c r="AA1962" t="s">
        <v>173</v>
      </c>
    </row>
    <row r="1963" spans="1:27" x14ac:dyDescent="0.3">
      <c r="A1963">
        <v>1962</v>
      </c>
      <c r="B1963" t="s">
        <v>169</v>
      </c>
      <c r="C1963">
        <v>99019875</v>
      </c>
      <c r="D1963" s="7" t="s">
        <v>77</v>
      </c>
      <c r="E1963" t="s">
        <v>78</v>
      </c>
      <c r="F1963" t="s">
        <v>170</v>
      </c>
      <c r="G1963" t="s">
        <v>171</v>
      </c>
      <c r="H1963">
        <v>73</v>
      </c>
      <c r="I1963">
        <v>0</v>
      </c>
      <c r="J1963">
        <v>73</v>
      </c>
      <c r="K1963" s="133">
        <v>7330</v>
      </c>
      <c r="L1963" s="133">
        <v>7330</v>
      </c>
      <c r="M1963" s="150">
        <v>0.62467592592592591</v>
      </c>
      <c r="N1963" s="150">
        <v>0.6248379629629629</v>
      </c>
      <c r="O1963" t="s">
        <v>172</v>
      </c>
      <c r="Q1963">
        <v>2544094</v>
      </c>
      <c r="R1963">
        <v>2544094</v>
      </c>
      <c r="S1963">
        <v>0</v>
      </c>
      <c r="T1963">
        <v>0</v>
      </c>
      <c r="U1963" t="s">
        <v>173</v>
      </c>
      <c r="V1963">
        <v>0</v>
      </c>
      <c r="W1963" t="s">
        <v>174</v>
      </c>
      <c r="X1963">
        <v>0</v>
      </c>
      <c r="Z1963" t="s">
        <v>173</v>
      </c>
      <c r="AA1963" t="s">
        <v>173</v>
      </c>
    </row>
    <row r="1964" spans="1:27" x14ac:dyDescent="0.3">
      <c r="A1964">
        <v>1963</v>
      </c>
      <c r="B1964" t="s">
        <v>169</v>
      </c>
      <c r="C1964">
        <v>99019875</v>
      </c>
      <c r="D1964" s="7" t="s">
        <v>65</v>
      </c>
      <c r="E1964" t="s">
        <v>66</v>
      </c>
      <c r="F1964" t="s">
        <v>176</v>
      </c>
      <c r="G1964" t="s">
        <v>171</v>
      </c>
      <c r="H1964">
        <v>57</v>
      </c>
      <c r="I1964">
        <v>0</v>
      </c>
      <c r="J1964">
        <v>57</v>
      </c>
      <c r="K1964" s="133">
        <v>4735</v>
      </c>
      <c r="L1964" s="133">
        <v>4735</v>
      </c>
      <c r="M1964" s="150">
        <v>0.62467592592592591</v>
      </c>
      <c r="N1964" s="150">
        <v>0.62582175925925931</v>
      </c>
      <c r="O1964" t="s">
        <v>172</v>
      </c>
      <c r="Q1964">
        <v>2544096</v>
      </c>
      <c r="R1964">
        <v>2544096</v>
      </c>
      <c r="S1964">
        <v>0</v>
      </c>
      <c r="T1964">
        <v>0</v>
      </c>
      <c r="U1964" t="s">
        <v>173</v>
      </c>
      <c r="V1964">
        <v>0</v>
      </c>
      <c r="W1964" t="s">
        <v>174</v>
      </c>
      <c r="X1964">
        <v>0</v>
      </c>
      <c r="Z1964" t="s">
        <v>173</v>
      </c>
      <c r="AA1964" t="s">
        <v>173</v>
      </c>
    </row>
    <row r="1965" spans="1:27" x14ac:dyDescent="0.3">
      <c r="A1965">
        <v>1964</v>
      </c>
      <c r="B1965" t="s">
        <v>169</v>
      </c>
      <c r="C1965">
        <v>99019875</v>
      </c>
      <c r="D1965" s="7" t="s">
        <v>96</v>
      </c>
      <c r="E1965" t="s">
        <v>97</v>
      </c>
      <c r="F1965" t="s">
        <v>170</v>
      </c>
      <c r="G1965" t="s">
        <v>171</v>
      </c>
      <c r="H1965">
        <v>27</v>
      </c>
      <c r="I1965">
        <v>0</v>
      </c>
      <c r="J1965">
        <v>27</v>
      </c>
      <c r="K1965" s="133">
        <v>8290</v>
      </c>
      <c r="L1965" s="133">
        <v>8290</v>
      </c>
      <c r="M1965" s="150">
        <v>0.62467592592592591</v>
      </c>
      <c r="N1965" s="150">
        <v>0.62782407407407403</v>
      </c>
      <c r="O1965" t="s">
        <v>172</v>
      </c>
      <c r="Q1965">
        <v>2544098</v>
      </c>
      <c r="R1965">
        <v>2544098</v>
      </c>
      <c r="S1965">
        <v>0</v>
      </c>
      <c r="T1965">
        <v>0</v>
      </c>
      <c r="U1965" t="s">
        <v>173</v>
      </c>
      <c r="V1965">
        <v>0</v>
      </c>
      <c r="W1965" t="s">
        <v>174</v>
      </c>
      <c r="X1965">
        <v>0</v>
      </c>
      <c r="Z1965" t="s">
        <v>173</v>
      </c>
      <c r="AA1965" t="s">
        <v>173</v>
      </c>
    </row>
    <row r="1966" spans="1:27" x14ac:dyDescent="0.3">
      <c r="A1966">
        <v>1965</v>
      </c>
      <c r="B1966" t="s">
        <v>169</v>
      </c>
      <c r="C1966">
        <v>99019875</v>
      </c>
      <c r="D1966" s="7" t="s">
        <v>62</v>
      </c>
      <c r="E1966" t="s">
        <v>63</v>
      </c>
      <c r="F1966" t="s">
        <v>176</v>
      </c>
      <c r="G1966" t="s">
        <v>177</v>
      </c>
      <c r="H1966">
        <v>87</v>
      </c>
      <c r="I1966">
        <v>0</v>
      </c>
      <c r="J1966">
        <v>87</v>
      </c>
      <c r="K1966" s="133">
        <v>33940</v>
      </c>
      <c r="L1966" s="133">
        <v>33940</v>
      </c>
      <c r="M1966" s="150">
        <v>0.6246990740740741</v>
      </c>
      <c r="N1966" s="150">
        <v>0.62472222222222229</v>
      </c>
      <c r="O1966" t="s">
        <v>172</v>
      </c>
      <c r="Q1966">
        <v>2544194</v>
      </c>
      <c r="R1966">
        <v>2544194</v>
      </c>
      <c r="S1966">
        <v>2544079</v>
      </c>
      <c r="T1966">
        <v>0</v>
      </c>
      <c r="U1966" t="s">
        <v>173</v>
      </c>
      <c r="V1966">
        <v>0</v>
      </c>
      <c r="W1966" t="s">
        <v>174</v>
      </c>
      <c r="X1966">
        <v>2544079</v>
      </c>
      <c r="Z1966" t="s">
        <v>173</v>
      </c>
      <c r="AA1966" t="s">
        <v>173</v>
      </c>
    </row>
    <row r="1967" spans="1:27" x14ac:dyDescent="0.3">
      <c r="A1967">
        <v>1966</v>
      </c>
      <c r="B1967" t="s">
        <v>169</v>
      </c>
      <c r="C1967">
        <v>99019875</v>
      </c>
      <c r="D1967" s="7" t="s">
        <v>71</v>
      </c>
      <c r="E1967" t="s">
        <v>72</v>
      </c>
      <c r="F1967" t="s">
        <v>176</v>
      </c>
      <c r="G1967" t="s">
        <v>177</v>
      </c>
      <c r="H1967">
        <v>18</v>
      </c>
      <c r="I1967">
        <v>0</v>
      </c>
      <c r="J1967">
        <v>18</v>
      </c>
      <c r="K1967" s="133">
        <v>17960</v>
      </c>
      <c r="L1967" s="133">
        <v>17960</v>
      </c>
      <c r="M1967" s="150">
        <v>0.62471064814814814</v>
      </c>
      <c r="N1967" s="150">
        <v>0.62474537037037037</v>
      </c>
      <c r="O1967" t="s">
        <v>172</v>
      </c>
      <c r="Q1967">
        <v>2544260</v>
      </c>
      <c r="R1967">
        <v>2544260</v>
      </c>
      <c r="S1967">
        <v>2544199</v>
      </c>
      <c r="T1967">
        <v>0</v>
      </c>
      <c r="U1967" t="s">
        <v>173</v>
      </c>
      <c r="V1967">
        <v>0</v>
      </c>
      <c r="W1967" t="s">
        <v>174</v>
      </c>
      <c r="X1967">
        <v>2544199</v>
      </c>
      <c r="Z1967" t="s">
        <v>173</v>
      </c>
      <c r="AA1967" t="s">
        <v>173</v>
      </c>
    </row>
    <row r="1968" spans="1:27" x14ac:dyDescent="0.3">
      <c r="A1968">
        <v>1967</v>
      </c>
      <c r="B1968" t="s">
        <v>169</v>
      </c>
      <c r="C1968">
        <v>99019875</v>
      </c>
      <c r="D1968" s="7" t="s">
        <v>71</v>
      </c>
      <c r="E1968" t="s">
        <v>72</v>
      </c>
      <c r="F1968" t="s">
        <v>176</v>
      </c>
      <c r="G1968" t="s">
        <v>177</v>
      </c>
      <c r="H1968">
        <v>18</v>
      </c>
      <c r="I1968">
        <v>0</v>
      </c>
      <c r="J1968">
        <v>18</v>
      </c>
      <c r="K1968" s="133">
        <v>17960</v>
      </c>
      <c r="L1968" s="133">
        <v>17960</v>
      </c>
      <c r="M1968" s="150">
        <v>0.62471064814814814</v>
      </c>
      <c r="N1968" s="150">
        <v>0.62474537037037037</v>
      </c>
      <c r="O1968" t="s">
        <v>172</v>
      </c>
      <c r="Q1968">
        <v>2544261</v>
      </c>
      <c r="R1968">
        <v>2544261</v>
      </c>
      <c r="S1968">
        <v>2544200</v>
      </c>
      <c r="T1968">
        <v>0</v>
      </c>
      <c r="U1968" t="s">
        <v>173</v>
      </c>
      <c r="V1968">
        <v>0</v>
      </c>
      <c r="W1968" t="s">
        <v>174</v>
      </c>
      <c r="X1968">
        <v>2544200</v>
      </c>
      <c r="Z1968" t="s">
        <v>173</v>
      </c>
      <c r="AA1968" t="s">
        <v>173</v>
      </c>
    </row>
    <row r="1969" spans="1:27" x14ac:dyDescent="0.3">
      <c r="A1969">
        <v>1968</v>
      </c>
      <c r="B1969" t="s">
        <v>169</v>
      </c>
      <c r="C1969">
        <v>99019875</v>
      </c>
      <c r="D1969" s="7" t="s">
        <v>69</v>
      </c>
      <c r="E1969" t="s">
        <v>70</v>
      </c>
      <c r="F1969" t="s">
        <v>170</v>
      </c>
      <c r="G1969" t="s">
        <v>177</v>
      </c>
      <c r="H1969">
        <v>17</v>
      </c>
      <c r="I1969">
        <v>0</v>
      </c>
      <c r="J1969">
        <v>17</v>
      </c>
      <c r="K1969" s="133">
        <v>10210</v>
      </c>
      <c r="L1969" s="133">
        <v>10210</v>
      </c>
      <c r="M1969" s="150">
        <v>0.62472222222222229</v>
      </c>
      <c r="N1969" s="150">
        <v>0.62474537037037037</v>
      </c>
      <c r="O1969" t="s">
        <v>172</v>
      </c>
      <c r="Q1969">
        <v>2544321</v>
      </c>
      <c r="R1969">
        <v>2544321</v>
      </c>
      <c r="S1969">
        <v>2544100</v>
      </c>
      <c r="T1969">
        <v>0</v>
      </c>
      <c r="U1969" t="s">
        <v>173</v>
      </c>
      <c r="V1969">
        <v>0</v>
      </c>
      <c r="W1969" t="s">
        <v>174</v>
      </c>
      <c r="X1969">
        <v>2544100</v>
      </c>
      <c r="Z1969" t="s">
        <v>173</v>
      </c>
      <c r="AA1969" t="s">
        <v>173</v>
      </c>
    </row>
    <row r="1970" spans="1:27" x14ac:dyDescent="0.3">
      <c r="A1970">
        <v>1969</v>
      </c>
      <c r="B1970" t="s">
        <v>169</v>
      </c>
      <c r="C1970">
        <v>99019875</v>
      </c>
      <c r="D1970" s="7" t="s">
        <v>140</v>
      </c>
      <c r="E1970" t="s">
        <v>178</v>
      </c>
      <c r="F1970" t="s">
        <v>170</v>
      </c>
      <c r="G1970" t="s">
        <v>177</v>
      </c>
      <c r="H1970">
        <v>20</v>
      </c>
      <c r="I1970">
        <v>0</v>
      </c>
      <c r="J1970">
        <v>20</v>
      </c>
      <c r="K1970" s="133">
        <v>8615</v>
      </c>
      <c r="L1970" s="133">
        <v>8615</v>
      </c>
      <c r="M1970" s="150">
        <v>0.62473379629629633</v>
      </c>
      <c r="N1970" s="150">
        <v>0.6248379629629629</v>
      </c>
      <c r="O1970" t="s">
        <v>172</v>
      </c>
      <c r="Q1970">
        <v>2544344</v>
      </c>
      <c r="R1970">
        <v>2544344</v>
      </c>
      <c r="S1970">
        <v>2543193</v>
      </c>
      <c r="T1970">
        <v>0</v>
      </c>
      <c r="U1970" t="s">
        <v>173</v>
      </c>
      <c r="V1970">
        <v>0</v>
      </c>
      <c r="W1970" t="s">
        <v>174</v>
      </c>
      <c r="X1970">
        <v>2543193</v>
      </c>
      <c r="Z1970" t="s">
        <v>173</v>
      </c>
      <c r="AA1970" t="s">
        <v>173</v>
      </c>
    </row>
    <row r="1971" spans="1:27" x14ac:dyDescent="0.3">
      <c r="A1971">
        <v>1970</v>
      </c>
      <c r="B1971" t="s">
        <v>169</v>
      </c>
      <c r="C1971">
        <v>99019875</v>
      </c>
      <c r="D1971" s="7" t="s">
        <v>140</v>
      </c>
      <c r="E1971" t="s">
        <v>178</v>
      </c>
      <c r="F1971" t="s">
        <v>170</v>
      </c>
      <c r="G1971" t="s">
        <v>177</v>
      </c>
      <c r="H1971">
        <v>20</v>
      </c>
      <c r="I1971">
        <v>0</v>
      </c>
      <c r="J1971">
        <v>20</v>
      </c>
      <c r="K1971" s="133">
        <v>8615</v>
      </c>
      <c r="L1971" s="133">
        <v>8615</v>
      </c>
      <c r="M1971" s="150">
        <v>0.62473379629629633</v>
      </c>
      <c r="N1971" s="150">
        <v>0.6248379629629629</v>
      </c>
      <c r="O1971" t="s">
        <v>172</v>
      </c>
      <c r="Q1971">
        <v>2544345</v>
      </c>
      <c r="R1971">
        <v>2544345</v>
      </c>
      <c r="S1971">
        <v>2544099</v>
      </c>
      <c r="T1971">
        <v>0</v>
      </c>
      <c r="U1971" t="s">
        <v>173</v>
      </c>
      <c r="V1971">
        <v>0</v>
      </c>
      <c r="W1971" t="s">
        <v>174</v>
      </c>
      <c r="X1971">
        <v>2544099</v>
      </c>
      <c r="Z1971" t="s">
        <v>173</v>
      </c>
      <c r="AA1971" t="s">
        <v>173</v>
      </c>
    </row>
    <row r="1972" spans="1:27" x14ac:dyDescent="0.3">
      <c r="A1972">
        <v>1971</v>
      </c>
      <c r="B1972" t="s">
        <v>169</v>
      </c>
      <c r="C1972">
        <v>99019875</v>
      </c>
      <c r="D1972" s="7" t="s">
        <v>75</v>
      </c>
      <c r="E1972" t="s">
        <v>76</v>
      </c>
      <c r="F1972" t="s">
        <v>170</v>
      </c>
      <c r="G1972" t="s">
        <v>177</v>
      </c>
      <c r="H1972">
        <v>79</v>
      </c>
      <c r="I1972">
        <v>0</v>
      </c>
      <c r="J1972">
        <v>79</v>
      </c>
      <c r="K1972" s="133">
        <v>20745</v>
      </c>
      <c r="L1972" s="133">
        <v>20745</v>
      </c>
      <c r="M1972" s="150">
        <v>0.62480324074074078</v>
      </c>
      <c r="N1972" s="150">
        <v>0.62509259259259264</v>
      </c>
      <c r="O1972" t="s">
        <v>172</v>
      </c>
      <c r="Q1972">
        <v>2544550</v>
      </c>
      <c r="R1972">
        <v>2544550</v>
      </c>
      <c r="S1972">
        <v>2542225</v>
      </c>
      <c r="T1972">
        <v>0</v>
      </c>
      <c r="U1972" t="s">
        <v>173</v>
      </c>
      <c r="V1972">
        <v>0</v>
      </c>
      <c r="W1972" t="s">
        <v>174</v>
      </c>
      <c r="X1972">
        <v>2542225</v>
      </c>
      <c r="Z1972" t="s">
        <v>173</v>
      </c>
      <c r="AA1972" t="s">
        <v>173</v>
      </c>
    </row>
    <row r="1973" spans="1:27" x14ac:dyDescent="0.3">
      <c r="A1973">
        <v>1972</v>
      </c>
      <c r="B1973" t="s">
        <v>169</v>
      </c>
      <c r="C1973">
        <v>99019875</v>
      </c>
      <c r="D1973" s="7" t="s">
        <v>75</v>
      </c>
      <c r="E1973" t="s">
        <v>76</v>
      </c>
      <c r="F1973" t="s">
        <v>170</v>
      </c>
      <c r="G1973" t="s">
        <v>177</v>
      </c>
      <c r="H1973">
        <v>83</v>
      </c>
      <c r="I1973">
        <v>0</v>
      </c>
      <c r="J1973">
        <v>60</v>
      </c>
      <c r="K1973" s="133">
        <v>20745</v>
      </c>
      <c r="L1973" s="133">
        <v>20745</v>
      </c>
      <c r="M1973" s="150">
        <v>0.62480324074074078</v>
      </c>
      <c r="N1973" s="150">
        <v>0.62509259259259264</v>
      </c>
      <c r="O1973" t="s">
        <v>172</v>
      </c>
      <c r="Q1973">
        <v>2544551</v>
      </c>
      <c r="R1973">
        <v>2544551</v>
      </c>
      <c r="S1973">
        <v>2543177</v>
      </c>
      <c r="T1973">
        <v>23</v>
      </c>
      <c r="U1973" t="s">
        <v>173</v>
      </c>
      <c r="V1973">
        <v>0</v>
      </c>
      <c r="W1973" t="s">
        <v>174</v>
      </c>
      <c r="X1973">
        <v>2543177</v>
      </c>
      <c r="Z1973" t="s">
        <v>173</v>
      </c>
      <c r="AA1973" t="s">
        <v>173</v>
      </c>
    </row>
    <row r="1974" spans="1:27" x14ac:dyDescent="0.3">
      <c r="A1974">
        <v>1973</v>
      </c>
      <c r="B1974" t="s">
        <v>169</v>
      </c>
      <c r="C1974">
        <v>99019875</v>
      </c>
      <c r="D1974" s="7" t="s">
        <v>85</v>
      </c>
      <c r="E1974" t="s">
        <v>86</v>
      </c>
      <c r="F1974" t="s">
        <v>170</v>
      </c>
      <c r="G1974" t="s">
        <v>171</v>
      </c>
      <c r="H1974">
        <v>1</v>
      </c>
      <c r="I1974">
        <v>0</v>
      </c>
      <c r="J1974">
        <v>1</v>
      </c>
      <c r="K1974" s="133">
        <v>4715</v>
      </c>
      <c r="L1974" s="133">
        <v>4715</v>
      </c>
      <c r="M1974" s="150">
        <v>0.62495370370370373</v>
      </c>
      <c r="N1974" s="150">
        <v>0.62736111111111115</v>
      </c>
      <c r="O1974" t="s">
        <v>172</v>
      </c>
      <c r="Q1974">
        <v>2545088</v>
      </c>
      <c r="R1974">
        <v>2545088</v>
      </c>
      <c r="S1974">
        <v>0</v>
      </c>
      <c r="T1974">
        <v>0</v>
      </c>
      <c r="U1974" t="s">
        <v>173</v>
      </c>
      <c r="V1974">
        <v>0</v>
      </c>
      <c r="W1974" t="s">
        <v>174</v>
      </c>
      <c r="X1974">
        <v>0</v>
      </c>
      <c r="Z1974" t="s">
        <v>173</v>
      </c>
      <c r="AA1974" t="s">
        <v>173</v>
      </c>
    </row>
    <row r="1975" spans="1:27" x14ac:dyDescent="0.3">
      <c r="A1975">
        <v>1974</v>
      </c>
      <c r="B1975" t="s">
        <v>169</v>
      </c>
      <c r="C1975">
        <v>99019875</v>
      </c>
      <c r="D1975" s="7" t="s">
        <v>106</v>
      </c>
      <c r="E1975" t="s">
        <v>107</v>
      </c>
      <c r="F1975" t="s">
        <v>170</v>
      </c>
      <c r="G1975" t="s">
        <v>171</v>
      </c>
      <c r="H1975">
        <v>1</v>
      </c>
      <c r="I1975">
        <v>0</v>
      </c>
      <c r="J1975">
        <v>1</v>
      </c>
      <c r="K1975" s="133">
        <v>3505</v>
      </c>
      <c r="L1975" s="133">
        <v>3505</v>
      </c>
      <c r="M1975" s="150">
        <v>0.62495370370370373</v>
      </c>
      <c r="N1975" s="150">
        <v>0.62652777777777779</v>
      </c>
      <c r="O1975" t="s">
        <v>172</v>
      </c>
      <c r="Q1975">
        <v>2545089</v>
      </c>
      <c r="R1975">
        <v>2545089</v>
      </c>
      <c r="S1975">
        <v>0</v>
      </c>
      <c r="T1975">
        <v>0</v>
      </c>
      <c r="U1975" t="s">
        <v>173</v>
      </c>
      <c r="V1975">
        <v>0</v>
      </c>
      <c r="W1975" t="s">
        <v>174</v>
      </c>
      <c r="X1975">
        <v>0</v>
      </c>
      <c r="Z1975" t="s">
        <v>173</v>
      </c>
      <c r="AA1975" t="s">
        <v>173</v>
      </c>
    </row>
    <row r="1976" spans="1:27" x14ac:dyDescent="0.3">
      <c r="A1976">
        <v>1975</v>
      </c>
      <c r="B1976" t="s">
        <v>169</v>
      </c>
      <c r="C1976">
        <v>99019875</v>
      </c>
      <c r="D1976" s="7" t="s">
        <v>128</v>
      </c>
      <c r="E1976" t="s">
        <v>129</v>
      </c>
      <c r="F1976" t="s">
        <v>170</v>
      </c>
      <c r="G1976" t="s">
        <v>171</v>
      </c>
      <c r="H1976">
        <v>1</v>
      </c>
      <c r="I1976">
        <v>0</v>
      </c>
      <c r="J1976">
        <v>1</v>
      </c>
      <c r="K1976" s="133">
        <v>6490</v>
      </c>
      <c r="L1976" s="133">
        <v>6490</v>
      </c>
      <c r="M1976" s="150">
        <v>0.62495370370370373</v>
      </c>
      <c r="N1976" s="150">
        <v>0.62710648148148151</v>
      </c>
      <c r="O1976" t="s">
        <v>172</v>
      </c>
      <c r="Q1976">
        <v>2545093</v>
      </c>
      <c r="R1976">
        <v>2545093</v>
      </c>
      <c r="S1976">
        <v>0</v>
      </c>
      <c r="T1976">
        <v>0</v>
      </c>
      <c r="U1976" t="s">
        <v>173</v>
      </c>
      <c r="V1976">
        <v>0</v>
      </c>
      <c r="W1976" t="s">
        <v>174</v>
      </c>
      <c r="X1976">
        <v>0</v>
      </c>
      <c r="Z1976" t="s">
        <v>173</v>
      </c>
      <c r="AA1976" t="s">
        <v>173</v>
      </c>
    </row>
    <row r="1977" spans="1:27" x14ac:dyDescent="0.3">
      <c r="A1977">
        <v>1976</v>
      </c>
      <c r="B1977" t="s">
        <v>169</v>
      </c>
      <c r="C1977">
        <v>99019875</v>
      </c>
      <c r="D1977" s="7" t="s">
        <v>114</v>
      </c>
      <c r="E1977" t="s">
        <v>115</v>
      </c>
      <c r="F1977" t="s">
        <v>176</v>
      </c>
      <c r="G1977" t="s">
        <v>171</v>
      </c>
      <c r="H1977">
        <v>66</v>
      </c>
      <c r="I1977">
        <v>0</v>
      </c>
      <c r="J1977">
        <v>66</v>
      </c>
      <c r="K1977" s="133">
        <v>53690</v>
      </c>
      <c r="L1977" s="133">
        <v>53690</v>
      </c>
      <c r="M1977" s="150">
        <v>0.62496527777777777</v>
      </c>
      <c r="N1977" s="150">
        <v>0.62504629629629627</v>
      </c>
      <c r="O1977" t="s">
        <v>172</v>
      </c>
      <c r="Q1977">
        <v>2545158</v>
      </c>
      <c r="R1977">
        <v>2545158</v>
      </c>
      <c r="S1977">
        <v>0</v>
      </c>
      <c r="T1977">
        <v>0</v>
      </c>
      <c r="U1977" t="s">
        <v>173</v>
      </c>
      <c r="V1977">
        <v>0</v>
      </c>
      <c r="W1977" t="s">
        <v>174</v>
      </c>
      <c r="X1977">
        <v>0</v>
      </c>
      <c r="Z1977" t="s">
        <v>173</v>
      </c>
      <c r="AA1977" t="s">
        <v>173</v>
      </c>
    </row>
    <row r="1978" spans="1:27" x14ac:dyDescent="0.3">
      <c r="A1978">
        <v>1977</v>
      </c>
      <c r="B1978" t="s">
        <v>169</v>
      </c>
      <c r="C1978">
        <v>99019875</v>
      </c>
      <c r="D1978" s="7" t="s">
        <v>81</v>
      </c>
      <c r="E1978" t="s">
        <v>82</v>
      </c>
      <c r="F1978" t="s">
        <v>176</v>
      </c>
      <c r="G1978" t="s">
        <v>171</v>
      </c>
      <c r="H1978">
        <v>76</v>
      </c>
      <c r="I1978">
        <v>0</v>
      </c>
      <c r="J1978">
        <v>76</v>
      </c>
      <c r="K1978" s="133">
        <v>36330</v>
      </c>
      <c r="L1978" s="133">
        <v>36330</v>
      </c>
      <c r="M1978" s="150">
        <v>0.62496527777777777</v>
      </c>
      <c r="N1978" s="150">
        <v>0.62505787037037031</v>
      </c>
      <c r="O1978" t="s">
        <v>172</v>
      </c>
      <c r="Q1978">
        <v>2545160</v>
      </c>
      <c r="R1978">
        <v>2545160</v>
      </c>
      <c r="S1978">
        <v>0</v>
      </c>
      <c r="T1978">
        <v>0</v>
      </c>
      <c r="U1978" t="s">
        <v>173</v>
      </c>
      <c r="V1978">
        <v>0</v>
      </c>
      <c r="W1978" t="s">
        <v>174</v>
      </c>
      <c r="X1978">
        <v>0</v>
      </c>
      <c r="Z1978" t="s">
        <v>173</v>
      </c>
      <c r="AA1978" t="s">
        <v>173</v>
      </c>
    </row>
    <row r="1979" spans="1:27" x14ac:dyDescent="0.3">
      <c r="A1979">
        <v>1978</v>
      </c>
      <c r="B1979" t="s">
        <v>169</v>
      </c>
      <c r="C1979">
        <v>99019875</v>
      </c>
      <c r="D1979" s="7" t="s">
        <v>102</v>
      </c>
      <c r="E1979" t="s">
        <v>103</v>
      </c>
      <c r="F1979" t="s">
        <v>170</v>
      </c>
      <c r="G1979" t="s">
        <v>171</v>
      </c>
      <c r="H1979">
        <v>54</v>
      </c>
      <c r="I1979">
        <v>0</v>
      </c>
      <c r="J1979">
        <v>54</v>
      </c>
      <c r="K1979" s="133">
        <v>26785</v>
      </c>
      <c r="L1979" s="133">
        <v>26785</v>
      </c>
      <c r="M1979" s="150">
        <v>0.62496527777777777</v>
      </c>
      <c r="N1979" s="150">
        <v>0.62509259259259264</v>
      </c>
      <c r="O1979" t="s">
        <v>172</v>
      </c>
      <c r="Q1979">
        <v>2545162</v>
      </c>
      <c r="R1979">
        <v>2545162</v>
      </c>
      <c r="S1979">
        <v>0</v>
      </c>
      <c r="T1979">
        <v>0</v>
      </c>
      <c r="U1979" t="s">
        <v>173</v>
      </c>
      <c r="V1979">
        <v>0</v>
      </c>
      <c r="W1979" t="s">
        <v>174</v>
      </c>
      <c r="X1979">
        <v>0</v>
      </c>
      <c r="Z1979" t="s">
        <v>173</v>
      </c>
      <c r="AA1979" t="s">
        <v>173</v>
      </c>
    </row>
    <row r="1980" spans="1:27" x14ac:dyDescent="0.3">
      <c r="A1980">
        <v>1979</v>
      </c>
      <c r="B1980" t="s">
        <v>169</v>
      </c>
      <c r="C1980">
        <v>99019875</v>
      </c>
      <c r="D1980" s="7" t="s">
        <v>100</v>
      </c>
      <c r="E1980" t="s">
        <v>101</v>
      </c>
      <c r="F1980" t="s">
        <v>170</v>
      </c>
      <c r="G1980" t="s">
        <v>171</v>
      </c>
      <c r="H1980">
        <v>5</v>
      </c>
      <c r="I1980">
        <v>0</v>
      </c>
      <c r="J1980">
        <v>5</v>
      </c>
      <c r="K1980" s="133">
        <v>15495</v>
      </c>
      <c r="L1980" s="133">
        <v>15495</v>
      </c>
      <c r="M1980" s="150">
        <v>0.62496527777777777</v>
      </c>
      <c r="N1980" s="150">
        <v>0.62593750000000004</v>
      </c>
      <c r="O1980" t="s">
        <v>172</v>
      </c>
      <c r="Q1980">
        <v>2545166</v>
      </c>
      <c r="R1980">
        <v>2545166</v>
      </c>
      <c r="S1980">
        <v>0</v>
      </c>
      <c r="T1980">
        <v>0</v>
      </c>
      <c r="U1980" t="s">
        <v>173</v>
      </c>
      <c r="V1980">
        <v>0</v>
      </c>
      <c r="W1980" t="s">
        <v>174</v>
      </c>
      <c r="X1980">
        <v>0</v>
      </c>
      <c r="Z1980" t="s">
        <v>173</v>
      </c>
      <c r="AA1980" t="s">
        <v>173</v>
      </c>
    </row>
    <row r="1981" spans="1:27" x14ac:dyDescent="0.3">
      <c r="A1981">
        <v>1980</v>
      </c>
      <c r="B1981" t="s">
        <v>169</v>
      </c>
      <c r="C1981">
        <v>99019875</v>
      </c>
      <c r="D1981" s="7" t="s">
        <v>96</v>
      </c>
      <c r="E1981" t="s">
        <v>97</v>
      </c>
      <c r="F1981" t="s">
        <v>170</v>
      </c>
      <c r="G1981" t="s">
        <v>171</v>
      </c>
      <c r="H1981">
        <v>28</v>
      </c>
      <c r="I1981">
        <v>0</v>
      </c>
      <c r="J1981">
        <v>28</v>
      </c>
      <c r="K1981" s="133">
        <v>8290</v>
      </c>
      <c r="L1981" s="133">
        <v>8290</v>
      </c>
      <c r="M1981" s="150">
        <v>0.62496527777777777</v>
      </c>
      <c r="N1981" s="150">
        <v>0.62782407407407403</v>
      </c>
      <c r="O1981" t="s">
        <v>172</v>
      </c>
      <c r="Q1981">
        <v>2545175</v>
      </c>
      <c r="R1981">
        <v>2545175</v>
      </c>
      <c r="S1981">
        <v>0</v>
      </c>
      <c r="T1981">
        <v>0</v>
      </c>
      <c r="U1981" t="s">
        <v>173</v>
      </c>
      <c r="V1981">
        <v>0</v>
      </c>
      <c r="W1981" t="s">
        <v>174</v>
      </c>
      <c r="X1981">
        <v>0</v>
      </c>
      <c r="Z1981" t="s">
        <v>173</v>
      </c>
      <c r="AA1981" t="s">
        <v>173</v>
      </c>
    </row>
    <row r="1982" spans="1:27" x14ac:dyDescent="0.3">
      <c r="A1982">
        <v>1981</v>
      </c>
      <c r="B1982" t="s">
        <v>169</v>
      </c>
      <c r="C1982">
        <v>99019875</v>
      </c>
      <c r="D1982" s="7" t="s">
        <v>118</v>
      </c>
      <c r="E1982" t="s">
        <v>119</v>
      </c>
      <c r="F1982" t="s">
        <v>176</v>
      </c>
      <c r="G1982" t="s">
        <v>177</v>
      </c>
      <c r="H1982">
        <v>20</v>
      </c>
      <c r="I1982">
        <v>0</v>
      </c>
      <c r="J1982">
        <v>20</v>
      </c>
      <c r="K1982" s="133">
        <v>12385</v>
      </c>
      <c r="L1982" s="133">
        <v>12385</v>
      </c>
      <c r="M1982" s="150">
        <v>0.62497685185185181</v>
      </c>
      <c r="N1982" s="150">
        <v>0.62502314814814819</v>
      </c>
      <c r="O1982" t="s">
        <v>172</v>
      </c>
      <c r="Q1982">
        <v>2545230</v>
      </c>
      <c r="R1982">
        <v>2545230</v>
      </c>
      <c r="S1982">
        <v>2541950</v>
      </c>
      <c r="T1982">
        <v>0</v>
      </c>
      <c r="U1982" t="s">
        <v>173</v>
      </c>
      <c r="V1982">
        <v>0</v>
      </c>
      <c r="W1982" t="s">
        <v>174</v>
      </c>
      <c r="X1982">
        <v>2541950</v>
      </c>
      <c r="Z1982" t="s">
        <v>173</v>
      </c>
      <c r="AA1982" t="s">
        <v>173</v>
      </c>
    </row>
    <row r="1983" spans="1:27" x14ac:dyDescent="0.3">
      <c r="A1983">
        <v>1982</v>
      </c>
      <c r="B1983" t="s">
        <v>169</v>
      </c>
      <c r="C1983">
        <v>99019875</v>
      </c>
      <c r="D1983" s="7" t="s">
        <v>118</v>
      </c>
      <c r="E1983" t="s">
        <v>119</v>
      </c>
      <c r="F1983" t="s">
        <v>176</v>
      </c>
      <c r="G1983" t="s">
        <v>177</v>
      </c>
      <c r="H1983">
        <v>20</v>
      </c>
      <c r="I1983">
        <v>0</v>
      </c>
      <c r="J1983">
        <v>20</v>
      </c>
      <c r="K1983" s="133">
        <v>12385</v>
      </c>
      <c r="L1983" s="133">
        <v>12385</v>
      </c>
      <c r="M1983" s="150">
        <v>0.62497685185185181</v>
      </c>
      <c r="N1983" s="150">
        <v>0.62502314814814819</v>
      </c>
      <c r="O1983" t="s">
        <v>172</v>
      </c>
      <c r="Q1983">
        <v>2545231</v>
      </c>
      <c r="R1983">
        <v>2545231</v>
      </c>
      <c r="S1983">
        <v>2541951</v>
      </c>
      <c r="T1983">
        <v>0</v>
      </c>
      <c r="U1983" t="s">
        <v>173</v>
      </c>
      <c r="V1983">
        <v>0</v>
      </c>
      <c r="W1983" t="s">
        <v>174</v>
      </c>
      <c r="X1983">
        <v>2541951</v>
      </c>
      <c r="Z1983" t="s">
        <v>173</v>
      </c>
      <c r="AA1983" t="s">
        <v>173</v>
      </c>
    </row>
    <row r="1984" spans="1:27" x14ac:dyDescent="0.3">
      <c r="A1984">
        <v>1983</v>
      </c>
      <c r="B1984" t="s">
        <v>169</v>
      </c>
      <c r="C1984">
        <v>99019875</v>
      </c>
      <c r="D1984" s="7" t="s">
        <v>118</v>
      </c>
      <c r="E1984" t="s">
        <v>119</v>
      </c>
      <c r="F1984" t="s">
        <v>176</v>
      </c>
      <c r="G1984" t="s">
        <v>177</v>
      </c>
      <c r="H1984">
        <v>20</v>
      </c>
      <c r="I1984">
        <v>0</v>
      </c>
      <c r="J1984">
        <v>20</v>
      </c>
      <c r="K1984" s="133">
        <v>12385</v>
      </c>
      <c r="L1984" s="133">
        <v>12385</v>
      </c>
      <c r="M1984" s="150">
        <v>0.62497685185185181</v>
      </c>
      <c r="N1984" s="150">
        <v>0.62502314814814819</v>
      </c>
      <c r="O1984" t="s">
        <v>172</v>
      </c>
      <c r="Q1984">
        <v>2545232</v>
      </c>
      <c r="R1984">
        <v>2545232</v>
      </c>
      <c r="S1984">
        <v>2541952</v>
      </c>
      <c r="T1984">
        <v>0</v>
      </c>
      <c r="U1984" t="s">
        <v>173</v>
      </c>
      <c r="V1984">
        <v>0</v>
      </c>
      <c r="W1984" t="s">
        <v>174</v>
      </c>
      <c r="X1984">
        <v>2541952</v>
      </c>
      <c r="Z1984" t="s">
        <v>173</v>
      </c>
      <c r="AA1984" t="s">
        <v>173</v>
      </c>
    </row>
    <row r="1985" spans="1:27" x14ac:dyDescent="0.3">
      <c r="A1985">
        <v>1984</v>
      </c>
      <c r="B1985" t="s">
        <v>169</v>
      </c>
      <c r="C1985">
        <v>99019875</v>
      </c>
      <c r="D1985" s="7" t="s">
        <v>118</v>
      </c>
      <c r="E1985" t="s">
        <v>119</v>
      </c>
      <c r="F1985" t="s">
        <v>176</v>
      </c>
      <c r="G1985" t="s">
        <v>177</v>
      </c>
      <c r="H1985">
        <v>19</v>
      </c>
      <c r="I1985">
        <v>0</v>
      </c>
      <c r="J1985">
        <v>19</v>
      </c>
      <c r="K1985" s="133">
        <v>12385</v>
      </c>
      <c r="L1985" s="133">
        <v>12385</v>
      </c>
      <c r="M1985" s="150">
        <v>0.62497685185185181</v>
      </c>
      <c r="N1985" s="150">
        <v>0.62502314814814819</v>
      </c>
      <c r="O1985" t="s">
        <v>172</v>
      </c>
      <c r="Q1985">
        <v>2545233</v>
      </c>
      <c r="R1985">
        <v>2545233</v>
      </c>
      <c r="S1985">
        <v>2541983</v>
      </c>
      <c r="T1985">
        <v>0</v>
      </c>
      <c r="U1985" t="s">
        <v>173</v>
      </c>
      <c r="V1985">
        <v>0</v>
      </c>
      <c r="W1985" t="s">
        <v>174</v>
      </c>
      <c r="X1985">
        <v>2541983</v>
      </c>
      <c r="Z1985" t="s">
        <v>173</v>
      </c>
      <c r="AA1985" t="s">
        <v>173</v>
      </c>
    </row>
    <row r="1986" spans="1:27" x14ac:dyDescent="0.3">
      <c r="A1986">
        <v>1985</v>
      </c>
      <c r="B1986" t="s">
        <v>169</v>
      </c>
      <c r="C1986">
        <v>99019875</v>
      </c>
      <c r="D1986" s="7" t="s">
        <v>118</v>
      </c>
      <c r="E1986" t="s">
        <v>119</v>
      </c>
      <c r="F1986" t="s">
        <v>176</v>
      </c>
      <c r="G1986" t="s">
        <v>177</v>
      </c>
      <c r="H1986">
        <v>20</v>
      </c>
      <c r="I1986">
        <v>0</v>
      </c>
      <c r="J1986">
        <v>20</v>
      </c>
      <c r="K1986" s="133">
        <v>12385</v>
      </c>
      <c r="L1986" s="133">
        <v>12385</v>
      </c>
      <c r="M1986" s="150">
        <v>0.62497685185185181</v>
      </c>
      <c r="N1986" s="150">
        <v>0.62502314814814819</v>
      </c>
      <c r="O1986" t="s">
        <v>172</v>
      </c>
      <c r="Q1986">
        <v>2545234</v>
      </c>
      <c r="R1986">
        <v>2545234</v>
      </c>
      <c r="S1986">
        <v>2543191</v>
      </c>
      <c r="T1986">
        <v>0</v>
      </c>
      <c r="U1986" t="s">
        <v>173</v>
      </c>
      <c r="V1986">
        <v>0</v>
      </c>
      <c r="W1986" t="s">
        <v>174</v>
      </c>
      <c r="X1986">
        <v>2543191</v>
      </c>
      <c r="Z1986" t="s">
        <v>173</v>
      </c>
      <c r="AA1986" t="s">
        <v>173</v>
      </c>
    </row>
    <row r="1987" spans="1:27" x14ac:dyDescent="0.3">
      <c r="A1987">
        <v>1986</v>
      </c>
      <c r="B1987" t="s">
        <v>169</v>
      </c>
      <c r="C1987">
        <v>99019875</v>
      </c>
      <c r="D1987" s="7" t="s">
        <v>118</v>
      </c>
      <c r="E1987" t="s">
        <v>119</v>
      </c>
      <c r="F1987" t="s">
        <v>176</v>
      </c>
      <c r="G1987" t="s">
        <v>177</v>
      </c>
      <c r="H1987">
        <v>20</v>
      </c>
      <c r="I1987">
        <v>0</v>
      </c>
      <c r="J1987">
        <v>20</v>
      </c>
      <c r="K1987" s="133">
        <v>12385</v>
      </c>
      <c r="L1987" s="133">
        <v>12385</v>
      </c>
      <c r="M1987" s="150">
        <v>0.62497685185185181</v>
      </c>
      <c r="N1987" s="150">
        <v>0.62502314814814819</v>
      </c>
      <c r="O1987" t="s">
        <v>172</v>
      </c>
      <c r="Q1987">
        <v>2545235</v>
      </c>
      <c r="R1987">
        <v>2545235</v>
      </c>
      <c r="S1987">
        <v>2544097</v>
      </c>
      <c r="T1987">
        <v>0</v>
      </c>
      <c r="U1987" t="s">
        <v>173</v>
      </c>
      <c r="V1987">
        <v>0</v>
      </c>
      <c r="W1987" t="s">
        <v>174</v>
      </c>
      <c r="X1987">
        <v>2544097</v>
      </c>
      <c r="Z1987" t="s">
        <v>173</v>
      </c>
      <c r="AA1987" t="s">
        <v>173</v>
      </c>
    </row>
    <row r="1988" spans="1:27" x14ac:dyDescent="0.3">
      <c r="A1988">
        <v>1987</v>
      </c>
      <c r="B1988" t="s">
        <v>169</v>
      </c>
      <c r="C1988">
        <v>99019875</v>
      </c>
      <c r="D1988" s="7" t="s">
        <v>118</v>
      </c>
      <c r="E1988" t="s">
        <v>119</v>
      </c>
      <c r="F1988" t="s">
        <v>176</v>
      </c>
      <c r="G1988" t="s">
        <v>177</v>
      </c>
      <c r="H1988">
        <v>20</v>
      </c>
      <c r="I1988">
        <v>0</v>
      </c>
      <c r="J1988">
        <v>20</v>
      </c>
      <c r="K1988" s="133">
        <v>12385</v>
      </c>
      <c r="L1988" s="133">
        <v>12385</v>
      </c>
      <c r="M1988" s="150">
        <v>0.62497685185185181</v>
      </c>
      <c r="N1988" s="150">
        <v>0.62509259259259264</v>
      </c>
      <c r="O1988" t="s">
        <v>172</v>
      </c>
      <c r="Q1988">
        <v>2545236</v>
      </c>
      <c r="R1988">
        <v>2545236</v>
      </c>
      <c r="S1988">
        <v>2545174</v>
      </c>
      <c r="T1988">
        <v>0</v>
      </c>
      <c r="U1988" t="s">
        <v>173</v>
      </c>
      <c r="V1988">
        <v>0</v>
      </c>
      <c r="W1988" t="s">
        <v>174</v>
      </c>
      <c r="X1988">
        <v>2545174</v>
      </c>
      <c r="Z1988" t="s">
        <v>173</v>
      </c>
      <c r="AA1988" t="s">
        <v>173</v>
      </c>
    </row>
    <row r="1989" spans="1:27" x14ac:dyDescent="0.3">
      <c r="A1989">
        <v>1988</v>
      </c>
      <c r="B1989" t="s">
        <v>169</v>
      </c>
      <c r="C1989">
        <v>99019875</v>
      </c>
      <c r="D1989" s="7" t="s">
        <v>62</v>
      </c>
      <c r="E1989" t="s">
        <v>63</v>
      </c>
      <c r="F1989" t="s">
        <v>176</v>
      </c>
      <c r="G1989" t="s">
        <v>177</v>
      </c>
      <c r="H1989">
        <v>89</v>
      </c>
      <c r="I1989">
        <v>0</v>
      </c>
      <c r="J1989">
        <v>89</v>
      </c>
      <c r="K1989" s="133">
        <v>33945</v>
      </c>
      <c r="L1989" s="133">
        <v>33945</v>
      </c>
      <c r="M1989" s="150">
        <v>0.62497685185185181</v>
      </c>
      <c r="N1989" s="150">
        <v>0.625</v>
      </c>
      <c r="O1989" t="s">
        <v>172</v>
      </c>
      <c r="Q1989">
        <v>2545241</v>
      </c>
      <c r="R1989">
        <v>2545241</v>
      </c>
      <c r="S1989">
        <v>2545237</v>
      </c>
      <c r="T1989">
        <v>0</v>
      </c>
      <c r="U1989" t="s">
        <v>173</v>
      </c>
      <c r="V1989">
        <v>0</v>
      </c>
      <c r="W1989" t="s">
        <v>174</v>
      </c>
      <c r="X1989">
        <v>2545237</v>
      </c>
      <c r="Z1989" t="s">
        <v>173</v>
      </c>
      <c r="AA1989" t="s">
        <v>173</v>
      </c>
    </row>
    <row r="1990" spans="1:27" x14ac:dyDescent="0.3">
      <c r="A1990">
        <v>1989</v>
      </c>
      <c r="B1990" t="s">
        <v>169</v>
      </c>
      <c r="C1990">
        <v>99019875</v>
      </c>
      <c r="D1990" s="7" t="s">
        <v>71</v>
      </c>
      <c r="E1990" t="s">
        <v>72</v>
      </c>
      <c r="F1990" t="s">
        <v>176</v>
      </c>
      <c r="G1990" t="s">
        <v>177</v>
      </c>
      <c r="H1990">
        <v>19</v>
      </c>
      <c r="I1990">
        <v>0</v>
      </c>
      <c r="J1990">
        <v>19</v>
      </c>
      <c r="K1990" s="133">
        <v>17965</v>
      </c>
      <c r="L1990" s="133">
        <v>17965</v>
      </c>
      <c r="M1990" s="150">
        <v>0.62501157407407404</v>
      </c>
      <c r="N1990" s="150">
        <v>0.62518518518518518</v>
      </c>
      <c r="O1990" t="s">
        <v>172</v>
      </c>
      <c r="Q1990">
        <v>2545470</v>
      </c>
      <c r="R1990">
        <v>2545470</v>
      </c>
      <c r="S1990">
        <v>2545172</v>
      </c>
      <c r="T1990">
        <v>0</v>
      </c>
      <c r="U1990" t="s">
        <v>173</v>
      </c>
      <c r="V1990">
        <v>0</v>
      </c>
      <c r="W1990" t="s">
        <v>174</v>
      </c>
      <c r="X1990">
        <v>2545172</v>
      </c>
      <c r="Z1990" t="s">
        <v>173</v>
      </c>
      <c r="AA1990" t="s">
        <v>173</v>
      </c>
    </row>
    <row r="1991" spans="1:27" x14ac:dyDescent="0.3">
      <c r="A1991">
        <v>1990</v>
      </c>
      <c r="B1991" t="s">
        <v>169</v>
      </c>
      <c r="C1991">
        <v>99019875</v>
      </c>
      <c r="D1991" s="7" t="s">
        <v>140</v>
      </c>
      <c r="E1991" t="s">
        <v>178</v>
      </c>
      <c r="F1991" t="s">
        <v>170</v>
      </c>
      <c r="G1991" t="s">
        <v>177</v>
      </c>
      <c r="H1991">
        <v>20</v>
      </c>
      <c r="I1991">
        <v>0</v>
      </c>
      <c r="J1991">
        <v>20</v>
      </c>
      <c r="K1991" s="133">
        <v>8615</v>
      </c>
      <c r="L1991" s="133">
        <v>8615</v>
      </c>
      <c r="M1991" s="150">
        <v>0.62501157407407404</v>
      </c>
      <c r="N1991" s="150">
        <v>0.62503472222222223</v>
      </c>
      <c r="O1991" t="s">
        <v>172</v>
      </c>
      <c r="Q1991">
        <v>2545471</v>
      </c>
      <c r="R1991">
        <v>2545471</v>
      </c>
      <c r="S1991">
        <v>2545176</v>
      </c>
      <c r="T1991">
        <v>0</v>
      </c>
      <c r="U1991" t="s">
        <v>173</v>
      </c>
      <c r="V1991">
        <v>0</v>
      </c>
      <c r="W1991" t="s">
        <v>174</v>
      </c>
      <c r="X1991">
        <v>2545176</v>
      </c>
      <c r="Z1991" t="s">
        <v>173</v>
      </c>
      <c r="AA1991" t="s">
        <v>173</v>
      </c>
    </row>
    <row r="1992" spans="1:27" x14ac:dyDescent="0.3">
      <c r="A1992">
        <v>1991</v>
      </c>
      <c r="B1992" t="s">
        <v>169</v>
      </c>
      <c r="C1992">
        <v>99019875</v>
      </c>
      <c r="D1992" s="7" t="s">
        <v>98</v>
      </c>
      <c r="E1992" t="s">
        <v>99</v>
      </c>
      <c r="F1992" t="s">
        <v>170</v>
      </c>
      <c r="G1992" t="s">
        <v>177</v>
      </c>
      <c r="H1992">
        <v>39</v>
      </c>
      <c r="I1992">
        <v>0</v>
      </c>
      <c r="J1992">
        <v>39</v>
      </c>
      <c r="K1992" s="133">
        <v>14240</v>
      </c>
      <c r="L1992" s="133">
        <v>14240</v>
      </c>
      <c r="M1992" s="150">
        <v>0.62506944444444446</v>
      </c>
      <c r="N1992" s="150">
        <v>0.62511574074074072</v>
      </c>
      <c r="O1992" t="s">
        <v>172</v>
      </c>
      <c r="Q1992">
        <v>2545668</v>
      </c>
      <c r="R1992">
        <v>2545668</v>
      </c>
      <c r="S1992">
        <v>2545170</v>
      </c>
      <c r="T1992">
        <v>0</v>
      </c>
      <c r="U1992" t="s">
        <v>173</v>
      </c>
      <c r="V1992">
        <v>0</v>
      </c>
      <c r="W1992" t="s">
        <v>174</v>
      </c>
      <c r="X1992">
        <v>2545170</v>
      </c>
      <c r="Z1992" t="s">
        <v>173</v>
      </c>
      <c r="AA1992" t="s">
        <v>173</v>
      </c>
    </row>
    <row r="1993" spans="1:27" x14ac:dyDescent="0.3">
      <c r="A1993">
        <v>1992</v>
      </c>
      <c r="B1993" t="s">
        <v>169</v>
      </c>
      <c r="C1993">
        <v>99019875</v>
      </c>
      <c r="D1993" s="7" t="s">
        <v>67</v>
      </c>
      <c r="E1993" t="s">
        <v>68</v>
      </c>
      <c r="F1993" t="s">
        <v>170</v>
      </c>
      <c r="G1993" t="s">
        <v>177</v>
      </c>
      <c r="H1993">
        <v>36</v>
      </c>
      <c r="I1993">
        <v>0</v>
      </c>
      <c r="J1993">
        <v>36</v>
      </c>
      <c r="K1993" s="133">
        <v>4790</v>
      </c>
      <c r="L1993" s="133">
        <v>4790</v>
      </c>
      <c r="M1993" s="150">
        <v>0.62509259259259264</v>
      </c>
      <c r="N1993" s="150">
        <v>0.62532407407407409</v>
      </c>
      <c r="O1993" t="s">
        <v>172</v>
      </c>
      <c r="Q1993">
        <v>2545736</v>
      </c>
      <c r="R1993">
        <v>2545736</v>
      </c>
      <c r="S1993">
        <v>2543179</v>
      </c>
      <c r="T1993">
        <v>0</v>
      </c>
      <c r="U1993" t="s">
        <v>173</v>
      </c>
      <c r="V1993">
        <v>0</v>
      </c>
      <c r="W1993" t="s">
        <v>174</v>
      </c>
      <c r="X1993">
        <v>2543179</v>
      </c>
      <c r="Z1993" t="s">
        <v>173</v>
      </c>
      <c r="AA1993" t="s">
        <v>173</v>
      </c>
    </row>
    <row r="1994" spans="1:27" x14ac:dyDescent="0.3">
      <c r="A1994">
        <v>1993</v>
      </c>
      <c r="B1994" t="s">
        <v>169</v>
      </c>
      <c r="C1994">
        <v>99019875</v>
      </c>
      <c r="D1994" s="7" t="s">
        <v>67</v>
      </c>
      <c r="E1994" t="s">
        <v>68</v>
      </c>
      <c r="F1994" t="s">
        <v>170</v>
      </c>
      <c r="G1994" t="s">
        <v>177</v>
      </c>
      <c r="H1994">
        <v>35</v>
      </c>
      <c r="I1994">
        <v>0</v>
      </c>
      <c r="J1994">
        <v>35</v>
      </c>
      <c r="K1994" s="133">
        <v>4790</v>
      </c>
      <c r="L1994" s="133">
        <v>4790</v>
      </c>
      <c r="M1994" s="150">
        <v>0.62509259259259264</v>
      </c>
      <c r="N1994" s="150">
        <v>0.62532407407407409</v>
      </c>
      <c r="O1994" t="s">
        <v>172</v>
      </c>
      <c r="Q1994">
        <v>2545737</v>
      </c>
      <c r="R1994">
        <v>2545737</v>
      </c>
      <c r="S1994">
        <v>2544083</v>
      </c>
      <c r="T1994">
        <v>0</v>
      </c>
      <c r="U1994" t="s">
        <v>173</v>
      </c>
      <c r="V1994">
        <v>0</v>
      </c>
      <c r="W1994" t="s">
        <v>174</v>
      </c>
      <c r="X1994">
        <v>2544083</v>
      </c>
      <c r="Z1994" t="s">
        <v>173</v>
      </c>
      <c r="AA1994" t="s">
        <v>173</v>
      </c>
    </row>
    <row r="1995" spans="1:27" x14ac:dyDescent="0.3">
      <c r="A1995">
        <v>1994</v>
      </c>
      <c r="B1995" t="s">
        <v>169</v>
      </c>
      <c r="C1995">
        <v>99019875</v>
      </c>
      <c r="D1995" s="7" t="s">
        <v>67</v>
      </c>
      <c r="E1995" t="s">
        <v>68</v>
      </c>
      <c r="F1995" t="s">
        <v>170</v>
      </c>
      <c r="G1995" t="s">
        <v>177</v>
      </c>
      <c r="H1995">
        <v>36</v>
      </c>
      <c r="I1995">
        <v>0</v>
      </c>
      <c r="J1995">
        <v>36</v>
      </c>
      <c r="K1995" s="133">
        <v>4790</v>
      </c>
      <c r="L1995" s="133">
        <v>4790</v>
      </c>
      <c r="M1995" s="150">
        <v>0.62509259259259264</v>
      </c>
      <c r="N1995" s="150">
        <v>0.62532407407407409</v>
      </c>
      <c r="O1995" t="s">
        <v>172</v>
      </c>
      <c r="Q1995">
        <v>2545738</v>
      </c>
      <c r="R1995">
        <v>2545738</v>
      </c>
      <c r="S1995">
        <v>2545163</v>
      </c>
      <c r="T1995">
        <v>0</v>
      </c>
      <c r="U1995" t="s">
        <v>173</v>
      </c>
      <c r="V1995">
        <v>0</v>
      </c>
      <c r="W1995" t="s">
        <v>174</v>
      </c>
      <c r="X1995">
        <v>2545163</v>
      </c>
      <c r="Z1995" t="s">
        <v>173</v>
      </c>
      <c r="AA1995" t="s">
        <v>173</v>
      </c>
    </row>
    <row r="1996" spans="1:27" x14ac:dyDescent="0.3">
      <c r="A1996">
        <v>1995</v>
      </c>
      <c r="B1996" t="s">
        <v>169</v>
      </c>
      <c r="C1996">
        <v>99019875</v>
      </c>
      <c r="D1996" s="7" t="s">
        <v>122</v>
      </c>
      <c r="E1996" t="s">
        <v>123</v>
      </c>
      <c r="F1996" t="s">
        <v>170</v>
      </c>
      <c r="G1996" t="s">
        <v>177</v>
      </c>
      <c r="H1996">
        <v>19</v>
      </c>
      <c r="I1996">
        <v>0</v>
      </c>
      <c r="J1996">
        <v>19</v>
      </c>
      <c r="K1996" s="133">
        <v>36005</v>
      </c>
      <c r="L1996" s="133">
        <v>36005</v>
      </c>
      <c r="M1996" s="150">
        <v>0.62513888888888891</v>
      </c>
      <c r="N1996" s="150">
        <v>0.62594907407407407</v>
      </c>
      <c r="O1996" t="s">
        <v>172</v>
      </c>
      <c r="Q1996">
        <v>2545875</v>
      </c>
      <c r="R1996">
        <v>2545875</v>
      </c>
      <c r="S1996">
        <v>2544808</v>
      </c>
      <c r="T1996">
        <v>0</v>
      </c>
      <c r="U1996" t="s">
        <v>173</v>
      </c>
      <c r="V1996">
        <v>0</v>
      </c>
      <c r="W1996" t="s">
        <v>174</v>
      </c>
      <c r="X1996">
        <v>2544808</v>
      </c>
      <c r="Z1996" t="s">
        <v>173</v>
      </c>
      <c r="AA1996" t="s">
        <v>173</v>
      </c>
    </row>
    <row r="1997" spans="1:27" x14ac:dyDescent="0.3">
      <c r="A1997">
        <v>1996</v>
      </c>
      <c r="B1997" t="s">
        <v>169</v>
      </c>
      <c r="C1997">
        <v>99019875</v>
      </c>
      <c r="D1997" s="7" t="s">
        <v>122</v>
      </c>
      <c r="E1997" t="s">
        <v>123</v>
      </c>
      <c r="F1997" t="s">
        <v>170</v>
      </c>
      <c r="G1997" t="s">
        <v>177</v>
      </c>
      <c r="H1997">
        <v>20</v>
      </c>
      <c r="I1997">
        <v>0</v>
      </c>
      <c r="J1997">
        <v>20</v>
      </c>
      <c r="K1997" s="133">
        <v>36005</v>
      </c>
      <c r="L1997" s="133">
        <v>36005</v>
      </c>
      <c r="M1997" s="150">
        <v>0.62513888888888891</v>
      </c>
      <c r="N1997" s="150">
        <v>0.62594907407407407</v>
      </c>
      <c r="O1997" t="s">
        <v>172</v>
      </c>
      <c r="Q1997">
        <v>2545876</v>
      </c>
      <c r="R1997">
        <v>2545876</v>
      </c>
      <c r="S1997">
        <v>2544809</v>
      </c>
      <c r="T1997">
        <v>0</v>
      </c>
      <c r="U1997" t="s">
        <v>173</v>
      </c>
      <c r="V1997">
        <v>0</v>
      </c>
      <c r="W1997" t="s">
        <v>174</v>
      </c>
      <c r="X1997">
        <v>2544809</v>
      </c>
      <c r="Z1997" t="s">
        <v>173</v>
      </c>
      <c r="AA1997" t="s">
        <v>173</v>
      </c>
    </row>
    <row r="1998" spans="1:27" x14ac:dyDescent="0.3">
      <c r="A1998">
        <v>1997</v>
      </c>
      <c r="B1998" t="s">
        <v>169</v>
      </c>
      <c r="C1998">
        <v>99019875</v>
      </c>
      <c r="D1998" s="7" t="s">
        <v>122</v>
      </c>
      <c r="E1998" t="s">
        <v>123</v>
      </c>
      <c r="F1998" t="s">
        <v>170</v>
      </c>
      <c r="G1998" t="s">
        <v>177</v>
      </c>
      <c r="H1998">
        <v>20</v>
      </c>
      <c r="I1998">
        <v>0</v>
      </c>
      <c r="J1998">
        <v>20</v>
      </c>
      <c r="K1998" s="133">
        <v>36005</v>
      </c>
      <c r="L1998" s="133">
        <v>36005</v>
      </c>
      <c r="M1998" s="150">
        <v>0.62513888888888891</v>
      </c>
      <c r="N1998" s="150">
        <v>0.62599537037037034</v>
      </c>
      <c r="O1998" t="s">
        <v>172</v>
      </c>
      <c r="Q1998">
        <v>2545877</v>
      </c>
      <c r="R1998">
        <v>2545877</v>
      </c>
      <c r="S1998">
        <v>2545169</v>
      </c>
      <c r="T1998">
        <v>0</v>
      </c>
      <c r="U1998" t="s">
        <v>173</v>
      </c>
      <c r="V1998">
        <v>0</v>
      </c>
      <c r="W1998" t="s">
        <v>174</v>
      </c>
      <c r="X1998">
        <v>2545169</v>
      </c>
      <c r="Z1998" t="s">
        <v>173</v>
      </c>
      <c r="AA1998" t="s">
        <v>173</v>
      </c>
    </row>
    <row r="1999" spans="1:27" x14ac:dyDescent="0.3">
      <c r="A1999">
        <v>1998</v>
      </c>
      <c r="B1999" t="s">
        <v>169</v>
      </c>
      <c r="C1999">
        <v>99019875</v>
      </c>
      <c r="D1999" s="7" t="s">
        <v>69</v>
      </c>
      <c r="E1999" t="s">
        <v>70</v>
      </c>
      <c r="F1999" t="s">
        <v>170</v>
      </c>
      <c r="G1999" t="s">
        <v>177</v>
      </c>
      <c r="H1999">
        <v>17</v>
      </c>
      <c r="I1999">
        <v>0</v>
      </c>
      <c r="J1999">
        <v>17</v>
      </c>
      <c r="K1999" s="133">
        <v>10220</v>
      </c>
      <c r="L1999" s="133">
        <v>10220</v>
      </c>
      <c r="M1999" s="150">
        <v>0.6251620370370371</v>
      </c>
      <c r="N1999" s="150">
        <v>0.62524305555555559</v>
      </c>
      <c r="O1999" t="s">
        <v>172</v>
      </c>
      <c r="Q1999">
        <v>2545969</v>
      </c>
      <c r="R1999">
        <v>2545969</v>
      </c>
      <c r="S1999">
        <v>2545873</v>
      </c>
      <c r="T1999">
        <v>0</v>
      </c>
      <c r="U1999" t="s">
        <v>173</v>
      </c>
      <c r="V1999">
        <v>0</v>
      </c>
      <c r="W1999" t="s">
        <v>174</v>
      </c>
      <c r="X1999">
        <v>2545873</v>
      </c>
      <c r="Z1999" t="s">
        <v>173</v>
      </c>
      <c r="AA1999" t="s">
        <v>173</v>
      </c>
    </row>
    <row r="2000" spans="1:27" x14ac:dyDescent="0.3">
      <c r="A2000">
        <v>1999</v>
      </c>
      <c r="B2000" t="s">
        <v>169</v>
      </c>
      <c r="C2000">
        <v>99019875</v>
      </c>
      <c r="D2000" s="7" t="s">
        <v>75</v>
      </c>
      <c r="E2000" t="s">
        <v>76</v>
      </c>
      <c r="F2000" t="s">
        <v>170</v>
      </c>
      <c r="G2000" t="s">
        <v>177</v>
      </c>
      <c r="H2000">
        <v>23</v>
      </c>
      <c r="I2000">
        <v>0</v>
      </c>
      <c r="J2000">
        <v>23</v>
      </c>
      <c r="K2000" s="133">
        <v>20750</v>
      </c>
      <c r="L2000" s="133">
        <v>20750</v>
      </c>
      <c r="M2000" s="150">
        <v>0.6251620370370371</v>
      </c>
      <c r="N2000" s="150">
        <v>0.62535879629629632</v>
      </c>
      <c r="O2000" t="s">
        <v>172</v>
      </c>
      <c r="Q2000">
        <v>2546006</v>
      </c>
      <c r="R2000">
        <v>2546006</v>
      </c>
      <c r="S2000">
        <v>2544551</v>
      </c>
      <c r="T2000">
        <v>0</v>
      </c>
      <c r="U2000" t="s">
        <v>173</v>
      </c>
      <c r="V2000">
        <v>0</v>
      </c>
      <c r="W2000" t="s">
        <v>174</v>
      </c>
      <c r="X2000">
        <v>2544551</v>
      </c>
      <c r="Z2000" t="s">
        <v>173</v>
      </c>
      <c r="AA2000" t="s">
        <v>173</v>
      </c>
    </row>
    <row r="2001" spans="1:27" x14ac:dyDescent="0.3">
      <c r="A2001">
        <v>2000</v>
      </c>
      <c r="B2001" t="s">
        <v>169</v>
      </c>
      <c r="C2001">
        <v>99019875</v>
      </c>
      <c r="D2001" s="7" t="s">
        <v>75</v>
      </c>
      <c r="E2001" t="s">
        <v>76</v>
      </c>
      <c r="F2001" t="s">
        <v>170</v>
      </c>
      <c r="G2001" t="s">
        <v>177</v>
      </c>
      <c r="H2001">
        <v>83</v>
      </c>
      <c r="I2001">
        <v>0</v>
      </c>
      <c r="J2001">
        <v>83</v>
      </c>
      <c r="K2001" s="133">
        <v>20750</v>
      </c>
      <c r="L2001" s="133">
        <v>20750</v>
      </c>
      <c r="M2001" s="150">
        <v>0.6251620370370371</v>
      </c>
      <c r="N2001" s="150">
        <v>0.62535879629629632</v>
      </c>
      <c r="O2001" t="s">
        <v>172</v>
      </c>
      <c r="Q2001">
        <v>2546007</v>
      </c>
      <c r="R2001">
        <v>2546007</v>
      </c>
      <c r="S2001">
        <v>2544552</v>
      </c>
      <c r="T2001">
        <v>0</v>
      </c>
      <c r="U2001" t="s">
        <v>173</v>
      </c>
      <c r="V2001">
        <v>0</v>
      </c>
      <c r="W2001" t="s">
        <v>174</v>
      </c>
      <c r="X2001">
        <v>2544552</v>
      </c>
      <c r="Z2001" t="s">
        <v>173</v>
      </c>
      <c r="AA2001" t="s">
        <v>173</v>
      </c>
    </row>
    <row r="2002" spans="1:27" x14ac:dyDescent="0.3">
      <c r="A2002">
        <v>2001</v>
      </c>
      <c r="B2002" t="s">
        <v>169</v>
      </c>
      <c r="C2002">
        <v>99019875</v>
      </c>
      <c r="D2002" s="7" t="s">
        <v>75</v>
      </c>
      <c r="E2002" t="s">
        <v>76</v>
      </c>
      <c r="F2002" t="s">
        <v>170</v>
      </c>
      <c r="G2002" t="s">
        <v>177</v>
      </c>
      <c r="H2002">
        <v>83</v>
      </c>
      <c r="I2002">
        <v>0</v>
      </c>
      <c r="J2002">
        <v>83</v>
      </c>
      <c r="K2002" s="133">
        <v>20750</v>
      </c>
      <c r="L2002" s="133">
        <v>20750</v>
      </c>
      <c r="M2002" s="150">
        <v>0.6251620370370371</v>
      </c>
      <c r="N2002" s="150">
        <v>0.62535879629629632</v>
      </c>
      <c r="O2002" t="s">
        <v>172</v>
      </c>
      <c r="Q2002">
        <v>2546008</v>
      </c>
      <c r="R2002">
        <v>2546008</v>
      </c>
      <c r="S2002">
        <v>2545161</v>
      </c>
      <c r="T2002">
        <v>0</v>
      </c>
      <c r="U2002" t="s">
        <v>173</v>
      </c>
      <c r="V2002">
        <v>0</v>
      </c>
      <c r="W2002" t="s">
        <v>174</v>
      </c>
      <c r="X2002">
        <v>2545161</v>
      </c>
      <c r="Z2002" t="s">
        <v>173</v>
      </c>
      <c r="AA2002" t="s">
        <v>173</v>
      </c>
    </row>
    <row r="2003" spans="1:27" x14ac:dyDescent="0.3">
      <c r="A2003">
        <v>2002</v>
      </c>
      <c r="B2003" t="s">
        <v>169</v>
      </c>
      <c r="C2003">
        <v>99019875</v>
      </c>
      <c r="D2003" s="7" t="s">
        <v>94</v>
      </c>
      <c r="E2003" t="s">
        <v>95</v>
      </c>
      <c r="F2003" t="s">
        <v>170</v>
      </c>
      <c r="G2003" t="s">
        <v>177</v>
      </c>
      <c r="H2003">
        <v>1</v>
      </c>
      <c r="I2003">
        <v>0</v>
      </c>
      <c r="J2003">
        <v>1</v>
      </c>
      <c r="K2003" s="133">
        <v>21940</v>
      </c>
      <c r="L2003" s="133">
        <v>21940</v>
      </c>
      <c r="M2003" s="150">
        <v>0.62520833333333337</v>
      </c>
      <c r="N2003" s="150">
        <v>0.62571759259259252</v>
      </c>
      <c r="O2003" t="s">
        <v>172</v>
      </c>
      <c r="Q2003">
        <v>2546111</v>
      </c>
      <c r="R2003">
        <v>2546111</v>
      </c>
      <c r="S2003">
        <v>2545102</v>
      </c>
      <c r="T2003">
        <v>0</v>
      </c>
      <c r="U2003" t="s">
        <v>173</v>
      </c>
      <c r="V2003">
        <v>0</v>
      </c>
      <c r="W2003" t="s">
        <v>174</v>
      </c>
      <c r="X2003">
        <v>2545102</v>
      </c>
      <c r="Z2003" t="s">
        <v>173</v>
      </c>
      <c r="AA2003" t="s">
        <v>173</v>
      </c>
    </row>
    <row r="2004" spans="1:27" x14ac:dyDescent="0.3">
      <c r="A2004">
        <v>2003</v>
      </c>
      <c r="B2004" t="s">
        <v>169</v>
      </c>
      <c r="C2004">
        <v>99019875</v>
      </c>
      <c r="D2004" s="7" t="s">
        <v>87</v>
      </c>
      <c r="E2004" t="s">
        <v>88</v>
      </c>
      <c r="F2004" t="s">
        <v>170</v>
      </c>
      <c r="G2004" t="s">
        <v>177</v>
      </c>
      <c r="H2004">
        <v>6</v>
      </c>
      <c r="I2004">
        <v>0</v>
      </c>
      <c r="J2004">
        <v>6</v>
      </c>
      <c r="K2004" s="133">
        <v>12125</v>
      </c>
      <c r="L2004" s="133">
        <v>12125</v>
      </c>
      <c r="M2004" s="150">
        <v>0.62525462962962963</v>
      </c>
      <c r="N2004" s="150">
        <v>0.62535879629629632</v>
      </c>
      <c r="O2004" t="s">
        <v>172</v>
      </c>
      <c r="Q2004">
        <v>2546290</v>
      </c>
      <c r="R2004">
        <v>2546290</v>
      </c>
      <c r="S2004">
        <v>2546082</v>
      </c>
      <c r="T2004">
        <v>0</v>
      </c>
      <c r="U2004" t="s">
        <v>173</v>
      </c>
      <c r="V2004">
        <v>0</v>
      </c>
      <c r="W2004" t="s">
        <v>174</v>
      </c>
      <c r="X2004">
        <v>2546082</v>
      </c>
      <c r="Z2004" t="s">
        <v>173</v>
      </c>
      <c r="AA2004" t="s">
        <v>173</v>
      </c>
    </row>
    <row r="2005" spans="1:27" x14ac:dyDescent="0.3">
      <c r="A2005">
        <v>2004</v>
      </c>
      <c r="B2005" t="s">
        <v>169</v>
      </c>
      <c r="C2005">
        <v>99019875</v>
      </c>
      <c r="D2005" s="7" t="s">
        <v>87</v>
      </c>
      <c r="E2005" t="s">
        <v>88</v>
      </c>
      <c r="F2005" t="s">
        <v>170</v>
      </c>
      <c r="G2005" t="s">
        <v>177</v>
      </c>
      <c r="H2005">
        <v>6</v>
      </c>
      <c r="I2005">
        <v>0</v>
      </c>
      <c r="J2005">
        <v>6</v>
      </c>
      <c r="K2005" s="133">
        <v>12125</v>
      </c>
      <c r="L2005" s="133">
        <v>12125</v>
      </c>
      <c r="M2005" s="150">
        <v>0.62525462962962963</v>
      </c>
      <c r="N2005" s="150">
        <v>0.62535879629629632</v>
      </c>
      <c r="O2005" t="s">
        <v>172</v>
      </c>
      <c r="Q2005">
        <v>2546291</v>
      </c>
      <c r="R2005">
        <v>2546291</v>
      </c>
      <c r="S2005">
        <v>2546083</v>
      </c>
      <c r="T2005">
        <v>0</v>
      </c>
      <c r="U2005" t="s">
        <v>173</v>
      </c>
      <c r="V2005">
        <v>0</v>
      </c>
      <c r="W2005" t="s">
        <v>174</v>
      </c>
      <c r="X2005">
        <v>2546083</v>
      </c>
      <c r="Z2005" t="s">
        <v>173</v>
      </c>
      <c r="AA2005" t="s">
        <v>173</v>
      </c>
    </row>
    <row r="2006" spans="1:27" x14ac:dyDescent="0.3">
      <c r="A2006">
        <v>2005</v>
      </c>
      <c r="B2006" t="s">
        <v>169</v>
      </c>
      <c r="C2006">
        <v>99019875</v>
      </c>
      <c r="D2006" s="7" t="s">
        <v>110</v>
      </c>
      <c r="E2006" t="s">
        <v>179</v>
      </c>
      <c r="F2006" t="s">
        <v>170</v>
      </c>
      <c r="G2006" t="s">
        <v>177</v>
      </c>
      <c r="H2006">
        <v>3</v>
      </c>
      <c r="I2006">
        <v>0</v>
      </c>
      <c r="J2006">
        <v>3</v>
      </c>
      <c r="K2006" s="133">
        <v>48360</v>
      </c>
      <c r="L2006" s="133">
        <v>48360</v>
      </c>
      <c r="M2006" s="150">
        <v>0.62531250000000005</v>
      </c>
      <c r="N2006" s="150">
        <v>0.62531250000000005</v>
      </c>
      <c r="O2006" t="s">
        <v>172</v>
      </c>
      <c r="Q2006">
        <v>2546436</v>
      </c>
      <c r="R2006">
        <v>2546436</v>
      </c>
      <c r="S2006">
        <v>2546148</v>
      </c>
      <c r="T2006">
        <v>0</v>
      </c>
      <c r="U2006" t="s">
        <v>173</v>
      </c>
      <c r="V2006">
        <v>0</v>
      </c>
      <c r="W2006" t="s">
        <v>174</v>
      </c>
      <c r="X2006">
        <v>2546148</v>
      </c>
      <c r="Z2006" t="s">
        <v>173</v>
      </c>
      <c r="AA2006" t="s">
        <v>173</v>
      </c>
    </row>
    <row r="2007" spans="1:27" x14ac:dyDescent="0.3">
      <c r="A2007">
        <v>2006</v>
      </c>
      <c r="B2007" t="s">
        <v>169</v>
      </c>
      <c r="C2007">
        <v>99019875</v>
      </c>
      <c r="D2007" s="7" t="s">
        <v>110</v>
      </c>
      <c r="E2007" t="s">
        <v>179</v>
      </c>
      <c r="F2007" t="s">
        <v>170</v>
      </c>
      <c r="G2007" t="s">
        <v>177</v>
      </c>
      <c r="H2007">
        <v>3</v>
      </c>
      <c r="I2007">
        <v>0</v>
      </c>
      <c r="J2007">
        <v>3</v>
      </c>
      <c r="K2007" s="133">
        <v>48360</v>
      </c>
      <c r="L2007" s="133">
        <v>48360</v>
      </c>
      <c r="M2007" s="150">
        <v>0.62531250000000005</v>
      </c>
      <c r="N2007" s="150">
        <v>0.62531250000000005</v>
      </c>
      <c r="O2007" t="s">
        <v>172</v>
      </c>
      <c r="Q2007">
        <v>2546437</v>
      </c>
      <c r="R2007">
        <v>2546437</v>
      </c>
      <c r="S2007">
        <v>2546149</v>
      </c>
      <c r="T2007">
        <v>0</v>
      </c>
      <c r="U2007" t="s">
        <v>173</v>
      </c>
      <c r="V2007">
        <v>0</v>
      </c>
      <c r="W2007" t="s">
        <v>174</v>
      </c>
      <c r="X2007">
        <v>2546149</v>
      </c>
      <c r="Z2007" t="s">
        <v>173</v>
      </c>
      <c r="AA2007" t="s">
        <v>173</v>
      </c>
    </row>
    <row r="2008" spans="1:27" x14ac:dyDescent="0.3">
      <c r="A2008">
        <v>2007</v>
      </c>
      <c r="B2008" t="s">
        <v>169</v>
      </c>
      <c r="C2008">
        <v>99019875</v>
      </c>
      <c r="D2008" s="7" t="s">
        <v>110</v>
      </c>
      <c r="E2008" t="s">
        <v>179</v>
      </c>
      <c r="F2008" t="s">
        <v>170</v>
      </c>
      <c r="G2008" t="s">
        <v>177</v>
      </c>
      <c r="H2008">
        <v>4</v>
      </c>
      <c r="I2008">
        <v>0</v>
      </c>
      <c r="J2008">
        <v>4</v>
      </c>
      <c r="K2008" s="133">
        <v>48360</v>
      </c>
      <c r="L2008" s="133">
        <v>48360</v>
      </c>
      <c r="M2008" s="150">
        <v>0.62531250000000005</v>
      </c>
      <c r="N2008" s="150">
        <v>0.6255208333333333</v>
      </c>
      <c r="O2008" t="s">
        <v>172</v>
      </c>
      <c r="Q2008">
        <v>2546438</v>
      </c>
      <c r="R2008">
        <v>2546438</v>
      </c>
      <c r="S2008">
        <v>2546150</v>
      </c>
      <c r="T2008">
        <v>0</v>
      </c>
      <c r="U2008" t="s">
        <v>173</v>
      </c>
      <c r="V2008">
        <v>0</v>
      </c>
      <c r="W2008" t="s">
        <v>174</v>
      </c>
      <c r="X2008">
        <v>2546150</v>
      </c>
      <c r="Z2008" t="s">
        <v>173</v>
      </c>
      <c r="AA2008" t="s">
        <v>173</v>
      </c>
    </row>
    <row r="2009" spans="1:27" x14ac:dyDescent="0.3">
      <c r="A2009">
        <v>2008</v>
      </c>
      <c r="B2009" t="s">
        <v>169</v>
      </c>
      <c r="C2009">
        <v>99019875</v>
      </c>
      <c r="D2009" s="7" t="s">
        <v>77</v>
      </c>
      <c r="E2009" t="s">
        <v>78</v>
      </c>
      <c r="F2009" t="s">
        <v>170</v>
      </c>
      <c r="G2009" t="s">
        <v>177</v>
      </c>
      <c r="H2009">
        <v>74</v>
      </c>
      <c r="I2009">
        <v>0</v>
      </c>
      <c r="J2009">
        <v>74</v>
      </c>
      <c r="K2009" s="133">
        <v>7335</v>
      </c>
      <c r="L2009" s="133">
        <v>7335</v>
      </c>
      <c r="M2009" s="150">
        <v>0.62549768518518511</v>
      </c>
      <c r="N2009" s="150">
        <v>0.62572916666666667</v>
      </c>
      <c r="O2009" t="s">
        <v>172</v>
      </c>
      <c r="Q2009">
        <v>2547370</v>
      </c>
      <c r="R2009">
        <v>2547370</v>
      </c>
      <c r="S2009">
        <v>2545171</v>
      </c>
      <c r="T2009">
        <v>0</v>
      </c>
      <c r="U2009" t="s">
        <v>173</v>
      </c>
      <c r="V2009">
        <v>0</v>
      </c>
      <c r="W2009" t="s">
        <v>174</v>
      </c>
      <c r="X2009">
        <v>2545171</v>
      </c>
      <c r="Z2009" t="s">
        <v>173</v>
      </c>
      <c r="AA2009" t="s">
        <v>173</v>
      </c>
    </row>
    <row r="2010" spans="1:27" x14ac:dyDescent="0.3">
      <c r="A2010">
        <v>2009</v>
      </c>
      <c r="B2010" t="s">
        <v>169</v>
      </c>
      <c r="C2010">
        <v>99019875</v>
      </c>
      <c r="D2010" s="7" t="s">
        <v>108</v>
      </c>
      <c r="E2010" t="s">
        <v>109</v>
      </c>
      <c r="F2010" t="s">
        <v>170</v>
      </c>
      <c r="G2010" t="s">
        <v>177</v>
      </c>
      <c r="H2010">
        <v>24</v>
      </c>
      <c r="I2010">
        <v>0</v>
      </c>
      <c r="J2010">
        <v>24</v>
      </c>
      <c r="K2010" s="133">
        <v>2715</v>
      </c>
      <c r="L2010" s="133">
        <v>2715</v>
      </c>
      <c r="M2010" s="150">
        <v>0.6255208333333333</v>
      </c>
      <c r="N2010" s="150">
        <v>0.6259837962962963</v>
      </c>
      <c r="O2010" t="s">
        <v>172</v>
      </c>
      <c r="Q2010">
        <v>2547604</v>
      </c>
      <c r="R2010">
        <v>2547604</v>
      </c>
      <c r="S2010">
        <v>2541977</v>
      </c>
      <c r="T2010">
        <v>0</v>
      </c>
      <c r="U2010" t="s">
        <v>173</v>
      </c>
      <c r="V2010">
        <v>0</v>
      </c>
      <c r="W2010" t="s">
        <v>174</v>
      </c>
      <c r="X2010">
        <v>2541977</v>
      </c>
      <c r="Z2010" t="s">
        <v>173</v>
      </c>
      <c r="AA2010" t="s">
        <v>173</v>
      </c>
    </row>
    <row r="2011" spans="1:27" x14ac:dyDescent="0.3">
      <c r="A2011">
        <v>2010</v>
      </c>
      <c r="B2011" t="s">
        <v>169</v>
      </c>
      <c r="C2011">
        <v>99019875</v>
      </c>
      <c r="D2011" s="7" t="s">
        <v>108</v>
      </c>
      <c r="E2011" t="s">
        <v>109</v>
      </c>
      <c r="F2011" t="s">
        <v>170</v>
      </c>
      <c r="G2011" t="s">
        <v>177</v>
      </c>
      <c r="H2011">
        <v>23</v>
      </c>
      <c r="I2011">
        <v>0</v>
      </c>
      <c r="J2011">
        <v>23</v>
      </c>
      <c r="K2011" s="133">
        <v>2715</v>
      </c>
      <c r="L2011" s="133">
        <v>2715</v>
      </c>
      <c r="M2011" s="150">
        <v>0.6255208333333333</v>
      </c>
      <c r="N2011" s="150">
        <v>0.62612268518518521</v>
      </c>
      <c r="O2011" t="s">
        <v>172</v>
      </c>
      <c r="Q2011">
        <v>2547605</v>
      </c>
      <c r="R2011">
        <v>2547605</v>
      </c>
      <c r="S2011">
        <v>2543184</v>
      </c>
      <c r="T2011">
        <v>0</v>
      </c>
      <c r="U2011" t="s">
        <v>173</v>
      </c>
      <c r="V2011">
        <v>0</v>
      </c>
      <c r="W2011" t="s">
        <v>174</v>
      </c>
      <c r="X2011">
        <v>2543184</v>
      </c>
      <c r="Z2011" t="s">
        <v>173</v>
      </c>
      <c r="AA2011" t="s">
        <v>173</v>
      </c>
    </row>
    <row r="2012" spans="1:27" x14ac:dyDescent="0.3">
      <c r="A2012">
        <v>2011</v>
      </c>
      <c r="B2012" t="s">
        <v>169</v>
      </c>
      <c r="C2012">
        <v>99019875</v>
      </c>
      <c r="D2012" s="7" t="s">
        <v>108</v>
      </c>
      <c r="E2012" t="s">
        <v>109</v>
      </c>
      <c r="F2012" t="s">
        <v>170</v>
      </c>
      <c r="G2012" t="s">
        <v>177</v>
      </c>
      <c r="H2012">
        <v>24</v>
      </c>
      <c r="I2012">
        <v>0</v>
      </c>
      <c r="J2012">
        <v>24</v>
      </c>
      <c r="K2012" s="133">
        <v>2715</v>
      </c>
      <c r="L2012" s="133">
        <v>2715</v>
      </c>
      <c r="M2012" s="150">
        <v>0.6255208333333333</v>
      </c>
      <c r="N2012" s="150">
        <v>0.62612268518518521</v>
      </c>
      <c r="O2012" t="s">
        <v>172</v>
      </c>
      <c r="Q2012">
        <v>2547606</v>
      </c>
      <c r="R2012">
        <v>2547606</v>
      </c>
      <c r="S2012">
        <v>2544091</v>
      </c>
      <c r="T2012">
        <v>0</v>
      </c>
      <c r="U2012" t="s">
        <v>173</v>
      </c>
      <c r="V2012">
        <v>0</v>
      </c>
      <c r="W2012" t="s">
        <v>174</v>
      </c>
      <c r="X2012">
        <v>2544091</v>
      </c>
      <c r="Z2012" t="s">
        <v>173</v>
      </c>
      <c r="AA2012" t="s">
        <v>173</v>
      </c>
    </row>
    <row r="2013" spans="1:27" x14ac:dyDescent="0.3">
      <c r="A2013">
        <v>2012</v>
      </c>
      <c r="B2013" t="s">
        <v>169</v>
      </c>
      <c r="C2013">
        <v>99019875</v>
      </c>
      <c r="D2013" s="7" t="s">
        <v>108</v>
      </c>
      <c r="E2013" t="s">
        <v>109</v>
      </c>
      <c r="F2013" t="s">
        <v>170</v>
      </c>
      <c r="G2013" t="s">
        <v>177</v>
      </c>
      <c r="H2013">
        <v>24</v>
      </c>
      <c r="I2013">
        <v>0</v>
      </c>
      <c r="J2013">
        <v>24</v>
      </c>
      <c r="K2013" s="133">
        <v>2715</v>
      </c>
      <c r="L2013" s="133">
        <v>2715</v>
      </c>
      <c r="M2013" s="150">
        <v>0.6255208333333333</v>
      </c>
      <c r="N2013" s="150">
        <v>0.62612268518518521</v>
      </c>
      <c r="O2013" t="s">
        <v>172</v>
      </c>
      <c r="Q2013">
        <v>2547607</v>
      </c>
      <c r="R2013">
        <v>2547607</v>
      </c>
      <c r="S2013">
        <v>2545168</v>
      </c>
      <c r="T2013">
        <v>0</v>
      </c>
      <c r="U2013" t="s">
        <v>173</v>
      </c>
      <c r="V2013">
        <v>0</v>
      </c>
      <c r="W2013" t="s">
        <v>174</v>
      </c>
      <c r="X2013">
        <v>2545168</v>
      </c>
      <c r="Z2013" t="s">
        <v>173</v>
      </c>
      <c r="AA2013" t="s">
        <v>173</v>
      </c>
    </row>
    <row r="2014" spans="1:27" x14ac:dyDescent="0.3">
      <c r="A2014">
        <v>2013</v>
      </c>
      <c r="B2014" t="s">
        <v>169</v>
      </c>
      <c r="C2014">
        <v>99019875</v>
      </c>
      <c r="D2014" s="7" t="s">
        <v>126</v>
      </c>
      <c r="E2014" t="s">
        <v>127</v>
      </c>
      <c r="F2014" t="s">
        <v>176</v>
      </c>
      <c r="G2014" t="s">
        <v>177</v>
      </c>
      <c r="H2014">
        <v>2</v>
      </c>
      <c r="I2014">
        <v>0</v>
      </c>
      <c r="J2014">
        <v>2</v>
      </c>
      <c r="K2014" s="133">
        <v>12300</v>
      </c>
      <c r="L2014" s="133">
        <v>12300</v>
      </c>
      <c r="M2014" s="150">
        <v>0.62577546296296294</v>
      </c>
      <c r="N2014" s="150">
        <v>0.62578703703703698</v>
      </c>
      <c r="O2014" t="s">
        <v>172</v>
      </c>
      <c r="Q2014">
        <v>2549992</v>
      </c>
      <c r="R2014">
        <v>2549992</v>
      </c>
      <c r="S2014">
        <v>2547603</v>
      </c>
      <c r="T2014">
        <v>0</v>
      </c>
      <c r="U2014" t="s">
        <v>173</v>
      </c>
      <c r="V2014">
        <v>0</v>
      </c>
      <c r="W2014" t="s">
        <v>174</v>
      </c>
      <c r="X2014">
        <v>2547603</v>
      </c>
      <c r="Z2014" t="s">
        <v>173</v>
      </c>
      <c r="AA2014" t="s">
        <v>173</v>
      </c>
    </row>
    <row r="2015" spans="1:27" x14ac:dyDescent="0.3">
      <c r="A2015">
        <v>2014</v>
      </c>
      <c r="B2015" t="s">
        <v>169</v>
      </c>
      <c r="C2015">
        <v>99019875</v>
      </c>
      <c r="D2015" s="7" t="s">
        <v>65</v>
      </c>
      <c r="E2015" t="s">
        <v>66</v>
      </c>
      <c r="F2015" t="s">
        <v>176</v>
      </c>
      <c r="G2015" t="s">
        <v>177</v>
      </c>
      <c r="H2015">
        <v>58</v>
      </c>
      <c r="I2015">
        <v>0</v>
      </c>
      <c r="J2015">
        <v>58</v>
      </c>
      <c r="K2015" s="133">
        <v>4730</v>
      </c>
      <c r="L2015" s="133">
        <v>4730</v>
      </c>
      <c r="M2015" s="150">
        <v>0.62600694444444438</v>
      </c>
      <c r="N2015" s="150">
        <v>0.62649305555555557</v>
      </c>
      <c r="O2015" t="s">
        <v>172</v>
      </c>
      <c r="Q2015">
        <v>2551975</v>
      </c>
      <c r="R2015">
        <v>2551975</v>
      </c>
      <c r="S2015">
        <v>2545173</v>
      </c>
      <c r="T2015">
        <v>0</v>
      </c>
      <c r="U2015" t="s">
        <v>173</v>
      </c>
      <c r="V2015">
        <v>0</v>
      </c>
      <c r="W2015" t="s">
        <v>174</v>
      </c>
      <c r="X2015">
        <v>2545173</v>
      </c>
      <c r="Z2015" t="s">
        <v>173</v>
      </c>
      <c r="AA2015" t="s">
        <v>173</v>
      </c>
    </row>
    <row r="2016" spans="1:27" x14ac:dyDescent="0.3">
      <c r="A2016">
        <v>2015</v>
      </c>
      <c r="B2016" t="s">
        <v>169</v>
      </c>
      <c r="C2016">
        <v>99019875</v>
      </c>
      <c r="D2016" s="7" t="s">
        <v>124</v>
      </c>
      <c r="E2016" t="s">
        <v>125</v>
      </c>
      <c r="F2016" t="s">
        <v>176</v>
      </c>
      <c r="G2016" t="s">
        <v>177</v>
      </c>
      <c r="H2016">
        <v>1</v>
      </c>
      <c r="I2016">
        <v>0</v>
      </c>
      <c r="J2016">
        <v>1</v>
      </c>
      <c r="K2016" s="133">
        <v>17480</v>
      </c>
      <c r="L2016" s="133">
        <v>17480</v>
      </c>
      <c r="M2016" s="150">
        <v>0.62609953703703702</v>
      </c>
      <c r="N2016" s="150">
        <v>0.62652777777777779</v>
      </c>
      <c r="O2016" t="s">
        <v>172</v>
      </c>
      <c r="Q2016">
        <v>2552418</v>
      </c>
      <c r="R2016">
        <v>2552418</v>
      </c>
      <c r="S2016">
        <v>2545092</v>
      </c>
      <c r="T2016">
        <v>0</v>
      </c>
      <c r="U2016" t="s">
        <v>173</v>
      </c>
      <c r="V2016">
        <v>0</v>
      </c>
      <c r="W2016" t="s">
        <v>174</v>
      </c>
      <c r="X2016">
        <v>2545092</v>
      </c>
      <c r="Z2016" t="s">
        <v>173</v>
      </c>
      <c r="AA2016" t="s">
        <v>173</v>
      </c>
    </row>
    <row r="2017" spans="1:27" x14ac:dyDescent="0.3">
      <c r="A2017">
        <v>2016</v>
      </c>
      <c r="B2017" t="s">
        <v>169</v>
      </c>
      <c r="C2017">
        <v>99019875</v>
      </c>
      <c r="D2017" s="7" t="s">
        <v>120</v>
      </c>
      <c r="E2017" t="s">
        <v>121</v>
      </c>
      <c r="F2017" t="s">
        <v>176</v>
      </c>
      <c r="G2017" t="s">
        <v>177</v>
      </c>
      <c r="H2017">
        <v>1</v>
      </c>
      <c r="I2017">
        <v>0</v>
      </c>
      <c r="J2017">
        <v>1</v>
      </c>
      <c r="K2017" s="133">
        <v>22825</v>
      </c>
      <c r="L2017" s="133">
        <v>22825</v>
      </c>
      <c r="M2017" s="150">
        <v>0.6277314814814815</v>
      </c>
      <c r="N2017" s="150">
        <v>0.6277314814814815</v>
      </c>
      <c r="O2017" t="s">
        <v>172</v>
      </c>
      <c r="Q2017">
        <v>2557583</v>
      </c>
      <c r="R2017">
        <v>2557583</v>
      </c>
      <c r="S2017">
        <v>2545653</v>
      </c>
      <c r="T2017">
        <v>0</v>
      </c>
      <c r="U2017" t="s">
        <v>173</v>
      </c>
      <c r="V2017">
        <v>0</v>
      </c>
      <c r="W2017" t="s">
        <v>174</v>
      </c>
      <c r="X2017">
        <v>2545653</v>
      </c>
      <c r="Z2017" t="s">
        <v>173</v>
      </c>
      <c r="AA2017" t="s">
        <v>173</v>
      </c>
    </row>
    <row r="2018" spans="1:27" x14ac:dyDescent="0.3">
      <c r="A2018">
        <v>2017</v>
      </c>
      <c r="B2018" t="s">
        <v>169</v>
      </c>
      <c r="C2018">
        <v>99019875</v>
      </c>
      <c r="D2018" s="7" t="s">
        <v>130</v>
      </c>
      <c r="E2018" t="s">
        <v>131</v>
      </c>
      <c r="F2018" t="s">
        <v>176</v>
      </c>
      <c r="G2018" t="s">
        <v>177</v>
      </c>
      <c r="H2018">
        <v>1</v>
      </c>
      <c r="I2018">
        <v>0</v>
      </c>
      <c r="J2018">
        <v>1</v>
      </c>
      <c r="K2018" s="133">
        <v>7375</v>
      </c>
      <c r="L2018" s="133">
        <v>7375</v>
      </c>
      <c r="M2018" s="150">
        <v>0.62776620370370373</v>
      </c>
      <c r="N2018" s="150">
        <v>0.62777777777777777</v>
      </c>
      <c r="O2018" t="s">
        <v>172</v>
      </c>
      <c r="Q2018">
        <v>2557708</v>
      </c>
      <c r="R2018">
        <v>2557708</v>
      </c>
      <c r="S2018">
        <v>2552438</v>
      </c>
      <c r="T2018">
        <v>0</v>
      </c>
      <c r="U2018" t="s">
        <v>173</v>
      </c>
      <c r="V2018">
        <v>0</v>
      </c>
      <c r="W2018" t="s">
        <v>174</v>
      </c>
      <c r="X2018">
        <v>2552438</v>
      </c>
      <c r="Z2018" t="s">
        <v>173</v>
      </c>
      <c r="AA2018" t="s">
        <v>173</v>
      </c>
    </row>
    <row r="2019" spans="1:27" x14ac:dyDescent="0.3">
      <c r="A2019">
        <v>2018</v>
      </c>
      <c r="B2019" t="s">
        <v>169</v>
      </c>
      <c r="C2019">
        <v>99019875</v>
      </c>
      <c r="D2019" s="7" t="s">
        <v>134</v>
      </c>
      <c r="E2019" t="s">
        <v>135</v>
      </c>
      <c r="F2019" t="s">
        <v>176</v>
      </c>
      <c r="G2019" t="s">
        <v>177</v>
      </c>
      <c r="H2019">
        <v>3</v>
      </c>
      <c r="I2019">
        <v>0</v>
      </c>
      <c r="J2019">
        <v>3</v>
      </c>
      <c r="K2019" s="133">
        <v>7935</v>
      </c>
      <c r="L2019" s="133">
        <v>7940</v>
      </c>
      <c r="M2019" s="150">
        <v>0.62782407407407403</v>
      </c>
      <c r="N2019" s="150">
        <v>0.62782407407407403</v>
      </c>
      <c r="O2019" t="s">
        <v>172</v>
      </c>
      <c r="Q2019">
        <v>2557910</v>
      </c>
      <c r="R2019">
        <v>2557910</v>
      </c>
      <c r="S2019">
        <v>2557743</v>
      </c>
      <c r="T2019">
        <v>0</v>
      </c>
      <c r="U2019" t="s">
        <v>173</v>
      </c>
      <c r="V2019">
        <v>0</v>
      </c>
      <c r="W2019" t="s">
        <v>174</v>
      </c>
      <c r="X2019">
        <v>2557743</v>
      </c>
      <c r="Z2019" t="s">
        <v>173</v>
      </c>
      <c r="AA2019" t="s">
        <v>173</v>
      </c>
    </row>
    <row r="2020" spans="1:27" x14ac:dyDescent="0.3">
      <c r="A2020">
        <v>2019</v>
      </c>
      <c r="B2020" t="s">
        <v>169</v>
      </c>
      <c r="C2020">
        <v>99019875</v>
      </c>
      <c r="D2020" s="7" t="s">
        <v>134</v>
      </c>
      <c r="E2020" t="s">
        <v>135</v>
      </c>
      <c r="F2020" t="s">
        <v>176</v>
      </c>
      <c r="G2020" t="s">
        <v>177</v>
      </c>
      <c r="H2020">
        <v>4</v>
      </c>
      <c r="I2020">
        <v>0</v>
      </c>
      <c r="J2020">
        <v>4</v>
      </c>
      <c r="K2020" s="133">
        <v>7935</v>
      </c>
      <c r="L2020" s="133">
        <v>7938</v>
      </c>
      <c r="M2020" s="150">
        <v>0.62782407407407403</v>
      </c>
      <c r="N2020" s="150">
        <v>0.62782407407407403</v>
      </c>
      <c r="O2020" t="s">
        <v>172</v>
      </c>
      <c r="Q2020">
        <v>2557911</v>
      </c>
      <c r="R2020">
        <v>2557911</v>
      </c>
      <c r="S2020">
        <v>2557742</v>
      </c>
      <c r="T2020">
        <v>0</v>
      </c>
      <c r="U2020" t="s">
        <v>173</v>
      </c>
      <c r="V2020">
        <v>0</v>
      </c>
      <c r="W2020" t="s">
        <v>174</v>
      </c>
      <c r="X2020">
        <v>2557742</v>
      </c>
      <c r="Z2020" t="s">
        <v>173</v>
      </c>
      <c r="AA2020" t="s">
        <v>173</v>
      </c>
    </row>
    <row r="2021" spans="1:27" x14ac:dyDescent="0.3">
      <c r="A2021">
        <v>2020</v>
      </c>
      <c r="B2021" t="s">
        <v>169</v>
      </c>
      <c r="C2021">
        <v>99019875</v>
      </c>
      <c r="D2021" s="7" t="s">
        <v>134</v>
      </c>
      <c r="E2021" t="s">
        <v>135</v>
      </c>
      <c r="F2021" t="s">
        <v>176</v>
      </c>
      <c r="G2021" t="s">
        <v>177</v>
      </c>
      <c r="H2021">
        <v>4</v>
      </c>
      <c r="I2021">
        <v>0</v>
      </c>
      <c r="J2021">
        <v>4</v>
      </c>
      <c r="K2021" s="133">
        <v>7935</v>
      </c>
      <c r="L2021" s="133">
        <v>7935</v>
      </c>
      <c r="M2021" s="150">
        <v>0.62782407407407403</v>
      </c>
      <c r="N2021" s="150">
        <v>0.62782407407407403</v>
      </c>
      <c r="O2021" t="s">
        <v>172</v>
      </c>
      <c r="Q2021">
        <v>2557912</v>
      </c>
      <c r="R2021">
        <v>2557912</v>
      </c>
      <c r="S2021">
        <v>2557741</v>
      </c>
      <c r="T2021">
        <v>0</v>
      </c>
      <c r="U2021" t="s">
        <v>173</v>
      </c>
      <c r="V2021">
        <v>0</v>
      </c>
      <c r="W2021" t="s">
        <v>174</v>
      </c>
      <c r="X2021">
        <v>2557741</v>
      </c>
      <c r="Z2021" t="s">
        <v>173</v>
      </c>
      <c r="AA2021" t="s">
        <v>173</v>
      </c>
    </row>
    <row r="2022" spans="1:27" x14ac:dyDescent="0.3">
      <c r="A2022">
        <v>2021</v>
      </c>
      <c r="B2022" t="s">
        <v>169</v>
      </c>
      <c r="C2022">
        <v>99019875</v>
      </c>
      <c r="D2022" s="7" t="s">
        <v>134</v>
      </c>
      <c r="E2022" t="s">
        <v>135</v>
      </c>
      <c r="F2022" t="s">
        <v>176</v>
      </c>
      <c r="G2022" t="s">
        <v>177</v>
      </c>
      <c r="H2022">
        <v>4</v>
      </c>
      <c r="I2022">
        <v>0</v>
      </c>
      <c r="J2022">
        <v>4</v>
      </c>
      <c r="K2022" s="133">
        <v>7935</v>
      </c>
      <c r="L2022" s="133">
        <v>7935</v>
      </c>
      <c r="M2022" s="150">
        <v>0.62782407407407403</v>
      </c>
      <c r="N2022" s="150">
        <v>0.62782407407407403</v>
      </c>
      <c r="O2022" t="s">
        <v>172</v>
      </c>
      <c r="Q2022">
        <v>2557913</v>
      </c>
      <c r="R2022">
        <v>2557913</v>
      </c>
      <c r="S2022">
        <v>2557740</v>
      </c>
      <c r="T2022">
        <v>0</v>
      </c>
      <c r="U2022" t="s">
        <v>173</v>
      </c>
      <c r="V2022">
        <v>0</v>
      </c>
      <c r="W2022" t="s">
        <v>174</v>
      </c>
      <c r="X2022">
        <v>2557740</v>
      </c>
      <c r="Z2022" t="s">
        <v>173</v>
      </c>
      <c r="AA2022" t="s">
        <v>173</v>
      </c>
    </row>
    <row r="2023" spans="1:27" x14ac:dyDescent="0.3">
      <c r="A2023">
        <v>2022</v>
      </c>
      <c r="B2023" t="s">
        <v>169</v>
      </c>
      <c r="C2023">
        <v>99019875</v>
      </c>
      <c r="D2023" s="7" t="s">
        <v>134</v>
      </c>
      <c r="E2023" t="s">
        <v>135</v>
      </c>
      <c r="F2023" t="s">
        <v>176</v>
      </c>
      <c r="G2023" t="s">
        <v>177</v>
      </c>
      <c r="H2023">
        <v>3</v>
      </c>
      <c r="I2023">
        <v>0</v>
      </c>
      <c r="J2023">
        <v>3</v>
      </c>
      <c r="K2023" s="133">
        <v>7935</v>
      </c>
      <c r="L2023" s="133">
        <v>7935</v>
      </c>
      <c r="M2023" s="150">
        <v>0.62782407407407403</v>
      </c>
      <c r="N2023" s="150">
        <v>0.62782407407407403</v>
      </c>
      <c r="O2023" t="s">
        <v>172</v>
      </c>
      <c r="Q2023">
        <v>2557914</v>
      </c>
      <c r="R2023">
        <v>2557914</v>
      </c>
      <c r="S2023">
        <v>2557739</v>
      </c>
      <c r="T2023">
        <v>0</v>
      </c>
      <c r="U2023" t="s">
        <v>173</v>
      </c>
      <c r="V2023">
        <v>0</v>
      </c>
      <c r="W2023" t="s">
        <v>174</v>
      </c>
      <c r="X2023">
        <v>2557739</v>
      </c>
      <c r="Z2023" t="s">
        <v>173</v>
      </c>
      <c r="AA2023" t="s">
        <v>173</v>
      </c>
    </row>
    <row r="2024" spans="1:27" x14ac:dyDescent="0.3">
      <c r="A2024">
        <v>2023</v>
      </c>
      <c r="B2024" t="s">
        <v>169</v>
      </c>
      <c r="C2024">
        <v>99019875</v>
      </c>
      <c r="D2024" s="7" t="s">
        <v>134</v>
      </c>
      <c r="E2024" t="s">
        <v>135</v>
      </c>
      <c r="F2024" t="s">
        <v>176</v>
      </c>
      <c r="G2024" t="s">
        <v>177</v>
      </c>
      <c r="H2024">
        <v>4</v>
      </c>
      <c r="I2024">
        <v>0</v>
      </c>
      <c r="J2024">
        <v>4</v>
      </c>
      <c r="K2024" s="133">
        <v>7935</v>
      </c>
      <c r="L2024" s="133">
        <v>7935</v>
      </c>
      <c r="M2024" s="150">
        <v>0.62782407407407403</v>
      </c>
      <c r="N2024" s="150">
        <v>0.62782407407407403</v>
      </c>
      <c r="O2024" t="s">
        <v>172</v>
      </c>
      <c r="Q2024">
        <v>2557915</v>
      </c>
      <c r="R2024">
        <v>2557915</v>
      </c>
      <c r="S2024">
        <v>2557738</v>
      </c>
      <c r="T2024">
        <v>0</v>
      </c>
      <c r="U2024" t="s">
        <v>173</v>
      </c>
      <c r="V2024">
        <v>0</v>
      </c>
      <c r="W2024" t="s">
        <v>174</v>
      </c>
      <c r="X2024">
        <v>2557738</v>
      </c>
      <c r="Z2024" t="s">
        <v>173</v>
      </c>
      <c r="AA2024" t="s">
        <v>173</v>
      </c>
    </row>
    <row r="2025" spans="1:27" x14ac:dyDescent="0.3">
      <c r="A2025">
        <v>2024</v>
      </c>
      <c r="B2025" t="s">
        <v>169</v>
      </c>
      <c r="C2025">
        <v>99019875</v>
      </c>
      <c r="D2025" s="7" t="s">
        <v>134</v>
      </c>
      <c r="E2025" t="s">
        <v>135</v>
      </c>
      <c r="F2025" t="s">
        <v>176</v>
      </c>
      <c r="G2025" t="s">
        <v>177</v>
      </c>
      <c r="H2025">
        <v>4</v>
      </c>
      <c r="I2025">
        <v>0</v>
      </c>
      <c r="J2025">
        <v>4</v>
      </c>
      <c r="K2025" s="133">
        <v>7935</v>
      </c>
      <c r="L2025" s="133">
        <v>7935</v>
      </c>
      <c r="M2025" s="150">
        <v>0.62782407407407403</v>
      </c>
      <c r="N2025" s="150">
        <v>0.62782407407407403</v>
      </c>
      <c r="O2025" t="s">
        <v>172</v>
      </c>
      <c r="Q2025">
        <v>2557916</v>
      </c>
      <c r="R2025">
        <v>2557916</v>
      </c>
      <c r="S2025">
        <v>2557737</v>
      </c>
      <c r="T2025">
        <v>0</v>
      </c>
      <c r="U2025" t="s">
        <v>173</v>
      </c>
      <c r="V2025">
        <v>0</v>
      </c>
      <c r="W2025" t="s">
        <v>174</v>
      </c>
      <c r="X2025">
        <v>2557737</v>
      </c>
      <c r="Z2025" t="s">
        <v>173</v>
      </c>
      <c r="AA2025" t="s">
        <v>173</v>
      </c>
    </row>
    <row r="2026" spans="1:27" x14ac:dyDescent="0.3">
      <c r="A2026">
        <v>2025</v>
      </c>
      <c r="B2026" t="s">
        <v>169</v>
      </c>
      <c r="C2026">
        <v>99019875</v>
      </c>
      <c r="D2026" s="7" t="s">
        <v>134</v>
      </c>
      <c r="E2026" t="s">
        <v>135</v>
      </c>
      <c r="F2026" t="s">
        <v>176</v>
      </c>
      <c r="G2026" t="s">
        <v>177</v>
      </c>
      <c r="H2026">
        <v>4</v>
      </c>
      <c r="I2026">
        <v>0</v>
      </c>
      <c r="J2026">
        <v>4</v>
      </c>
      <c r="K2026" s="133">
        <v>7935</v>
      </c>
      <c r="L2026" s="133">
        <v>7935</v>
      </c>
      <c r="M2026" s="150">
        <v>0.62782407407407403</v>
      </c>
      <c r="N2026" s="150">
        <v>0.62782407407407403</v>
      </c>
      <c r="O2026" t="s">
        <v>172</v>
      </c>
      <c r="Q2026">
        <v>2557917</v>
      </c>
      <c r="R2026">
        <v>2557917</v>
      </c>
      <c r="S2026">
        <v>2557736</v>
      </c>
      <c r="T2026">
        <v>0</v>
      </c>
      <c r="U2026" t="s">
        <v>173</v>
      </c>
      <c r="V2026">
        <v>0</v>
      </c>
      <c r="W2026" t="s">
        <v>174</v>
      </c>
      <c r="X2026">
        <v>2557736</v>
      </c>
      <c r="Z2026" t="s">
        <v>173</v>
      </c>
      <c r="AA2026" t="s">
        <v>173</v>
      </c>
    </row>
    <row r="2027" spans="1:27" x14ac:dyDescent="0.3">
      <c r="A2027">
        <v>2026</v>
      </c>
      <c r="B2027" t="s">
        <v>169</v>
      </c>
      <c r="C2027">
        <v>99019875</v>
      </c>
      <c r="D2027" s="7" t="s">
        <v>134</v>
      </c>
      <c r="E2027" t="s">
        <v>135</v>
      </c>
      <c r="F2027" t="s">
        <v>176</v>
      </c>
      <c r="G2027" t="s">
        <v>177</v>
      </c>
      <c r="H2027">
        <v>3</v>
      </c>
      <c r="I2027">
        <v>0</v>
      </c>
      <c r="J2027">
        <v>3</v>
      </c>
      <c r="K2027" s="133">
        <v>7935</v>
      </c>
      <c r="L2027" s="133">
        <v>7935</v>
      </c>
      <c r="M2027" s="150">
        <v>0.62782407407407403</v>
      </c>
      <c r="N2027" s="150">
        <v>0.62782407407407403</v>
      </c>
      <c r="O2027" t="s">
        <v>172</v>
      </c>
      <c r="Q2027">
        <v>2557918</v>
      </c>
      <c r="R2027">
        <v>2557918</v>
      </c>
      <c r="S2027">
        <v>2557735</v>
      </c>
      <c r="T2027">
        <v>0</v>
      </c>
      <c r="U2027" t="s">
        <v>173</v>
      </c>
      <c r="V2027">
        <v>0</v>
      </c>
      <c r="W2027" t="s">
        <v>174</v>
      </c>
      <c r="X2027">
        <v>2557735</v>
      </c>
      <c r="Z2027" t="s">
        <v>173</v>
      </c>
      <c r="AA2027" t="s">
        <v>173</v>
      </c>
    </row>
    <row r="2028" spans="1:27" x14ac:dyDescent="0.3">
      <c r="A2028">
        <v>2027</v>
      </c>
      <c r="B2028" t="s">
        <v>169</v>
      </c>
      <c r="C2028">
        <v>99019875</v>
      </c>
      <c r="D2028" s="7" t="s">
        <v>134</v>
      </c>
      <c r="E2028" t="s">
        <v>135</v>
      </c>
      <c r="F2028" t="s">
        <v>176</v>
      </c>
      <c r="G2028" t="s">
        <v>177</v>
      </c>
      <c r="H2028">
        <v>4</v>
      </c>
      <c r="I2028">
        <v>0</v>
      </c>
      <c r="J2028">
        <v>4</v>
      </c>
      <c r="K2028" s="133">
        <v>7935</v>
      </c>
      <c r="L2028" s="133">
        <v>7935</v>
      </c>
      <c r="M2028" s="150">
        <v>0.62782407407407403</v>
      </c>
      <c r="N2028" s="150">
        <v>0.62782407407407403</v>
      </c>
      <c r="O2028" t="s">
        <v>172</v>
      </c>
      <c r="Q2028">
        <v>2557919</v>
      </c>
      <c r="R2028">
        <v>2557919</v>
      </c>
      <c r="S2028">
        <v>2557734</v>
      </c>
      <c r="T2028">
        <v>0</v>
      </c>
      <c r="U2028" t="s">
        <v>173</v>
      </c>
      <c r="V2028">
        <v>0</v>
      </c>
      <c r="W2028" t="s">
        <v>174</v>
      </c>
      <c r="X2028">
        <v>2557734</v>
      </c>
      <c r="Z2028" t="s">
        <v>173</v>
      </c>
      <c r="AA2028" t="s">
        <v>173</v>
      </c>
    </row>
    <row r="2029" spans="1:27" x14ac:dyDescent="0.3">
      <c r="A2029">
        <v>2028</v>
      </c>
      <c r="B2029" t="s">
        <v>169</v>
      </c>
      <c r="C2029">
        <v>99019875</v>
      </c>
      <c r="D2029" s="7" t="s">
        <v>134</v>
      </c>
      <c r="E2029" t="s">
        <v>135</v>
      </c>
      <c r="F2029" t="s">
        <v>176</v>
      </c>
      <c r="G2029" t="s">
        <v>177</v>
      </c>
      <c r="H2029">
        <v>4</v>
      </c>
      <c r="I2029">
        <v>0</v>
      </c>
      <c r="J2029">
        <v>4</v>
      </c>
      <c r="K2029" s="133">
        <v>7935</v>
      </c>
      <c r="L2029" s="133">
        <v>7935</v>
      </c>
      <c r="M2029" s="150">
        <v>0.62782407407407403</v>
      </c>
      <c r="N2029" s="150">
        <v>0.62782407407407403</v>
      </c>
      <c r="O2029" t="s">
        <v>172</v>
      </c>
      <c r="Q2029">
        <v>2557920</v>
      </c>
      <c r="R2029">
        <v>2557920</v>
      </c>
      <c r="S2029">
        <v>2557733</v>
      </c>
      <c r="T2029">
        <v>0</v>
      </c>
      <c r="U2029" t="s">
        <v>173</v>
      </c>
      <c r="V2029">
        <v>0</v>
      </c>
      <c r="W2029" t="s">
        <v>174</v>
      </c>
      <c r="X2029">
        <v>2557733</v>
      </c>
      <c r="Z2029" t="s">
        <v>173</v>
      </c>
      <c r="AA2029" t="s">
        <v>173</v>
      </c>
    </row>
    <row r="2030" spans="1:27" x14ac:dyDescent="0.3">
      <c r="A2030">
        <v>2029</v>
      </c>
      <c r="B2030" t="s">
        <v>169</v>
      </c>
      <c r="C2030">
        <v>99019875</v>
      </c>
      <c r="D2030" s="7" t="s">
        <v>134</v>
      </c>
      <c r="E2030" t="s">
        <v>135</v>
      </c>
      <c r="F2030" t="s">
        <v>176</v>
      </c>
      <c r="G2030" t="s">
        <v>177</v>
      </c>
      <c r="H2030">
        <v>3</v>
      </c>
      <c r="I2030">
        <v>0</v>
      </c>
      <c r="J2030">
        <v>3</v>
      </c>
      <c r="K2030" s="133">
        <v>7935</v>
      </c>
      <c r="L2030" s="133">
        <v>7935</v>
      </c>
      <c r="M2030" s="150">
        <v>0.62782407407407403</v>
      </c>
      <c r="N2030" s="150">
        <v>0.62782407407407403</v>
      </c>
      <c r="O2030" t="s">
        <v>172</v>
      </c>
      <c r="Q2030">
        <v>2557921</v>
      </c>
      <c r="R2030">
        <v>2557921</v>
      </c>
      <c r="S2030">
        <v>2557732</v>
      </c>
      <c r="T2030">
        <v>0</v>
      </c>
      <c r="U2030" t="s">
        <v>173</v>
      </c>
      <c r="V2030">
        <v>0</v>
      </c>
      <c r="W2030" t="s">
        <v>174</v>
      </c>
      <c r="X2030">
        <v>2557732</v>
      </c>
      <c r="Z2030" t="s">
        <v>173</v>
      </c>
      <c r="AA2030" t="s">
        <v>173</v>
      </c>
    </row>
    <row r="2031" spans="1:27" x14ac:dyDescent="0.3">
      <c r="A2031">
        <v>2030</v>
      </c>
      <c r="B2031" t="s">
        <v>169</v>
      </c>
      <c r="C2031">
        <v>99019875</v>
      </c>
      <c r="D2031" s="7" t="s">
        <v>134</v>
      </c>
      <c r="E2031" t="s">
        <v>135</v>
      </c>
      <c r="F2031" t="s">
        <v>176</v>
      </c>
      <c r="G2031" t="s">
        <v>177</v>
      </c>
      <c r="H2031">
        <v>4</v>
      </c>
      <c r="I2031">
        <v>0</v>
      </c>
      <c r="J2031">
        <v>4</v>
      </c>
      <c r="K2031" s="133">
        <v>7935</v>
      </c>
      <c r="L2031" s="133">
        <v>7935</v>
      </c>
      <c r="M2031" s="150">
        <v>0.62782407407407403</v>
      </c>
      <c r="N2031" s="150">
        <v>0.62782407407407403</v>
      </c>
      <c r="O2031" t="s">
        <v>172</v>
      </c>
      <c r="Q2031">
        <v>2557922</v>
      </c>
      <c r="R2031">
        <v>2557922</v>
      </c>
      <c r="S2031">
        <v>2557731</v>
      </c>
      <c r="T2031">
        <v>0</v>
      </c>
      <c r="U2031" t="s">
        <v>173</v>
      </c>
      <c r="V2031">
        <v>0</v>
      </c>
      <c r="W2031" t="s">
        <v>174</v>
      </c>
      <c r="X2031">
        <v>2557731</v>
      </c>
      <c r="Z2031" t="s">
        <v>173</v>
      </c>
      <c r="AA2031" t="s">
        <v>173</v>
      </c>
    </row>
    <row r="2032" spans="1:27" x14ac:dyDescent="0.3">
      <c r="A2032">
        <v>2031</v>
      </c>
      <c r="B2032" t="s">
        <v>169</v>
      </c>
      <c r="C2032">
        <v>99019875</v>
      </c>
      <c r="D2032" s="7" t="s">
        <v>134</v>
      </c>
      <c r="E2032" t="s">
        <v>135</v>
      </c>
      <c r="F2032" t="s">
        <v>176</v>
      </c>
      <c r="G2032" t="s">
        <v>177</v>
      </c>
      <c r="H2032">
        <v>4</v>
      </c>
      <c r="I2032">
        <v>0</v>
      </c>
      <c r="J2032">
        <v>4</v>
      </c>
      <c r="K2032" s="133">
        <v>7935</v>
      </c>
      <c r="L2032" s="133">
        <v>7935</v>
      </c>
      <c r="M2032" s="150">
        <v>0.62782407407407403</v>
      </c>
      <c r="N2032" s="150">
        <v>0.62782407407407403</v>
      </c>
      <c r="O2032" t="s">
        <v>172</v>
      </c>
      <c r="Q2032">
        <v>2557923</v>
      </c>
      <c r="R2032">
        <v>2557923</v>
      </c>
      <c r="S2032">
        <v>2557730</v>
      </c>
      <c r="T2032">
        <v>0</v>
      </c>
      <c r="U2032" t="s">
        <v>173</v>
      </c>
      <c r="V2032">
        <v>0</v>
      </c>
      <c r="W2032" t="s">
        <v>174</v>
      </c>
      <c r="X2032">
        <v>2557730</v>
      </c>
      <c r="Z2032" t="s">
        <v>173</v>
      </c>
      <c r="AA2032" t="s">
        <v>173</v>
      </c>
    </row>
    <row r="2033" spans="1:27" x14ac:dyDescent="0.3">
      <c r="A2033">
        <v>2032</v>
      </c>
      <c r="B2033" t="s">
        <v>169</v>
      </c>
      <c r="C2033">
        <v>99019875</v>
      </c>
      <c r="D2033" s="7" t="s">
        <v>134</v>
      </c>
      <c r="E2033" t="s">
        <v>135</v>
      </c>
      <c r="F2033" t="s">
        <v>176</v>
      </c>
      <c r="G2033" t="s">
        <v>177</v>
      </c>
      <c r="H2033">
        <v>3</v>
      </c>
      <c r="I2033">
        <v>0</v>
      </c>
      <c r="J2033">
        <v>3</v>
      </c>
      <c r="K2033" s="133">
        <v>7935</v>
      </c>
      <c r="L2033" s="133">
        <v>7935</v>
      </c>
      <c r="M2033" s="150">
        <v>0.62782407407407403</v>
      </c>
      <c r="N2033" s="150">
        <v>0.62782407407407403</v>
      </c>
      <c r="O2033" t="s">
        <v>172</v>
      </c>
      <c r="Q2033">
        <v>2557924</v>
      </c>
      <c r="R2033">
        <v>2557924</v>
      </c>
      <c r="S2033">
        <v>2557729</v>
      </c>
      <c r="T2033">
        <v>0</v>
      </c>
      <c r="U2033" t="s">
        <v>173</v>
      </c>
      <c r="V2033">
        <v>0</v>
      </c>
      <c r="W2033" t="s">
        <v>174</v>
      </c>
      <c r="X2033">
        <v>2557729</v>
      </c>
      <c r="Z2033" t="s">
        <v>173</v>
      </c>
      <c r="AA2033" t="s">
        <v>173</v>
      </c>
    </row>
    <row r="2034" spans="1:27" x14ac:dyDescent="0.3">
      <c r="A2034">
        <v>2033</v>
      </c>
      <c r="B2034" t="s">
        <v>169</v>
      </c>
      <c r="C2034">
        <v>99019875</v>
      </c>
      <c r="D2034" s="7" t="s">
        <v>134</v>
      </c>
      <c r="E2034" t="s">
        <v>135</v>
      </c>
      <c r="F2034" t="s">
        <v>176</v>
      </c>
      <c r="G2034" t="s">
        <v>177</v>
      </c>
      <c r="H2034">
        <v>4</v>
      </c>
      <c r="I2034">
        <v>0</v>
      </c>
      <c r="J2034">
        <v>4</v>
      </c>
      <c r="K2034" s="133">
        <v>7935</v>
      </c>
      <c r="L2034" s="133">
        <v>7935</v>
      </c>
      <c r="M2034" s="150">
        <v>0.62782407407407403</v>
      </c>
      <c r="N2034" s="150">
        <v>0.62782407407407403</v>
      </c>
      <c r="O2034" t="s">
        <v>172</v>
      </c>
      <c r="Q2034">
        <v>2557925</v>
      </c>
      <c r="R2034">
        <v>2557925</v>
      </c>
      <c r="S2034">
        <v>2557751</v>
      </c>
      <c r="T2034">
        <v>0</v>
      </c>
      <c r="U2034" t="s">
        <v>173</v>
      </c>
      <c r="V2034">
        <v>0</v>
      </c>
      <c r="W2034" t="s">
        <v>174</v>
      </c>
      <c r="X2034">
        <v>2557751</v>
      </c>
      <c r="Z2034" t="s">
        <v>173</v>
      </c>
      <c r="AA2034" t="s">
        <v>173</v>
      </c>
    </row>
    <row r="2035" spans="1:27" x14ac:dyDescent="0.3">
      <c r="A2035">
        <v>2034</v>
      </c>
      <c r="B2035" t="s">
        <v>169</v>
      </c>
      <c r="C2035">
        <v>99019875</v>
      </c>
      <c r="D2035" s="7" t="s">
        <v>134</v>
      </c>
      <c r="E2035" t="s">
        <v>135</v>
      </c>
      <c r="F2035" t="s">
        <v>176</v>
      </c>
      <c r="G2035" t="s">
        <v>177</v>
      </c>
      <c r="H2035">
        <v>4</v>
      </c>
      <c r="I2035">
        <v>0</v>
      </c>
      <c r="J2035">
        <v>4</v>
      </c>
      <c r="K2035" s="133">
        <v>7935</v>
      </c>
      <c r="L2035" s="133">
        <v>7935</v>
      </c>
      <c r="M2035" s="150">
        <v>0.62782407407407403</v>
      </c>
      <c r="N2035" s="150">
        <v>0.62782407407407403</v>
      </c>
      <c r="O2035" t="s">
        <v>172</v>
      </c>
      <c r="Q2035">
        <v>2557926</v>
      </c>
      <c r="R2035">
        <v>2557926</v>
      </c>
      <c r="S2035">
        <v>2557750</v>
      </c>
      <c r="T2035">
        <v>0</v>
      </c>
      <c r="U2035" t="s">
        <v>173</v>
      </c>
      <c r="V2035">
        <v>0</v>
      </c>
      <c r="W2035" t="s">
        <v>174</v>
      </c>
      <c r="X2035">
        <v>2557750</v>
      </c>
      <c r="Z2035" t="s">
        <v>173</v>
      </c>
      <c r="AA2035" t="s">
        <v>173</v>
      </c>
    </row>
    <row r="2036" spans="1:27" x14ac:dyDescent="0.3">
      <c r="A2036">
        <v>2035</v>
      </c>
      <c r="B2036" t="s">
        <v>169</v>
      </c>
      <c r="C2036">
        <v>99019875</v>
      </c>
      <c r="D2036" s="7" t="s">
        <v>134</v>
      </c>
      <c r="E2036" t="s">
        <v>135</v>
      </c>
      <c r="F2036" t="s">
        <v>176</v>
      </c>
      <c r="G2036" t="s">
        <v>177</v>
      </c>
      <c r="H2036">
        <v>3</v>
      </c>
      <c r="I2036">
        <v>0</v>
      </c>
      <c r="J2036">
        <v>3</v>
      </c>
      <c r="K2036" s="133">
        <v>7935</v>
      </c>
      <c r="L2036" s="133">
        <v>7935</v>
      </c>
      <c r="M2036" s="150">
        <v>0.62782407407407403</v>
      </c>
      <c r="N2036" s="150">
        <v>0.62782407407407403</v>
      </c>
      <c r="O2036" t="s">
        <v>172</v>
      </c>
      <c r="Q2036">
        <v>2557927</v>
      </c>
      <c r="R2036">
        <v>2557927</v>
      </c>
      <c r="S2036">
        <v>2557749</v>
      </c>
      <c r="T2036">
        <v>0</v>
      </c>
      <c r="U2036" t="s">
        <v>173</v>
      </c>
      <c r="V2036">
        <v>0</v>
      </c>
      <c r="W2036" t="s">
        <v>174</v>
      </c>
      <c r="X2036">
        <v>2557749</v>
      </c>
      <c r="Z2036" t="s">
        <v>173</v>
      </c>
      <c r="AA2036" t="s">
        <v>173</v>
      </c>
    </row>
    <row r="2037" spans="1:27" x14ac:dyDescent="0.3">
      <c r="A2037">
        <v>2036</v>
      </c>
      <c r="B2037" t="s">
        <v>169</v>
      </c>
      <c r="C2037">
        <v>99019875</v>
      </c>
      <c r="D2037" s="7" t="s">
        <v>134</v>
      </c>
      <c r="E2037" t="s">
        <v>135</v>
      </c>
      <c r="F2037" t="s">
        <v>176</v>
      </c>
      <c r="G2037" t="s">
        <v>177</v>
      </c>
      <c r="H2037">
        <v>4</v>
      </c>
      <c r="I2037">
        <v>0</v>
      </c>
      <c r="J2037">
        <v>4</v>
      </c>
      <c r="K2037" s="133">
        <v>7935</v>
      </c>
      <c r="L2037" s="133">
        <v>7935</v>
      </c>
      <c r="M2037" s="150">
        <v>0.62782407407407403</v>
      </c>
      <c r="N2037" s="150">
        <v>0.62782407407407403</v>
      </c>
      <c r="O2037" t="s">
        <v>172</v>
      </c>
      <c r="Q2037">
        <v>2557928</v>
      </c>
      <c r="R2037">
        <v>2557928</v>
      </c>
      <c r="S2037">
        <v>2557748</v>
      </c>
      <c r="T2037">
        <v>0</v>
      </c>
      <c r="U2037" t="s">
        <v>173</v>
      </c>
      <c r="V2037">
        <v>0</v>
      </c>
      <c r="W2037" t="s">
        <v>174</v>
      </c>
      <c r="X2037">
        <v>2557748</v>
      </c>
      <c r="Z2037" t="s">
        <v>173</v>
      </c>
      <c r="AA2037" t="s">
        <v>173</v>
      </c>
    </row>
    <row r="2038" spans="1:27" x14ac:dyDescent="0.3">
      <c r="A2038">
        <v>2037</v>
      </c>
      <c r="B2038" t="s">
        <v>169</v>
      </c>
      <c r="C2038">
        <v>99019875</v>
      </c>
      <c r="D2038" s="7" t="s">
        <v>134</v>
      </c>
      <c r="E2038" t="s">
        <v>135</v>
      </c>
      <c r="F2038" t="s">
        <v>176</v>
      </c>
      <c r="G2038" t="s">
        <v>177</v>
      </c>
      <c r="H2038">
        <v>4</v>
      </c>
      <c r="I2038">
        <v>0</v>
      </c>
      <c r="J2038">
        <v>4</v>
      </c>
      <c r="K2038" s="133">
        <v>7935</v>
      </c>
      <c r="L2038" s="133">
        <v>7935</v>
      </c>
      <c r="M2038" s="150">
        <v>0.62782407407407403</v>
      </c>
      <c r="N2038" s="150">
        <v>0.62782407407407403</v>
      </c>
      <c r="O2038" t="s">
        <v>172</v>
      </c>
      <c r="Q2038">
        <v>2557929</v>
      </c>
      <c r="R2038">
        <v>2557929</v>
      </c>
      <c r="S2038">
        <v>2557747</v>
      </c>
      <c r="T2038">
        <v>0</v>
      </c>
      <c r="U2038" t="s">
        <v>173</v>
      </c>
      <c r="V2038">
        <v>0</v>
      </c>
      <c r="W2038" t="s">
        <v>174</v>
      </c>
      <c r="X2038">
        <v>2557747</v>
      </c>
      <c r="Z2038" t="s">
        <v>173</v>
      </c>
      <c r="AA2038" t="s">
        <v>173</v>
      </c>
    </row>
    <row r="2039" spans="1:27" x14ac:dyDescent="0.3">
      <c r="A2039">
        <v>2038</v>
      </c>
      <c r="B2039" t="s">
        <v>169</v>
      </c>
      <c r="C2039">
        <v>99019875</v>
      </c>
      <c r="D2039" s="7" t="s">
        <v>134</v>
      </c>
      <c r="E2039" t="s">
        <v>135</v>
      </c>
      <c r="F2039" t="s">
        <v>176</v>
      </c>
      <c r="G2039" t="s">
        <v>177</v>
      </c>
      <c r="H2039">
        <v>4</v>
      </c>
      <c r="I2039">
        <v>0</v>
      </c>
      <c r="J2039">
        <v>4</v>
      </c>
      <c r="K2039" s="133">
        <v>7935</v>
      </c>
      <c r="L2039" s="133">
        <v>7935</v>
      </c>
      <c r="M2039" s="150">
        <v>0.62782407407407403</v>
      </c>
      <c r="N2039" s="150">
        <v>0.62782407407407403</v>
      </c>
      <c r="O2039" t="s">
        <v>172</v>
      </c>
      <c r="Q2039">
        <v>2557930</v>
      </c>
      <c r="R2039">
        <v>2557930</v>
      </c>
      <c r="S2039">
        <v>2557746</v>
      </c>
      <c r="T2039">
        <v>0</v>
      </c>
      <c r="U2039" t="s">
        <v>173</v>
      </c>
      <c r="V2039">
        <v>0</v>
      </c>
      <c r="W2039" t="s">
        <v>174</v>
      </c>
      <c r="X2039">
        <v>2557746</v>
      </c>
      <c r="Z2039" t="s">
        <v>173</v>
      </c>
      <c r="AA2039" t="s">
        <v>173</v>
      </c>
    </row>
    <row r="2040" spans="1:27" x14ac:dyDescent="0.3">
      <c r="A2040">
        <v>2039</v>
      </c>
      <c r="B2040" t="s">
        <v>169</v>
      </c>
      <c r="C2040">
        <v>99019875</v>
      </c>
      <c r="D2040" s="7" t="s">
        <v>134</v>
      </c>
      <c r="E2040" t="s">
        <v>135</v>
      </c>
      <c r="F2040" t="s">
        <v>176</v>
      </c>
      <c r="G2040" t="s">
        <v>177</v>
      </c>
      <c r="H2040">
        <v>3</v>
      </c>
      <c r="I2040">
        <v>0</v>
      </c>
      <c r="J2040">
        <v>3</v>
      </c>
      <c r="K2040" s="133">
        <v>7935</v>
      </c>
      <c r="L2040" s="133">
        <v>7935</v>
      </c>
      <c r="M2040" s="150">
        <v>0.62782407407407403</v>
      </c>
      <c r="N2040" s="150">
        <v>0.62782407407407403</v>
      </c>
      <c r="O2040" t="s">
        <v>172</v>
      </c>
      <c r="Q2040">
        <v>2557931</v>
      </c>
      <c r="R2040">
        <v>2557931</v>
      </c>
      <c r="S2040">
        <v>2557745</v>
      </c>
      <c r="T2040">
        <v>0</v>
      </c>
      <c r="U2040" t="s">
        <v>173</v>
      </c>
      <c r="V2040">
        <v>0</v>
      </c>
      <c r="W2040" t="s">
        <v>174</v>
      </c>
      <c r="X2040">
        <v>2557745</v>
      </c>
      <c r="Z2040" t="s">
        <v>173</v>
      </c>
      <c r="AA2040" t="s">
        <v>173</v>
      </c>
    </row>
    <row r="2041" spans="1:27" x14ac:dyDescent="0.3">
      <c r="A2041">
        <v>2040</v>
      </c>
      <c r="B2041" t="s">
        <v>169</v>
      </c>
      <c r="C2041">
        <v>99019875</v>
      </c>
      <c r="D2041" s="7" t="s">
        <v>134</v>
      </c>
      <c r="E2041" t="s">
        <v>135</v>
      </c>
      <c r="F2041" t="s">
        <v>176</v>
      </c>
      <c r="G2041" t="s">
        <v>177</v>
      </c>
      <c r="H2041">
        <v>4</v>
      </c>
      <c r="I2041">
        <v>0</v>
      </c>
      <c r="J2041">
        <v>4</v>
      </c>
      <c r="K2041" s="133">
        <v>7935</v>
      </c>
      <c r="L2041" s="133">
        <v>7935</v>
      </c>
      <c r="M2041" s="150">
        <v>0.62782407407407403</v>
      </c>
      <c r="N2041" s="150">
        <v>0.62782407407407403</v>
      </c>
      <c r="O2041" t="s">
        <v>172</v>
      </c>
      <c r="Q2041">
        <v>2557932</v>
      </c>
      <c r="R2041">
        <v>2557932</v>
      </c>
      <c r="S2041">
        <v>2557744</v>
      </c>
      <c r="T2041">
        <v>0</v>
      </c>
      <c r="U2041" t="s">
        <v>173</v>
      </c>
      <c r="V2041">
        <v>0</v>
      </c>
      <c r="W2041" t="s">
        <v>174</v>
      </c>
      <c r="X2041">
        <v>2557744</v>
      </c>
      <c r="Z2041" t="s">
        <v>173</v>
      </c>
      <c r="AA2041" t="s">
        <v>173</v>
      </c>
    </row>
    <row r="2042" spans="1:27" x14ac:dyDescent="0.3">
      <c r="A2042">
        <v>2041</v>
      </c>
      <c r="B2042" t="s">
        <v>169</v>
      </c>
      <c r="C2042">
        <v>99019875</v>
      </c>
      <c r="D2042" s="7" t="s">
        <v>134</v>
      </c>
      <c r="E2042" t="s">
        <v>135</v>
      </c>
      <c r="F2042" t="s">
        <v>176</v>
      </c>
      <c r="G2042" t="s">
        <v>177</v>
      </c>
      <c r="H2042">
        <v>4</v>
      </c>
      <c r="I2042">
        <v>0</v>
      </c>
      <c r="J2042">
        <v>4</v>
      </c>
      <c r="K2042" s="133">
        <v>7935</v>
      </c>
      <c r="L2042" s="133">
        <v>7935</v>
      </c>
      <c r="M2042" s="150">
        <v>0.62782407407407403</v>
      </c>
      <c r="N2042" s="150">
        <v>0.62782407407407403</v>
      </c>
      <c r="O2042" t="s">
        <v>172</v>
      </c>
      <c r="Q2042">
        <v>2557933</v>
      </c>
      <c r="R2042">
        <v>2557933</v>
      </c>
      <c r="S2042">
        <v>2557778</v>
      </c>
      <c r="T2042">
        <v>0</v>
      </c>
      <c r="U2042" t="s">
        <v>173</v>
      </c>
      <c r="V2042">
        <v>0</v>
      </c>
      <c r="W2042" t="s">
        <v>174</v>
      </c>
      <c r="X2042">
        <v>2557778</v>
      </c>
      <c r="Z2042" t="s">
        <v>173</v>
      </c>
      <c r="AA2042" t="s">
        <v>173</v>
      </c>
    </row>
    <row r="2043" spans="1:27" x14ac:dyDescent="0.3">
      <c r="A2043">
        <v>2042</v>
      </c>
      <c r="B2043" t="s">
        <v>169</v>
      </c>
      <c r="C2043">
        <v>99019875</v>
      </c>
      <c r="D2043" s="7" t="s">
        <v>134</v>
      </c>
      <c r="E2043" t="s">
        <v>135</v>
      </c>
      <c r="F2043" t="s">
        <v>176</v>
      </c>
      <c r="G2043" t="s">
        <v>177</v>
      </c>
      <c r="H2043">
        <v>4</v>
      </c>
      <c r="I2043">
        <v>0</v>
      </c>
      <c r="J2043">
        <v>4</v>
      </c>
      <c r="K2043" s="133">
        <v>7935</v>
      </c>
      <c r="L2043" s="133">
        <v>7935</v>
      </c>
      <c r="M2043" s="150">
        <v>0.62782407407407403</v>
      </c>
      <c r="N2043" s="150">
        <v>0.62782407407407403</v>
      </c>
      <c r="O2043" t="s">
        <v>172</v>
      </c>
      <c r="Q2043">
        <v>2557934</v>
      </c>
      <c r="R2043">
        <v>2557934</v>
      </c>
      <c r="S2043">
        <v>2557777</v>
      </c>
      <c r="T2043">
        <v>0</v>
      </c>
      <c r="U2043" t="s">
        <v>173</v>
      </c>
      <c r="V2043">
        <v>0</v>
      </c>
      <c r="W2043" t="s">
        <v>174</v>
      </c>
      <c r="X2043">
        <v>2557777</v>
      </c>
      <c r="Z2043" t="s">
        <v>173</v>
      </c>
      <c r="AA2043" t="s">
        <v>173</v>
      </c>
    </row>
    <row r="2044" spans="1:27" x14ac:dyDescent="0.3">
      <c r="A2044">
        <v>2043</v>
      </c>
      <c r="B2044" t="s">
        <v>169</v>
      </c>
      <c r="C2044">
        <v>99019875</v>
      </c>
      <c r="D2044" s="7" t="s">
        <v>134</v>
      </c>
      <c r="E2044" t="s">
        <v>135</v>
      </c>
      <c r="F2044" t="s">
        <v>176</v>
      </c>
      <c r="G2044" t="s">
        <v>177</v>
      </c>
      <c r="H2044">
        <v>4</v>
      </c>
      <c r="I2044">
        <v>0</v>
      </c>
      <c r="J2044">
        <v>4</v>
      </c>
      <c r="K2044" s="133">
        <v>7935</v>
      </c>
      <c r="L2044" s="133">
        <v>7935</v>
      </c>
      <c r="M2044" s="150">
        <v>0.62782407407407403</v>
      </c>
      <c r="N2044" s="150">
        <v>0.62782407407407403</v>
      </c>
      <c r="O2044" t="s">
        <v>172</v>
      </c>
      <c r="Q2044">
        <v>2557935</v>
      </c>
      <c r="R2044">
        <v>2557935</v>
      </c>
      <c r="S2044">
        <v>2557776</v>
      </c>
      <c r="T2044">
        <v>0</v>
      </c>
      <c r="U2044" t="s">
        <v>173</v>
      </c>
      <c r="V2044">
        <v>0</v>
      </c>
      <c r="W2044" t="s">
        <v>174</v>
      </c>
      <c r="X2044">
        <v>2557776</v>
      </c>
      <c r="Z2044" t="s">
        <v>173</v>
      </c>
      <c r="AA2044" t="s">
        <v>173</v>
      </c>
    </row>
    <row r="2045" spans="1:27" x14ac:dyDescent="0.3">
      <c r="A2045">
        <v>2044</v>
      </c>
      <c r="B2045" t="s">
        <v>169</v>
      </c>
      <c r="C2045">
        <v>99019875</v>
      </c>
      <c r="D2045" s="7" t="s">
        <v>134</v>
      </c>
      <c r="E2045" t="s">
        <v>135</v>
      </c>
      <c r="F2045" t="s">
        <v>176</v>
      </c>
      <c r="G2045" t="s">
        <v>177</v>
      </c>
      <c r="H2045">
        <v>3</v>
      </c>
      <c r="I2045">
        <v>0</v>
      </c>
      <c r="J2045">
        <v>3</v>
      </c>
      <c r="K2045" s="133">
        <v>7935</v>
      </c>
      <c r="L2045" s="133">
        <v>7935</v>
      </c>
      <c r="M2045" s="150">
        <v>0.62782407407407403</v>
      </c>
      <c r="N2045" s="150">
        <v>0.62782407407407403</v>
      </c>
      <c r="O2045" t="s">
        <v>172</v>
      </c>
      <c r="Q2045">
        <v>2557936</v>
      </c>
      <c r="R2045">
        <v>2557936</v>
      </c>
      <c r="S2045">
        <v>2557775</v>
      </c>
      <c r="T2045">
        <v>0</v>
      </c>
      <c r="U2045" t="s">
        <v>173</v>
      </c>
      <c r="V2045">
        <v>0</v>
      </c>
      <c r="W2045" t="s">
        <v>174</v>
      </c>
      <c r="X2045">
        <v>2557775</v>
      </c>
      <c r="Z2045" t="s">
        <v>173</v>
      </c>
      <c r="AA2045" t="s">
        <v>173</v>
      </c>
    </row>
    <row r="2046" spans="1:27" x14ac:dyDescent="0.3">
      <c r="A2046">
        <v>2045</v>
      </c>
      <c r="B2046" t="s">
        <v>169</v>
      </c>
      <c r="C2046">
        <v>99019875</v>
      </c>
      <c r="D2046" s="7" t="s">
        <v>134</v>
      </c>
      <c r="E2046" t="s">
        <v>135</v>
      </c>
      <c r="F2046" t="s">
        <v>176</v>
      </c>
      <c r="G2046" t="s">
        <v>177</v>
      </c>
      <c r="H2046">
        <v>4</v>
      </c>
      <c r="I2046">
        <v>0</v>
      </c>
      <c r="J2046">
        <v>4</v>
      </c>
      <c r="K2046" s="133">
        <v>7935</v>
      </c>
      <c r="L2046" s="133">
        <v>7935</v>
      </c>
      <c r="M2046" s="150">
        <v>0.62782407407407403</v>
      </c>
      <c r="N2046" s="150">
        <v>0.62782407407407403</v>
      </c>
      <c r="O2046" t="s">
        <v>172</v>
      </c>
      <c r="Q2046">
        <v>2557937</v>
      </c>
      <c r="R2046">
        <v>2557937</v>
      </c>
      <c r="S2046">
        <v>2557774</v>
      </c>
      <c r="T2046">
        <v>0</v>
      </c>
      <c r="U2046" t="s">
        <v>173</v>
      </c>
      <c r="V2046">
        <v>0</v>
      </c>
      <c r="W2046" t="s">
        <v>174</v>
      </c>
      <c r="X2046">
        <v>2557774</v>
      </c>
      <c r="Z2046" t="s">
        <v>173</v>
      </c>
      <c r="AA2046" t="s">
        <v>173</v>
      </c>
    </row>
    <row r="2047" spans="1:27" x14ac:dyDescent="0.3">
      <c r="A2047">
        <v>2046</v>
      </c>
      <c r="B2047" t="s">
        <v>169</v>
      </c>
      <c r="C2047">
        <v>99019875</v>
      </c>
      <c r="D2047" s="7" t="s">
        <v>134</v>
      </c>
      <c r="E2047" t="s">
        <v>135</v>
      </c>
      <c r="F2047" t="s">
        <v>176</v>
      </c>
      <c r="G2047" t="s">
        <v>177</v>
      </c>
      <c r="H2047">
        <v>4</v>
      </c>
      <c r="I2047">
        <v>0</v>
      </c>
      <c r="J2047">
        <v>4</v>
      </c>
      <c r="K2047" s="133">
        <v>7935</v>
      </c>
      <c r="L2047" s="133">
        <v>7935</v>
      </c>
      <c r="M2047" s="150">
        <v>0.62782407407407403</v>
      </c>
      <c r="N2047" s="150">
        <v>0.62782407407407403</v>
      </c>
      <c r="O2047" t="s">
        <v>172</v>
      </c>
      <c r="Q2047">
        <v>2557938</v>
      </c>
      <c r="R2047">
        <v>2557938</v>
      </c>
      <c r="S2047">
        <v>2557773</v>
      </c>
      <c r="T2047">
        <v>0</v>
      </c>
      <c r="U2047" t="s">
        <v>173</v>
      </c>
      <c r="V2047">
        <v>0</v>
      </c>
      <c r="W2047" t="s">
        <v>174</v>
      </c>
      <c r="X2047">
        <v>2557773</v>
      </c>
      <c r="Z2047" t="s">
        <v>173</v>
      </c>
      <c r="AA2047" t="s">
        <v>173</v>
      </c>
    </row>
    <row r="2048" spans="1:27" x14ac:dyDescent="0.3">
      <c r="A2048">
        <v>2047</v>
      </c>
      <c r="B2048" t="s">
        <v>169</v>
      </c>
      <c r="C2048">
        <v>99019875</v>
      </c>
      <c r="D2048" s="7" t="s">
        <v>134</v>
      </c>
      <c r="E2048" t="s">
        <v>135</v>
      </c>
      <c r="F2048" t="s">
        <v>176</v>
      </c>
      <c r="G2048" t="s">
        <v>177</v>
      </c>
      <c r="H2048">
        <v>3</v>
      </c>
      <c r="I2048">
        <v>0</v>
      </c>
      <c r="J2048">
        <v>3</v>
      </c>
      <c r="K2048" s="133">
        <v>7935</v>
      </c>
      <c r="L2048" s="133">
        <v>7935</v>
      </c>
      <c r="M2048" s="150">
        <v>0.62782407407407403</v>
      </c>
      <c r="N2048" s="150">
        <v>0.62782407407407403</v>
      </c>
      <c r="O2048" t="s">
        <v>172</v>
      </c>
      <c r="Q2048">
        <v>2557939</v>
      </c>
      <c r="R2048">
        <v>2557939</v>
      </c>
      <c r="S2048">
        <v>2557772</v>
      </c>
      <c r="T2048">
        <v>0</v>
      </c>
      <c r="U2048" t="s">
        <v>173</v>
      </c>
      <c r="V2048">
        <v>0</v>
      </c>
      <c r="W2048" t="s">
        <v>174</v>
      </c>
      <c r="X2048">
        <v>2557772</v>
      </c>
      <c r="Z2048" t="s">
        <v>173</v>
      </c>
      <c r="AA2048" t="s">
        <v>173</v>
      </c>
    </row>
    <row r="2049" spans="1:27" x14ac:dyDescent="0.3">
      <c r="A2049">
        <v>2048</v>
      </c>
      <c r="B2049" t="s">
        <v>169</v>
      </c>
      <c r="C2049">
        <v>99019875</v>
      </c>
      <c r="D2049" s="7" t="s">
        <v>134</v>
      </c>
      <c r="E2049" t="s">
        <v>135</v>
      </c>
      <c r="F2049" t="s">
        <v>176</v>
      </c>
      <c r="G2049" t="s">
        <v>177</v>
      </c>
      <c r="H2049">
        <v>4</v>
      </c>
      <c r="I2049">
        <v>0</v>
      </c>
      <c r="J2049">
        <v>4</v>
      </c>
      <c r="K2049" s="133">
        <v>7935</v>
      </c>
      <c r="L2049" s="133">
        <v>7935</v>
      </c>
      <c r="M2049" s="150">
        <v>0.62782407407407403</v>
      </c>
      <c r="N2049" s="150">
        <v>0.62782407407407403</v>
      </c>
      <c r="O2049" t="s">
        <v>172</v>
      </c>
      <c r="Q2049">
        <v>2557940</v>
      </c>
      <c r="R2049">
        <v>2557940</v>
      </c>
      <c r="S2049">
        <v>2557771</v>
      </c>
      <c r="T2049">
        <v>0</v>
      </c>
      <c r="U2049" t="s">
        <v>173</v>
      </c>
      <c r="V2049">
        <v>0</v>
      </c>
      <c r="W2049" t="s">
        <v>174</v>
      </c>
      <c r="X2049">
        <v>2557771</v>
      </c>
      <c r="Z2049" t="s">
        <v>173</v>
      </c>
      <c r="AA2049" t="s">
        <v>173</v>
      </c>
    </row>
    <row r="2050" spans="1:27" x14ac:dyDescent="0.3">
      <c r="A2050">
        <v>2049</v>
      </c>
      <c r="B2050" t="s">
        <v>169</v>
      </c>
      <c r="C2050">
        <v>99019875</v>
      </c>
      <c r="D2050" s="7" t="s">
        <v>134</v>
      </c>
      <c r="E2050" t="s">
        <v>135</v>
      </c>
      <c r="F2050" t="s">
        <v>176</v>
      </c>
      <c r="G2050" t="s">
        <v>177</v>
      </c>
      <c r="H2050">
        <v>4</v>
      </c>
      <c r="I2050">
        <v>0</v>
      </c>
      <c r="J2050">
        <v>4</v>
      </c>
      <c r="K2050" s="133">
        <v>7935</v>
      </c>
      <c r="L2050" s="133">
        <v>7935</v>
      </c>
      <c r="M2050" s="150">
        <v>0.62782407407407403</v>
      </c>
      <c r="N2050" s="150">
        <v>0.62782407407407403</v>
      </c>
      <c r="O2050" t="s">
        <v>172</v>
      </c>
      <c r="Q2050">
        <v>2557941</v>
      </c>
      <c r="R2050">
        <v>2557941</v>
      </c>
      <c r="S2050">
        <v>2557770</v>
      </c>
      <c r="T2050">
        <v>0</v>
      </c>
      <c r="U2050" t="s">
        <v>173</v>
      </c>
      <c r="V2050">
        <v>0</v>
      </c>
      <c r="W2050" t="s">
        <v>174</v>
      </c>
      <c r="X2050">
        <v>2557770</v>
      </c>
      <c r="Z2050" t="s">
        <v>173</v>
      </c>
      <c r="AA2050" t="s">
        <v>173</v>
      </c>
    </row>
    <row r="2051" spans="1:27" x14ac:dyDescent="0.3">
      <c r="A2051">
        <v>2050</v>
      </c>
      <c r="B2051" t="s">
        <v>169</v>
      </c>
      <c r="C2051">
        <v>99019875</v>
      </c>
      <c r="D2051" s="7" t="s">
        <v>134</v>
      </c>
      <c r="E2051" t="s">
        <v>135</v>
      </c>
      <c r="F2051" t="s">
        <v>176</v>
      </c>
      <c r="G2051" t="s">
        <v>177</v>
      </c>
      <c r="H2051">
        <v>3</v>
      </c>
      <c r="I2051">
        <v>0</v>
      </c>
      <c r="J2051">
        <v>3</v>
      </c>
      <c r="K2051" s="133">
        <v>7935</v>
      </c>
      <c r="L2051" s="133">
        <v>7935</v>
      </c>
      <c r="M2051" s="150">
        <v>0.62782407407407403</v>
      </c>
      <c r="N2051" s="150">
        <v>0.62782407407407403</v>
      </c>
      <c r="O2051" t="s">
        <v>172</v>
      </c>
      <c r="Q2051">
        <v>2557942</v>
      </c>
      <c r="R2051">
        <v>2557942</v>
      </c>
      <c r="S2051">
        <v>2557769</v>
      </c>
      <c r="T2051">
        <v>0</v>
      </c>
      <c r="U2051" t="s">
        <v>173</v>
      </c>
      <c r="V2051">
        <v>0</v>
      </c>
      <c r="W2051" t="s">
        <v>174</v>
      </c>
      <c r="X2051">
        <v>2557769</v>
      </c>
      <c r="Z2051" t="s">
        <v>173</v>
      </c>
      <c r="AA2051" t="s">
        <v>173</v>
      </c>
    </row>
    <row r="2052" spans="1:27" x14ac:dyDescent="0.3">
      <c r="A2052">
        <v>2051</v>
      </c>
      <c r="B2052" t="s">
        <v>169</v>
      </c>
      <c r="C2052">
        <v>99019875</v>
      </c>
      <c r="D2052" s="7" t="s">
        <v>134</v>
      </c>
      <c r="E2052" t="s">
        <v>135</v>
      </c>
      <c r="F2052" t="s">
        <v>176</v>
      </c>
      <c r="G2052" t="s">
        <v>177</v>
      </c>
      <c r="H2052">
        <v>4</v>
      </c>
      <c r="I2052">
        <v>0</v>
      </c>
      <c r="J2052">
        <v>4</v>
      </c>
      <c r="K2052" s="133">
        <v>7935</v>
      </c>
      <c r="L2052" s="133">
        <v>7935</v>
      </c>
      <c r="M2052" s="150">
        <v>0.62782407407407403</v>
      </c>
      <c r="N2052" s="150">
        <v>0.62782407407407403</v>
      </c>
      <c r="O2052" t="s">
        <v>172</v>
      </c>
      <c r="Q2052">
        <v>2557943</v>
      </c>
      <c r="R2052">
        <v>2557943</v>
      </c>
      <c r="S2052">
        <v>2557768</v>
      </c>
      <c r="T2052">
        <v>0</v>
      </c>
      <c r="U2052" t="s">
        <v>173</v>
      </c>
      <c r="V2052">
        <v>0</v>
      </c>
      <c r="W2052" t="s">
        <v>174</v>
      </c>
      <c r="X2052">
        <v>2557768</v>
      </c>
      <c r="Z2052" t="s">
        <v>173</v>
      </c>
      <c r="AA2052" t="s">
        <v>173</v>
      </c>
    </row>
    <row r="2053" spans="1:27" x14ac:dyDescent="0.3">
      <c r="A2053">
        <v>2052</v>
      </c>
      <c r="B2053" t="s">
        <v>169</v>
      </c>
      <c r="C2053">
        <v>99019875</v>
      </c>
      <c r="D2053" s="7" t="s">
        <v>134</v>
      </c>
      <c r="E2053" t="s">
        <v>135</v>
      </c>
      <c r="F2053" t="s">
        <v>176</v>
      </c>
      <c r="G2053" t="s">
        <v>177</v>
      </c>
      <c r="H2053">
        <v>4</v>
      </c>
      <c r="I2053">
        <v>0</v>
      </c>
      <c r="J2053">
        <v>4</v>
      </c>
      <c r="K2053" s="133">
        <v>7935</v>
      </c>
      <c r="L2053" s="133">
        <v>7935</v>
      </c>
      <c r="M2053" s="150">
        <v>0.62782407407407403</v>
      </c>
      <c r="N2053" s="150">
        <v>0.62782407407407403</v>
      </c>
      <c r="O2053" t="s">
        <v>172</v>
      </c>
      <c r="Q2053">
        <v>2557944</v>
      </c>
      <c r="R2053">
        <v>2557944</v>
      </c>
      <c r="S2053">
        <v>2557767</v>
      </c>
      <c r="T2053">
        <v>0</v>
      </c>
      <c r="U2053" t="s">
        <v>173</v>
      </c>
      <c r="V2053">
        <v>0</v>
      </c>
      <c r="W2053" t="s">
        <v>174</v>
      </c>
      <c r="X2053">
        <v>2557767</v>
      </c>
      <c r="Z2053" t="s">
        <v>173</v>
      </c>
      <c r="AA2053" t="s">
        <v>173</v>
      </c>
    </row>
    <row r="2054" spans="1:27" x14ac:dyDescent="0.3">
      <c r="A2054">
        <v>2053</v>
      </c>
      <c r="B2054" t="s">
        <v>169</v>
      </c>
      <c r="C2054">
        <v>99019875</v>
      </c>
      <c r="D2054" s="7" t="s">
        <v>134</v>
      </c>
      <c r="E2054" t="s">
        <v>135</v>
      </c>
      <c r="F2054" t="s">
        <v>176</v>
      </c>
      <c r="G2054" t="s">
        <v>177</v>
      </c>
      <c r="H2054">
        <v>4</v>
      </c>
      <c r="I2054">
        <v>0</v>
      </c>
      <c r="J2054">
        <v>4</v>
      </c>
      <c r="K2054" s="133">
        <v>7935</v>
      </c>
      <c r="L2054" s="133">
        <v>7935</v>
      </c>
      <c r="M2054" s="150">
        <v>0.62782407407407403</v>
      </c>
      <c r="N2054" s="150">
        <v>0.62782407407407403</v>
      </c>
      <c r="O2054" t="s">
        <v>172</v>
      </c>
      <c r="Q2054">
        <v>2557945</v>
      </c>
      <c r="R2054">
        <v>2557945</v>
      </c>
      <c r="S2054">
        <v>2557766</v>
      </c>
      <c r="T2054">
        <v>0</v>
      </c>
      <c r="U2054" t="s">
        <v>173</v>
      </c>
      <c r="V2054">
        <v>0</v>
      </c>
      <c r="W2054" t="s">
        <v>174</v>
      </c>
      <c r="X2054">
        <v>2557766</v>
      </c>
      <c r="Z2054" t="s">
        <v>173</v>
      </c>
      <c r="AA2054" t="s">
        <v>173</v>
      </c>
    </row>
    <row r="2055" spans="1:27" x14ac:dyDescent="0.3">
      <c r="A2055">
        <v>2054</v>
      </c>
      <c r="B2055" t="s">
        <v>169</v>
      </c>
      <c r="C2055">
        <v>99019875</v>
      </c>
      <c r="D2055" s="7" t="s">
        <v>134</v>
      </c>
      <c r="E2055" t="s">
        <v>135</v>
      </c>
      <c r="F2055" t="s">
        <v>176</v>
      </c>
      <c r="G2055" t="s">
        <v>177</v>
      </c>
      <c r="H2055">
        <v>4</v>
      </c>
      <c r="I2055">
        <v>0</v>
      </c>
      <c r="J2055">
        <v>4</v>
      </c>
      <c r="K2055" s="133">
        <v>7935</v>
      </c>
      <c r="L2055" s="133">
        <v>7935</v>
      </c>
      <c r="M2055" s="150">
        <v>0.62782407407407403</v>
      </c>
      <c r="N2055" s="150">
        <v>0.62782407407407403</v>
      </c>
      <c r="O2055" t="s">
        <v>172</v>
      </c>
      <c r="Q2055">
        <v>2557946</v>
      </c>
      <c r="R2055">
        <v>2557946</v>
      </c>
      <c r="S2055">
        <v>2557765</v>
      </c>
      <c r="T2055">
        <v>0</v>
      </c>
      <c r="U2055" t="s">
        <v>173</v>
      </c>
      <c r="V2055">
        <v>0</v>
      </c>
      <c r="W2055" t="s">
        <v>174</v>
      </c>
      <c r="X2055">
        <v>2557765</v>
      </c>
      <c r="Z2055" t="s">
        <v>173</v>
      </c>
      <c r="AA2055" t="s">
        <v>173</v>
      </c>
    </row>
    <row r="2056" spans="1:27" x14ac:dyDescent="0.3">
      <c r="A2056">
        <v>2055</v>
      </c>
      <c r="B2056" t="s">
        <v>169</v>
      </c>
      <c r="C2056">
        <v>99019875</v>
      </c>
      <c r="D2056" s="7" t="s">
        <v>134</v>
      </c>
      <c r="E2056" t="s">
        <v>135</v>
      </c>
      <c r="F2056" t="s">
        <v>176</v>
      </c>
      <c r="G2056" t="s">
        <v>177</v>
      </c>
      <c r="H2056">
        <v>3</v>
      </c>
      <c r="I2056">
        <v>0</v>
      </c>
      <c r="J2056">
        <v>3</v>
      </c>
      <c r="K2056" s="133">
        <v>7935</v>
      </c>
      <c r="L2056" s="133">
        <v>7935</v>
      </c>
      <c r="M2056" s="150">
        <v>0.62782407407407403</v>
      </c>
      <c r="N2056" s="150">
        <v>0.62782407407407403</v>
      </c>
      <c r="O2056" t="s">
        <v>172</v>
      </c>
      <c r="Q2056">
        <v>2557947</v>
      </c>
      <c r="R2056">
        <v>2557947</v>
      </c>
      <c r="S2056">
        <v>2557764</v>
      </c>
      <c r="T2056">
        <v>0</v>
      </c>
      <c r="U2056" t="s">
        <v>173</v>
      </c>
      <c r="V2056">
        <v>0</v>
      </c>
      <c r="W2056" t="s">
        <v>174</v>
      </c>
      <c r="X2056">
        <v>2557764</v>
      </c>
      <c r="Z2056" t="s">
        <v>173</v>
      </c>
      <c r="AA2056" t="s">
        <v>173</v>
      </c>
    </row>
    <row r="2057" spans="1:27" x14ac:dyDescent="0.3">
      <c r="A2057">
        <v>2056</v>
      </c>
      <c r="B2057" t="s">
        <v>169</v>
      </c>
      <c r="C2057">
        <v>99019875</v>
      </c>
      <c r="D2057" s="7" t="s">
        <v>134</v>
      </c>
      <c r="E2057" t="s">
        <v>135</v>
      </c>
      <c r="F2057" t="s">
        <v>176</v>
      </c>
      <c r="G2057" t="s">
        <v>177</v>
      </c>
      <c r="H2057">
        <v>4</v>
      </c>
      <c r="I2057">
        <v>0</v>
      </c>
      <c r="J2057">
        <v>4</v>
      </c>
      <c r="K2057" s="133">
        <v>7935</v>
      </c>
      <c r="L2057" s="133">
        <v>7935</v>
      </c>
      <c r="M2057" s="150">
        <v>0.62782407407407403</v>
      </c>
      <c r="N2057" s="150">
        <v>0.62782407407407403</v>
      </c>
      <c r="O2057" t="s">
        <v>172</v>
      </c>
      <c r="Q2057">
        <v>2557948</v>
      </c>
      <c r="R2057">
        <v>2557948</v>
      </c>
      <c r="S2057">
        <v>2557763</v>
      </c>
      <c r="T2057">
        <v>0</v>
      </c>
      <c r="U2057" t="s">
        <v>173</v>
      </c>
      <c r="V2057">
        <v>0</v>
      </c>
      <c r="W2057" t="s">
        <v>174</v>
      </c>
      <c r="X2057">
        <v>2557763</v>
      </c>
      <c r="Z2057" t="s">
        <v>173</v>
      </c>
      <c r="AA2057" t="s">
        <v>173</v>
      </c>
    </row>
    <row r="2058" spans="1:27" x14ac:dyDescent="0.3">
      <c r="A2058">
        <v>2057</v>
      </c>
      <c r="B2058" t="s">
        <v>169</v>
      </c>
      <c r="C2058">
        <v>99019875</v>
      </c>
      <c r="D2058" s="7" t="s">
        <v>134</v>
      </c>
      <c r="E2058" t="s">
        <v>135</v>
      </c>
      <c r="F2058" t="s">
        <v>176</v>
      </c>
      <c r="G2058" t="s">
        <v>177</v>
      </c>
      <c r="H2058">
        <v>3</v>
      </c>
      <c r="I2058">
        <v>0</v>
      </c>
      <c r="J2058">
        <v>3</v>
      </c>
      <c r="K2058" s="133">
        <v>7935</v>
      </c>
      <c r="L2058" s="133">
        <v>7935</v>
      </c>
      <c r="M2058" s="150">
        <v>0.62782407407407403</v>
      </c>
      <c r="N2058" s="150">
        <v>0.62782407407407403</v>
      </c>
      <c r="O2058" t="s">
        <v>172</v>
      </c>
      <c r="Q2058">
        <v>2557949</v>
      </c>
      <c r="R2058">
        <v>2557949</v>
      </c>
      <c r="S2058">
        <v>2557762</v>
      </c>
      <c r="T2058">
        <v>0</v>
      </c>
      <c r="U2058" t="s">
        <v>173</v>
      </c>
      <c r="V2058">
        <v>0</v>
      </c>
      <c r="W2058" t="s">
        <v>174</v>
      </c>
      <c r="X2058">
        <v>2557762</v>
      </c>
      <c r="Z2058" t="s">
        <v>173</v>
      </c>
      <c r="AA2058" t="s">
        <v>173</v>
      </c>
    </row>
    <row r="2059" spans="1:27" x14ac:dyDescent="0.3">
      <c r="A2059">
        <v>2058</v>
      </c>
      <c r="B2059" t="s">
        <v>169</v>
      </c>
      <c r="C2059">
        <v>99019875</v>
      </c>
      <c r="D2059" s="7" t="s">
        <v>134</v>
      </c>
      <c r="E2059" t="s">
        <v>135</v>
      </c>
      <c r="F2059" t="s">
        <v>176</v>
      </c>
      <c r="G2059" t="s">
        <v>177</v>
      </c>
      <c r="H2059">
        <v>4</v>
      </c>
      <c r="I2059">
        <v>0</v>
      </c>
      <c r="J2059">
        <v>4</v>
      </c>
      <c r="K2059" s="133">
        <v>7935</v>
      </c>
      <c r="L2059" s="133">
        <v>7935</v>
      </c>
      <c r="M2059" s="150">
        <v>0.62782407407407403</v>
      </c>
      <c r="N2059" s="150">
        <v>0.62782407407407403</v>
      </c>
      <c r="O2059" t="s">
        <v>172</v>
      </c>
      <c r="Q2059">
        <v>2557950</v>
      </c>
      <c r="R2059">
        <v>2557950</v>
      </c>
      <c r="S2059">
        <v>2557761</v>
      </c>
      <c r="T2059">
        <v>0</v>
      </c>
      <c r="U2059" t="s">
        <v>173</v>
      </c>
      <c r="V2059">
        <v>0</v>
      </c>
      <c r="W2059" t="s">
        <v>174</v>
      </c>
      <c r="X2059">
        <v>2557761</v>
      </c>
      <c r="Z2059" t="s">
        <v>173</v>
      </c>
      <c r="AA2059" t="s">
        <v>173</v>
      </c>
    </row>
    <row r="2060" spans="1:27" x14ac:dyDescent="0.3">
      <c r="A2060">
        <v>2059</v>
      </c>
      <c r="B2060" t="s">
        <v>169</v>
      </c>
      <c r="C2060">
        <v>99019875</v>
      </c>
      <c r="D2060" s="7" t="s">
        <v>134</v>
      </c>
      <c r="E2060" t="s">
        <v>135</v>
      </c>
      <c r="F2060" t="s">
        <v>176</v>
      </c>
      <c r="G2060" t="s">
        <v>177</v>
      </c>
      <c r="H2060">
        <v>4</v>
      </c>
      <c r="I2060">
        <v>0</v>
      </c>
      <c r="J2060">
        <v>4</v>
      </c>
      <c r="K2060" s="133">
        <v>7935</v>
      </c>
      <c r="L2060" s="133">
        <v>7935</v>
      </c>
      <c r="M2060" s="150">
        <v>0.62782407407407403</v>
      </c>
      <c r="N2060" s="150">
        <v>0.62782407407407403</v>
      </c>
      <c r="O2060" t="s">
        <v>172</v>
      </c>
      <c r="Q2060">
        <v>2557951</v>
      </c>
      <c r="R2060">
        <v>2557951</v>
      </c>
      <c r="S2060">
        <v>2557760</v>
      </c>
      <c r="T2060">
        <v>0</v>
      </c>
      <c r="U2060" t="s">
        <v>173</v>
      </c>
      <c r="V2060">
        <v>0</v>
      </c>
      <c r="W2060" t="s">
        <v>174</v>
      </c>
      <c r="X2060">
        <v>2557760</v>
      </c>
      <c r="Z2060" t="s">
        <v>173</v>
      </c>
      <c r="AA2060" t="s">
        <v>173</v>
      </c>
    </row>
    <row r="2061" spans="1:27" x14ac:dyDescent="0.3">
      <c r="A2061">
        <v>2060</v>
      </c>
      <c r="B2061" t="s">
        <v>169</v>
      </c>
      <c r="C2061">
        <v>99019875</v>
      </c>
      <c r="D2061" s="7" t="s">
        <v>134</v>
      </c>
      <c r="E2061" t="s">
        <v>135</v>
      </c>
      <c r="F2061" t="s">
        <v>176</v>
      </c>
      <c r="G2061" t="s">
        <v>177</v>
      </c>
      <c r="H2061">
        <v>3</v>
      </c>
      <c r="I2061">
        <v>0</v>
      </c>
      <c r="J2061">
        <v>3</v>
      </c>
      <c r="K2061" s="133">
        <v>7935</v>
      </c>
      <c r="L2061" s="133">
        <v>7935</v>
      </c>
      <c r="M2061" s="150">
        <v>0.62782407407407403</v>
      </c>
      <c r="N2061" s="150">
        <v>0.62782407407407403</v>
      </c>
      <c r="O2061" t="s">
        <v>172</v>
      </c>
      <c r="Q2061">
        <v>2557952</v>
      </c>
      <c r="R2061">
        <v>2557952</v>
      </c>
      <c r="S2061">
        <v>2557759</v>
      </c>
      <c r="T2061">
        <v>0</v>
      </c>
      <c r="U2061" t="s">
        <v>173</v>
      </c>
      <c r="V2061">
        <v>0</v>
      </c>
      <c r="W2061" t="s">
        <v>174</v>
      </c>
      <c r="X2061">
        <v>2557759</v>
      </c>
      <c r="Z2061" t="s">
        <v>173</v>
      </c>
      <c r="AA2061" t="s">
        <v>173</v>
      </c>
    </row>
    <row r="2062" spans="1:27" x14ac:dyDescent="0.3">
      <c r="A2062">
        <v>2061</v>
      </c>
      <c r="B2062" t="s">
        <v>169</v>
      </c>
      <c r="C2062">
        <v>99019875</v>
      </c>
      <c r="D2062" s="7" t="s">
        <v>134</v>
      </c>
      <c r="E2062" t="s">
        <v>135</v>
      </c>
      <c r="F2062" t="s">
        <v>176</v>
      </c>
      <c r="G2062" t="s">
        <v>177</v>
      </c>
      <c r="H2062">
        <v>4</v>
      </c>
      <c r="I2062">
        <v>0</v>
      </c>
      <c r="J2062">
        <v>4</v>
      </c>
      <c r="K2062" s="133">
        <v>7935</v>
      </c>
      <c r="L2062" s="133">
        <v>7935</v>
      </c>
      <c r="M2062" s="150">
        <v>0.62782407407407403</v>
      </c>
      <c r="N2062" s="150">
        <v>0.62782407407407403</v>
      </c>
      <c r="O2062" t="s">
        <v>172</v>
      </c>
      <c r="Q2062">
        <v>2557953</v>
      </c>
      <c r="R2062">
        <v>2557953</v>
      </c>
      <c r="S2062">
        <v>2557758</v>
      </c>
      <c r="T2062">
        <v>0</v>
      </c>
      <c r="U2062" t="s">
        <v>173</v>
      </c>
      <c r="V2062">
        <v>0</v>
      </c>
      <c r="W2062" t="s">
        <v>174</v>
      </c>
      <c r="X2062">
        <v>2557758</v>
      </c>
      <c r="Z2062" t="s">
        <v>173</v>
      </c>
      <c r="AA2062" t="s">
        <v>173</v>
      </c>
    </row>
    <row r="2063" spans="1:27" x14ac:dyDescent="0.3">
      <c r="A2063">
        <v>2062</v>
      </c>
      <c r="B2063" t="s">
        <v>169</v>
      </c>
      <c r="C2063">
        <v>99019875</v>
      </c>
      <c r="D2063" s="7" t="s">
        <v>134</v>
      </c>
      <c r="E2063" t="s">
        <v>135</v>
      </c>
      <c r="F2063" t="s">
        <v>176</v>
      </c>
      <c r="G2063" t="s">
        <v>177</v>
      </c>
      <c r="H2063">
        <v>4</v>
      </c>
      <c r="I2063">
        <v>0</v>
      </c>
      <c r="J2063">
        <v>4</v>
      </c>
      <c r="K2063" s="133">
        <v>7935</v>
      </c>
      <c r="L2063" s="133">
        <v>7935</v>
      </c>
      <c r="M2063" s="150">
        <v>0.62782407407407403</v>
      </c>
      <c r="N2063" s="150">
        <v>0.62782407407407403</v>
      </c>
      <c r="O2063" t="s">
        <v>172</v>
      </c>
      <c r="Q2063">
        <v>2557954</v>
      </c>
      <c r="R2063">
        <v>2557954</v>
      </c>
      <c r="S2063">
        <v>2557757</v>
      </c>
      <c r="T2063">
        <v>0</v>
      </c>
      <c r="U2063" t="s">
        <v>173</v>
      </c>
      <c r="V2063">
        <v>0</v>
      </c>
      <c r="W2063" t="s">
        <v>174</v>
      </c>
      <c r="X2063">
        <v>2557757</v>
      </c>
      <c r="Z2063" t="s">
        <v>173</v>
      </c>
      <c r="AA2063" t="s">
        <v>173</v>
      </c>
    </row>
    <row r="2064" spans="1:27" x14ac:dyDescent="0.3">
      <c r="A2064">
        <v>2063</v>
      </c>
      <c r="B2064" t="s">
        <v>169</v>
      </c>
      <c r="C2064">
        <v>99019875</v>
      </c>
      <c r="D2064" s="7" t="s">
        <v>134</v>
      </c>
      <c r="E2064" t="s">
        <v>135</v>
      </c>
      <c r="F2064" t="s">
        <v>176</v>
      </c>
      <c r="G2064" t="s">
        <v>177</v>
      </c>
      <c r="H2064">
        <v>4</v>
      </c>
      <c r="I2064">
        <v>0</v>
      </c>
      <c r="J2064">
        <v>4</v>
      </c>
      <c r="K2064" s="133">
        <v>7935</v>
      </c>
      <c r="L2064" s="133">
        <v>7935</v>
      </c>
      <c r="M2064" s="150">
        <v>0.62782407407407403</v>
      </c>
      <c r="N2064" s="150">
        <v>0.62782407407407403</v>
      </c>
      <c r="O2064" t="s">
        <v>172</v>
      </c>
      <c r="Q2064">
        <v>2557955</v>
      </c>
      <c r="R2064">
        <v>2557955</v>
      </c>
      <c r="S2064">
        <v>2557756</v>
      </c>
      <c r="T2064">
        <v>0</v>
      </c>
      <c r="U2064" t="s">
        <v>173</v>
      </c>
      <c r="V2064">
        <v>0</v>
      </c>
      <c r="W2064" t="s">
        <v>174</v>
      </c>
      <c r="X2064">
        <v>2557756</v>
      </c>
      <c r="Z2064" t="s">
        <v>173</v>
      </c>
      <c r="AA2064" t="s">
        <v>173</v>
      </c>
    </row>
    <row r="2065" spans="1:27" x14ac:dyDescent="0.3">
      <c r="A2065">
        <v>2064</v>
      </c>
      <c r="B2065" t="s">
        <v>169</v>
      </c>
      <c r="C2065">
        <v>99019875</v>
      </c>
      <c r="D2065" s="7" t="s">
        <v>134</v>
      </c>
      <c r="E2065" t="s">
        <v>135</v>
      </c>
      <c r="F2065" t="s">
        <v>176</v>
      </c>
      <c r="G2065" t="s">
        <v>177</v>
      </c>
      <c r="H2065">
        <v>3</v>
      </c>
      <c r="I2065">
        <v>0</v>
      </c>
      <c r="J2065">
        <v>3</v>
      </c>
      <c r="K2065" s="133">
        <v>7935</v>
      </c>
      <c r="L2065" s="133">
        <v>7935</v>
      </c>
      <c r="M2065" s="150">
        <v>0.62782407407407403</v>
      </c>
      <c r="N2065" s="150">
        <v>0.62782407407407403</v>
      </c>
      <c r="O2065" t="s">
        <v>172</v>
      </c>
      <c r="Q2065">
        <v>2557956</v>
      </c>
      <c r="R2065">
        <v>2557956</v>
      </c>
      <c r="S2065">
        <v>2557755</v>
      </c>
      <c r="T2065">
        <v>0</v>
      </c>
      <c r="U2065" t="s">
        <v>173</v>
      </c>
      <c r="V2065">
        <v>0</v>
      </c>
      <c r="W2065" t="s">
        <v>174</v>
      </c>
      <c r="X2065">
        <v>2557755</v>
      </c>
      <c r="Z2065" t="s">
        <v>173</v>
      </c>
      <c r="AA2065" t="s">
        <v>173</v>
      </c>
    </row>
    <row r="2066" spans="1:27" x14ac:dyDescent="0.3">
      <c r="A2066">
        <v>2065</v>
      </c>
      <c r="B2066" t="s">
        <v>169</v>
      </c>
      <c r="C2066">
        <v>99019875</v>
      </c>
      <c r="D2066" s="7" t="s">
        <v>134</v>
      </c>
      <c r="E2066" t="s">
        <v>135</v>
      </c>
      <c r="F2066" t="s">
        <v>176</v>
      </c>
      <c r="G2066" t="s">
        <v>177</v>
      </c>
      <c r="H2066">
        <v>4</v>
      </c>
      <c r="I2066">
        <v>0</v>
      </c>
      <c r="J2066">
        <v>4</v>
      </c>
      <c r="K2066" s="133">
        <v>7935</v>
      </c>
      <c r="L2066" s="133">
        <v>7935</v>
      </c>
      <c r="M2066" s="150">
        <v>0.62782407407407403</v>
      </c>
      <c r="N2066" s="150">
        <v>0.62782407407407403</v>
      </c>
      <c r="O2066" t="s">
        <v>172</v>
      </c>
      <c r="Q2066">
        <v>2557957</v>
      </c>
      <c r="R2066">
        <v>2557957</v>
      </c>
      <c r="S2066">
        <v>2557754</v>
      </c>
      <c r="T2066">
        <v>0</v>
      </c>
      <c r="U2066" t="s">
        <v>173</v>
      </c>
      <c r="V2066">
        <v>0</v>
      </c>
      <c r="W2066" t="s">
        <v>174</v>
      </c>
      <c r="X2066">
        <v>2557754</v>
      </c>
      <c r="Z2066" t="s">
        <v>173</v>
      </c>
      <c r="AA2066" t="s">
        <v>173</v>
      </c>
    </row>
    <row r="2067" spans="1:27" x14ac:dyDescent="0.3">
      <c r="A2067">
        <v>2066</v>
      </c>
      <c r="B2067" t="s">
        <v>169</v>
      </c>
      <c r="C2067">
        <v>99019875</v>
      </c>
      <c r="D2067" s="7" t="s">
        <v>134</v>
      </c>
      <c r="E2067" t="s">
        <v>135</v>
      </c>
      <c r="F2067" t="s">
        <v>176</v>
      </c>
      <c r="G2067" t="s">
        <v>177</v>
      </c>
      <c r="H2067">
        <v>4</v>
      </c>
      <c r="I2067">
        <v>0</v>
      </c>
      <c r="J2067">
        <v>4</v>
      </c>
      <c r="K2067" s="133">
        <v>7935</v>
      </c>
      <c r="L2067" s="133">
        <v>7935</v>
      </c>
      <c r="M2067" s="150">
        <v>0.62782407407407403</v>
      </c>
      <c r="N2067" s="150">
        <v>0.62782407407407403</v>
      </c>
      <c r="O2067" t="s">
        <v>172</v>
      </c>
      <c r="Q2067">
        <v>2557958</v>
      </c>
      <c r="R2067">
        <v>2557958</v>
      </c>
      <c r="S2067">
        <v>2557753</v>
      </c>
      <c r="T2067">
        <v>0</v>
      </c>
      <c r="U2067" t="s">
        <v>173</v>
      </c>
      <c r="V2067">
        <v>0</v>
      </c>
      <c r="W2067" t="s">
        <v>174</v>
      </c>
      <c r="X2067">
        <v>2557753</v>
      </c>
      <c r="Z2067" t="s">
        <v>173</v>
      </c>
      <c r="AA2067" t="s">
        <v>173</v>
      </c>
    </row>
    <row r="2068" spans="1:27" x14ac:dyDescent="0.3">
      <c r="A2068">
        <v>2067</v>
      </c>
      <c r="B2068" t="s">
        <v>169</v>
      </c>
      <c r="C2068">
        <v>99019875</v>
      </c>
      <c r="D2068" s="7" t="s">
        <v>134</v>
      </c>
      <c r="E2068" t="s">
        <v>135</v>
      </c>
      <c r="F2068" t="s">
        <v>176</v>
      </c>
      <c r="G2068" t="s">
        <v>177</v>
      </c>
      <c r="H2068">
        <v>3</v>
      </c>
      <c r="I2068">
        <v>0</v>
      </c>
      <c r="J2068">
        <v>3</v>
      </c>
      <c r="K2068" s="133">
        <v>7935</v>
      </c>
      <c r="L2068" s="133">
        <v>7935</v>
      </c>
      <c r="M2068" s="150">
        <v>0.62782407407407403</v>
      </c>
      <c r="N2068" s="150">
        <v>0.62782407407407403</v>
      </c>
      <c r="O2068" t="s">
        <v>172</v>
      </c>
      <c r="Q2068">
        <v>2557959</v>
      </c>
      <c r="R2068">
        <v>2557959</v>
      </c>
      <c r="S2068">
        <v>2557752</v>
      </c>
      <c r="T2068">
        <v>0</v>
      </c>
      <c r="U2068" t="s">
        <v>173</v>
      </c>
      <c r="V2068">
        <v>0</v>
      </c>
      <c r="W2068" t="s">
        <v>174</v>
      </c>
      <c r="X2068">
        <v>2557752</v>
      </c>
      <c r="Z2068" t="s">
        <v>173</v>
      </c>
      <c r="AA2068" t="s">
        <v>173</v>
      </c>
    </row>
    <row r="2069" spans="1:27" x14ac:dyDescent="0.3">
      <c r="A2069">
        <v>2068</v>
      </c>
      <c r="B2069" t="s">
        <v>169</v>
      </c>
      <c r="C2069">
        <v>99019875</v>
      </c>
      <c r="D2069" s="7" t="s">
        <v>89</v>
      </c>
      <c r="E2069" t="s">
        <v>90</v>
      </c>
      <c r="F2069" t="s">
        <v>176</v>
      </c>
      <c r="G2069" t="s">
        <v>177</v>
      </c>
      <c r="H2069">
        <v>31</v>
      </c>
      <c r="I2069">
        <v>0</v>
      </c>
      <c r="J2069">
        <v>31</v>
      </c>
      <c r="K2069" s="133">
        <v>3070</v>
      </c>
      <c r="L2069" s="133">
        <v>3070</v>
      </c>
      <c r="M2069" s="150">
        <v>0.62788194444444445</v>
      </c>
      <c r="N2069" s="150">
        <v>0.62789351851851849</v>
      </c>
      <c r="O2069" t="s">
        <v>172</v>
      </c>
      <c r="Q2069">
        <v>2558171</v>
      </c>
      <c r="R2069">
        <v>2558171</v>
      </c>
      <c r="S2069">
        <v>2557995</v>
      </c>
      <c r="T2069">
        <v>0</v>
      </c>
      <c r="U2069" t="s">
        <v>173</v>
      </c>
      <c r="V2069">
        <v>0</v>
      </c>
      <c r="W2069" t="s">
        <v>174</v>
      </c>
      <c r="X2069">
        <v>2557995</v>
      </c>
      <c r="Z2069" t="s">
        <v>173</v>
      </c>
      <c r="AA2069" t="s">
        <v>173</v>
      </c>
    </row>
    <row r="2070" spans="1:27" x14ac:dyDescent="0.3">
      <c r="A2070">
        <v>2069</v>
      </c>
      <c r="B2070" t="s">
        <v>169</v>
      </c>
      <c r="C2070">
        <v>99019875</v>
      </c>
      <c r="D2070" s="7" t="s">
        <v>89</v>
      </c>
      <c r="E2070" t="s">
        <v>90</v>
      </c>
      <c r="F2070" t="s">
        <v>176</v>
      </c>
      <c r="G2070" t="s">
        <v>177</v>
      </c>
      <c r="H2070">
        <v>30</v>
      </c>
      <c r="I2070">
        <v>0</v>
      </c>
      <c r="J2070">
        <v>30</v>
      </c>
      <c r="K2070" s="133">
        <v>3070</v>
      </c>
      <c r="L2070" s="133">
        <v>3070</v>
      </c>
      <c r="M2070" s="150">
        <v>0.62788194444444445</v>
      </c>
      <c r="N2070" s="150">
        <v>0.62789351851851849</v>
      </c>
      <c r="O2070" t="s">
        <v>172</v>
      </c>
      <c r="Q2070">
        <v>2558172</v>
      </c>
      <c r="R2070">
        <v>2558172</v>
      </c>
      <c r="S2070">
        <v>2557994</v>
      </c>
      <c r="T2070">
        <v>0</v>
      </c>
      <c r="U2070" t="s">
        <v>173</v>
      </c>
      <c r="V2070">
        <v>0</v>
      </c>
      <c r="W2070" t="s">
        <v>174</v>
      </c>
      <c r="X2070">
        <v>2557994</v>
      </c>
      <c r="Z2070" t="s">
        <v>173</v>
      </c>
      <c r="AA2070" t="s">
        <v>173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고은환</dc:creator>
  <cp:lastModifiedBy>고은환</cp:lastModifiedBy>
  <dcterms:created xsi:type="dcterms:W3CDTF">2026-09-02T00:40:03Z</dcterms:created>
  <dcterms:modified xsi:type="dcterms:W3CDTF">2026-09-02T06:52:36Z</dcterms:modified>
</cp:coreProperties>
</file>